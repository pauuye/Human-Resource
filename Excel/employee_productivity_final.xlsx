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auuh\OneDrive\Desktop\HR Project\Excel\"/>
    </mc:Choice>
  </mc:AlternateContent>
  <xr:revisionPtr revIDLastSave="0" documentId="13_ncr:1_{EFB34332-5D39-45AB-9F49-62C3A2F03C1F}" xr6:coauthVersionLast="47" xr6:coauthVersionMax="47" xr10:uidLastSave="{00000000-0000-0000-0000-000000000000}"/>
  <bookViews>
    <workbookView xWindow="-108" yWindow="-108" windowWidth="23256" windowHeight="12456" firstSheet="2" activeTab="5" xr2:uid="{12DD522C-5607-4D6D-8F52-5E36A8E335FD}"/>
  </bookViews>
  <sheets>
    <sheet name="EmployeeData" sheetId="3" state="hidden" r:id="rId1"/>
    <sheet name="Department" sheetId="4" state="hidden" r:id="rId2"/>
    <sheet name="Worksheet" sheetId="5" r:id="rId3"/>
    <sheet name="HR System" sheetId="8" r:id="rId4"/>
    <sheet name="Lookups" sheetId="9" r:id="rId5"/>
    <sheet name="PivotTables" sheetId="6" r:id="rId6"/>
    <sheet name="Summary" sheetId="10" r:id="rId7"/>
    <sheet name="Dashboard" sheetId="7" r:id="rId8"/>
    <sheet name="employee_productivity_v2" sheetId="1" state="hidden" r:id="rId9"/>
    <sheet name="Dept" sheetId="2" state="hidden" r:id="rId10"/>
  </sheets>
  <definedNames>
    <definedName name="_xlnm._FilterDatabase" localSheetId="3" hidden="1">'HR System'!$A$2:$A$7</definedName>
    <definedName name="Dept">PivotTables!$B$77</definedName>
    <definedName name="ExternalData_1" localSheetId="0" hidden="1">EmployeeData!$A$1:$L$5001</definedName>
    <definedName name="ExternalData_2" localSheetId="1" hidden="1">Department!$A$1:$B$7</definedName>
    <definedName name="ExternalData_3" localSheetId="2" hidden="1">Worksheet!$A$1:$O$650</definedName>
    <definedName name="Select_Dept">'HR System'!$C$3</definedName>
    <definedName name="Slicer_Department">#N/A</definedName>
    <definedName name="Slicer_Year">#N/A</definedName>
    <definedName name="Year">PivotTables!$B$58</definedName>
    <definedName name="Years">PivotTables!$B$58</definedName>
    <definedName name="Yr">PivotTables!$B$93</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8" l="1" a="1"/>
  <c r="E8" i="8" s="1"/>
  <c r="B93" i="6" a="1"/>
  <c r="B93" i="6" s="1"/>
  <c r="B77" i="6" a="1"/>
  <c r="B77" i="6" s="1"/>
  <c r="F8" i="6"/>
  <c r="F7" i="6"/>
  <c r="F6" i="6"/>
  <c r="F5" i="6"/>
  <c r="F4" i="6"/>
  <c r="F3" i="6"/>
  <c r="B1" i="9" a="1"/>
  <c r="B1" i="9" s="1"/>
  <c r="A1" i="9"/>
  <c r="A1" i="9" a="1"/>
  <c r="C12" i="8"/>
  <c r="C11" i="8"/>
  <c r="C10" i="8"/>
  <c r="C9" i="8"/>
  <c r="C8" i="8"/>
  <c r="C7" i="8"/>
  <c r="H6" i="6"/>
  <c r="G6" i="6"/>
  <c r="H3" i="6"/>
  <c r="H8" i="6"/>
  <c r="G3" i="6"/>
  <c r="G8" i="6"/>
  <c r="H5" i="6"/>
  <c r="G5" i="6"/>
  <c r="H7" i="6"/>
  <c r="G7" i="6"/>
  <c r="H4" i="6"/>
  <c r="G4" i="6"/>
  <c r="G10" i="6" l="1"/>
  <c r="H10" i="6"/>
  <c r="A89" i="6"/>
  <c r="A3" i="7" s="1"/>
  <c r="H11"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26A32E-7D64-4725-B9E8-B251A29EA706}" keepAlive="1" name="Query - Department" description="Connection to the 'Department' query in the workbook." type="5" refreshedVersion="8" background="1" saveData="1">
    <dbPr connection="Provider=Microsoft.Mashup.OleDb.1;Data Source=$Workbook$;Location=Department;Extended Properties=&quot;&quot;" command="SELECT * FROM [Department]"/>
  </connection>
  <connection id="2" xr16:uid="{EE0FA1DB-2447-4431-9B14-A779D18FE026}" keepAlive="1" name="Query - EmployeeData" description="Connection to the 'EmployeeData' query in the workbook." type="5" refreshedVersion="8" background="1" saveData="1">
    <dbPr connection="Provider=Microsoft.Mashup.OleDb.1;Data Source=$Workbook$;Location=EmployeeData;Extended Properties=&quot;&quot;" command="SELECT * FROM [EmployeeData]"/>
  </connection>
  <connection id="3" xr16:uid="{15A06DB0-7FB8-4F8B-B6AB-EF1E540258FD}" keepAlive="1" name="Query - Worksheet" description="Connection to the 'Worksheet' query in the workbook." type="5" refreshedVersion="8" background="1" saveData="1">
    <dbPr connection="Provider=Microsoft.Mashup.OleDb.1;Data Source=$Workbook$;Location=Worksheet;Extended Properties=&quot;&quot;" command="SELECT * FROM [Workshe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<sst xmlns="http://schemas.openxmlformats.org/spreadsheetml/2006/main" count="39734" uniqueCount="5083">
  <si>
    <t>Employee_ID</t>
  </si>
  <si>
    <t>Department</t>
  </si>
  <si>
    <t>Gender</t>
  </si>
  <si>
    <t>Age</t>
  </si>
  <si>
    <t>Hire_Date</t>
  </si>
  <si>
    <t>Performance_Score</t>
  </si>
  <si>
    <t>Absences_per_Month</t>
  </si>
  <si>
    <t>Salary_USD</t>
  </si>
  <si>
    <t>Tenure_Years</t>
  </si>
  <si>
    <t>E-2000</t>
  </si>
  <si>
    <t>FI-01</t>
  </si>
  <si>
    <t>Male</t>
  </si>
  <si>
    <t>E-2001</t>
  </si>
  <si>
    <t>HR-01</t>
  </si>
  <si>
    <t>Female</t>
  </si>
  <si>
    <t>E-2002</t>
  </si>
  <si>
    <t>IT-01</t>
  </si>
  <si>
    <t>E-2003</t>
  </si>
  <si>
    <t>OP-01</t>
  </si>
  <si>
    <t>E-2004</t>
  </si>
  <si>
    <t>E-2005</t>
  </si>
  <si>
    <t>E-2006</t>
  </si>
  <si>
    <t>E-2007</t>
  </si>
  <si>
    <t>E-2008</t>
  </si>
  <si>
    <t>SA-01</t>
  </si>
  <si>
    <t>E-2009</t>
  </si>
  <si>
    <t>E-2010</t>
  </si>
  <si>
    <t>E-2011</t>
  </si>
  <si>
    <t>E-2012</t>
  </si>
  <si>
    <t>E-2013</t>
  </si>
  <si>
    <t>E-2014</t>
  </si>
  <si>
    <t>E-2015</t>
  </si>
  <si>
    <t>E-2016</t>
  </si>
  <si>
    <t>E-2017</t>
  </si>
  <si>
    <t>MA-01</t>
  </si>
  <si>
    <t>E-2018</t>
  </si>
  <si>
    <t>E-2019</t>
  </si>
  <si>
    <t>E-2020</t>
  </si>
  <si>
    <t>E-2021</t>
  </si>
  <si>
    <t>E-2022</t>
  </si>
  <si>
    <t>E-2023</t>
  </si>
  <si>
    <t>E-2024</t>
  </si>
  <si>
    <t>E-2025</t>
  </si>
  <si>
    <t>E-2026</t>
  </si>
  <si>
    <t>E-2027</t>
  </si>
  <si>
    <t>E-2028</t>
  </si>
  <si>
    <t>E-2029</t>
  </si>
  <si>
    <t>E-2030</t>
  </si>
  <si>
    <t>E-2031</t>
  </si>
  <si>
    <t>E-2032</t>
  </si>
  <si>
    <t>E-2033</t>
  </si>
  <si>
    <t>E-2034</t>
  </si>
  <si>
    <t>E-2035</t>
  </si>
  <si>
    <t>E-2036</t>
  </si>
  <si>
    <t>E-2037</t>
  </si>
  <si>
    <t>E-2038</t>
  </si>
  <si>
    <t>E-2039</t>
  </si>
  <si>
    <t>E-2040</t>
  </si>
  <si>
    <t>E-2041</t>
  </si>
  <si>
    <t>E-2042</t>
  </si>
  <si>
    <t>E-2043</t>
  </si>
  <si>
    <t>E-2044</t>
  </si>
  <si>
    <t>E-2045</t>
  </si>
  <si>
    <t>E-2046</t>
  </si>
  <si>
    <t>E-2047</t>
  </si>
  <si>
    <t>E-2048</t>
  </si>
  <si>
    <t>E-2049</t>
  </si>
  <si>
    <t>E-2050</t>
  </si>
  <si>
    <t>E-2051</t>
  </si>
  <si>
    <t>E-2052</t>
  </si>
  <si>
    <t>E-2053</t>
  </si>
  <si>
    <t>E-2054</t>
  </si>
  <si>
    <t>E-2055</t>
  </si>
  <si>
    <t>E-2056</t>
  </si>
  <si>
    <t>E-2057</t>
  </si>
  <si>
    <t>E-2058</t>
  </si>
  <si>
    <t>E-2059</t>
  </si>
  <si>
    <t>E-2060</t>
  </si>
  <si>
    <t>E-2061</t>
  </si>
  <si>
    <t>E-2062</t>
  </si>
  <si>
    <t>E-2063</t>
  </si>
  <si>
    <t>E-2064</t>
  </si>
  <si>
    <t>E-2065</t>
  </si>
  <si>
    <t>E-2066</t>
  </si>
  <si>
    <t>E-2067</t>
  </si>
  <si>
    <t>E-2068</t>
  </si>
  <si>
    <t>E-2069</t>
  </si>
  <si>
    <t>E-2070</t>
  </si>
  <si>
    <t>E-2071</t>
  </si>
  <si>
    <t>E-2072</t>
  </si>
  <si>
    <t>E-2073</t>
  </si>
  <si>
    <t>E-2074</t>
  </si>
  <si>
    <t>E-2075</t>
  </si>
  <si>
    <t>E-2076</t>
  </si>
  <si>
    <t>E-2077</t>
  </si>
  <si>
    <t>E-2078</t>
  </si>
  <si>
    <t>E-2079</t>
  </si>
  <si>
    <t>E-2080</t>
  </si>
  <si>
    <t>E-2081</t>
  </si>
  <si>
    <t>E-2082</t>
  </si>
  <si>
    <t>E-2083</t>
  </si>
  <si>
    <t>E-2084</t>
  </si>
  <si>
    <t>E-2085</t>
  </si>
  <si>
    <t>E-2086</t>
  </si>
  <si>
    <t>E-2087</t>
  </si>
  <si>
    <t>E-2088</t>
  </si>
  <si>
    <t>E-2089</t>
  </si>
  <si>
    <t>E-2090</t>
  </si>
  <si>
    <t>E-2091</t>
  </si>
  <si>
    <t>E-2092</t>
  </si>
  <si>
    <t>E-2093</t>
  </si>
  <si>
    <t>E-2094</t>
  </si>
  <si>
    <t>E-2095</t>
  </si>
  <si>
    <t>E-2096</t>
  </si>
  <si>
    <t>E-2097</t>
  </si>
  <si>
    <t>E-2098</t>
  </si>
  <si>
    <t>E-2099</t>
  </si>
  <si>
    <t>E-2100</t>
  </si>
  <si>
    <t>E-2101</t>
  </si>
  <si>
    <t>E-2102</t>
  </si>
  <si>
    <t>E-2103</t>
  </si>
  <si>
    <t>E-2104</t>
  </si>
  <si>
    <t>E-2105</t>
  </si>
  <si>
    <t>E-2106</t>
  </si>
  <si>
    <t>E-2107</t>
  </si>
  <si>
    <t>E-2108</t>
  </si>
  <si>
    <t>E-2109</t>
  </si>
  <si>
    <t>E-2110</t>
  </si>
  <si>
    <t>E-2111</t>
  </si>
  <si>
    <t>E-2112</t>
  </si>
  <si>
    <t>E-2113</t>
  </si>
  <si>
    <t>E-2114</t>
  </si>
  <si>
    <t>E-2115</t>
  </si>
  <si>
    <t>E-2116</t>
  </si>
  <si>
    <t>E-2117</t>
  </si>
  <si>
    <t>E-2118</t>
  </si>
  <si>
    <t>E-2119</t>
  </si>
  <si>
    <t>E-2120</t>
  </si>
  <si>
    <t>E-2121</t>
  </si>
  <si>
    <t>E-2122</t>
  </si>
  <si>
    <t>E-2123</t>
  </si>
  <si>
    <t>E-2124</t>
  </si>
  <si>
    <t>E-2125</t>
  </si>
  <si>
    <t>E-2126</t>
  </si>
  <si>
    <t>E-2127</t>
  </si>
  <si>
    <t>E-2128</t>
  </si>
  <si>
    <t>E-2129</t>
  </si>
  <si>
    <t>E-2130</t>
  </si>
  <si>
    <t>E-2131</t>
  </si>
  <si>
    <t>E-2132</t>
  </si>
  <si>
    <t>E-2133</t>
  </si>
  <si>
    <t>E-2134</t>
  </si>
  <si>
    <t>E-2135</t>
  </si>
  <si>
    <t>E-2136</t>
  </si>
  <si>
    <t>E-2137</t>
  </si>
  <si>
    <t>E-2138</t>
  </si>
  <si>
    <t>E-2139</t>
  </si>
  <si>
    <t>E-2140</t>
  </si>
  <si>
    <t>E-2141</t>
  </si>
  <si>
    <t>E-2142</t>
  </si>
  <si>
    <t>E-2143</t>
  </si>
  <si>
    <t>E-2144</t>
  </si>
  <si>
    <t>E-2145</t>
  </si>
  <si>
    <t>E-2146</t>
  </si>
  <si>
    <t>E-2147</t>
  </si>
  <si>
    <t>E-2148</t>
  </si>
  <si>
    <t>E-2149</t>
  </si>
  <si>
    <t>E-2150</t>
  </si>
  <si>
    <t>E-2151</t>
  </si>
  <si>
    <t>E-2152</t>
  </si>
  <si>
    <t>E-2153</t>
  </si>
  <si>
    <t>E-2154</t>
  </si>
  <si>
    <t>E-2155</t>
  </si>
  <si>
    <t>E-2156</t>
  </si>
  <si>
    <t>E-2157</t>
  </si>
  <si>
    <t>E-2158</t>
  </si>
  <si>
    <t>E-2159</t>
  </si>
  <si>
    <t>E-2160</t>
  </si>
  <si>
    <t>E-2161</t>
  </si>
  <si>
    <t>E-2162</t>
  </si>
  <si>
    <t>E-2163</t>
  </si>
  <si>
    <t>E-2164</t>
  </si>
  <si>
    <t>E-2165</t>
  </si>
  <si>
    <t>E-2166</t>
  </si>
  <si>
    <t>E-2167</t>
  </si>
  <si>
    <t>E-2168</t>
  </si>
  <si>
    <t>E-2169</t>
  </si>
  <si>
    <t>E-2170</t>
  </si>
  <si>
    <t>E-2171</t>
  </si>
  <si>
    <t>E-2172</t>
  </si>
  <si>
    <t>E-2173</t>
  </si>
  <si>
    <t>E-2174</t>
  </si>
  <si>
    <t>E-2175</t>
  </si>
  <si>
    <t>E-2176</t>
  </si>
  <si>
    <t>E-2177</t>
  </si>
  <si>
    <t>E-2178</t>
  </si>
  <si>
    <t>E-2179</t>
  </si>
  <si>
    <t>E-2180</t>
  </si>
  <si>
    <t>E-2181</t>
  </si>
  <si>
    <t>E-2182</t>
  </si>
  <si>
    <t>E-2183</t>
  </si>
  <si>
    <t>E-2184</t>
  </si>
  <si>
    <t>E-2185</t>
  </si>
  <si>
    <t>E-2186</t>
  </si>
  <si>
    <t>E-2187</t>
  </si>
  <si>
    <t>E-2188</t>
  </si>
  <si>
    <t>E-2189</t>
  </si>
  <si>
    <t>E-2190</t>
  </si>
  <si>
    <t>E-2191</t>
  </si>
  <si>
    <t>E-2192</t>
  </si>
  <si>
    <t>E-2193</t>
  </si>
  <si>
    <t>E-2194</t>
  </si>
  <si>
    <t>E-2195</t>
  </si>
  <si>
    <t>E-2196</t>
  </si>
  <si>
    <t>E-2197</t>
  </si>
  <si>
    <t>E-2198</t>
  </si>
  <si>
    <t>E-2199</t>
  </si>
  <si>
    <t>E-2200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</si>
  <si>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</si>
  <si>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</si>
  <si>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</si>
  <si>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</si>
  <si>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</si>
  <si>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</si>
  <si>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</si>
  <si>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</si>
  <si>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</si>
  <si>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</si>
  <si>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</si>
  <si>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</si>
  <si>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</si>
  <si>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</si>
  <si>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</si>
  <si>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</si>
  <si>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</si>
  <si>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</si>
  <si>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</si>
  <si>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</si>
  <si>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</si>
  <si>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</si>
  <si>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E-2223</t>
  </si>
  <si>
    <t>E-2224</t>
  </si>
  <si>
    <t>E-2225</t>
  </si>
  <si>
    <t>E-2226</t>
  </si>
  <si>
    <t>E-2227</t>
  </si>
  <si>
    <t>E-2228</t>
  </si>
  <si>
    <t>E-2229</t>
  </si>
  <si>
    <t>E-2230</t>
  </si>
  <si>
    <t>E-2231</t>
  </si>
  <si>
    <t>E-2232</t>
  </si>
  <si>
    <t>E-2233</t>
  </si>
  <si>
    <t>E-2234</t>
  </si>
  <si>
    <t>E-2235</t>
  </si>
  <si>
    <t>E-2236</t>
  </si>
  <si>
    <t>E-2237</t>
  </si>
  <si>
    <t>E-2238</t>
  </si>
  <si>
    <t>E-2239</t>
  </si>
  <si>
    <t>E-2240</t>
  </si>
  <si>
    <t>E-2241</t>
  </si>
  <si>
    <t>E-2242</t>
  </si>
  <si>
    <t>E-2243</t>
  </si>
  <si>
    <t>E-2244</t>
  </si>
  <si>
    <t>E-2245</t>
  </si>
  <si>
    <t>E-2246</t>
  </si>
  <si>
    <t>E-2247</t>
  </si>
  <si>
    <t>E-2248</t>
  </si>
  <si>
    <t>E-2249</t>
  </si>
  <si>
    <t>E-2250</t>
  </si>
  <si>
    <t>E-2251</t>
  </si>
  <si>
    <t>E-2252</t>
  </si>
  <si>
    <t>E-2253</t>
  </si>
  <si>
    <t>E-2254</t>
  </si>
  <si>
    <t>E-2255</t>
  </si>
  <si>
    <t>E-2256</t>
  </si>
  <si>
    <t>E-2257</t>
  </si>
  <si>
    <t>E-2258</t>
  </si>
  <si>
    <t>E-2259</t>
  </si>
  <si>
    <t>E-2260</t>
  </si>
  <si>
    <t>E-2261</t>
  </si>
  <si>
    <t>E-2262</t>
  </si>
  <si>
    <t>E-2263</t>
  </si>
  <si>
    <t>E-2264</t>
  </si>
  <si>
    <t>E-2265</t>
  </si>
  <si>
    <t>E-2266</t>
  </si>
  <si>
    <t>E-2267</t>
  </si>
  <si>
    <t>E-2268</t>
  </si>
  <si>
    <t>E-2269</t>
  </si>
  <si>
    <t>E-2270</t>
  </si>
  <si>
    <t>E-2271</t>
  </si>
  <si>
    <t>E-2272</t>
  </si>
  <si>
    <t>E-2273</t>
  </si>
  <si>
    <t>E-2274</t>
  </si>
  <si>
    <t>E-2275</t>
  </si>
  <si>
    <t>E-2276</t>
  </si>
  <si>
    <t>E-2277</t>
  </si>
  <si>
    <t>E-2278</t>
  </si>
  <si>
    <t>E-2279</t>
  </si>
  <si>
    <t>E-2280</t>
  </si>
  <si>
    <t>E-2281</t>
  </si>
  <si>
    <t>E-2282</t>
  </si>
  <si>
    <t>E-2283</t>
  </si>
  <si>
    <t>E-2284</t>
  </si>
  <si>
    <t>E-2285</t>
  </si>
  <si>
    <t>E-2286</t>
  </si>
  <si>
    <t>E-2287</t>
  </si>
  <si>
    <t>E-2288</t>
  </si>
  <si>
    <t>E-2289</t>
  </si>
  <si>
    <t>E-2290</t>
  </si>
  <si>
    <t>E-2291</t>
  </si>
  <si>
    <t>E-2292</t>
  </si>
  <si>
    <t>E-2293</t>
  </si>
  <si>
    <t>E-2294</t>
  </si>
  <si>
    <t>E-2295</t>
  </si>
  <si>
    <t>E-2296</t>
  </si>
  <si>
    <t>E-2297</t>
  </si>
  <si>
    <t>E-2298</t>
  </si>
  <si>
    <t>E-2299</t>
  </si>
  <si>
    <t>E-2300</t>
  </si>
  <si>
    <t>E-2301</t>
  </si>
  <si>
    <t>E-2302</t>
  </si>
  <si>
    <t>E-2303</t>
  </si>
  <si>
    <t>E-2304</t>
  </si>
  <si>
    <t>E-2305</t>
  </si>
  <si>
    <t>E-2306</t>
  </si>
  <si>
    <t>E-2307</t>
  </si>
  <si>
    <t>E-2308</t>
  </si>
  <si>
    <t>E-2309</t>
  </si>
  <si>
    <t>E-2310</t>
  </si>
  <si>
    <t>E-2311</t>
  </si>
  <si>
    <t>E-2312</t>
  </si>
  <si>
    <t>E-2313</t>
  </si>
  <si>
    <t>E-2314</t>
  </si>
  <si>
    <t>E-2315</t>
  </si>
  <si>
    <t>E-2316</t>
  </si>
  <si>
    <t>E-2317</t>
  </si>
  <si>
    <t>E-2318</t>
  </si>
  <si>
    <t>E-2319</t>
  </si>
  <si>
    <t>E-2320</t>
  </si>
  <si>
    <t>E-2321</t>
  </si>
  <si>
    <t>E-2322</t>
  </si>
  <si>
    <t>E-2323</t>
  </si>
  <si>
    <t>E-2324</t>
  </si>
  <si>
    <t>E-2325</t>
  </si>
  <si>
    <t>E-2326</t>
  </si>
  <si>
    <t>E-2327</t>
  </si>
  <si>
    <t>E-2328</t>
  </si>
  <si>
    <t>E-2329</t>
  </si>
  <si>
    <t>E-2330</t>
  </si>
  <si>
    <t>E-2331</t>
  </si>
  <si>
    <t>E-2332</t>
  </si>
  <si>
    <t>E-2333</t>
  </si>
  <si>
    <t>E-2334</t>
  </si>
  <si>
    <t>E-2335</t>
  </si>
  <si>
    <t>E-2336</t>
  </si>
  <si>
    <t>E-2337</t>
  </si>
  <si>
    <t>E-2338</t>
  </si>
  <si>
    <t>E-2339</t>
  </si>
  <si>
    <t>E-2340</t>
  </si>
  <si>
    <t>E-2341</t>
  </si>
  <si>
    <t>E-2342</t>
  </si>
  <si>
    <t>E-2343</t>
  </si>
  <si>
    <t>E-2344</t>
  </si>
  <si>
    <t>E-2345</t>
  </si>
  <si>
    <t>E-2346</t>
  </si>
  <si>
    <t>E-2347</t>
  </si>
  <si>
    <t>E-2348</t>
  </si>
  <si>
    <t>E-2349</t>
  </si>
  <si>
    <t>E-2350</t>
  </si>
  <si>
    <t>E-2351</t>
  </si>
  <si>
    <t>E-2352</t>
  </si>
  <si>
    <t>E-2353</t>
  </si>
  <si>
    <t>E-2354</t>
  </si>
  <si>
    <t>E-2355</t>
  </si>
  <si>
    <t>E-2356</t>
  </si>
  <si>
    <t>E-2357</t>
  </si>
  <si>
    <t>E-2358</t>
  </si>
  <si>
    <t>E-2359</t>
  </si>
  <si>
    <t>E-2360</t>
  </si>
  <si>
    <t>E-2361</t>
  </si>
  <si>
    <t>E-2362</t>
  </si>
  <si>
    <t>E-2363</t>
  </si>
  <si>
    <t>E-2364</t>
  </si>
  <si>
    <t>E-2365</t>
  </si>
  <si>
    <t>E-2366</t>
  </si>
  <si>
    <t>E-2367</t>
  </si>
  <si>
    <t>E-2368</t>
  </si>
  <si>
    <t>E-2369</t>
  </si>
  <si>
    <t>E-2370</t>
  </si>
  <si>
    <t>E-2371</t>
  </si>
  <si>
    <t>E-2372</t>
  </si>
  <si>
    <t>E-2373</t>
  </si>
  <si>
    <t>E-2374</t>
  </si>
  <si>
    <t>E-2375</t>
  </si>
  <si>
    <t>E-2376</t>
  </si>
  <si>
    <t>E-2377</t>
  </si>
  <si>
    <t>E-2378</t>
  </si>
  <si>
    <t>E-2379</t>
  </si>
  <si>
    <t>E-2380</t>
  </si>
  <si>
    <t>E-2381</t>
  </si>
  <si>
    <t>E-2382</t>
  </si>
  <si>
    <t>E-2383</t>
  </si>
  <si>
    <t>E-2384</t>
  </si>
  <si>
    <t>E-2385</t>
  </si>
  <si>
    <t>E-2386</t>
  </si>
  <si>
    <t>E-2387</t>
  </si>
  <si>
    <t>E-2388</t>
  </si>
  <si>
    <t>E-2389</t>
  </si>
  <si>
    <t>E-2390</t>
  </si>
  <si>
    <t>E-2391</t>
  </si>
  <si>
    <t>E-2392</t>
  </si>
  <si>
    <t>E-2393</t>
  </si>
  <si>
    <t>E-2394</t>
  </si>
  <si>
    <t>E-2395</t>
  </si>
  <si>
    <t>E-2396</t>
  </si>
  <si>
    <t>E-2397</t>
  </si>
  <si>
    <t>E-2398</t>
  </si>
  <si>
    <t>E-2399</t>
  </si>
  <si>
    <t>E-2400</t>
  </si>
  <si>
    <t>E-2401</t>
  </si>
  <si>
    <t>E-2402</t>
  </si>
  <si>
    <t>E-2403</t>
  </si>
  <si>
    <t>E-2404</t>
  </si>
  <si>
    <t>E-2405</t>
  </si>
  <si>
    <t>E-2406</t>
  </si>
  <si>
    <t>E-2407</t>
  </si>
  <si>
    <t>E-2408</t>
  </si>
  <si>
    <t>E-2409</t>
  </si>
  <si>
    <t>E-2410</t>
  </si>
  <si>
    <t>E-2411</t>
  </si>
  <si>
    <t>E-2412</t>
  </si>
  <si>
    <t>E-2413</t>
  </si>
  <si>
    <t>E-2414</t>
  </si>
  <si>
    <t>E-2415</t>
  </si>
  <si>
    <t>E-2416</t>
  </si>
  <si>
    <t>E-2417</t>
  </si>
  <si>
    <t>E-2418</t>
  </si>
  <si>
    <t>E-2419</t>
  </si>
  <si>
    <t>E-2420</t>
  </si>
  <si>
    <t>E-2421</t>
  </si>
  <si>
    <t>E-2422</t>
  </si>
  <si>
    <t>E-2423</t>
  </si>
  <si>
    <t>E-2424</t>
  </si>
  <si>
    <t>E-2425</t>
  </si>
  <si>
    <t>E-2426</t>
  </si>
  <si>
    <t>E-2427</t>
  </si>
  <si>
    <t>E-2428</t>
  </si>
  <si>
    <t>E-2429</t>
  </si>
  <si>
    <t>E-2430</t>
  </si>
  <si>
    <t>E-2431</t>
  </si>
  <si>
    <t>E-2432</t>
  </si>
  <si>
    <t>E-2433</t>
  </si>
  <si>
    <t>E-2434</t>
  </si>
  <si>
    <t>E-2435</t>
  </si>
  <si>
    <t>E-2436</t>
  </si>
  <si>
    <t>E-2437</t>
  </si>
  <si>
    <t>E-2438</t>
  </si>
  <si>
    <t>E-2439</t>
  </si>
  <si>
    <t>E-2440</t>
  </si>
  <si>
    <t>E-2441</t>
  </si>
  <si>
    <t>E-2442</t>
  </si>
  <si>
    <t>E-2443</t>
  </si>
  <si>
    <t>E-2444</t>
  </si>
  <si>
    <t>E-2445</t>
  </si>
  <si>
    <t>E-2446</t>
  </si>
  <si>
    <t>E-2447</t>
  </si>
  <si>
    <t>E-2448</t>
  </si>
  <si>
    <t>E-2449</t>
  </si>
  <si>
    <t>E-2450</t>
  </si>
  <si>
    <t>E-2451</t>
  </si>
  <si>
    <t>E-2452</t>
  </si>
  <si>
    <t>E-2453</t>
  </si>
  <si>
    <t>E-2454</t>
  </si>
  <si>
    <t>E-2455</t>
  </si>
  <si>
    <t>E-2456</t>
  </si>
  <si>
    <t>E-2457</t>
  </si>
  <si>
    <t>E-2458</t>
  </si>
  <si>
    <t>E-2459</t>
  </si>
  <si>
    <t>E-2460</t>
  </si>
  <si>
    <t>E-2461</t>
  </si>
  <si>
    <t>E-2462</t>
  </si>
  <si>
    <t>E-2463</t>
  </si>
  <si>
    <t>E-2464</t>
  </si>
  <si>
    <t>E-2465</t>
  </si>
  <si>
    <t>E-2466</t>
  </si>
  <si>
    <t>E-2467</t>
  </si>
  <si>
    <t>E-2468</t>
  </si>
  <si>
    <t>E-2469</t>
  </si>
  <si>
    <t>E-2470</t>
  </si>
  <si>
    <t>E-2471</t>
  </si>
  <si>
    <t>E-2472</t>
  </si>
  <si>
    <t>E-2473</t>
  </si>
  <si>
    <t>E-2474</t>
  </si>
  <si>
    <t>E-2475</t>
  </si>
  <si>
    <t>E-2476</t>
  </si>
  <si>
    <t>E-2477</t>
  </si>
  <si>
    <t>E-2478</t>
  </si>
  <si>
    <t>E-2479</t>
  </si>
  <si>
    <t>E-2480</t>
  </si>
  <si>
    <t>E-2481</t>
  </si>
  <si>
    <t>E-2482</t>
  </si>
  <si>
    <t>E-2483</t>
  </si>
  <si>
    <t>E-2484</t>
  </si>
  <si>
    <t>E-2485</t>
  </si>
  <si>
    <t>E-2486</t>
  </si>
  <si>
    <t>E-2487</t>
  </si>
  <si>
    <t>E-2488</t>
  </si>
  <si>
    <t>E-2489</t>
  </si>
  <si>
    <t>E-2490</t>
  </si>
  <si>
    <t>E-2491</t>
  </si>
  <si>
    <t>E-2492</t>
  </si>
  <si>
    <t>E-2493</t>
  </si>
  <si>
    <t>E-2494</t>
  </si>
  <si>
    <t>E-2495</t>
  </si>
  <si>
    <t>E-2496</t>
  </si>
  <si>
    <t>E-2497</t>
  </si>
  <si>
    <t>E-2498</t>
  </si>
  <si>
    <t>E-2499</t>
  </si>
  <si>
    <t>E-2500</t>
  </si>
  <si>
    <t>E-2501</t>
  </si>
  <si>
    <t>E-2502</t>
  </si>
  <si>
    <t>E-2503</t>
  </si>
  <si>
    <t>E-2504</t>
  </si>
  <si>
    <t>E-2505</t>
  </si>
  <si>
    <t>E-2506</t>
  </si>
  <si>
    <t>E-2507</t>
  </si>
  <si>
    <t>E-2508</t>
  </si>
  <si>
    <t>E-2509</t>
  </si>
  <si>
    <t>E-2510</t>
  </si>
  <si>
    <t>E-2511</t>
  </si>
  <si>
    <t>E-2512</t>
  </si>
  <si>
    <t>E-2513</t>
  </si>
  <si>
    <t>E-2514</t>
  </si>
  <si>
    <t>E-2515</t>
  </si>
  <si>
    <t>E-2516</t>
  </si>
  <si>
    <t>E-2517</t>
  </si>
  <si>
    <t>E-2518</t>
  </si>
  <si>
    <t>E-2519</t>
  </si>
  <si>
    <t>E-2520</t>
  </si>
  <si>
    <t>E-2521</t>
  </si>
  <si>
    <t>E-2522</t>
  </si>
  <si>
    <t>E-2523</t>
  </si>
  <si>
    <t>E-2524</t>
  </si>
  <si>
    <t>E-2525</t>
  </si>
  <si>
    <t>E-2526</t>
  </si>
  <si>
    <t>E-2527</t>
  </si>
  <si>
    <t>E-2528</t>
  </si>
  <si>
    <t>E-2529</t>
  </si>
  <si>
    <t>E-2530</t>
  </si>
  <si>
    <t>E-2531</t>
  </si>
  <si>
    <t>E-2532</t>
  </si>
  <si>
    <t>E-2533</t>
  </si>
  <si>
    <t>E-2534</t>
  </si>
  <si>
    <t>E-2535</t>
  </si>
  <si>
    <t>E-2536</t>
  </si>
  <si>
    <t>E-2537</t>
  </si>
  <si>
    <t>E-2538</t>
  </si>
  <si>
    <t>E-2539</t>
  </si>
  <si>
    <t>E-2540</t>
  </si>
  <si>
    <t>E-2541</t>
  </si>
  <si>
    <t>E-2542</t>
  </si>
  <si>
    <t>E-2543</t>
  </si>
  <si>
    <t>E-2544</t>
  </si>
  <si>
    <t>E-2545</t>
  </si>
  <si>
    <t>E-2546</t>
  </si>
  <si>
    <t>E-2547</t>
  </si>
  <si>
    <t>E-2548</t>
  </si>
  <si>
    <t>E-2549</t>
  </si>
  <si>
    <t>E-2550</t>
  </si>
  <si>
    <t>E-2551</t>
  </si>
  <si>
    <t>E-2552</t>
  </si>
  <si>
    <t>E-2553</t>
  </si>
  <si>
    <t>E-2554</t>
  </si>
  <si>
    <t>E-2555</t>
  </si>
  <si>
    <t>E-2556</t>
  </si>
  <si>
    <t>E-2557</t>
  </si>
  <si>
    <t>E-2558</t>
  </si>
  <si>
    <t>E-2559</t>
  </si>
  <si>
    <t>E-2560</t>
  </si>
  <si>
    <t>E-2561</t>
  </si>
  <si>
    <t>E-2562</t>
  </si>
  <si>
    <t>E-2563</t>
  </si>
  <si>
    <t>E-2564</t>
  </si>
  <si>
    <t>E-2565</t>
  </si>
  <si>
    <t>E-2566</t>
  </si>
  <si>
    <t>E-2567</t>
  </si>
  <si>
    <t>E-2568</t>
  </si>
  <si>
    <t>E-2569</t>
  </si>
  <si>
    <t>E-2570</t>
  </si>
  <si>
    <t>E-2571</t>
  </si>
  <si>
    <t>E-2572</t>
  </si>
  <si>
    <t>E-2573</t>
  </si>
  <si>
    <t>E-2574</t>
  </si>
  <si>
    <t>E-2575</t>
  </si>
  <si>
    <t>E-2576</t>
  </si>
  <si>
    <t>E-2577</t>
  </si>
  <si>
    <t>E-2578</t>
  </si>
  <si>
    <t>E-2579</t>
  </si>
  <si>
    <t>E-2580</t>
  </si>
  <si>
    <t>E-2581</t>
  </si>
  <si>
    <t>E-2582</t>
  </si>
  <si>
    <t>E-2583</t>
  </si>
  <si>
    <t>E-2584</t>
  </si>
  <si>
    <t>E-2585</t>
  </si>
  <si>
    <t>E-2586</t>
  </si>
  <si>
    <t>E-2587</t>
  </si>
  <si>
    <t>E-2588</t>
  </si>
  <si>
    <t>E-2589</t>
  </si>
  <si>
    <t>E-2590</t>
  </si>
  <si>
    <t>E-2591</t>
  </si>
  <si>
    <t>E-2592</t>
  </si>
  <si>
    <t>E-2593</t>
  </si>
  <si>
    <t>E-2594</t>
  </si>
  <si>
    <t>E-2595</t>
  </si>
  <si>
    <t>E-2596</t>
  </si>
  <si>
    <t>E-2597</t>
  </si>
  <si>
    <t>E-2598</t>
  </si>
  <si>
    <t>E-2599</t>
  </si>
  <si>
    <t>E-2600</t>
  </si>
  <si>
    <t>E-2601</t>
  </si>
  <si>
    <t>E-2602</t>
  </si>
  <si>
    <t>E-2603</t>
  </si>
  <si>
    <t>E-2604</t>
  </si>
  <si>
    <t>E-2605</t>
  </si>
  <si>
    <t>E-2606</t>
  </si>
  <si>
    <t>E-2607</t>
  </si>
  <si>
    <t>E-2608</t>
  </si>
  <si>
    <t>E-2609</t>
  </si>
  <si>
    <t>E-2610</t>
  </si>
  <si>
    <t>E-2611</t>
  </si>
  <si>
    <t>E-2612</t>
  </si>
  <si>
    <t>E-2613</t>
  </si>
  <si>
    <t>E-2614</t>
  </si>
  <si>
    <t>E-2615</t>
  </si>
  <si>
    <t>E-2616</t>
  </si>
  <si>
    <t>E-2617</t>
  </si>
  <si>
    <t>E-2618</t>
  </si>
  <si>
    <t>E-2619</t>
  </si>
  <si>
    <t>E-2620</t>
  </si>
  <si>
    <t>E-2621</t>
  </si>
  <si>
    <t>E-2622</t>
  </si>
  <si>
    <t>E-2623</t>
  </si>
  <si>
    <t>E-2624</t>
  </si>
  <si>
    <t>E-2625</t>
  </si>
  <si>
    <t>E-2626</t>
  </si>
  <si>
    <t>E-2627</t>
  </si>
  <si>
    <t>E-2628</t>
  </si>
  <si>
    <t>E-2629</t>
  </si>
  <si>
    <t>E-2630</t>
  </si>
  <si>
    <t>E-2631</t>
  </si>
  <si>
    <t>E-2632</t>
  </si>
  <si>
    <t>E-2633</t>
  </si>
  <si>
    <t>E-2634</t>
  </si>
  <si>
    <t>E-2635</t>
  </si>
  <si>
    <t>E-2636</t>
  </si>
  <si>
    <t>E-2637</t>
  </si>
  <si>
    <t>E-2638</t>
  </si>
  <si>
    <t>E-2639</t>
  </si>
  <si>
    <t>E-2640</t>
  </si>
  <si>
    <t>E-2641</t>
  </si>
  <si>
    <t>E-2642</t>
  </si>
  <si>
    <t>E-2643</t>
  </si>
  <si>
    <t>E-2644</t>
  </si>
  <si>
    <t>E-2645</t>
  </si>
  <si>
    <t>E-2646</t>
  </si>
  <si>
    <t>E-2647</t>
  </si>
  <si>
    <t>E-2648</t>
  </si>
  <si>
    <t>E-2649</t>
  </si>
  <si>
    <t>E-2650</t>
  </si>
  <si>
    <t>E-2651</t>
  </si>
  <si>
    <t>E-2652</t>
  </si>
  <si>
    <t>E-2653</t>
  </si>
  <si>
    <t>E-2654</t>
  </si>
  <si>
    <t>E-2655</t>
  </si>
  <si>
    <t>E-2656</t>
  </si>
  <si>
    <t>E-2657</t>
  </si>
  <si>
    <t>E-2658</t>
  </si>
  <si>
    <t>E-2659</t>
  </si>
  <si>
    <t>E-2660</t>
  </si>
  <si>
    <t>E-2661</t>
  </si>
  <si>
    <t>E-2662</t>
  </si>
  <si>
    <t>E-2663</t>
  </si>
  <si>
    <t>E-2664</t>
  </si>
  <si>
    <t>E-2665</t>
  </si>
  <si>
    <t>E-2666</t>
  </si>
  <si>
    <t>E-2667</t>
  </si>
  <si>
    <t>E-2668</t>
  </si>
  <si>
    <t>E-2669</t>
  </si>
  <si>
    <t>E-2670</t>
  </si>
  <si>
    <t>E-2671</t>
  </si>
  <si>
    <t>E-2672</t>
  </si>
  <si>
    <t>E-2673</t>
  </si>
  <si>
    <t>E-2674</t>
  </si>
  <si>
    <t>E-2675</t>
  </si>
  <si>
    <t>E-2676</t>
  </si>
  <si>
    <t>E-2677</t>
  </si>
  <si>
    <t>E-2678</t>
  </si>
  <si>
    <t>E-2679</t>
  </si>
  <si>
    <t>E-2680</t>
  </si>
  <si>
    <t>E-2681</t>
  </si>
  <si>
    <t>E-2682</t>
  </si>
  <si>
    <t>E-2683</t>
  </si>
  <si>
    <t>E-2684</t>
  </si>
  <si>
    <t>E-2685</t>
  </si>
  <si>
    <t>E-2686</t>
  </si>
  <si>
    <t>E-2687</t>
  </si>
  <si>
    <t>E-2688</t>
  </si>
  <si>
    <t>E-2689</t>
  </si>
  <si>
    <t>E-2690</t>
  </si>
  <si>
    <t>E-2691</t>
  </si>
  <si>
    <t>E-2692</t>
  </si>
  <si>
    <t>E-2693</t>
  </si>
  <si>
    <t>E-2694</t>
  </si>
  <si>
    <t>E-2695</t>
  </si>
  <si>
    <t>E-2696</t>
  </si>
  <si>
    <t>E-2697</t>
  </si>
  <si>
    <t>E-2698</t>
  </si>
  <si>
    <t>E-2699</t>
  </si>
  <si>
    <t>E-2700</t>
  </si>
  <si>
    <t>E-2701</t>
  </si>
  <si>
    <t>E-2702</t>
  </si>
  <si>
    <t>E-2703</t>
  </si>
  <si>
    <t>E-2704</t>
  </si>
  <si>
    <t>E-2705</t>
  </si>
  <si>
    <t>E-2706</t>
  </si>
  <si>
    <t>E-2707</t>
  </si>
  <si>
    <t>E-2708</t>
  </si>
  <si>
    <t>E-2709</t>
  </si>
  <si>
    <t>E-2710</t>
  </si>
  <si>
    <t>E-2711</t>
  </si>
  <si>
    <t>E-2712</t>
  </si>
  <si>
    <t>E-2713</t>
  </si>
  <si>
    <t>E-2714</t>
  </si>
  <si>
    <t>E-2715</t>
  </si>
  <si>
    <t>E-2716</t>
  </si>
  <si>
    <t>E-2717</t>
  </si>
  <si>
    <t>E-2718</t>
  </si>
  <si>
    <t>E-2719</t>
  </si>
  <si>
    <t>E-2720</t>
  </si>
  <si>
    <t>E-2721</t>
  </si>
  <si>
    <t>E-2722</t>
  </si>
  <si>
    <t>E-2723</t>
  </si>
  <si>
    <t>E-2724</t>
  </si>
  <si>
    <t>E-2725</t>
  </si>
  <si>
    <t>E-2726</t>
  </si>
  <si>
    <t>E-2727</t>
  </si>
  <si>
    <t>E-2728</t>
  </si>
  <si>
    <t>E-2729</t>
  </si>
  <si>
    <t>E-2730</t>
  </si>
  <si>
    <t>E-2731</t>
  </si>
  <si>
    <t>E-2732</t>
  </si>
  <si>
    <t>E-2733</t>
  </si>
  <si>
    <t>E-2734</t>
  </si>
  <si>
    <t>E-2735</t>
  </si>
  <si>
    <t>E-2736</t>
  </si>
  <si>
    <t>E-2737</t>
  </si>
  <si>
    <t>E-2738</t>
  </si>
  <si>
    <t>E-2739</t>
  </si>
  <si>
    <t>E-2740</t>
  </si>
  <si>
    <t>E-2741</t>
  </si>
  <si>
    <t>E-2742</t>
  </si>
  <si>
    <t>E-2743</t>
  </si>
  <si>
    <t>E-2744</t>
  </si>
  <si>
    <t>E-2745</t>
  </si>
  <si>
    <t>E-2746</t>
  </si>
  <si>
    <t>E-2747</t>
  </si>
  <si>
    <t>E-2748</t>
  </si>
  <si>
    <t>E-2749</t>
  </si>
  <si>
    <t>E-2750</t>
  </si>
  <si>
    <t>E-2751</t>
  </si>
  <si>
    <t>E-2752</t>
  </si>
  <si>
    <t>E-2753</t>
  </si>
  <si>
    <t>E-2754</t>
  </si>
  <si>
    <t>E-2755</t>
  </si>
  <si>
    <t>E-2756</t>
  </si>
  <si>
    <t>E-2757</t>
  </si>
  <si>
    <t>E-2758</t>
  </si>
  <si>
    <t>E-2759</t>
  </si>
  <si>
    <t>E-2760</t>
  </si>
  <si>
    <t>E-2761</t>
  </si>
  <si>
    <t>E-2762</t>
  </si>
  <si>
    <t>E-2763</t>
  </si>
  <si>
    <t>E-2764</t>
  </si>
  <si>
    <t>E-2765</t>
  </si>
  <si>
    <t>E-2766</t>
  </si>
  <si>
    <t>E-2767</t>
  </si>
  <si>
    <t>E-2768</t>
  </si>
  <si>
    <t>E-2769</t>
  </si>
  <si>
    <t>E-2770</t>
  </si>
  <si>
    <t>E-2771</t>
  </si>
  <si>
    <t>E-2772</t>
  </si>
  <si>
    <t>E-2773</t>
  </si>
  <si>
    <t>E-2774</t>
  </si>
  <si>
    <t>E-2775</t>
  </si>
  <si>
    <t>E-2776</t>
  </si>
  <si>
    <t>E-2777</t>
  </si>
  <si>
    <t>E-2778</t>
  </si>
  <si>
    <t>E-2779</t>
  </si>
  <si>
    <t>E-2780</t>
  </si>
  <si>
    <t>E-2781</t>
  </si>
  <si>
    <t>E-2782</t>
  </si>
  <si>
    <t>E-2783</t>
  </si>
  <si>
    <t>E-2784</t>
  </si>
  <si>
    <t>E-2785</t>
  </si>
  <si>
    <t>E-2786</t>
  </si>
  <si>
    <t>E-2787</t>
  </si>
  <si>
    <t>E-2788</t>
  </si>
  <si>
    <t>E-2789</t>
  </si>
  <si>
    <t>E-2790</t>
  </si>
  <si>
    <t>E-2791</t>
  </si>
  <si>
    <t>E-2792</t>
  </si>
  <si>
    <t>E-2793</t>
  </si>
  <si>
    <t>E-2794</t>
  </si>
  <si>
    <t>E-2795</t>
  </si>
  <si>
    <t>E-2796</t>
  </si>
  <si>
    <t>E-2797</t>
  </si>
  <si>
    <t>E-2798</t>
  </si>
  <si>
    <t>E-2799</t>
  </si>
  <si>
    <t>E-2800</t>
  </si>
  <si>
    <t>E-2801</t>
  </si>
  <si>
    <t>E-2802</t>
  </si>
  <si>
    <t>E-2803</t>
  </si>
  <si>
    <t>E-2804</t>
  </si>
  <si>
    <t>E-2805</t>
  </si>
  <si>
    <t>E-2806</t>
  </si>
  <si>
    <t>E-2807</t>
  </si>
  <si>
    <t>E-2808</t>
  </si>
  <si>
    <t>E-2809</t>
  </si>
  <si>
    <t>E-2810</t>
  </si>
  <si>
    <t>E-2811</t>
  </si>
  <si>
    <t>E-2812</t>
  </si>
  <si>
    <t>E-2813</t>
  </si>
  <si>
    <t>E-2814</t>
  </si>
  <si>
    <t>E-2815</t>
  </si>
  <si>
    <t>E-2816</t>
  </si>
  <si>
    <t>E-2817</t>
  </si>
  <si>
    <t>E-2818</t>
  </si>
  <si>
    <t>E-2819</t>
  </si>
  <si>
    <t>E-2820</t>
  </si>
  <si>
    <t>E-2821</t>
  </si>
  <si>
    <t>E-2822</t>
  </si>
  <si>
    <t>E-2823</t>
  </si>
  <si>
    <t>E-2824</t>
  </si>
  <si>
    <t>E-2825</t>
  </si>
  <si>
    <t>E-2826</t>
  </si>
  <si>
    <t>E-2827</t>
  </si>
  <si>
    <t>E-2828</t>
  </si>
  <si>
    <t>E-2829</t>
  </si>
  <si>
    <t>E-2830</t>
  </si>
  <si>
    <t>E-2831</t>
  </si>
  <si>
    <t>E-2832</t>
  </si>
  <si>
    <t>E-2833</t>
  </si>
  <si>
    <t>E-2834</t>
  </si>
  <si>
    <t>E-2835</t>
  </si>
  <si>
    <t>E-2836</t>
  </si>
  <si>
    <t>E-2837</t>
  </si>
  <si>
    <t>E-2838</t>
  </si>
  <si>
    <t>E-2839</t>
  </si>
  <si>
    <t>E-2840</t>
  </si>
  <si>
    <t>E-2841</t>
  </si>
  <si>
    <t>E-2842</t>
  </si>
  <si>
    <t>E-2843</t>
  </si>
  <si>
    <t>E-2844</t>
  </si>
  <si>
    <t>E-2845</t>
  </si>
  <si>
    <t>E-2846</t>
  </si>
  <si>
    <t>E-2847</t>
  </si>
  <si>
    <t>E-2848</t>
  </si>
  <si>
    <t>E-2849</t>
  </si>
  <si>
    <t>E-2850</t>
  </si>
  <si>
    <t>E-2851</t>
  </si>
  <si>
    <t>E-2852</t>
  </si>
  <si>
    <t>E-2853</t>
  </si>
  <si>
    <t>E-2854</t>
  </si>
  <si>
    <t>E-2855</t>
  </si>
  <si>
    <t>E-2856</t>
  </si>
  <si>
    <t>E-2857</t>
  </si>
  <si>
    <t>E-2858</t>
  </si>
  <si>
    <t>E-2859</t>
  </si>
  <si>
    <t>E-2860</t>
  </si>
  <si>
    <t>E-2861</t>
  </si>
  <si>
    <t>E-2862</t>
  </si>
  <si>
    <t>E-2863</t>
  </si>
  <si>
    <t>E-2864</t>
  </si>
  <si>
    <t>E-2865</t>
  </si>
  <si>
    <t>E-2866</t>
  </si>
  <si>
    <t>E-2867</t>
  </si>
  <si>
    <t>E-2868</t>
  </si>
  <si>
    <t>E-2869</t>
  </si>
  <si>
    <t>E-2870</t>
  </si>
  <si>
    <t>E-2871</t>
  </si>
  <si>
    <t>E-2872</t>
  </si>
  <si>
    <t>E-2873</t>
  </si>
  <si>
    <t>E-2874</t>
  </si>
  <si>
    <t>E-2875</t>
  </si>
  <si>
    <t>E-2876</t>
  </si>
  <si>
    <t>E-2877</t>
  </si>
  <si>
    <t>E-2878</t>
  </si>
  <si>
    <t>E-2879</t>
  </si>
  <si>
    <t>E-2880</t>
  </si>
  <si>
    <t>E-2881</t>
  </si>
  <si>
    <t>E-2882</t>
  </si>
  <si>
    <t>E-2883</t>
  </si>
  <si>
    <t>E-2884</t>
  </si>
  <si>
    <t>E-2885</t>
  </si>
  <si>
    <t>E-2886</t>
  </si>
  <si>
    <t>E-2887</t>
  </si>
  <si>
    <t>E-2888</t>
  </si>
  <si>
    <t>E-2889</t>
  </si>
  <si>
    <t>E-2890</t>
  </si>
  <si>
    <t>E-2891</t>
  </si>
  <si>
    <t>E-2892</t>
  </si>
  <si>
    <t>E-2893</t>
  </si>
  <si>
    <t>E-2894</t>
  </si>
  <si>
    <t>E-2895</t>
  </si>
  <si>
    <t>E-2896</t>
  </si>
  <si>
    <t>E-2897</t>
  </si>
  <si>
    <t>E-2898</t>
  </si>
  <si>
    <t>E-2899</t>
  </si>
  <si>
    <t>E-2900</t>
  </si>
  <si>
    <t>E-2901</t>
  </si>
  <si>
    <t>E-2902</t>
  </si>
  <si>
    <t>E-2903</t>
  </si>
  <si>
    <t>E-2904</t>
  </si>
  <si>
    <t>E-2905</t>
  </si>
  <si>
    <t>E-2906</t>
  </si>
  <si>
    <t>E-2907</t>
  </si>
  <si>
    <t>E-2908</t>
  </si>
  <si>
    <t>E-2909</t>
  </si>
  <si>
    <t>E-2910</t>
  </si>
  <si>
    <t>E-2911</t>
  </si>
  <si>
    <t>E-2912</t>
  </si>
  <si>
    <t>E-2913</t>
  </si>
  <si>
    <t>E-2914</t>
  </si>
  <si>
    <t>E-2915</t>
  </si>
  <si>
    <t>E-2916</t>
  </si>
  <si>
    <t>E-2917</t>
  </si>
  <si>
    <t>E-2918</t>
  </si>
  <si>
    <t>E-2919</t>
  </si>
  <si>
    <t>E-2920</t>
  </si>
  <si>
    <t>E-2921</t>
  </si>
  <si>
    <t>E-2922</t>
  </si>
  <si>
    <t>E-2923</t>
  </si>
  <si>
    <t>E-2924</t>
  </si>
  <si>
    <t>E-2925</t>
  </si>
  <si>
    <t>E-2926</t>
  </si>
  <si>
    <t>E-2927</t>
  </si>
  <si>
    <t>E-2928</t>
  </si>
  <si>
    <t>E-2929</t>
  </si>
  <si>
    <t>E-2930</t>
  </si>
  <si>
    <t>E-2931</t>
  </si>
  <si>
    <t>E-2932</t>
  </si>
  <si>
    <t>E-2933</t>
  </si>
  <si>
    <t>E-2934</t>
  </si>
  <si>
    <t>E-2935</t>
  </si>
  <si>
    <t>E-2936</t>
  </si>
  <si>
    <t>E-2937</t>
  </si>
  <si>
    <t>E-2938</t>
  </si>
  <si>
    <t>E-2939</t>
  </si>
  <si>
    <t>E-2940</t>
  </si>
  <si>
    <t>E-2941</t>
  </si>
  <si>
    <t>E-2942</t>
  </si>
  <si>
    <t>E-2943</t>
  </si>
  <si>
    <t>E-2944</t>
  </si>
  <si>
    <t>E-2945</t>
  </si>
  <si>
    <t>E-2946</t>
  </si>
  <si>
    <t>E-2947</t>
  </si>
  <si>
    <t>E-2948</t>
  </si>
  <si>
    <t>E-2949</t>
  </si>
  <si>
    <t>E-2950</t>
  </si>
  <si>
    <t>E-2951</t>
  </si>
  <si>
    <t>E-2952</t>
  </si>
  <si>
    <t>E-2953</t>
  </si>
  <si>
    <t>E-2954</t>
  </si>
  <si>
    <t>E-2955</t>
  </si>
  <si>
    <t>E-2956</t>
  </si>
  <si>
    <t>E-2957</t>
  </si>
  <si>
    <t>E-2958</t>
  </si>
  <si>
    <t>E-2959</t>
  </si>
  <si>
    <t>E-2960</t>
  </si>
  <si>
    <t>E-2961</t>
  </si>
  <si>
    <t>E-2962</t>
  </si>
  <si>
    <t>E-2963</t>
  </si>
  <si>
    <t>E-2964</t>
  </si>
  <si>
    <t>E-2965</t>
  </si>
  <si>
    <t>E-2966</t>
  </si>
  <si>
    <t>E-2967</t>
  </si>
  <si>
    <t>E-2968</t>
  </si>
  <si>
    <t>E-2969</t>
  </si>
  <si>
    <t>E-2970</t>
  </si>
  <si>
    <t>E-2971</t>
  </si>
  <si>
    <t>E-2972</t>
  </si>
  <si>
    <t>E-2973</t>
  </si>
  <si>
    <t>E-2974</t>
  </si>
  <si>
    <t>E-2975</t>
  </si>
  <si>
    <t>E-2976</t>
  </si>
  <si>
    <t>E-2977</t>
  </si>
  <si>
    <t>E-2978</t>
  </si>
  <si>
    <t>E-2979</t>
  </si>
  <si>
    <t>E-2980</t>
  </si>
  <si>
    <t>E-2981</t>
  </si>
  <si>
    <t>E-2982</t>
  </si>
  <si>
    <t>E-2983</t>
  </si>
  <si>
    <t>E-2984</t>
  </si>
  <si>
    <t>E-2985</t>
  </si>
  <si>
    <t>E-2986</t>
  </si>
  <si>
    <t>E-2987</t>
  </si>
  <si>
    <t>E-2988</t>
  </si>
  <si>
    <t>E-2989</t>
  </si>
  <si>
    <t>E-2990</t>
  </si>
  <si>
    <t>E-2991</t>
  </si>
  <si>
    <t>E-2992</t>
  </si>
  <si>
    <t>E-2993</t>
  </si>
  <si>
    <t>E-2994</t>
  </si>
  <si>
    <t>E-2995</t>
  </si>
  <si>
    <t>E-2996</t>
  </si>
  <si>
    <t>E-2997</t>
  </si>
  <si>
    <t>E-2998</t>
  </si>
  <si>
    <t>E-2999</t>
  </si>
  <si>
    <t>E-3000</t>
  </si>
  <si>
    <t>E-3001</t>
  </si>
  <si>
    <t>E-3002</t>
  </si>
  <si>
    <t>E-3003</t>
  </si>
  <si>
    <t>E-3004</t>
  </si>
  <si>
    <t>E-3005</t>
  </si>
  <si>
    <t>E-3006</t>
  </si>
  <si>
    <t>E-3007</t>
  </si>
  <si>
    <t>E-3008</t>
  </si>
  <si>
    <t>E-3009</t>
  </si>
  <si>
    <t>E-3010</t>
  </si>
  <si>
    <t>E-3011</t>
  </si>
  <si>
    <t>E-3012</t>
  </si>
  <si>
    <t>E-3013</t>
  </si>
  <si>
    <t>E-3014</t>
  </si>
  <si>
    <t>E-3015</t>
  </si>
  <si>
    <t>E-3016</t>
  </si>
  <si>
    <t>E-3017</t>
  </si>
  <si>
    <t>E-3018</t>
  </si>
  <si>
    <t>E-3019</t>
  </si>
  <si>
    <t>E-3020</t>
  </si>
  <si>
    <t>E-3021</t>
  </si>
  <si>
    <t>E-3022</t>
  </si>
  <si>
    <t>E-3023</t>
  </si>
  <si>
    <t>E-3024</t>
  </si>
  <si>
    <t>E-3025</t>
  </si>
  <si>
    <t>E-3026</t>
  </si>
  <si>
    <t>E-3027</t>
  </si>
  <si>
    <t>E-3028</t>
  </si>
  <si>
    <t>E-3029</t>
  </si>
  <si>
    <t>E-3030</t>
  </si>
  <si>
    <t>E-3031</t>
  </si>
  <si>
    <t>E-3032</t>
  </si>
  <si>
    <t>E-3033</t>
  </si>
  <si>
    <t>E-3034</t>
  </si>
  <si>
    <t>E-3035</t>
  </si>
  <si>
    <t>E-3036</t>
  </si>
  <si>
    <t>E-3037</t>
  </si>
  <si>
    <t>E-3038</t>
  </si>
  <si>
    <t>E-3039</t>
  </si>
  <si>
    <t>E-3040</t>
  </si>
  <si>
    <t>E-3041</t>
  </si>
  <si>
    <t>E-3042</t>
  </si>
  <si>
    <t>E-3043</t>
  </si>
  <si>
    <t>E-3044</t>
  </si>
  <si>
    <t>E-3045</t>
  </si>
  <si>
    <t>E-3046</t>
  </si>
  <si>
    <t>E-3047</t>
  </si>
  <si>
    <t>E-3048</t>
  </si>
  <si>
    <t>E-3049</t>
  </si>
  <si>
    <t>E-3050</t>
  </si>
  <si>
    <t>E-3051</t>
  </si>
  <si>
    <t>E-3052</t>
  </si>
  <si>
    <t>E-3053</t>
  </si>
  <si>
    <t>E-3054</t>
  </si>
  <si>
    <t>E-3055</t>
  </si>
  <si>
    <t>E-3056</t>
  </si>
  <si>
    <t>E-3057</t>
  </si>
  <si>
    <t>E-3058</t>
  </si>
  <si>
    <t>E-3059</t>
  </si>
  <si>
    <t>E-3060</t>
  </si>
  <si>
    <t>E-3061</t>
  </si>
  <si>
    <t>E-3062</t>
  </si>
  <si>
    <t>E-3063</t>
  </si>
  <si>
    <t>E-3064</t>
  </si>
  <si>
    <t>E-3065</t>
  </si>
  <si>
    <t>E-3066</t>
  </si>
  <si>
    <t>E-3067</t>
  </si>
  <si>
    <t>E-3068</t>
  </si>
  <si>
    <t>E-3069</t>
  </si>
  <si>
    <t>E-3070</t>
  </si>
  <si>
    <t>E-3071</t>
  </si>
  <si>
    <t>E-3072</t>
  </si>
  <si>
    <t>E-3073</t>
  </si>
  <si>
    <t>E-3074</t>
  </si>
  <si>
    <t>E-3075</t>
  </si>
  <si>
    <t>E-3076</t>
  </si>
  <si>
    <t>E-3077</t>
  </si>
  <si>
    <t>E-3078</t>
  </si>
  <si>
    <t>E-3079</t>
  </si>
  <si>
    <t>E-3080</t>
  </si>
  <si>
    <t>E-3081</t>
  </si>
  <si>
    <t>E-3082</t>
  </si>
  <si>
    <t>E-3083</t>
  </si>
  <si>
    <t>E-3084</t>
  </si>
  <si>
    <t>E-3085</t>
  </si>
  <si>
    <t>E-3086</t>
  </si>
  <si>
    <t>E-3087</t>
  </si>
  <si>
    <t>E-3088</t>
  </si>
  <si>
    <t>E-3089</t>
  </si>
  <si>
    <t>E-3090</t>
  </si>
  <si>
    <t>E-3091</t>
  </si>
  <si>
    <t>E-3092</t>
  </si>
  <si>
    <t>E-3093</t>
  </si>
  <si>
    <t>E-3094</t>
  </si>
  <si>
    <t>E-3095</t>
  </si>
  <si>
    <t>E-3096</t>
  </si>
  <si>
    <t>E-3097</t>
  </si>
  <si>
    <t>E-3098</t>
  </si>
  <si>
    <t>E-3099</t>
  </si>
  <si>
    <t>E-3100</t>
  </si>
  <si>
    <t>E-3101</t>
  </si>
  <si>
    <t>E-3102</t>
  </si>
  <si>
    <t>E-3103</t>
  </si>
  <si>
    <t>E-3104</t>
  </si>
  <si>
    <t>E-3105</t>
  </si>
  <si>
    <t>E-3106</t>
  </si>
  <si>
    <t>E-3107</t>
  </si>
  <si>
    <t>E-3108</t>
  </si>
  <si>
    <t>E-3109</t>
  </si>
  <si>
    <t>E-3110</t>
  </si>
  <si>
    <t>E-3111</t>
  </si>
  <si>
    <t>E-3112</t>
  </si>
  <si>
    <t>E-3113</t>
  </si>
  <si>
    <t>E-3114</t>
  </si>
  <si>
    <t>E-3115</t>
  </si>
  <si>
    <t>E-3116</t>
  </si>
  <si>
    <t>E-3117</t>
  </si>
  <si>
    <t>E-3118</t>
  </si>
  <si>
    <t>E-3119</t>
  </si>
  <si>
    <t>E-3120</t>
  </si>
  <si>
    <t>E-3121</t>
  </si>
  <si>
    <t>E-3122</t>
  </si>
  <si>
    <t>E-3123</t>
  </si>
  <si>
    <t>E-3124</t>
  </si>
  <si>
    <t>E-3125</t>
  </si>
  <si>
    <t>E-3126</t>
  </si>
  <si>
    <t>E-3127</t>
  </si>
  <si>
    <t>E-3128</t>
  </si>
  <si>
    <t>E-3129</t>
  </si>
  <si>
    <t>E-3130</t>
  </si>
  <si>
    <t>E-3131</t>
  </si>
  <si>
    <t>E-3132</t>
  </si>
  <si>
    <t>E-3133</t>
  </si>
  <si>
    <t>E-3134</t>
  </si>
  <si>
    <t>E-3135</t>
  </si>
  <si>
    <t>E-3136</t>
  </si>
  <si>
    <t>E-3137</t>
  </si>
  <si>
    <t>E-3138</t>
  </si>
  <si>
    <t>E-3139</t>
  </si>
  <si>
    <t>E-3140</t>
  </si>
  <si>
    <t>E-3141</t>
  </si>
  <si>
    <t>E-3142</t>
  </si>
  <si>
    <t>E-3143</t>
  </si>
  <si>
    <t>E-3144</t>
  </si>
  <si>
    <t>E-3145</t>
  </si>
  <si>
    <t>E-3146</t>
  </si>
  <si>
    <t>E-3147</t>
  </si>
  <si>
    <t>E-3148</t>
  </si>
  <si>
    <t>E-3149</t>
  </si>
  <si>
    <t>E-3150</t>
  </si>
  <si>
    <t>E-3151</t>
  </si>
  <si>
    <t>E-3152</t>
  </si>
  <si>
    <t>E-3153</t>
  </si>
  <si>
    <t>E-3154</t>
  </si>
  <si>
    <t>E-3155</t>
  </si>
  <si>
    <t>E-3156</t>
  </si>
  <si>
    <t>E-3157</t>
  </si>
  <si>
    <t>E-3158</t>
  </si>
  <si>
    <t>E-3159</t>
  </si>
  <si>
    <t>E-3160</t>
  </si>
  <si>
    <t>E-3161</t>
  </si>
  <si>
    <t>E-3162</t>
  </si>
  <si>
    <t>E-3163</t>
  </si>
  <si>
    <t>E-3164</t>
  </si>
  <si>
    <t>E-3165</t>
  </si>
  <si>
    <t>E-3166</t>
  </si>
  <si>
    <t>E-3167</t>
  </si>
  <si>
    <t>E-3168</t>
  </si>
  <si>
    <t>E-3169</t>
  </si>
  <si>
    <t>E-3170</t>
  </si>
  <si>
    <t>E-3171</t>
  </si>
  <si>
    <t>E-3172</t>
  </si>
  <si>
    <t>E-3173</t>
  </si>
  <si>
    <t>E-3174</t>
  </si>
  <si>
    <t>E-3175</t>
  </si>
  <si>
    <t>E-3176</t>
  </si>
  <si>
    <t>E-3177</t>
  </si>
  <si>
    <t>E-3178</t>
  </si>
  <si>
    <t>E-3179</t>
  </si>
  <si>
    <t>E-3180</t>
  </si>
  <si>
    <t>E-3181</t>
  </si>
  <si>
    <t>E-3182</t>
  </si>
  <si>
    <t>E-3183</t>
  </si>
  <si>
    <t>E-3184</t>
  </si>
  <si>
    <t>E-3185</t>
  </si>
  <si>
    <t>E-3186</t>
  </si>
  <si>
    <t>E-3187</t>
  </si>
  <si>
    <t>E-3188</t>
  </si>
  <si>
    <t>E-3189</t>
  </si>
  <si>
    <t>E-3190</t>
  </si>
  <si>
    <t>E-3191</t>
  </si>
  <si>
    <t>E-3192</t>
  </si>
  <si>
    <t>E-3193</t>
  </si>
  <si>
    <t>E-3194</t>
  </si>
  <si>
    <t>E-3195</t>
  </si>
  <si>
    <t>E-3196</t>
  </si>
  <si>
    <t>E-3197</t>
  </si>
  <si>
    <t>E-3198</t>
  </si>
  <si>
    <t>E-3199</t>
  </si>
  <si>
    <t>E-3200</t>
  </si>
  <si>
    <t>E-3201</t>
  </si>
  <si>
    <t>E-3202</t>
  </si>
  <si>
    <t>E-3203</t>
  </si>
  <si>
    <t>E-3204</t>
  </si>
  <si>
    <t>E-3205</t>
  </si>
  <si>
    <t>E-3206</t>
  </si>
  <si>
    <t>E-3207</t>
  </si>
  <si>
    <t>E-3208</t>
  </si>
  <si>
    <t>E-3209</t>
  </si>
  <si>
    <t>E-3210</t>
  </si>
  <si>
    <t>E-3211</t>
  </si>
  <si>
    <t>E-3212</t>
  </si>
  <si>
    <t>E-3213</t>
  </si>
  <si>
    <t>E-3214</t>
  </si>
  <si>
    <t>E-3215</t>
  </si>
  <si>
    <t>E-3216</t>
  </si>
  <si>
    <t>E-3217</t>
  </si>
  <si>
    <t>E-3218</t>
  </si>
  <si>
    <t>E-3219</t>
  </si>
  <si>
    <t>E-3220</t>
  </si>
  <si>
    <t>E-3221</t>
  </si>
  <si>
    <t>E-3222</t>
  </si>
  <si>
    <t>E-3223</t>
  </si>
  <si>
    <t>E-3224</t>
  </si>
  <si>
    <t>E-3225</t>
  </si>
  <si>
    <t>E-3226</t>
  </si>
  <si>
    <t>E-3227</t>
  </si>
  <si>
    <t>E-3228</t>
  </si>
  <si>
    <t>E-3229</t>
  </si>
  <si>
    <t>E-3230</t>
  </si>
  <si>
    <t>E-3231</t>
  </si>
  <si>
    <t>E-3232</t>
  </si>
  <si>
    <t>E-3233</t>
  </si>
  <si>
    <t>E-3234</t>
  </si>
  <si>
    <t>E-3235</t>
  </si>
  <si>
    <t>E-3236</t>
  </si>
  <si>
    <t>E-3237</t>
  </si>
  <si>
    <t>E-3238</t>
  </si>
  <si>
    <t>E-3239</t>
  </si>
  <si>
    <t>E-3240</t>
  </si>
  <si>
    <t>E-3241</t>
  </si>
  <si>
    <t>E-3242</t>
  </si>
  <si>
    <t>E-3243</t>
  </si>
  <si>
    <t>E-3244</t>
  </si>
  <si>
    <t>E-3245</t>
  </si>
  <si>
    <t>E-3246</t>
  </si>
  <si>
    <t>E-3247</t>
  </si>
  <si>
    <t>E-3248</t>
  </si>
  <si>
    <t>E-3249</t>
  </si>
  <si>
    <t>E-3250</t>
  </si>
  <si>
    <t>E-3251</t>
  </si>
  <si>
    <t>E-3252</t>
  </si>
  <si>
    <t>E-3253</t>
  </si>
  <si>
    <t>E-3254</t>
  </si>
  <si>
    <t>E-3255</t>
  </si>
  <si>
    <t>E-3256</t>
  </si>
  <si>
    <t>E-3257</t>
  </si>
  <si>
    <t>E-3258</t>
  </si>
  <si>
    <t>E-3259</t>
  </si>
  <si>
    <t>E-3260</t>
  </si>
  <si>
    <t>E-3261</t>
  </si>
  <si>
    <t>E-3262</t>
  </si>
  <si>
    <t>E-3263</t>
  </si>
  <si>
    <t>E-3264</t>
  </si>
  <si>
    <t>E-3265</t>
  </si>
  <si>
    <t>E-3266</t>
  </si>
  <si>
    <t>E-3267</t>
  </si>
  <si>
    <t>E-3268</t>
  </si>
  <si>
    <t>E-3269</t>
  </si>
  <si>
    <t>E-3270</t>
  </si>
  <si>
    <t>E-3271</t>
  </si>
  <si>
    <t>E-3272</t>
  </si>
  <si>
    <t>E-3273</t>
  </si>
  <si>
    <t>E-3274</t>
  </si>
  <si>
    <t>E-3275</t>
  </si>
  <si>
    <t>E-3276</t>
  </si>
  <si>
    <t>E-3277</t>
  </si>
  <si>
    <t>E-3278</t>
  </si>
  <si>
    <t>E-3279</t>
  </si>
  <si>
    <t>E-3280</t>
  </si>
  <si>
    <t>E-3281</t>
  </si>
  <si>
    <t>E-3282</t>
  </si>
  <si>
    <t>E-3283</t>
  </si>
  <si>
    <t>E-3284</t>
  </si>
  <si>
    <t>E-3285</t>
  </si>
  <si>
    <t>E-3286</t>
  </si>
  <si>
    <t>E-3287</t>
  </si>
  <si>
    <t>E-3288</t>
  </si>
  <si>
    <t>E-3289</t>
  </si>
  <si>
    <t>E-3290</t>
  </si>
  <si>
    <t>E-3291</t>
  </si>
  <si>
    <t>E-3292</t>
  </si>
  <si>
    <t>E-3293</t>
  </si>
  <si>
    <t>E-3294</t>
  </si>
  <si>
    <t>E-3295</t>
  </si>
  <si>
    <t>E-3296</t>
  </si>
  <si>
    <t>E-3297</t>
  </si>
  <si>
    <t>E-3298</t>
  </si>
  <si>
    <t>E-3299</t>
  </si>
  <si>
    <t>E-3300</t>
  </si>
  <si>
    <t>E-3301</t>
  </si>
  <si>
    <t>E-3302</t>
  </si>
  <si>
    <t>E-3303</t>
  </si>
  <si>
    <t>E-3304</t>
  </si>
  <si>
    <t>E-3305</t>
  </si>
  <si>
    <t>E-3306</t>
  </si>
  <si>
    <t>E-3307</t>
  </si>
  <si>
    <t>E-3308</t>
  </si>
  <si>
    <t>E-3309</t>
  </si>
  <si>
    <t>E-3310</t>
  </si>
  <si>
    <t>E-3311</t>
  </si>
  <si>
    <t>E-3312</t>
  </si>
  <si>
    <t>E-3313</t>
  </si>
  <si>
    <t>E-3314</t>
  </si>
  <si>
    <t>E-3315</t>
  </si>
  <si>
    <t>E-3316</t>
  </si>
  <si>
    <t>E-3317</t>
  </si>
  <si>
    <t>E-3318</t>
  </si>
  <si>
    <t>E-3319</t>
  </si>
  <si>
    <t>E-3320</t>
  </si>
  <si>
    <t>E-3321</t>
  </si>
  <si>
    <t>E-3322</t>
  </si>
  <si>
    <t>E-3323</t>
  </si>
  <si>
    <t>E-3324</t>
  </si>
  <si>
    <t>E-3325</t>
  </si>
  <si>
    <t>E-3326</t>
  </si>
  <si>
    <t>E-3327</t>
  </si>
  <si>
    <t>E-3328</t>
  </si>
  <si>
    <t>E-3329</t>
  </si>
  <si>
    <t>E-3330</t>
  </si>
  <si>
    <t>E-3331</t>
  </si>
  <si>
    <t>E-3332</t>
  </si>
  <si>
    <t>E-3333</t>
  </si>
  <si>
    <t>E-3334</t>
  </si>
  <si>
    <t>E-3335</t>
  </si>
  <si>
    <t>E-3336</t>
  </si>
  <si>
    <t>E-3337</t>
  </si>
  <si>
    <t>E-3338</t>
  </si>
  <si>
    <t>E-3339</t>
  </si>
  <si>
    <t>E-3340</t>
  </si>
  <si>
    <t>E-3341</t>
  </si>
  <si>
    <t>E-3342</t>
  </si>
  <si>
    <t>E-3343</t>
  </si>
  <si>
    <t>E-3344</t>
  </si>
  <si>
    <t>E-3345</t>
  </si>
  <si>
    <t>E-3346</t>
  </si>
  <si>
    <t>E-3347</t>
  </si>
  <si>
    <t>E-3348</t>
  </si>
  <si>
    <t>E-3349</t>
  </si>
  <si>
    <t>E-3350</t>
  </si>
  <si>
    <t>E-3351</t>
  </si>
  <si>
    <t>E-3352</t>
  </si>
  <si>
    <t>E-3353</t>
  </si>
  <si>
    <t>E-3354</t>
  </si>
  <si>
    <t>E-3355</t>
  </si>
  <si>
    <t>E-3356</t>
  </si>
  <si>
    <t>E-3357</t>
  </si>
  <si>
    <t>E-3358</t>
  </si>
  <si>
    <t>E-3359</t>
  </si>
  <si>
    <t>E-3360</t>
  </si>
  <si>
    <t>E-3361</t>
  </si>
  <si>
    <t>E-3362</t>
  </si>
  <si>
    <t>E-3363</t>
  </si>
  <si>
    <t>E-3364</t>
  </si>
  <si>
    <t>E-3365</t>
  </si>
  <si>
    <t>E-3366</t>
  </si>
  <si>
    <t>E-3367</t>
  </si>
  <si>
    <t>E-3368</t>
  </si>
  <si>
    <t>E-3369</t>
  </si>
  <si>
    <t>E-3370</t>
  </si>
  <si>
    <t>E-3371</t>
  </si>
  <si>
    <t>E-3372</t>
  </si>
  <si>
    <t>E-3373</t>
  </si>
  <si>
    <t>E-3374</t>
  </si>
  <si>
    <t>E-3375</t>
  </si>
  <si>
    <t>E-3376</t>
  </si>
  <si>
    <t>E-3377</t>
  </si>
  <si>
    <t>E-3378</t>
  </si>
  <si>
    <t>E-3379</t>
  </si>
  <si>
    <t>E-3380</t>
  </si>
  <si>
    <t>E-3381</t>
  </si>
  <si>
    <t>E-3382</t>
  </si>
  <si>
    <t>E-3383</t>
  </si>
  <si>
    <t>E-3384</t>
  </si>
  <si>
    <t>E-3385</t>
  </si>
  <si>
    <t>E-3386</t>
  </si>
  <si>
    <t>E-3387</t>
  </si>
  <si>
    <t>E-3388</t>
  </si>
  <si>
    <t>E-3389</t>
  </si>
  <si>
    <t>E-3390</t>
  </si>
  <si>
    <t>E-3391</t>
  </si>
  <si>
    <t>E-3392</t>
  </si>
  <si>
    <t>E-3393</t>
  </si>
  <si>
    <t>E-3394</t>
  </si>
  <si>
    <t>E-3395</t>
  </si>
  <si>
    <t>E-3396</t>
  </si>
  <si>
    <t>E-3397</t>
  </si>
  <si>
    <t>E-3398</t>
  </si>
  <si>
    <t>E-3399</t>
  </si>
  <si>
    <t>E-3400</t>
  </si>
  <si>
    <t>E-3401</t>
  </si>
  <si>
    <t>E-3402</t>
  </si>
  <si>
    <t>E-3403</t>
  </si>
  <si>
    <t>E-3404</t>
  </si>
  <si>
    <t>E-3405</t>
  </si>
  <si>
    <t>E-3406</t>
  </si>
  <si>
    <t>E-3407</t>
  </si>
  <si>
    <t>E-3408</t>
  </si>
  <si>
    <t>E-3409</t>
  </si>
  <si>
    <t>E-3410</t>
  </si>
  <si>
    <t>E-3411</t>
  </si>
  <si>
    <t>E-3412</t>
  </si>
  <si>
    <t>E-3413</t>
  </si>
  <si>
    <t>E-3414</t>
  </si>
  <si>
    <t>E-3415</t>
  </si>
  <si>
    <t>E-3416</t>
  </si>
  <si>
    <t>E-3417</t>
  </si>
  <si>
    <t>E-3418</t>
  </si>
  <si>
    <t>E-3419</t>
  </si>
  <si>
    <t>E-3420</t>
  </si>
  <si>
    <t>E-3421</t>
  </si>
  <si>
    <t>E-3422</t>
  </si>
  <si>
    <t>E-3423</t>
  </si>
  <si>
    <t>E-3424</t>
  </si>
  <si>
    <t>E-3425</t>
  </si>
  <si>
    <t>E-3426</t>
  </si>
  <si>
    <t>E-3427</t>
  </si>
  <si>
    <t>E-3428</t>
  </si>
  <si>
    <t>E-3429</t>
  </si>
  <si>
    <t>E-3430</t>
  </si>
  <si>
    <t>E-3431</t>
  </si>
  <si>
    <t>E-3432</t>
  </si>
  <si>
    <t>E-3433</t>
  </si>
  <si>
    <t>E-3434</t>
  </si>
  <si>
    <t>E-3435</t>
  </si>
  <si>
    <t>E-3436</t>
  </si>
  <si>
    <t>E-3437</t>
  </si>
  <si>
    <t>E-3438</t>
  </si>
  <si>
    <t>E-3439</t>
  </si>
  <si>
    <t>E-3440</t>
  </si>
  <si>
    <t>E-3441</t>
  </si>
  <si>
    <t>E-3442</t>
  </si>
  <si>
    <t>E-3443</t>
  </si>
  <si>
    <t>E-3444</t>
  </si>
  <si>
    <t>E-3445</t>
  </si>
  <si>
    <t>E-3446</t>
  </si>
  <si>
    <t>E-3447</t>
  </si>
  <si>
    <t>E-3448</t>
  </si>
  <si>
    <t>E-3449</t>
  </si>
  <si>
    <t>E-3450</t>
  </si>
  <si>
    <t>E-3451</t>
  </si>
  <si>
    <t>E-3452</t>
  </si>
  <si>
    <t>E-3453</t>
  </si>
  <si>
    <t>E-3454</t>
  </si>
  <si>
    <t>E-3455</t>
  </si>
  <si>
    <t>E-3456</t>
  </si>
  <si>
    <t>E-3457</t>
  </si>
  <si>
    <t>E-3458</t>
  </si>
  <si>
    <t>E-3459</t>
  </si>
  <si>
    <t>E-3460</t>
  </si>
  <si>
    <t>E-3461</t>
  </si>
  <si>
    <t>E-3462</t>
  </si>
  <si>
    <t>E-3463</t>
  </si>
  <si>
    <t>E-3464</t>
  </si>
  <si>
    <t>E-3465</t>
  </si>
  <si>
    <t>E-3466</t>
  </si>
  <si>
    <t>E-3467</t>
  </si>
  <si>
    <t>E-3468</t>
  </si>
  <si>
    <t>E-3469</t>
  </si>
  <si>
    <t>E-3470</t>
  </si>
  <si>
    <t>E-3471</t>
  </si>
  <si>
    <t>E-3472</t>
  </si>
  <si>
    <t>E-3473</t>
  </si>
  <si>
    <t>E-3474</t>
  </si>
  <si>
    <t>E-3475</t>
  </si>
  <si>
    <t>E-3476</t>
  </si>
  <si>
    <t>E-3477</t>
  </si>
  <si>
    <t>E-3478</t>
  </si>
  <si>
    <t>E-3479</t>
  </si>
  <si>
    <t>E-3480</t>
  </si>
  <si>
    <t>E-3481</t>
  </si>
  <si>
    <t>E-3482</t>
  </si>
  <si>
    <t>E-3483</t>
  </si>
  <si>
    <t>E-3484</t>
  </si>
  <si>
    <t>E-3485</t>
  </si>
  <si>
    <t>E-3486</t>
  </si>
  <si>
    <t>E-3487</t>
  </si>
  <si>
    <t>E-3488</t>
  </si>
  <si>
    <t>E-3489</t>
  </si>
  <si>
    <t>E-3490</t>
  </si>
  <si>
    <t>E-3491</t>
  </si>
  <si>
    <t>E-3492</t>
  </si>
  <si>
    <t>E-3493</t>
  </si>
  <si>
    <t>E-3494</t>
  </si>
  <si>
    <t>E-3495</t>
  </si>
  <si>
    <t>E-3496</t>
  </si>
  <si>
    <t>E-3497</t>
  </si>
  <si>
    <t>E-3498</t>
  </si>
  <si>
    <t>E-3499</t>
  </si>
  <si>
    <t>E-3500</t>
  </si>
  <si>
    <t>E-3501</t>
  </si>
  <si>
    <t>E-3502</t>
  </si>
  <si>
    <t>E-3503</t>
  </si>
  <si>
    <t>E-3504</t>
  </si>
  <si>
    <t>E-3505</t>
  </si>
  <si>
    <t>E-3506</t>
  </si>
  <si>
    <t>E-3507</t>
  </si>
  <si>
    <t>E-3508</t>
  </si>
  <si>
    <t>E-3509</t>
  </si>
  <si>
    <t>E-3510</t>
  </si>
  <si>
    <t>E-3511</t>
  </si>
  <si>
    <t>E-3512</t>
  </si>
  <si>
    <t>E-3513</t>
  </si>
  <si>
    <t>E-3514</t>
  </si>
  <si>
    <t>E-3515</t>
  </si>
  <si>
    <t>E-3516</t>
  </si>
  <si>
    <t>E-3517</t>
  </si>
  <si>
    <t>E-3518</t>
  </si>
  <si>
    <t>E-3519</t>
  </si>
  <si>
    <t>E-3520</t>
  </si>
  <si>
    <t>E-3521</t>
  </si>
  <si>
    <t>E-3522</t>
  </si>
  <si>
    <t>E-3523</t>
  </si>
  <si>
    <t>E-3524</t>
  </si>
  <si>
    <t>E-3525</t>
  </si>
  <si>
    <t>E-3526</t>
  </si>
  <si>
    <t>E-3527</t>
  </si>
  <si>
    <t>E-3528</t>
  </si>
  <si>
    <t>E-3529</t>
  </si>
  <si>
    <t>E-3530</t>
  </si>
  <si>
    <t>E-3531</t>
  </si>
  <si>
    <t>E-3532</t>
  </si>
  <si>
    <t>E-3533</t>
  </si>
  <si>
    <t>E-3534</t>
  </si>
  <si>
    <t>E-3535</t>
  </si>
  <si>
    <t>E-3536</t>
  </si>
  <si>
    <t>E-3537</t>
  </si>
  <si>
    <t>E-3538</t>
  </si>
  <si>
    <t>E-3539</t>
  </si>
  <si>
    <t>E-3540</t>
  </si>
  <si>
    <t>E-3541</t>
  </si>
  <si>
    <t>E-3542</t>
  </si>
  <si>
    <t>E-3543</t>
  </si>
  <si>
    <t>E-3544</t>
  </si>
  <si>
    <t>E-3545</t>
  </si>
  <si>
    <t>E-3546</t>
  </si>
  <si>
    <t>E-3547</t>
  </si>
  <si>
    <t>E-3548</t>
  </si>
  <si>
    <t>E-3549</t>
  </si>
  <si>
    <t>E-3550</t>
  </si>
  <si>
    <t>E-3551</t>
  </si>
  <si>
    <t>E-3552</t>
  </si>
  <si>
    <t>E-3553</t>
  </si>
  <si>
    <t>E-3554</t>
  </si>
  <si>
    <t>E-3555</t>
  </si>
  <si>
    <t>E-3556</t>
  </si>
  <si>
    <t>E-3557</t>
  </si>
  <si>
    <t>E-3558</t>
  </si>
  <si>
    <t>E-3559</t>
  </si>
  <si>
    <t>E-3560</t>
  </si>
  <si>
    <t>E-3561</t>
  </si>
  <si>
    <t>E-3562</t>
  </si>
  <si>
    <t>E-3563</t>
  </si>
  <si>
    <t>E-3564</t>
  </si>
  <si>
    <t>E-3565</t>
  </si>
  <si>
    <t>E-3566</t>
  </si>
  <si>
    <t>E-3567</t>
  </si>
  <si>
    <t>E-3568</t>
  </si>
  <si>
    <t>E-3569</t>
  </si>
  <si>
    <t>E-3570</t>
  </si>
  <si>
    <t>E-3571</t>
  </si>
  <si>
    <t>E-3572</t>
  </si>
  <si>
    <t>E-3573</t>
  </si>
  <si>
    <t>E-3574</t>
  </si>
  <si>
    <t>E-3575</t>
  </si>
  <si>
    <t>E-3576</t>
  </si>
  <si>
    <t>E-3577</t>
  </si>
  <si>
    <t>E-3578</t>
  </si>
  <si>
    <t>E-3579</t>
  </si>
  <si>
    <t>E-3580</t>
  </si>
  <si>
    <t>E-3581</t>
  </si>
  <si>
    <t>E-3582</t>
  </si>
  <si>
    <t>E-3583</t>
  </si>
  <si>
    <t>E-3584</t>
  </si>
  <si>
    <t>E-3585</t>
  </si>
  <si>
    <t>E-3586</t>
  </si>
  <si>
    <t>E-3587</t>
  </si>
  <si>
    <t>E-3588</t>
  </si>
  <si>
    <t>E-3589</t>
  </si>
  <si>
    <t>E-3590</t>
  </si>
  <si>
    <t>E-3591</t>
  </si>
  <si>
    <t>E-3592</t>
  </si>
  <si>
    <t>E-3593</t>
  </si>
  <si>
    <t>E-3594</t>
  </si>
  <si>
    <t>E-3595</t>
  </si>
  <si>
    <t>E-3596</t>
  </si>
  <si>
    <t>E-3597</t>
  </si>
  <si>
    <t>E-3598</t>
  </si>
  <si>
    <t>E-3599</t>
  </si>
  <si>
    <t>E-3600</t>
  </si>
  <si>
    <t>E-3601</t>
  </si>
  <si>
    <t>E-3602</t>
  </si>
  <si>
    <t>E-3603</t>
  </si>
  <si>
    <t>E-3604</t>
  </si>
  <si>
    <t>E-3605</t>
  </si>
  <si>
    <t>E-3606</t>
  </si>
  <si>
    <t>E-3607</t>
  </si>
  <si>
    <t>E-3608</t>
  </si>
  <si>
    <t>E-3609</t>
  </si>
  <si>
    <t>E-3610</t>
  </si>
  <si>
    <t>E-3611</t>
  </si>
  <si>
    <t>E-3612</t>
  </si>
  <si>
    <t>E-3613</t>
  </si>
  <si>
    <t>E-3614</t>
  </si>
  <si>
    <t>E-3615</t>
  </si>
  <si>
    <t>E-3616</t>
  </si>
  <si>
    <t>E-3617</t>
  </si>
  <si>
    <t>E-3618</t>
  </si>
  <si>
    <t>E-3619</t>
  </si>
  <si>
    <t>E-3620</t>
  </si>
  <si>
    <t>E-3621</t>
  </si>
  <si>
    <t>E-3622</t>
  </si>
  <si>
    <t>E-3623</t>
  </si>
  <si>
    <t>E-3624</t>
  </si>
  <si>
    <t>E-3625</t>
  </si>
  <si>
    <t>E-3626</t>
  </si>
  <si>
    <t>E-3627</t>
  </si>
  <si>
    <t>E-3628</t>
  </si>
  <si>
    <t>E-3629</t>
  </si>
  <si>
    <t>E-3630</t>
  </si>
  <si>
    <t>E-3631</t>
  </si>
  <si>
    <t>E-3632</t>
  </si>
  <si>
    <t>E-3633</t>
  </si>
  <si>
    <t>E-3634</t>
  </si>
  <si>
    <t>E-3635</t>
  </si>
  <si>
    <t>E-3636</t>
  </si>
  <si>
    <t>E-3637</t>
  </si>
  <si>
    <t>E-3638</t>
  </si>
  <si>
    <t>E-3639</t>
  </si>
  <si>
    <t>E-3640</t>
  </si>
  <si>
    <t>E-3641</t>
  </si>
  <si>
    <t>E-3642</t>
  </si>
  <si>
    <t>E-3643</t>
  </si>
  <si>
    <t>E-3644</t>
  </si>
  <si>
    <t>E-3645</t>
  </si>
  <si>
    <t>E-3646</t>
  </si>
  <si>
    <t>E-3647</t>
  </si>
  <si>
    <t>E-3648</t>
  </si>
  <si>
    <t>E-3649</t>
  </si>
  <si>
    <t>E-3650</t>
  </si>
  <si>
    <t>E-3651</t>
  </si>
  <si>
    <t>E-3652</t>
  </si>
  <si>
    <t>E-3653</t>
  </si>
  <si>
    <t>E-3654</t>
  </si>
  <si>
    <t>E-3655</t>
  </si>
  <si>
    <t>E-3656</t>
  </si>
  <si>
    <t>E-3657</t>
  </si>
  <si>
    <t>E-3658</t>
  </si>
  <si>
    <t>E-3659</t>
  </si>
  <si>
    <t>E-3660</t>
  </si>
  <si>
    <t>E-3661</t>
  </si>
  <si>
    <t>E-3662</t>
  </si>
  <si>
    <t>E-3663</t>
  </si>
  <si>
    <t>E-3664</t>
  </si>
  <si>
    <t>E-3665</t>
  </si>
  <si>
    <t>E-3666</t>
  </si>
  <si>
    <t>E-3667</t>
  </si>
  <si>
    <t>E-3668</t>
  </si>
  <si>
    <t>E-3669</t>
  </si>
  <si>
    <t>E-3670</t>
  </si>
  <si>
    <t>E-3671</t>
  </si>
  <si>
    <t>E-3672</t>
  </si>
  <si>
    <t>E-3673</t>
  </si>
  <si>
    <t>E-3674</t>
  </si>
  <si>
    <t>E-3675</t>
  </si>
  <si>
    <t>E-3676</t>
  </si>
  <si>
    <t>E-3677</t>
  </si>
  <si>
    <t>E-3678</t>
  </si>
  <si>
    <t>E-3679</t>
  </si>
  <si>
    <t>E-3680</t>
  </si>
  <si>
    <t>E-3681</t>
  </si>
  <si>
    <t>E-3682</t>
  </si>
  <si>
    <t>E-3683</t>
  </si>
  <si>
    <t>E-3684</t>
  </si>
  <si>
    <t>E-3685</t>
  </si>
  <si>
    <t>E-3686</t>
  </si>
  <si>
    <t>E-3687</t>
  </si>
  <si>
    <t>E-3688</t>
  </si>
  <si>
    <t>E-3689</t>
  </si>
  <si>
    <t>E-3690</t>
  </si>
  <si>
    <t>E-3691</t>
  </si>
  <si>
    <t>E-3692</t>
  </si>
  <si>
    <t>E-3693</t>
  </si>
  <si>
    <t>E-3694</t>
  </si>
  <si>
    <t>E-3695</t>
  </si>
  <si>
    <t>E-3696</t>
  </si>
  <si>
    <t>E-3697</t>
  </si>
  <si>
    <t>E-3698</t>
  </si>
  <si>
    <t>E-3699</t>
  </si>
  <si>
    <t>E-3700</t>
  </si>
  <si>
    <t>E-3701</t>
  </si>
  <si>
    <t>E-3702</t>
  </si>
  <si>
    <t>E-3703</t>
  </si>
  <si>
    <t>E-3704</t>
  </si>
  <si>
    <t>E-3705</t>
  </si>
  <si>
    <t>E-3706</t>
  </si>
  <si>
    <t>E-3707</t>
  </si>
  <si>
    <t>E-3708</t>
  </si>
  <si>
    <t>E-3709</t>
  </si>
  <si>
    <t>E-3710</t>
  </si>
  <si>
    <t>E-3711</t>
  </si>
  <si>
    <t>E-3712</t>
  </si>
  <si>
    <t>E-3713</t>
  </si>
  <si>
    <t>E-3714</t>
  </si>
  <si>
    <t>E-3715</t>
  </si>
  <si>
    <t>E-3716</t>
  </si>
  <si>
    <t>E-3717</t>
  </si>
  <si>
    <t>E-3718</t>
  </si>
  <si>
    <t>E-3719</t>
  </si>
  <si>
    <t>E-3720</t>
  </si>
  <si>
    <t>E-3721</t>
  </si>
  <si>
    <t>E-3722</t>
  </si>
  <si>
    <t>E-3723</t>
  </si>
  <si>
    <t>E-3724</t>
  </si>
  <si>
    <t>E-3725</t>
  </si>
  <si>
    <t>E-3726</t>
  </si>
  <si>
    <t>E-3727</t>
  </si>
  <si>
    <t>E-3728</t>
  </si>
  <si>
    <t>E-3729</t>
  </si>
  <si>
    <t>E-3730</t>
  </si>
  <si>
    <t>E-3731</t>
  </si>
  <si>
    <t>E-3732</t>
  </si>
  <si>
    <t>E-3733</t>
  </si>
  <si>
    <t>E-3734</t>
  </si>
  <si>
    <t>E-3735</t>
  </si>
  <si>
    <t>E-3736</t>
  </si>
  <si>
    <t>E-3737</t>
  </si>
  <si>
    <t>E-3738</t>
  </si>
  <si>
    <t>E-3739</t>
  </si>
  <si>
    <t>E-3740</t>
  </si>
  <si>
    <t>E-3741</t>
  </si>
  <si>
    <t>E-3742</t>
  </si>
  <si>
    <t>E-3743</t>
  </si>
  <si>
    <t>E-3744</t>
  </si>
  <si>
    <t>E-3745</t>
  </si>
  <si>
    <t>E-3746</t>
  </si>
  <si>
    <t>E-3747</t>
  </si>
  <si>
    <t>E-3748</t>
  </si>
  <si>
    <t>E-3749</t>
  </si>
  <si>
    <t>E-3750</t>
  </si>
  <si>
    <t>E-3751</t>
  </si>
  <si>
    <t>E-3752</t>
  </si>
  <si>
    <t>E-3753</t>
  </si>
  <si>
    <t>E-3754</t>
  </si>
  <si>
    <t>E-3755</t>
  </si>
  <si>
    <t>E-3756</t>
  </si>
  <si>
    <t>E-3757</t>
  </si>
  <si>
    <t>E-3758</t>
  </si>
  <si>
    <t>E-3759</t>
  </si>
  <si>
    <t>E-3760</t>
  </si>
  <si>
    <t>E-3761</t>
  </si>
  <si>
    <t>E-3762</t>
  </si>
  <si>
    <t>E-3763</t>
  </si>
  <si>
    <t>E-3764</t>
  </si>
  <si>
    <t>E-3765</t>
  </si>
  <si>
    <t>E-3766</t>
  </si>
  <si>
    <t>E-3767</t>
  </si>
  <si>
    <t>E-3768</t>
  </si>
  <si>
    <t>E-3769</t>
  </si>
  <si>
    <t>E-3770</t>
  </si>
  <si>
    <t>E-3771</t>
  </si>
  <si>
    <t>E-3772</t>
  </si>
  <si>
    <t>E-3773</t>
  </si>
  <si>
    <t>E-3774</t>
  </si>
  <si>
    <t>E-3775</t>
  </si>
  <si>
    <t>E-3776</t>
  </si>
  <si>
    <t>E-3777</t>
  </si>
  <si>
    <t>E-3778</t>
  </si>
  <si>
    <t>E-3779</t>
  </si>
  <si>
    <t>E-3780</t>
  </si>
  <si>
    <t>E-3781</t>
  </si>
  <si>
    <t>E-3782</t>
  </si>
  <si>
    <t>E-3783</t>
  </si>
  <si>
    <t>E-3784</t>
  </si>
  <si>
    <t>E-3785</t>
  </si>
  <si>
    <t>E-3786</t>
  </si>
  <si>
    <t>E-3787</t>
  </si>
  <si>
    <t>E-3788</t>
  </si>
  <si>
    <t>E-3789</t>
  </si>
  <si>
    <t>E-3790</t>
  </si>
  <si>
    <t>E-3791</t>
  </si>
  <si>
    <t>E-3792</t>
  </si>
  <si>
    <t>E-3793</t>
  </si>
  <si>
    <t>E-3794</t>
  </si>
  <si>
    <t>E-3795</t>
  </si>
  <si>
    <t>E-3796</t>
  </si>
  <si>
    <t>E-3797</t>
  </si>
  <si>
    <t>E-3798</t>
  </si>
  <si>
    <t>E-3799</t>
  </si>
  <si>
    <t>E-3800</t>
  </si>
  <si>
    <t>E-3801</t>
  </si>
  <si>
    <t>E-3802</t>
  </si>
  <si>
    <t>E-3803</t>
  </si>
  <si>
    <t>E-3804</t>
  </si>
  <si>
    <t>E-3805</t>
  </si>
  <si>
    <t>E-3806</t>
  </si>
  <si>
    <t>E-3807</t>
  </si>
  <si>
    <t>E-3808</t>
  </si>
  <si>
    <t>E-3809</t>
  </si>
  <si>
    <t>E-3810</t>
  </si>
  <si>
    <t>E-3811</t>
  </si>
  <si>
    <t>E-3812</t>
  </si>
  <si>
    <t>E-3813</t>
  </si>
  <si>
    <t>E-3814</t>
  </si>
  <si>
    <t>E-3815</t>
  </si>
  <si>
    <t>E-3816</t>
  </si>
  <si>
    <t>E-3817</t>
  </si>
  <si>
    <t>E-3818</t>
  </si>
  <si>
    <t>E-3819</t>
  </si>
  <si>
    <t>E-3820</t>
  </si>
  <si>
    <t>E-3821</t>
  </si>
  <si>
    <t>E-3822</t>
  </si>
  <si>
    <t>E-3823</t>
  </si>
  <si>
    <t>E-3824</t>
  </si>
  <si>
    <t>E-3825</t>
  </si>
  <si>
    <t>E-3826</t>
  </si>
  <si>
    <t>E-3827</t>
  </si>
  <si>
    <t>E-3828</t>
  </si>
  <si>
    <t>E-3829</t>
  </si>
  <si>
    <t>E-3830</t>
  </si>
  <si>
    <t>E-3831</t>
  </si>
  <si>
    <t>E-3832</t>
  </si>
  <si>
    <t>E-3833</t>
  </si>
  <si>
    <t>E-3834</t>
  </si>
  <si>
    <t>E-3835</t>
  </si>
  <si>
    <t>E-3836</t>
  </si>
  <si>
    <t>E-3837</t>
  </si>
  <si>
    <t>E-3838</t>
  </si>
  <si>
    <t>E-3839</t>
  </si>
  <si>
    <t>E-3840</t>
  </si>
  <si>
    <t>E-3841</t>
  </si>
  <si>
    <t>E-3842</t>
  </si>
  <si>
    <t>E-3843</t>
  </si>
  <si>
    <t>E-3844</t>
  </si>
  <si>
    <t>E-3845</t>
  </si>
  <si>
    <t>E-3846</t>
  </si>
  <si>
    <t>E-3847</t>
  </si>
  <si>
    <t>E-3848</t>
  </si>
  <si>
    <t>E-3849</t>
  </si>
  <si>
    <t>E-3850</t>
  </si>
  <si>
    <t>E-3851</t>
  </si>
  <si>
    <t>E-3852</t>
  </si>
  <si>
    <t>E-3853</t>
  </si>
  <si>
    <t>E-3854</t>
  </si>
  <si>
    <t>E-3855</t>
  </si>
  <si>
    <t>E-3856</t>
  </si>
  <si>
    <t>E-3857</t>
  </si>
  <si>
    <t>E-3858</t>
  </si>
  <si>
    <t>E-3859</t>
  </si>
  <si>
    <t>E-3860</t>
  </si>
  <si>
    <t>E-3861</t>
  </si>
  <si>
    <t>E-3862</t>
  </si>
  <si>
    <t>E-3863</t>
  </si>
  <si>
    <t>E-3864</t>
  </si>
  <si>
    <t>E-3865</t>
  </si>
  <si>
    <t>E-3866</t>
  </si>
  <si>
    <t>E-3867</t>
  </si>
  <si>
    <t>E-3868</t>
  </si>
  <si>
    <t>E-3869</t>
  </si>
  <si>
    <t>E-3870</t>
  </si>
  <si>
    <t>E-3871</t>
  </si>
  <si>
    <t>E-3872</t>
  </si>
  <si>
    <t>E-3873</t>
  </si>
  <si>
    <t>E-3874</t>
  </si>
  <si>
    <t>E-3875</t>
  </si>
  <si>
    <t>E-3876</t>
  </si>
  <si>
    <t>E-3877</t>
  </si>
  <si>
    <t>E-3878</t>
  </si>
  <si>
    <t>E-3879</t>
  </si>
  <si>
    <t>E-3880</t>
  </si>
  <si>
    <t>E-3881</t>
  </si>
  <si>
    <t>E-3882</t>
  </si>
  <si>
    <t>E-3883</t>
  </si>
  <si>
    <t>E-3884</t>
  </si>
  <si>
    <t>E-3885</t>
  </si>
  <si>
    <t>E-3886</t>
  </si>
  <si>
    <t>E-3887</t>
  </si>
  <si>
    <t>E-3888</t>
  </si>
  <si>
    <t>E-3889</t>
  </si>
  <si>
    <t>E-3890</t>
  </si>
  <si>
    <t>E-3891</t>
  </si>
  <si>
    <t>E-3892</t>
  </si>
  <si>
    <t>E-3893</t>
  </si>
  <si>
    <t>E-3894</t>
  </si>
  <si>
    <t>E-3895</t>
  </si>
  <si>
    <t>E-3896</t>
  </si>
  <si>
    <t>E-3897</t>
  </si>
  <si>
    <t>E-3898</t>
  </si>
  <si>
    <t>E-3899</t>
  </si>
  <si>
    <t>E-3900</t>
  </si>
  <si>
    <t>E-3901</t>
  </si>
  <si>
    <t>E-3902</t>
  </si>
  <si>
    <t>E-3903</t>
  </si>
  <si>
    <t>E-3904</t>
  </si>
  <si>
    <t>E-3905</t>
  </si>
  <si>
    <t>E-3906</t>
  </si>
  <si>
    <t>E-3907</t>
  </si>
  <si>
    <t>E-3908</t>
  </si>
  <si>
    <t>E-3909</t>
  </si>
  <si>
    <t>E-3910</t>
  </si>
  <si>
    <t>E-3911</t>
  </si>
  <si>
    <t>E-3912</t>
  </si>
  <si>
    <t>E-3913</t>
  </si>
  <si>
    <t>E-3914</t>
  </si>
  <si>
    <t>E-3915</t>
  </si>
  <si>
    <t>E-3916</t>
  </si>
  <si>
    <t>E-3917</t>
  </si>
  <si>
    <t>E-3918</t>
  </si>
  <si>
    <t>E-3919</t>
  </si>
  <si>
    <t>E-3920</t>
  </si>
  <si>
    <t>E-3921</t>
  </si>
  <si>
    <t>E-3922</t>
  </si>
  <si>
    <t>E-3923</t>
  </si>
  <si>
    <t>E-3924</t>
  </si>
  <si>
    <t>E-3925</t>
  </si>
  <si>
    <t>E-3926</t>
  </si>
  <si>
    <t>E-3927</t>
  </si>
  <si>
    <t>E-3928</t>
  </si>
  <si>
    <t>E-3929</t>
  </si>
  <si>
    <t>E-3930</t>
  </si>
  <si>
    <t>E-3931</t>
  </si>
  <si>
    <t>E-3932</t>
  </si>
  <si>
    <t>E-3933</t>
  </si>
  <si>
    <t>E-3934</t>
  </si>
  <si>
    <t>E-3935</t>
  </si>
  <si>
    <t>E-3936</t>
  </si>
  <si>
    <t>E-3937</t>
  </si>
  <si>
    <t>E-3938</t>
  </si>
  <si>
    <t>E-3939</t>
  </si>
  <si>
    <t>E-3940</t>
  </si>
  <si>
    <t>E-3941</t>
  </si>
  <si>
    <t>E-3942</t>
  </si>
  <si>
    <t>E-3943</t>
  </si>
  <si>
    <t>E-3944</t>
  </si>
  <si>
    <t>E-3945</t>
  </si>
  <si>
    <t>E-3946</t>
  </si>
  <si>
    <t>E-3947</t>
  </si>
  <si>
    <t>E-3948</t>
  </si>
  <si>
    <t>E-3949</t>
  </si>
  <si>
    <t>E-3950</t>
  </si>
  <si>
    <t>E-3951</t>
  </si>
  <si>
    <t>E-3952</t>
  </si>
  <si>
    <t>E-3953</t>
  </si>
  <si>
    <t>E-3954</t>
  </si>
  <si>
    <t>E-3955</t>
  </si>
  <si>
    <t>E-3956</t>
  </si>
  <si>
    <t>E-3957</t>
  </si>
  <si>
    <t>E-3958</t>
  </si>
  <si>
    <t>E-3959</t>
  </si>
  <si>
    <t>E-3960</t>
  </si>
  <si>
    <t>E-3961</t>
  </si>
  <si>
    <t>E-3962</t>
  </si>
  <si>
    <t>E-3963</t>
  </si>
  <si>
    <t>E-3964</t>
  </si>
  <si>
    <t>E-3965</t>
  </si>
  <si>
    <t>E-3966</t>
  </si>
  <si>
    <t>E-3967</t>
  </si>
  <si>
    <t>E-3968</t>
  </si>
  <si>
    <t>E-3969</t>
  </si>
  <si>
    <t>E-3970</t>
  </si>
  <si>
    <t>E-3971</t>
  </si>
  <si>
    <t>E-3972</t>
  </si>
  <si>
    <t>E-3973</t>
  </si>
  <si>
    <t>E-3974</t>
  </si>
  <si>
    <t>E-3975</t>
  </si>
  <si>
    <t>E-3976</t>
  </si>
  <si>
    <t>E-3977</t>
  </si>
  <si>
    <t>E-3978</t>
  </si>
  <si>
    <t>E-3979</t>
  </si>
  <si>
    <t>E-3980</t>
  </si>
  <si>
    <t>E-3981</t>
  </si>
  <si>
    <t>E-3982</t>
  </si>
  <si>
    <t>E-3983</t>
  </si>
  <si>
    <t>E-3984</t>
  </si>
  <si>
    <t>E-3985</t>
  </si>
  <si>
    <t>E-3986</t>
  </si>
  <si>
    <t>E-3987</t>
  </si>
  <si>
    <t>E-3988</t>
  </si>
  <si>
    <t>E-3989</t>
  </si>
  <si>
    <t>E-3990</t>
  </si>
  <si>
    <t>E-3991</t>
  </si>
  <si>
    <t>E-3992</t>
  </si>
  <si>
    <t>E-3993</t>
  </si>
  <si>
    <t>E-3994</t>
  </si>
  <si>
    <t>E-3995</t>
  </si>
  <si>
    <t>E-3996</t>
  </si>
  <si>
    <t>E-3997</t>
  </si>
  <si>
    <t>E-3998</t>
  </si>
  <si>
    <t>E-3999</t>
  </si>
  <si>
    <t>E-4000</t>
  </si>
  <si>
    <t>E-4001</t>
  </si>
  <si>
    <t>E-4002</t>
  </si>
  <si>
    <t>E-4003</t>
  </si>
  <si>
    <t>E-4004</t>
  </si>
  <si>
    <t>E-4005</t>
  </si>
  <si>
    <t>E-4006</t>
  </si>
  <si>
    <t>E-4007</t>
  </si>
  <si>
    <t>E-4008</t>
  </si>
  <si>
    <t>E-4009</t>
  </si>
  <si>
    <t>E-4010</t>
  </si>
  <si>
    <t>E-4011</t>
  </si>
  <si>
    <t>E-4012</t>
  </si>
  <si>
    <t>E-4013</t>
  </si>
  <si>
    <t>E-4014</t>
  </si>
  <si>
    <t>E-4015</t>
  </si>
  <si>
    <t>E-4016</t>
  </si>
  <si>
    <t>E-4017</t>
  </si>
  <si>
    <t>E-4018</t>
  </si>
  <si>
    <t>E-4019</t>
  </si>
  <si>
    <t>E-4020</t>
  </si>
  <si>
    <t>E-4021</t>
  </si>
  <si>
    <t>E-4022</t>
  </si>
  <si>
    <t>E-4023</t>
  </si>
  <si>
    <t>E-4024</t>
  </si>
  <si>
    <t>E-4025</t>
  </si>
  <si>
    <t>E-4026</t>
  </si>
  <si>
    <t>E-4027</t>
  </si>
  <si>
    <t>E-4028</t>
  </si>
  <si>
    <t>E-4029</t>
  </si>
  <si>
    <t>E-4030</t>
  </si>
  <si>
    <t>E-4031</t>
  </si>
  <si>
    <t>E-4032</t>
  </si>
  <si>
    <t>E-4033</t>
  </si>
  <si>
    <t>E-4034</t>
  </si>
  <si>
    <t>E-4035</t>
  </si>
  <si>
    <t>E-4036</t>
  </si>
  <si>
    <t>E-4037</t>
  </si>
  <si>
    <t>E-4038</t>
  </si>
  <si>
    <t>E-4039</t>
  </si>
  <si>
    <t>E-4040</t>
  </si>
  <si>
    <t>E-4041</t>
  </si>
  <si>
    <t>E-4042</t>
  </si>
  <si>
    <t>E-4043</t>
  </si>
  <si>
    <t>E-4044</t>
  </si>
  <si>
    <t>E-4045</t>
  </si>
  <si>
    <t>E-4046</t>
  </si>
  <si>
    <t>E-4047</t>
  </si>
  <si>
    <t>E-4048</t>
  </si>
  <si>
    <t>E-4049</t>
  </si>
  <si>
    <t>E-4050</t>
  </si>
  <si>
    <t>E-4051</t>
  </si>
  <si>
    <t>E-4052</t>
  </si>
  <si>
    <t>E-4053</t>
  </si>
  <si>
    <t>E-4054</t>
  </si>
  <si>
    <t>E-4055</t>
  </si>
  <si>
    <t>E-4056</t>
  </si>
  <si>
    <t>E-4057</t>
  </si>
  <si>
    <t>E-4058</t>
  </si>
  <si>
    <t>E-4059</t>
  </si>
  <si>
    <t>E-4060</t>
  </si>
  <si>
    <t>E-4061</t>
  </si>
  <si>
    <t>E-4062</t>
  </si>
  <si>
    <t>E-4063</t>
  </si>
  <si>
    <t>E-4064</t>
  </si>
  <si>
    <t>E-4065</t>
  </si>
  <si>
    <t>E-4066</t>
  </si>
  <si>
    <t>E-4067</t>
  </si>
  <si>
    <t>E-4068</t>
  </si>
  <si>
    <t>E-4069</t>
  </si>
  <si>
    <t>E-4070</t>
  </si>
  <si>
    <t>E-4071</t>
  </si>
  <si>
    <t>E-4072</t>
  </si>
  <si>
    <t>E-4073</t>
  </si>
  <si>
    <t>E-4074</t>
  </si>
  <si>
    <t>E-4075</t>
  </si>
  <si>
    <t>E-4076</t>
  </si>
  <si>
    <t>E-4077</t>
  </si>
  <si>
    <t>E-4078</t>
  </si>
  <si>
    <t>E-4079</t>
  </si>
  <si>
    <t>E-4080</t>
  </si>
  <si>
    <t>E-4081</t>
  </si>
  <si>
    <t>E-4082</t>
  </si>
  <si>
    <t>E-4083</t>
  </si>
  <si>
    <t>E-4084</t>
  </si>
  <si>
    <t>E-4085</t>
  </si>
  <si>
    <t>E-4086</t>
  </si>
  <si>
    <t>E-4087</t>
  </si>
  <si>
    <t>E-4088</t>
  </si>
  <si>
    <t>E-4089</t>
  </si>
  <si>
    <t>E-4090</t>
  </si>
  <si>
    <t>E-4091</t>
  </si>
  <si>
    <t>E-4092</t>
  </si>
  <si>
    <t>E-4093</t>
  </si>
  <si>
    <t>E-4094</t>
  </si>
  <si>
    <t>E-4095</t>
  </si>
  <si>
    <t>E-4096</t>
  </si>
  <si>
    <t>E-4097</t>
  </si>
  <si>
    <t>E-4098</t>
  </si>
  <si>
    <t>E-4099</t>
  </si>
  <si>
    <t>E-4100</t>
  </si>
  <si>
    <t>E-4101</t>
  </si>
  <si>
    <t>E-4102</t>
  </si>
  <si>
    <t>E-4103</t>
  </si>
  <si>
    <t>E-4104</t>
  </si>
  <si>
    <t>E-4105</t>
  </si>
  <si>
    <t>E-4106</t>
  </si>
  <si>
    <t>E-4107</t>
  </si>
  <si>
    <t>E-4108</t>
  </si>
  <si>
    <t>E-4109</t>
  </si>
  <si>
    <t>E-4110</t>
  </si>
  <si>
    <t>E-4111</t>
  </si>
  <si>
    <t>E-4112</t>
  </si>
  <si>
    <t>E-4113</t>
  </si>
  <si>
    <t>E-4114</t>
  </si>
  <si>
    <t>E-4115</t>
  </si>
  <si>
    <t>E-4116</t>
  </si>
  <si>
    <t>E-4117</t>
  </si>
  <si>
    <t>E-4118</t>
  </si>
  <si>
    <t>E-4119</t>
  </si>
  <si>
    <t>E-4120</t>
  </si>
  <si>
    <t>E-4121</t>
  </si>
  <si>
    <t>E-4122</t>
  </si>
  <si>
    <t>E-4123</t>
  </si>
  <si>
    <t>E-4124</t>
  </si>
  <si>
    <t>E-4125</t>
  </si>
  <si>
    <t>E-4126</t>
  </si>
  <si>
    <t>E-4127</t>
  </si>
  <si>
    <t>E-4128</t>
  </si>
  <si>
    <t>E-4129</t>
  </si>
  <si>
    <t>E-4130</t>
  </si>
  <si>
    <t>E-4131</t>
  </si>
  <si>
    <t>E-4132</t>
  </si>
  <si>
    <t>E-4133</t>
  </si>
  <si>
    <t>E-4134</t>
  </si>
  <si>
    <t>E-4135</t>
  </si>
  <si>
    <t>E-4136</t>
  </si>
  <si>
    <t>E-4137</t>
  </si>
  <si>
    <t>E-4138</t>
  </si>
  <si>
    <t>E-4139</t>
  </si>
  <si>
    <t>E-4140</t>
  </si>
  <si>
    <t>E-4141</t>
  </si>
  <si>
    <t>E-4142</t>
  </si>
  <si>
    <t>E-4143</t>
  </si>
  <si>
    <t>E-4144</t>
  </si>
  <si>
    <t>E-4145</t>
  </si>
  <si>
    <t>E-4146</t>
  </si>
  <si>
    <t>E-4147</t>
  </si>
  <si>
    <t>E-4148</t>
  </si>
  <si>
    <t>E-4149</t>
  </si>
  <si>
    <t>E-4150</t>
  </si>
  <si>
    <t>E-4151</t>
  </si>
  <si>
    <t>E-4152</t>
  </si>
  <si>
    <t>E-4153</t>
  </si>
  <si>
    <t>E-4154</t>
  </si>
  <si>
    <t>E-4155</t>
  </si>
  <si>
    <t>E-4156</t>
  </si>
  <si>
    <t>E-4157</t>
  </si>
  <si>
    <t>E-4158</t>
  </si>
  <si>
    <t>E-4159</t>
  </si>
  <si>
    <t>E-4160</t>
  </si>
  <si>
    <t>E-4161</t>
  </si>
  <si>
    <t>E-4162</t>
  </si>
  <si>
    <t>E-4163</t>
  </si>
  <si>
    <t>E-4164</t>
  </si>
  <si>
    <t>E-4165</t>
  </si>
  <si>
    <t>E-4166</t>
  </si>
  <si>
    <t>E-4167</t>
  </si>
  <si>
    <t>E-4168</t>
  </si>
  <si>
    <t>E-4169</t>
  </si>
  <si>
    <t>E-4170</t>
  </si>
  <si>
    <t>E-4171</t>
  </si>
  <si>
    <t>E-4172</t>
  </si>
  <si>
    <t>E-4173</t>
  </si>
  <si>
    <t>E-4174</t>
  </si>
  <si>
    <t>E-4175</t>
  </si>
  <si>
    <t>E-4176</t>
  </si>
  <si>
    <t>E-4177</t>
  </si>
  <si>
    <t>E-4178</t>
  </si>
  <si>
    <t>E-4179</t>
  </si>
  <si>
    <t>E-4180</t>
  </si>
  <si>
    <t>E-4181</t>
  </si>
  <si>
    <t>E-4182</t>
  </si>
  <si>
    <t>E-4183</t>
  </si>
  <si>
    <t>E-4184</t>
  </si>
  <si>
    <t>E-4185</t>
  </si>
  <si>
    <t>E-4186</t>
  </si>
  <si>
    <t>E-4187</t>
  </si>
  <si>
    <t>E-4188</t>
  </si>
  <si>
    <t>E-4189</t>
  </si>
  <si>
    <t>E-4190</t>
  </si>
  <si>
    <t>E-4191</t>
  </si>
  <si>
    <t>E-4192</t>
  </si>
  <si>
    <t>E-4193</t>
  </si>
  <si>
    <t>E-4194</t>
  </si>
  <si>
    <t>E-4195</t>
  </si>
  <si>
    <t>E-4196</t>
  </si>
  <si>
    <t>E-4197</t>
  </si>
  <si>
    <t>E-4198</t>
  </si>
  <si>
    <t>E-4199</t>
  </si>
  <si>
    <t>E-4200</t>
  </si>
  <si>
    <t>E-4201</t>
  </si>
  <si>
    <t>E-4202</t>
  </si>
  <si>
    <t>E-4203</t>
  </si>
  <si>
    <t>E-4204</t>
  </si>
  <si>
    <t>E-4205</t>
  </si>
  <si>
    <t>E-4206</t>
  </si>
  <si>
    <t>E-4207</t>
  </si>
  <si>
    <t>E-4208</t>
  </si>
  <si>
    <t>E-4209</t>
  </si>
  <si>
    <t>E-4210</t>
  </si>
  <si>
    <t>E-4211</t>
  </si>
  <si>
    <t>E-4212</t>
  </si>
  <si>
    <t>E-4213</t>
  </si>
  <si>
    <t>E-4214</t>
  </si>
  <si>
    <t>E-4215</t>
  </si>
  <si>
    <t>E-4216</t>
  </si>
  <si>
    <t>E-4217</t>
  </si>
  <si>
    <t>E-4218</t>
  </si>
  <si>
    <t>E-4219</t>
  </si>
  <si>
    <t>E-4220</t>
  </si>
  <si>
    <t>E-4221</t>
  </si>
  <si>
    <t>E-4222</t>
  </si>
  <si>
    <t>E-4223</t>
  </si>
  <si>
    <t>E-4224</t>
  </si>
  <si>
    <t>E-4225</t>
  </si>
  <si>
    <t>E-4226</t>
  </si>
  <si>
    <t>E-4227</t>
  </si>
  <si>
    <t>E-4228</t>
  </si>
  <si>
    <t>E-4229</t>
  </si>
  <si>
    <t>E-4230</t>
  </si>
  <si>
    <t>E-4231</t>
  </si>
  <si>
    <t>E-4232</t>
  </si>
  <si>
    <t>E-4233</t>
  </si>
  <si>
    <t>E-4234</t>
  </si>
  <si>
    <t>E-4235</t>
  </si>
  <si>
    <t>E-4236</t>
  </si>
  <si>
    <t>E-4237</t>
  </si>
  <si>
    <t>E-4238</t>
  </si>
  <si>
    <t>E-4239</t>
  </si>
  <si>
    <t>E-4240</t>
  </si>
  <si>
    <t>E-4241</t>
  </si>
  <si>
    <t>E-4242</t>
  </si>
  <si>
    <t>E-4243</t>
  </si>
  <si>
    <t>E-4244</t>
  </si>
  <si>
    <t>E-4245</t>
  </si>
  <si>
    <t>E-4246</t>
  </si>
  <si>
    <t>E-4247</t>
  </si>
  <si>
    <t>E-4248</t>
  </si>
  <si>
    <t>E-4249</t>
  </si>
  <si>
    <t>E-4250</t>
  </si>
  <si>
    <t>E-4251</t>
  </si>
  <si>
    <t>E-4252</t>
  </si>
  <si>
    <t>E-4253</t>
  </si>
  <si>
    <t>E-4254</t>
  </si>
  <si>
    <t>E-4255</t>
  </si>
  <si>
    <t>E-4256</t>
  </si>
  <si>
    <t>E-4257</t>
  </si>
  <si>
    <t>E-4258</t>
  </si>
  <si>
    <t>E-4259</t>
  </si>
  <si>
    <t>E-4260</t>
  </si>
  <si>
    <t>E-4261</t>
  </si>
  <si>
    <t>E-4262</t>
  </si>
  <si>
    <t>E-4263</t>
  </si>
  <si>
    <t>E-4264</t>
  </si>
  <si>
    <t>E-4265</t>
  </si>
  <si>
    <t>E-4266</t>
  </si>
  <si>
    <t>E-4267</t>
  </si>
  <si>
    <t>E-4268</t>
  </si>
  <si>
    <t>E-4269</t>
  </si>
  <si>
    <t>E-4270</t>
  </si>
  <si>
    <t>E-4271</t>
  </si>
  <si>
    <t>E-4272</t>
  </si>
  <si>
    <t>E-4273</t>
  </si>
  <si>
    <t>E-4274</t>
  </si>
  <si>
    <t>E-4275</t>
  </si>
  <si>
    <t>E-4276</t>
  </si>
  <si>
    <t>E-4277</t>
  </si>
  <si>
    <t>E-4278</t>
  </si>
  <si>
    <t>E-4279</t>
  </si>
  <si>
    <t>E-4280</t>
  </si>
  <si>
    <t>E-4281</t>
  </si>
  <si>
    <t>E-4282</t>
  </si>
  <si>
    <t>E-4283</t>
  </si>
  <si>
    <t>E-4284</t>
  </si>
  <si>
    <t>E-4285</t>
  </si>
  <si>
    <t>E-4286</t>
  </si>
  <si>
    <t>E-4287</t>
  </si>
  <si>
    <t>E-4288</t>
  </si>
  <si>
    <t>E-4289</t>
  </si>
  <si>
    <t>E-4290</t>
  </si>
  <si>
    <t>E-4291</t>
  </si>
  <si>
    <t>E-4292</t>
  </si>
  <si>
    <t>E-4293</t>
  </si>
  <si>
    <t>E-4294</t>
  </si>
  <si>
    <t>E-4295</t>
  </si>
  <si>
    <t>E-4296</t>
  </si>
  <si>
    <t>E-4297</t>
  </si>
  <si>
    <t>E-4298</t>
  </si>
  <si>
    <t>E-4299</t>
  </si>
  <si>
    <t>E-4300</t>
  </si>
  <si>
    <t>E-4301</t>
  </si>
  <si>
    <t>E-4302</t>
  </si>
  <si>
    <t>E-4303</t>
  </si>
  <si>
    <t>E-4304</t>
  </si>
  <si>
    <t>E-4305</t>
  </si>
  <si>
    <t>E-4306</t>
  </si>
  <si>
    <t>E-4307</t>
  </si>
  <si>
    <t>E-4308</t>
  </si>
  <si>
    <t>E-4309</t>
  </si>
  <si>
    <t>E-4310</t>
  </si>
  <si>
    <t>E-4311</t>
  </si>
  <si>
    <t>E-4312</t>
  </si>
  <si>
    <t>E-4313</t>
  </si>
  <si>
    <t>E-4314</t>
  </si>
  <si>
    <t>E-4315</t>
  </si>
  <si>
    <t>E-4316</t>
  </si>
  <si>
    <t>E-4317</t>
  </si>
  <si>
    <t>E-4318</t>
  </si>
  <si>
    <t>E-4319</t>
  </si>
  <si>
    <t>E-4320</t>
  </si>
  <si>
    <t>E-4321</t>
  </si>
  <si>
    <t>E-4322</t>
  </si>
  <si>
    <t>E-4323</t>
  </si>
  <si>
    <t>E-4324</t>
  </si>
  <si>
    <t>E-4325</t>
  </si>
  <si>
    <t>E-4326</t>
  </si>
  <si>
    <t>E-4327</t>
  </si>
  <si>
    <t>E-4328</t>
  </si>
  <si>
    <t>E-4329</t>
  </si>
  <si>
    <t>E-4330</t>
  </si>
  <si>
    <t>E-4331</t>
  </si>
  <si>
    <t>E-4332</t>
  </si>
  <si>
    <t>E-4333</t>
  </si>
  <si>
    <t>E-4334</t>
  </si>
  <si>
    <t>E-4335</t>
  </si>
  <si>
    <t>E-4336</t>
  </si>
  <si>
    <t>E-4337</t>
  </si>
  <si>
    <t>E-4338</t>
  </si>
  <si>
    <t>E-4339</t>
  </si>
  <si>
    <t>E-4340</t>
  </si>
  <si>
    <t>E-4341</t>
  </si>
  <si>
    <t>E-4342</t>
  </si>
  <si>
    <t>E-4343</t>
  </si>
  <si>
    <t>E-4344</t>
  </si>
  <si>
    <t>E-4345</t>
  </si>
  <si>
    <t>E-4346</t>
  </si>
  <si>
    <t>E-4347</t>
  </si>
  <si>
    <t>E-4348</t>
  </si>
  <si>
    <t>E-4349</t>
  </si>
  <si>
    <t>E-4350</t>
  </si>
  <si>
    <t>E-4351</t>
  </si>
  <si>
    <t>E-4352</t>
  </si>
  <si>
    <t>E-4353</t>
  </si>
  <si>
    <t>E-4354</t>
  </si>
  <si>
    <t>E-4355</t>
  </si>
  <si>
    <t>E-4356</t>
  </si>
  <si>
    <t>E-4357</t>
  </si>
  <si>
    <t>E-4358</t>
  </si>
  <si>
    <t>E-4359</t>
  </si>
  <si>
    <t>E-4360</t>
  </si>
  <si>
    <t>E-4361</t>
  </si>
  <si>
    <t>E-4362</t>
  </si>
  <si>
    <t>E-4363</t>
  </si>
  <si>
    <t>E-4364</t>
  </si>
  <si>
    <t>E-4365</t>
  </si>
  <si>
    <t>E-4366</t>
  </si>
  <si>
    <t>E-4367</t>
  </si>
  <si>
    <t>E-4368</t>
  </si>
  <si>
    <t>E-4369</t>
  </si>
  <si>
    <t>E-4370</t>
  </si>
  <si>
    <t>E-4371</t>
  </si>
  <si>
    <t>E-4372</t>
  </si>
  <si>
    <t>E-4373</t>
  </si>
  <si>
    <t>E-4374</t>
  </si>
  <si>
    <t>E-4375</t>
  </si>
  <si>
    <t>E-4376</t>
  </si>
  <si>
    <t>E-4377</t>
  </si>
  <si>
    <t>E-4378</t>
  </si>
  <si>
    <t>E-4379</t>
  </si>
  <si>
    <t>E-4380</t>
  </si>
  <si>
    <t>E-4381</t>
  </si>
  <si>
    <t>E-4382</t>
  </si>
  <si>
    <t>E-4383</t>
  </si>
  <si>
    <t>E-4384</t>
  </si>
  <si>
    <t>E-4385</t>
  </si>
  <si>
    <t>E-4386</t>
  </si>
  <si>
    <t>E-4387</t>
  </si>
  <si>
    <t>E-4388</t>
  </si>
  <si>
    <t>E-4389</t>
  </si>
  <si>
    <t>E-4390</t>
  </si>
  <si>
    <t>E-4391</t>
  </si>
  <si>
    <t>E-4392</t>
  </si>
  <si>
    <t>E-4393</t>
  </si>
  <si>
    <t>E-4394</t>
  </si>
  <si>
    <t>E-4395</t>
  </si>
  <si>
    <t>E-4396</t>
  </si>
  <si>
    <t>E-4397</t>
  </si>
  <si>
    <t>E-4398</t>
  </si>
  <si>
    <t>E-4399</t>
  </si>
  <si>
    <t>E-4400</t>
  </si>
  <si>
    <t>E-4401</t>
  </si>
  <si>
    <t>E-4402</t>
  </si>
  <si>
    <t>E-4403</t>
  </si>
  <si>
    <t>E-4404</t>
  </si>
  <si>
    <t>E-4405</t>
  </si>
  <si>
    <t>E-4406</t>
  </si>
  <si>
    <t>E-4407</t>
  </si>
  <si>
    <t>E-4408</t>
  </si>
  <si>
    <t>E-4409</t>
  </si>
  <si>
    <t>E-4410</t>
  </si>
  <si>
    <t>E-4411</t>
  </si>
  <si>
    <t>E-4412</t>
  </si>
  <si>
    <t>E-4413</t>
  </si>
  <si>
    <t>E-4414</t>
  </si>
  <si>
    <t>E-4415</t>
  </si>
  <si>
    <t>E-4416</t>
  </si>
  <si>
    <t>E-4417</t>
  </si>
  <si>
    <t>E-4418</t>
  </si>
  <si>
    <t>E-4419</t>
  </si>
  <si>
    <t>E-4420</t>
  </si>
  <si>
    <t>E-4421</t>
  </si>
  <si>
    <t>E-4422</t>
  </si>
  <si>
    <t>E-4423</t>
  </si>
  <si>
    <t>E-4424</t>
  </si>
  <si>
    <t>E-4425</t>
  </si>
  <si>
    <t>E-4426</t>
  </si>
  <si>
    <t>E-4427</t>
  </si>
  <si>
    <t>E-4428</t>
  </si>
  <si>
    <t>E-4429</t>
  </si>
  <si>
    <t>E-4430</t>
  </si>
  <si>
    <t>E-4431</t>
  </si>
  <si>
    <t>E-4432</t>
  </si>
  <si>
    <t>E-4433</t>
  </si>
  <si>
    <t>E-4434</t>
  </si>
  <si>
    <t>E-4435</t>
  </si>
  <si>
    <t>E-4436</t>
  </si>
  <si>
    <t>E-4437</t>
  </si>
  <si>
    <t>E-4438</t>
  </si>
  <si>
    <t>E-4439</t>
  </si>
  <si>
    <t>E-4440</t>
  </si>
  <si>
    <t>E-4441</t>
  </si>
  <si>
    <t>E-4442</t>
  </si>
  <si>
    <t>E-4443</t>
  </si>
  <si>
    <t>E-4444</t>
  </si>
  <si>
    <t>E-4445</t>
  </si>
  <si>
    <t>E-4446</t>
  </si>
  <si>
    <t>E-4447</t>
  </si>
  <si>
    <t>E-4448</t>
  </si>
  <si>
    <t>E-4449</t>
  </si>
  <si>
    <t>E-4450</t>
  </si>
  <si>
    <t>E-4451</t>
  </si>
  <si>
    <t>E-4452</t>
  </si>
  <si>
    <t>E-4453</t>
  </si>
  <si>
    <t>E-4454</t>
  </si>
  <si>
    <t>E-4455</t>
  </si>
  <si>
    <t>E-4456</t>
  </si>
  <si>
    <t>E-4457</t>
  </si>
  <si>
    <t>E-4458</t>
  </si>
  <si>
    <t>E-4459</t>
  </si>
  <si>
    <t>E-4460</t>
  </si>
  <si>
    <t>E-4461</t>
  </si>
  <si>
    <t>E-4462</t>
  </si>
  <si>
    <t>E-4463</t>
  </si>
  <si>
    <t>E-4464</t>
  </si>
  <si>
    <t>E-4465</t>
  </si>
  <si>
    <t>E-4466</t>
  </si>
  <si>
    <t>E-4467</t>
  </si>
  <si>
    <t>E-4468</t>
  </si>
  <si>
    <t>E-4469</t>
  </si>
  <si>
    <t>E-4470</t>
  </si>
  <si>
    <t>E-4471</t>
  </si>
  <si>
    <t>E-4472</t>
  </si>
  <si>
    <t>E-4473</t>
  </si>
  <si>
    <t>E-4474</t>
  </si>
  <si>
    <t>E-4475</t>
  </si>
  <si>
    <t>E-4476</t>
  </si>
  <si>
    <t>E-4477</t>
  </si>
  <si>
    <t>E-4478</t>
  </si>
  <si>
    <t>E-4479</t>
  </si>
  <si>
    <t>E-4480</t>
  </si>
  <si>
    <t>E-4481</t>
  </si>
  <si>
    <t>E-4482</t>
  </si>
  <si>
    <t>E-4483</t>
  </si>
  <si>
    <t>E-4484</t>
  </si>
  <si>
    <t>E-4485</t>
  </si>
  <si>
    <t>E-4486</t>
  </si>
  <si>
    <t>E-4487</t>
  </si>
  <si>
    <t>E-4488</t>
  </si>
  <si>
    <t>E-4489</t>
  </si>
  <si>
    <t>E-4490</t>
  </si>
  <si>
    <t>E-4491</t>
  </si>
  <si>
    <t>E-4492</t>
  </si>
  <si>
    <t>E-4493</t>
  </si>
  <si>
    <t>E-4494</t>
  </si>
  <si>
    <t>E-4495</t>
  </si>
  <si>
    <t>E-4496</t>
  </si>
  <si>
    <t>E-4497</t>
  </si>
  <si>
    <t>E-4498</t>
  </si>
  <si>
    <t>E-4499</t>
  </si>
  <si>
    <t>E-4500</t>
  </si>
  <si>
    <t>E-4501</t>
  </si>
  <si>
    <t>E-4502</t>
  </si>
  <si>
    <t>E-4503</t>
  </si>
  <si>
    <t>E-4504</t>
  </si>
  <si>
    <t>E-4505</t>
  </si>
  <si>
    <t>E-4506</t>
  </si>
  <si>
    <t>E-4507</t>
  </si>
  <si>
    <t>E-4508</t>
  </si>
  <si>
    <t>E-4509</t>
  </si>
  <si>
    <t>E-4510</t>
  </si>
  <si>
    <t>E-4511</t>
  </si>
  <si>
    <t>E-4512</t>
  </si>
  <si>
    <t>E-4513</t>
  </si>
  <si>
    <t>E-4514</t>
  </si>
  <si>
    <t>E-4515</t>
  </si>
  <si>
    <t>E-4516</t>
  </si>
  <si>
    <t>E-4517</t>
  </si>
  <si>
    <t>E-4518</t>
  </si>
  <si>
    <t>E-4519</t>
  </si>
  <si>
    <t>E-4520</t>
  </si>
  <si>
    <t>E-4521</t>
  </si>
  <si>
    <t>E-4522</t>
  </si>
  <si>
    <t>E-4523</t>
  </si>
  <si>
    <t>E-4524</t>
  </si>
  <si>
    <t>E-4525</t>
  </si>
  <si>
    <t>E-4526</t>
  </si>
  <si>
    <t>E-4527</t>
  </si>
  <si>
    <t>E-4528</t>
  </si>
  <si>
    <t>E-4529</t>
  </si>
  <si>
    <t>E-4530</t>
  </si>
  <si>
    <t>E-4531</t>
  </si>
  <si>
    <t>E-4532</t>
  </si>
  <si>
    <t>E-4533</t>
  </si>
  <si>
    <t>E-4534</t>
  </si>
  <si>
    <t>E-4535</t>
  </si>
  <si>
    <t>E-4536</t>
  </si>
  <si>
    <t>E-4537</t>
  </si>
  <si>
    <t>E-4538</t>
  </si>
  <si>
    <t>E-4539</t>
  </si>
  <si>
    <t>E-4540</t>
  </si>
  <si>
    <t>E-4541</t>
  </si>
  <si>
    <t>E-4542</t>
  </si>
  <si>
    <t>E-4543</t>
  </si>
  <si>
    <t>E-4544</t>
  </si>
  <si>
    <t>E-4545</t>
  </si>
  <si>
    <t>E-4546</t>
  </si>
  <si>
    <t>E-4547</t>
  </si>
  <si>
    <t>E-4548</t>
  </si>
  <si>
    <t>E-4549</t>
  </si>
  <si>
    <t>E-4550</t>
  </si>
  <si>
    <t>E-4551</t>
  </si>
  <si>
    <t>E-4552</t>
  </si>
  <si>
    <t>E-4553</t>
  </si>
  <si>
    <t>E-4554</t>
  </si>
  <si>
    <t>E-4555</t>
  </si>
  <si>
    <t>E-4556</t>
  </si>
  <si>
    <t>E-4557</t>
  </si>
  <si>
    <t>E-4558</t>
  </si>
  <si>
    <t>E-4559</t>
  </si>
  <si>
    <t>E-4560</t>
  </si>
  <si>
    <t>E-4561</t>
  </si>
  <si>
    <t>E-4562</t>
  </si>
  <si>
    <t>E-4563</t>
  </si>
  <si>
    <t>E-4564</t>
  </si>
  <si>
    <t>E-4565</t>
  </si>
  <si>
    <t>E-4566</t>
  </si>
  <si>
    <t>E-4567</t>
  </si>
  <si>
    <t>E-4568</t>
  </si>
  <si>
    <t>E-4569</t>
  </si>
  <si>
    <t>E-4570</t>
  </si>
  <si>
    <t>E-4571</t>
  </si>
  <si>
    <t>E-4572</t>
  </si>
  <si>
    <t>E-4573</t>
  </si>
  <si>
    <t>E-4574</t>
  </si>
  <si>
    <t>E-4575</t>
  </si>
  <si>
    <t>E-4576</t>
  </si>
  <si>
    <t>E-4577</t>
  </si>
  <si>
    <t>E-4578</t>
  </si>
  <si>
    <t>E-4579</t>
  </si>
  <si>
    <t>E-4580</t>
  </si>
  <si>
    <t>E-4581</t>
  </si>
  <si>
    <t>E-4582</t>
  </si>
  <si>
    <t>E-4583</t>
  </si>
  <si>
    <t>E-4584</t>
  </si>
  <si>
    <t>E-4585</t>
  </si>
  <si>
    <t>E-4586</t>
  </si>
  <si>
    <t>E-4587</t>
  </si>
  <si>
    <t>E-4588</t>
  </si>
  <si>
    <t>E-4589</t>
  </si>
  <si>
    <t>E-4590</t>
  </si>
  <si>
    <t>E-4591</t>
  </si>
  <si>
    <t>E-4592</t>
  </si>
  <si>
    <t>E-4593</t>
  </si>
  <si>
    <t>E-4594</t>
  </si>
  <si>
    <t>E-4595</t>
  </si>
  <si>
    <t>E-4596</t>
  </si>
  <si>
    <t>E-4597</t>
  </si>
  <si>
    <t>E-4598</t>
  </si>
  <si>
    <t>E-4599</t>
  </si>
  <si>
    <t>E-4600</t>
  </si>
  <si>
    <t>E-4601</t>
  </si>
  <si>
    <t>E-4602</t>
  </si>
  <si>
    <t>E-4603</t>
  </si>
  <si>
    <t>E-4604</t>
  </si>
  <si>
    <t>E-4605</t>
  </si>
  <si>
    <t>E-4606</t>
  </si>
  <si>
    <t>E-4607</t>
  </si>
  <si>
    <t>E-4608</t>
  </si>
  <si>
    <t>E-4609</t>
  </si>
  <si>
    <t>E-4610</t>
  </si>
  <si>
    <t>E-4611</t>
  </si>
  <si>
    <t>E-4612</t>
  </si>
  <si>
    <t>E-4613</t>
  </si>
  <si>
    <t>E-4614</t>
  </si>
  <si>
    <t>E-4615</t>
  </si>
  <si>
    <t>E-4616</t>
  </si>
  <si>
    <t>E-4617</t>
  </si>
  <si>
    <t>E-4618</t>
  </si>
  <si>
    <t>E-4619</t>
  </si>
  <si>
    <t>E-4620</t>
  </si>
  <si>
    <t>E-4621</t>
  </si>
  <si>
    <t>E-4622</t>
  </si>
  <si>
    <t>E-4623</t>
  </si>
  <si>
    <t>E-4624</t>
  </si>
  <si>
    <t>E-4625</t>
  </si>
  <si>
    <t>E-4626</t>
  </si>
  <si>
    <t>E-4627</t>
  </si>
  <si>
    <t>E-4628</t>
  </si>
  <si>
    <t>E-4629</t>
  </si>
  <si>
    <t>E-4630</t>
  </si>
  <si>
    <t>E-4631</t>
  </si>
  <si>
    <t>E-4632</t>
  </si>
  <si>
    <t>E-4633</t>
  </si>
  <si>
    <t>E-4634</t>
  </si>
  <si>
    <t>E-4635</t>
  </si>
  <si>
    <t>E-4636</t>
  </si>
  <si>
    <t>E-4637</t>
  </si>
  <si>
    <t>E-4638</t>
  </si>
  <si>
    <t>E-4639</t>
  </si>
  <si>
    <t>E-4640</t>
  </si>
  <si>
    <t>E-4641</t>
  </si>
  <si>
    <t>E-4642</t>
  </si>
  <si>
    <t>E-4643</t>
  </si>
  <si>
    <t>E-4644</t>
  </si>
  <si>
    <t>E-4645</t>
  </si>
  <si>
    <t>E-4646</t>
  </si>
  <si>
    <t>E-4647</t>
  </si>
  <si>
    <t>E-4648</t>
  </si>
  <si>
    <t>E-4649</t>
  </si>
  <si>
    <t>E-4650</t>
  </si>
  <si>
    <t>E-4651</t>
  </si>
  <si>
    <t>E-4652</t>
  </si>
  <si>
    <t>E-4653</t>
  </si>
  <si>
    <t>E-4654</t>
  </si>
  <si>
    <t>E-4655</t>
  </si>
  <si>
    <t>E-4656</t>
  </si>
  <si>
    <t>E-4657</t>
  </si>
  <si>
    <t>E-4658</t>
  </si>
  <si>
    <t>E-4659</t>
  </si>
  <si>
    <t>E-4660</t>
  </si>
  <si>
    <t>E-4661</t>
  </si>
  <si>
    <t>E-4662</t>
  </si>
  <si>
    <t>E-4663</t>
  </si>
  <si>
    <t>E-4664</t>
  </si>
  <si>
    <t>E-4665</t>
  </si>
  <si>
    <t>E-4666</t>
  </si>
  <si>
    <t>E-4667</t>
  </si>
  <si>
    <t>E-4668</t>
  </si>
  <si>
    <t>E-4669</t>
  </si>
  <si>
    <t>E-4670</t>
  </si>
  <si>
    <t>E-4671</t>
  </si>
  <si>
    <t>E-4672</t>
  </si>
  <si>
    <t>E-4673</t>
  </si>
  <si>
    <t>E-4674</t>
  </si>
  <si>
    <t>E-4675</t>
  </si>
  <si>
    <t>E-4676</t>
  </si>
  <si>
    <t>E-4677</t>
  </si>
  <si>
    <t>E-4678</t>
  </si>
  <si>
    <t>E-4679</t>
  </si>
  <si>
    <t>E-4680</t>
  </si>
  <si>
    <t>E-4681</t>
  </si>
  <si>
    <t>E-4682</t>
  </si>
  <si>
    <t>E-4683</t>
  </si>
  <si>
    <t>E-4684</t>
  </si>
  <si>
    <t>E-4685</t>
  </si>
  <si>
    <t>E-4686</t>
  </si>
  <si>
    <t>E-4687</t>
  </si>
  <si>
    <t>E-4688</t>
  </si>
  <si>
    <t>E-4689</t>
  </si>
  <si>
    <t>E-4690</t>
  </si>
  <si>
    <t>E-4691</t>
  </si>
  <si>
    <t>E-4692</t>
  </si>
  <si>
    <t>E-4693</t>
  </si>
  <si>
    <t>E-4694</t>
  </si>
  <si>
    <t>E-4695</t>
  </si>
  <si>
    <t>E-4696</t>
  </si>
  <si>
    <t>E-4697</t>
  </si>
  <si>
    <t>E-4698</t>
  </si>
  <si>
    <t>E-4699</t>
  </si>
  <si>
    <t>E-4700</t>
  </si>
  <si>
    <t>E-4701</t>
  </si>
  <si>
    <t>E-4702</t>
  </si>
  <si>
    <t>E-4703</t>
  </si>
  <si>
    <t>E-4704</t>
  </si>
  <si>
    <t>E-4705</t>
  </si>
  <si>
    <t>E-4706</t>
  </si>
  <si>
    <t>E-4707</t>
  </si>
  <si>
    <t>E-4708</t>
  </si>
  <si>
    <t>E-4709</t>
  </si>
  <si>
    <t>E-4710</t>
  </si>
  <si>
    <t>E-4711</t>
  </si>
  <si>
    <t>E-4712</t>
  </si>
  <si>
    <t>E-4713</t>
  </si>
  <si>
    <t>E-4714</t>
  </si>
  <si>
    <t>E-4715</t>
  </si>
  <si>
    <t>E-4716</t>
  </si>
  <si>
    <t>E-4717</t>
  </si>
  <si>
    <t>E-4718</t>
  </si>
  <si>
    <t>E-4719</t>
  </si>
  <si>
    <t>E-4720</t>
  </si>
  <si>
    <t>E-4721</t>
  </si>
  <si>
    <t>E-4722</t>
  </si>
  <si>
    <t>E-4723</t>
  </si>
  <si>
    <t>E-4724</t>
  </si>
  <si>
    <t>E-4725</t>
  </si>
  <si>
    <t>E-4726</t>
  </si>
  <si>
    <t>E-4727</t>
  </si>
  <si>
    <t>E-4728</t>
  </si>
  <si>
    <t>E-4729</t>
  </si>
  <si>
    <t>E-4730</t>
  </si>
  <si>
    <t>E-4731</t>
  </si>
  <si>
    <t>E-4732</t>
  </si>
  <si>
    <t>E-4733</t>
  </si>
  <si>
    <t>E-4734</t>
  </si>
  <si>
    <t>E-4735</t>
  </si>
  <si>
    <t>E-4736</t>
  </si>
  <si>
    <t>E-4737</t>
  </si>
  <si>
    <t>E-4738</t>
  </si>
  <si>
    <t>E-4739</t>
  </si>
  <si>
    <t>E-4740</t>
  </si>
  <si>
    <t>E-4741</t>
  </si>
  <si>
    <t>E-4742</t>
  </si>
  <si>
    <t>E-4743</t>
  </si>
  <si>
    <t>E-4744</t>
  </si>
  <si>
    <t>E-4745</t>
  </si>
  <si>
    <t>E-4746</t>
  </si>
  <si>
    <t>E-4747</t>
  </si>
  <si>
    <t>E-4748</t>
  </si>
  <si>
    <t>E-4749</t>
  </si>
  <si>
    <t>E-4750</t>
  </si>
  <si>
    <t>E-4751</t>
  </si>
  <si>
    <t>E-4752</t>
  </si>
  <si>
    <t>E-4753</t>
  </si>
  <si>
    <t>E-4754</t>
  </si>
  <si>
    <t>E-4755</t>
  </si>
  <si>
    <t>E-4756</t>
  </si>
  <si>
    <t>E-4757</t>
  </si>
  <si>
    <t>E-4758</t>
  </si>
  <si>
    <t>E-4759</t>
  </si>
  <si>
    <t>E-4760</t>
  </si>
  <si>
    <t>E-4761</t>
  </si>
  <si>
    <t>E-4762</t>
  </si>
  <si>
    <t>E-4763</t>
  </si>
  <si>
    <t>E-4764</t>
  </si>
  <si>
    <t>E-4765</t>
  </si>
  <si>
    <t>E-4766</t>
  </si>
  <si>
    <t>E-4767</t>
  </si>
  <si>
    <t>E-4768</t>
  </si>
  <si>
    <t>E-4769</t>
  </si>
  <si>
    <t>E-4770</t>
  </si>
  <si>
    <t>E-4771</t>
  </si>
  <si>
    <t>E-4772</t>
  </si>
  <si>
    <t>E-4773</t>
  </si>
  <si>
    <t>E-4774</t>
  </si>
  <si>
    <t>E-4775</t>
  </si>
  <si>
    <t>E-4776</t>
  </si>
  <si>
    <t>E-4777</t>
  </si>
  <si>
    <t>E-4778</t>
  </si>
  <si>
    <t>E-4779</t>
  </si>
  <si>
    <t>E-4780</t>
  </si>
  <si>
    <t>E-4781</t>
  </si>
  <si>
    <t>E-4782</t>
  </si>
  <si>
    <t>E-4783</t>
  </si>
  <si>
    <t>E-4784</t>
  </si>
  <si>
    <t>E-4785</t>
  </si>
  <si>
    <t>E-4786</t>
  </si>
  <si>
    <t>E-4787</t>
  </si>
  <si>
    <t>E-4788</t>
  </si>
  <si>
    <t>E-4789</t>
  </si>
  <si>
    <t>E-4790</t>
  </si>
  <si>
    <t>E-4791</t>
  </si>
  <si>
    <t>E-4792</t>
  </si>
  <si>
    <t>E-4793</t>
  </si>
  <si>
    <t>E-4794</t>
  </si>
  <si>
    <t>E-4795</t>
  </si>
  <si>
    <t>E-4796</t>
  </si>
  <si>
    <t>E-4797</t>
  </si>
  <si>
    <t>E-4798</t>
  </si>
  <si>
    <t>E-4799</t>
  </si>
  <si>
    <t>E-4800</t>
  </si>
  <si>
    <t>E-4801</t>
  </si>
  <si>
    <t>E-4802</t>
  </si>
  <si>
    <t>E-4803</t>
  </si>
  <si>
    <t>E-4804</t>
  </si>
  <si>
    <t>E-4805</t>
  </si>
  <si>
    <t>E-4806</t>
  </si>
  <si>
    <t>E-4807</t>
  </si>
  <si>
    <t>E-4808</t>
  </si>
  <si>
    <t>E-4809</t>
  </si>
  <si>
    <t>E-4810</t>
  </si>
  <si>
    <t>E-4811</t>
  </si>
  <si>
    <t>E-4812</t>
  </si>
  <si>
    <t>E-4813</t>
  </si>
  <si>
    <t>E-4814</t>
  </si>
  <si>
    <t>E-4815</t>
  </si>
  <si>
    <t>E-4816</t>
  </si>
  <si>
    <t>E-4817</t>
  </si>
  <si>
    <t>E-4818</t>
  </si>
  <si>
    <t>E-4819</t>
  </si>
  <si>
    <t>E-4820</t>
  </si>
  <si>
    <t>E-4821</t>
  </si>
  <si>
    <t>E-4822</t>
  </si>
  <si>
    <t>E-4823</t>
  </si>
  <si>
    <t>E-4824</t>
  </si>
  <si>
    <t>E-4825</t>
  </si>
  <si>
    <t>E-4826</t>
  </si>
  <si>
    <t>E-4827</t>
  </si>
  <si>
    <t>E-4828</t>
  </si>
  <si>
    <t>E-4829</t>
  </si>
  <si>
    <t>E-4830</t>
  </si>
  <si>
    <t>E-4831</t>
  </si>
  <si>
    <t>E-4832</t>
  </si>
  <si>
    <t>E-4833</t>
  </si>
  <si>
    <t>E-4834</t>
  </si>
  <si>
    <t>E-4835</t>
  </si>
  <si>
    <t>E-4836</t>
  </si>
  <si>
    <t>E-4837</t>
  </si>
  <si>
    <t>E-4838</t>
  </si>
  <si>
    <t>E-4839</t>
  </si>
  <si>
    <t>E-4840</t>
  </si>
  <si>
    <t>E-4841</t>
  </si>
  <si>
    <t>E-4842</t>
  </si>
  <si>
    <t>E-4843</t>
  </si>
  <si>
    <t>E-4844</t>
  </si>
  <si>
    <t>E-4845</t>
  </si>
  <si>
    <t>E-4846</t>
  </si>
  <si>
    <t>E-4847</t>
  </si>
  <si>
    <t>E-4848</t>
  </si>
  <si>
    <t>E-4849</t>
  </si>
  <si>
    <t>E-4850</t>
  </si>
  <si>
    <t>E-4851</t>
  </si>
  <si>
    <t>E-4852</t>
  </si>
  <si>
    <t>E-4853</t>
  </si>
  <si>
    <t>E-4854</t>
  </si>
  <si>
    <t>E-4855</t>
  </si>
  <si>
    <t>E-4856</t>
  </si>
  <si>
    <t>E-4857</t>
  </si>
  <si>
    <t>E-4858</t>
  </si>
  <si>
    <t>E-4859</t>
  </si>
  <si>
    <t>E-4860</t>
  </si>
  <si>
    <t>E-4861</t>
  </si>
  <si>
    <t>E-4862</t>
  </si>
  <si>
    <t>E-4863</t>
  </si>
  <si>
    <t>E-4864</t>
  </si>
  <si>
    <t>E-4865</t>
  </si>
  <si>
    <t>E-4866</t>
  </si>
  <si>
    <t>E-4867</t>
  </si>
  <si>
    <t>E-4868</t>
  </si>
  <si>
    <t>E-4869</t>
  </si>
  <si>
    <t>E-4870</t>
  </si>
  <si>
    <t>E-4871</t>
  </si>
  <si>
    <t>E-4872</t>
  </si>
  <si>
    <t>E-4873</t>
  </si>
  <si>
    <t>E-4874</t>
  </si>
  <si>
    <t>E-4875</t>
  </si>
  <si>
    <t>E-4876</t>
  </si>
  <si>
    <t>E-4877</t>
  </si>
  <si>
    <t>E-4878</t>
  </si>
  <si>
    <t>E-4879</t>
  </si>
  <si>
    <t>E-4880</t>
  </si>
  <si>
    <t>E-4881</t>
  </si>
  <si>
    <t>E-4882</t>
  </si>
  <si>
    <t>E-4883</t>
  </si>
  <si>
    <t>E-4884</t>
  </si>
  <si>
    <t>E-4885</t>
  </si>
  <si>
    <t>E-4886</t>
  </si>
  <si>
    <t>E-4887</t>
  </si>
  <si>
    <t>E-4888</t>
  </si>
  <si>
    <t>E-4889</t>
  </si>
  <si>
    <t>E-4890</t>
  </si>
  <si>
    <t>E-4891</t>
  </si>
  <si>
    <t>E-4892</t>
  </si>
  <si>
    <t>E-4893</t>
  </si>
  <si>
    <t>E-4894</t>
  </si>
  <si>
    <t>E-4895</t>
  </si>
  <si>
    <t>E-4896</t>
  </si>
  <si>
    <t>E-4897</t>
  </si>
  <si>
    <t>E-4898</t>
  </si>
  <si>
    <t>E-4899</t>
  </si>
  <si>
    <t>E-4900</t>
  </si>
  <si>
    <t>E-4901</t>
  </si>
  <si>
    <t>E-4902</t>
  </si>
  <si>
    <t>E-4903</t>
  </si>
  <si>
    <t>E-4904</t>
  </si>
  <si>
    <t>E-4905</t>
  </si>
  <si>
    <t>E-4906</t>
  </si>
  <si>
    <t>E-4907</t>
  </si>
  <si>
    <t>E-4908</t>
  </si>
  <si>
    <t>E-4909</t>
  </si>
  <si>
    <t>E-4910</t>
  </si>
  <si>
    <t>E-4911</t>
  </si>
  <si>
    <t>E-4912</t>
  </si>
  <si>
    <t>E-4913</t>
  </si>
  <si>
    <t>E-4914</t>
  </si>
  <si>
    <t>E-4915</t>
  </si>
  <si>
    <t>E-4916</t>
  </si>
  <si>
    <t>E-4917</t>
  </si>
  <si>
    <t>E-4918</t>
  </si>
  <si>
    <t>E-4919</t>
  </si>
  <si>
    <t>E-4920</t>
  </si>
  <si>
    <t>E-4921</t>
  </si>
  <si>
    <t>E-4922</t>
  </si>
  <si>
    <t>E-4923</t>
  </si>
  <si>
    <t>E-4924</t>
  </si>
  <si>
    <t>E-4925</t>
  </si>
  <si>
    <t>E-4926</t>
  </si>
  <si>
    <t>E-4927</t>
  </si>
  <si>
    <t>E-4928</t>
  </si>
  <si>
    <t>E-4929</t>
  </si>
  <si>
    <t>E-4930</t>
  </si>
  <si>
    <t>E-4931</t>
  </si>
  <si>
    <t>E-4932</t>
  </si>
  <si>
    <t>E-4933</t>
  </si>
  <si>
    <t>E-4934</t>
  </si>
  <si>
    <t>E-4935</t>
  </si>
  <si>
    <t>E-4936</t>
  </si>
  <si>
    <t>E-4937</t>
  </si>
  <si>
    <t>E-4938</t>
  </si>
  <si>
    <t>E-4939</t>
  </si>
  <si>
    <t>E-4940</t>
  </si>
  <si>
    <t>E-4941</t>
  </si>
  <si>
    <t>E-4942</t>
  </si>
  <si>
    <t>E-4943</t>
  </si>
  <si>
    <t>E-4944</t>
  </si>
  <si>
    <t>E-4945</t>
  </si>
  <si>
    <t>E-4946</t>
  </si>
  <si>
    <t>E-4947</t>
  </si>
  <si>
    <t>E-4948</t>
  </si>
  <si>
    <t>E-4949</t>
  </si>
  <si>
    <t>E-4950</t>
  </si>
  <si>
    <t>E-4951</t>
  </si>
  <si>
    <t>E-4952</t>
  </si>
  <si>
    <t>E-4953</t>
  </si>
  <si>
    <t>E-4954</t>
  </si>
  <si>
    <t>E-4955</t>
  </si>
  <si>
    <t>E-4956</t>
  </si>
  <si>
    <t>E-4957</t>
  </si>
  <si>
    <t>E-4958</t>
  </si>
  <si>
    <t>E-4959</t>
  </si>
  <si>
    <t>E-4960</t>
  </si>
  <si>
    <t>E-4961</t>
  </si>
  <si>
    <t>E-4962</t>
  </si>
  <si>
    <t>E-4963</t>
  </si>
  <si>
    <t>E-4964</t>
  </si>
  <si>
    <t>E-4965</t>
  </si>
  <si>
    <t>E-4966</t>
  </si>
  <si>
    <t>E-4967</t>
  </si>
  <si>
    <t>E-4968</t>
  </si>
  <si>
    <t>E-4969</t>
  </si>
  <si>
    <t>E-4970</t>
  </si>
  <si>
    <t>E-4971</t>
  </si>
  <si>
    <t>E-4972</t>
  </si>
  <si>
    <t>E-4973</t>
  </si>
  <si>
    <t>E-4974</t>
  </si>
  <si>
    <t>E-4975</t>
  </si>
  <si>
    <t>E-4976</t>
  </si>
  <si>
    <t>E-4977</t>
  </si>
  <si>
    <t>E-4978</t>
  </si>
  <si>
    <t>E-4979</t>
  </si>
  <si>
    <t>E-4980</t>
  </si>
  <si>
    <t>E-4981</t>
  </si>
  <si>
    <t>E-4982</t>
  </si>
  <si>
    <t>E-4983</t>
  </si>
  <si>
    <t>E-4984</t>
  </si>
  <si>
    <t>E-4985</t>
  </si>
  <si>
    <t>E-4986</t>
  </si>
  <si>
    <t>E-4987</t>
  </si>
  <si>
    <t>E-4988</t>
  </si>
  <si>
    <t>E-4989</t>
  </si>
  <si>
    <t>E-4990</t>
  </si>
  <si>
    <t>E-4991</t>
  </si>
  <si>
    <t>E-4992</t>
  </si>
  <si>
    <t>E-4993</t>
  </si>
  <si>
    <t>E-4994</t>
  </si>
  <si>
    <t>E-4995</t>
  </si>
  <si>
    <t>E-4996</t>
  </si>
  <si>
    <t>E-4997</t>
  </si>
  <si>
    <t>E-4998</t>
  </si>
  <si>
    <t>E-4999</t>
  </si>
  <si>
    <t>E-5000</t>
  </si>
  <si>
    <t>E-5001</t>
  </si>
  <si>
    <t>E-5002</t>
  </si>
  <si>
    <t>E-5003</t>
  </si>
  <si>
    <t>E-5004</t>
  </si>
  <si>
    <t>E-5005</t>
  </si>
  <si>
    <t>E-5006</t>
  </si>
  <si>
    <t>E-5007</t>
  </si>
  <si>
    <t>E-5008</t>
  </si>
  <si>
    <t>E-5009</t>
  </si>
  <si>
    <t>E-5010</t>
  </si>
  <si>
    <t>E-5011</t>
  </si>
  <si>
    <t>E-5012</t>
  </si>
  <si>
    <t>E-5013</t>
  </si>
  <si>
    <t>E-5014</t>
  </si>
  <si>
    <t>E-5015</t>
  </si>
  <si>
    <t>E-5016</t>
  </si>
  <si>
    <t>E-5017</t>
  </si>
  <si>
    <t>E-5018</t>
  </si>
  <si>
    <t>E-5019</t>
  </si>
  <si>
    <t>E-5020</t>
  </si>
  <si>
    <t>E-5021</t>
  </si>
  <si>
    <t>E-5022</t>
  </si>
  <si>
    <t>E-5023</t>
  </si>
  <si>
    <t>E-5024</t>
  </si>
  <si>
    <t>E-5025</t>
  </si>
  <si>
    <t>E-5026</t>
  </si>
  <si>
    <t>E-5027</t>
  </si>
  <si>
    <t>E-5028</t>
  </si>
  <si>
    <t>E-5029</t>
  </si>
  <si>
    <t>E-5030</t>
  </si>
  <si>
    <t>E-5031</t>
  </si>
  <si>
    <t>E-5032</t>
  </si>
  <si>
    <t>E-5033</t>
  </si>
  <si>
    <t>E-5034</t>
  </si>
  <si>
    <t>E-5035</t>
  </si>
  <si>
    <t>E-5036</t>
  </si>
  <si>
    <t>E-5037</t>
  </si>
  <si>
    <t>E-5038</t>
  </si>
  <si>
    <t>E-5039</t>
  </si>
  <si>
    <t>E-5040</t>
  </si>
  <si>
    <t>E-5041</t>
  </si>
  <si>
    <t>E-5042</t>
  </si>
  <si>
    <t>E-5043</t>
  </si>
  <si>
    <t>E-5044</t>
  </si>
  <si>
    <t>E-5045</t>
  </si>
  <si>
    <t>E-5046</t>
  </si>
  <si>
    <t>E-5047</t>
  </si>
  <si>
    <t>E-5048</t>
  </si>
  <si>
    <t>E-5049</t>
  </si>
  <si>
    <t>E-5050</t>
  </si>
  <si>
    <t>E-5051</t>
  </si>
  <si>
    <t>E-5052</t>
  </si>
  <si>
    <t>E-5053</t>
  </si>
  <si>
    <t>E-5054</t>
  </si>
  <si>
    <t>E-5055</t>
  </si>
  <si>
    <t>E-5056</t>
  </si>
  <si>
    <t>E-5057</t>
  </si>
  <si>
    <t>E-5058</t>
  </si>
  <si>
    <t>E-5059</t>
  </si>
  <si>
    <t>E-5060</t>
  </si>
  <si>
    <t>E-5061</t>
  </si>
  <si>
    <t>E-5062</t>
  </si>
  <si>
    <t>E-5063</t>
  </si>
  <si>
    <t>E-5064</t>
  </si>
  <si>
    <t>E-5065</t>
  </si>
  <si>
    <t>E-5066</t>
  </si>
  <si>
    <t>E-5067</t>
  </si>
  <si>
    <t>E-5068</t>
  </si>
  <si>
    <t>E-5069</t>
  </si>
  <si>
    <t>E-5070</t>
  </si>
  <si>
    <t>E-5071</t>
  </si>
  <si>
    <t>E-5072</t>
  </si>
  <si>
    <t>E-5073</t>
  </si>
  <si>
    <t>E-5074</t>
  </si>
  <si>
    <t>E-5075</t>
  </si>
  <si>
    <t>E-5076</t>
  </si>
  <si>
    <t>E-5077</t>
  </si>
  <si>
    <t>E-5078</t>
  </si>
  <si>
    <t>E-5079</t>
  </si>
  <si>
    <t>E-5080</t>
  </si>
  <si>
    <t>E-5081</t>
  </si>
  <si>
    <t>E-5082</t>
  </si>
  <si>
    <t>E-5083</t>
  </si>
  <si>
    <t>E-5084</t>
  </si>
  <si>
    <t>E-5085</t>
  </si>
  <si>
    <t>E-5086</t>
  </si>
  <si>
    <t>E-5087</t>
  </si>
  <si>
    <t>E-5088</t>
  </si>
  <si>
    <t>E-5089</t>
  </si>
  <si>
    <t>E-5090</t>
  </si>
  <si>
    <t>E-5091</t>
  </si>
  <si>
    <t>E-5092</t>
  </si>
  <si>
    <t>E-5093</t>
  </si>
  <si>
    <t>E-5094</t>
  </si>
  <si>
    <t>E-5095</t>
  </si>
  <si>
    <t>E-5096</t>
  </si>
  <si>
    <t>E-5097</t>
  </si>
  <si>
    <t>E-5098</t>
  </si>
  <si>
    <t>E-5099</t>
  </si>
  <si>
    <t>E-5100</t>
  </si>
  <si>
    <t>E-5101</t>
  </si>
  <si>
    <t>E-5102</t>
  </si>
  <si>
    <t>E-5103</t>
  </si>
  <si>
    <t>E-5104</t>
  </si>
  <si>
    <t>E-5105</t>
  </si>
  <si>
    <t>E-5106</t>
  </si>
  <si>
    <t>E-5107</t>
  </si>
  <si>
    <t>E-5108</t>
  </si>
  <si>
    <t>E-5109</t>
  </si>
  <si>
    <t>E-5110</t>
  </si>
  <si>
    <t>E-5111</t>
  </si>
  <si>
    <t>E-5112</t>
  </si>
  <si>
    <t>E-5113</t>
  </si>
  <si>
    <t>E-5114</t>
  </si>
  <si>
    <t>E-5115</t>
  </si>
  <si>
    <t>E-5116</t>
  </si>
  <si>
    <t>E-5117</t>
  </si>
  <si>
    <t>E-5118</t>
  </si>
  <si>
    <t>E-5119</t>
  </si>
  <si>
    <t>E-5120</t>
  </si>
  <si>
    <t>E-5121</t>
  </si>
  <si>
    <t>E-5122</t>
  </si>
  <si>
    <t>E-5123</t>
  </si>
  <si>
    <t>E-5124</t>
  </si>
  <si>
    <t>E-5125</t>
  </si>
  <si>
    <t>E-5126</t>
  </si>
  <si>
    <t>E-5127</t>
  </si>
  <si>
    <t>E-5128</t>
  </si>
  <si>
    <t>E-5129</t>
  </si>
  <si>
    <t>E-5130</t>
  </si>
  <si>
    <t>E-5131</t>
  </si>
  <si>
    <t>E-5132</t>
  </si>
  <si>
    <t>E-5133</t>
  </si>
  <si>
    <t>E-5134</t>
  </si>
  <si>
    <t>E-5135</t>
  </si>
  <si>
    <t>E-5136</t>
  </si>
  <si>
    <t>E-5137</t>
  </si>
  <si>
    <t>E-5138</t>
  </si>
  <si>
    <t>E-5139</t>
  </si>
  <si>
    <t>E-5140</t>
  </si>
  <si>
    <t>E-5141</t>
  </si>
  <si>
    <t>E-5142</t>
  </si>
  <si>
    <t>E-5143</t>
  </si>
  <si>
    <t>E-5144</t>
  </si>
  <si>
    <t>E-5145</t>
  </si>
  <si>
    <t>E-5146</t>
  </si>
  <si>
    <t>E-5147</t>
  </si>
  <si>
    <t>E-5148</t>
  </si>
  <si>
    <t>E-5149</t>
  </si>
  <si>
    <t>E-5150</t>
  </si>
  <si>
    <t>E-5151</t>
  </si>
  <si>
    <t>E-5152</t>
  </si>
  <si>
    <t>E-5153</t>
  </si>
  <si>
    <t>E-5154</t>
  </si>
  <si>
    <t>E-5155</t>
  </si>
  <si>
    <t>E-5156</t>
  </si>
  <si>
    <t>E-5157</t>
  </si>
  <si>
    <t>E-5158</t>
  </si>
  <si>
    <t>E-5159</t>
  </si>
  <si>
    <t>E-5160</t>
  </si>
  <si>
    <t>E-5161</t>
  </si>
  <si>
    <t>E-5162</t>
  </si>
  <si>
    <t>E-5163</t>
  </si>
  <si>
    <t>E-5164</t>
  </si>
  <si>
    <t>E-5165</t>
  </si>
  <si>
    <t>E-5166</t>
  </si>
  <si>
    <t>E-5167</t>
  </si>
  <si>
    <t>E-5168</t>
  </si>
  <si>
    <t>E-5169</t>
  </si>
  <si>
    <t>E-5170</t>
  </si>
  <si>
    <t>E-5171</t>
  </si>
  <si>
    <t>E-5172</t>
  </si>
  <si>
    <t>E-5173</t>
  </si>
  <si>
    <t>E-5174</t>
  </si>
  <si>
    <t>E-5175</t>
  </si>
  <si>
    <t>E-5176</t>
  </si>
  <si>
    <t>E-5177</t>
  </si>
  <si>
    <t>E-5178</t>
  </si>
  <si>
    <t>E-5179</t>
  </si>
  <si>
    <t>E-5180</t>
  </si>
  <si>
    <t>E-5181</t>
  </si>
  <si>
    <t>E-5182</t>
  </si>
  <si>
    <t>E-5183</t>
  </si>
  <si>
    <t>E-5184</t>
  </si>
  <si>
    <t>E-5185</t>
  </si>
  <si>
    <t>E-5186</t>
  </si>
  <si>
    <t>E-5187</t>
  </si>
  <si>
    <t>E-5188</t>
  </si>
  <si>
    <t>E-5189</t>
  </si>
  <si>
    <t>E-5190</t>
  </si>
  <si>
    <t>E-5191</t>
  </si>
  <si>
    <t>E-5192</t>
  </si>
  <si>
    <t>E-5193</t>
  </si>
  <si>
    <t>E-5194</t>
  </si>
  <si>
    <t>E-5195</t>
  </si>
  <si>
    <t>E-5196</t>
  </si>
  <si>
    <t>E-5197</t>
  </si>
  <si>
    <t>E-5198</t>
  </si>
  <si>
    <t>E-5199</t>
  </si>
  <si>
    <t>E-5200</t>
  </si>
  <si>
    <t>E-5201</t>
  </si>
  <si>
    <t>E-5202</t>
  </si>
  <si>
    <t>E-5203</t>
  </si>
  <si>
    <t>E-5204</t>
  </si>
  <si>
    <t>E-5205</t>
  </si>
  <si>
    <t>E-5206</t>
  </si>
  <si>
    <t>E-5207</t>
  </si>
  <si>
    <t>E-5208</t>
  </si>
  <si>
    <t>E-5209</t>
  </si>
  <si>
    <t>E-5210</t>
  </si>
  <si>
    <t>E-5211</t>
  </si>
  <si>
    <t>E-5212</t>
  </si>
  <si>
    <t>E-5213</t>
  </si>
  <si>
    <t>E-5214</t>
  </si>
  <si>
    <t>E-5215</t>
  </si>
  <si>
    <t>E-5216</t>
  </si>
  <si>
    <t>E-5217</t>
  </si>
  <si>
    <t>E-5218</t>
  </si>
  <si>
    <t>E-5219</t>
  </si>
  <si>
    <t>E-5220</t>
  </si>
  <si>
    <t>E-5221</t>
  </si>
  <si>
    <t>E-5222</t>
  </si>
  <si>
    <t>E-5223</t>
  </si>
  <si>
    <t>E-5224</t>
  </si>
  <si>
    <t>E-5225</t>
  </si>
  <si>
    <t>E-5226</t>
  </si>
  <si>
    <t>E-5227</t>
  </si>
  <si>
    <t>E-5228</t>
  </si>
  <si>
    <t>E-5229</t>
  </si>
  <si>
    <t>E-5230</t>
  </si>
  <si>
    <t>E-5231</t>
  </si>
  <si>
    <t>E-5232</t>
  </si>
  <si>
    <t>E-5233</t>
  </si>
  <si>
    <t>E-5234</t>
  </si>
  <si>
    <t>E-5235</t>
  </si>
  <si>
    <t>E-5236</t>
  </si>
  <si>
    <t>E-5237</t>
  </si>
  <si>
    <t>E-5238</t>
  </si>
  <si>
    <t>E-5239</t>
  </si>
  <si>
    <t>E-5240</t>
  </si>
  <si>
    <t>E-5241</t>
  </si>
  <si>
    <t>E-5242</t>
  </si>
  <si>
    <t>E-5243</t>
  </si>
  <si>
    <t>E-5244</t>
  </si>
  <si>
    <t>E-5245</t>
  </si>
  <si>
    <t>E-5246</t>
  </si>
  <si>
    <t>E-5247</t>
  </si>
  <si>
    <t>E-5248</t>
  </si>
  <si>
    <t>E-5249</t>
  </si>
  <si>
    <t>E-5250</t>
  </si>
  <si>
    <t>E-5251</t>
  </si>
  <si>
    <t>E-5252</t>
  </si>
  <si>
    <t>E-5253</t>
  </si>
  <si>
    <t>E-5254</t>
  </si>
  <si>
    <t>E-5255</t>
  </si>
  <si>
    <t>E-5256</t>
  </si>
  <si>
    <t>E-5257</t>
  </si>
  <si>
    <t>E-5258</t>
  </si>
  <si>
    <t>E-5259</t>
  </si>
  <si>
    <t>E-5260</t>
  </si>
  <si>
    <t>E-5261</t>
  </si>
  <si>
    <t>E-5262</t>
  </si>
  <si>
    <t>E-5263</t>
  </si>
  <si>
    <t>E-5264</t>
  </si>
  <si>
    <t>E-5265</t>
  </si>
  <si>
    <t>E-5266</t>
  </si>
  <si>
    <t>E-5267</t>
  </si>
  <si>
    <t>E-5268</t>
  </si>
  <si>
    <t>E-5269</t>
  </si>
  <si>
    <t>E-5270</t>
  </si>
  <si>
    <t>E-5271</t>
  </si>
  <si>
    <t>E-5272</t>
  </si>
  <si>
    <t>E-5273</t>
  </si>
  <si>
    <t>E-5274</t>
  </si>
  <si>
    <t>E-5275</t>
  </si>
  <si>
    <t>E-5276</t>
  </si>
  <si>
    <t>E-5277</t>
  </si>
  <si>
    <t>E-5278</t>
  </si>
  <si>
    <t>E-5279</t>
  </si>
  <si>
    <t>E-5280</t>
  </si>
  <si>
    <t>E-5281</t>
  </si>
  <si>
    <t>E-5282</t>
  </si>
  <si>
    <t>E-5283</t>
  </si>
  <si>
    <t>E-5284</t>
  </si>
  <si>
    <t>E-5285</t>
  </si>
  <si>
    <t>E-5286</t>
  </si>
  <si>
    <t>E-5287</t>
  </si>
  <si>
    <t>E-5288</t>
  </si>
  <si>
    <t>E-5289</t>
  </si>
  <si>
    <t>E-5290</t>
  </si>
  <si>
    <t>E-5291</t>
  </si>
  <si>
    <t>E-5292</t>
  </si>
  <si>
    <t>E-5293</t>
  </si>
  <si>
    <t>E-5294</t>
  </si>
  <si>
    <t>E-5295</t>
  </si>
  <si>
    <t>E-5296</t>
  </si>
  <si>
    <t>E-5297</t>
  </si>
  <si>
    <t>E-5298</t>
  </si>
  <si>
    <t>E-5299</t>
  </si>
  <si>
    <t>E-5300</t>
  </si>
  <si>
    <t>E-5301</t>
  </si>
  <si>
    <t>E-5302</t>
  </si>
  <si>
    <t>E-5303</t>
  </si>
  <si>
    <t>E-5304</t>
  </si>
  <si>
    <t>E-5305</t>
  </si>
  <si>
    <t>E-5306</t>
  </si>
  <si>
    <t>E-5307</t>
  </si>
  <si>
    <t>E-5308</t>
  </si>
  <si>
    <t>E-5309</t>
  </si>
  <si>
    <t>E-5310</t>
  </si>
  <si>
    <t>E-5311</t>
  </si>
  <si>
    <t>E-5312</t>
  </si>
  <si>
    <t>E-5313</t>
  </si>
  <si>
    <t>E-5314</t>
  </si>
  <si>
    <t>E-5315</t>
  </si>
  <si>
    <t>E-5316</t>
  </si>
  <si>
    <t>E-5317</t>
  </si>
  <si>
    <t>E-5318</t>
  </si>
  <si>
    <t>E-5319</t>
  </si>
  <si>
    <t>E-5320</t>
  </si>
  <si>
    <t>E-5321</t>
  </si>
  <si>
    <t>E-5322</t>
  </si>
  <si>
    <t>E-5323</t>
  </si>
  <si>
    <t>E-5324</t>
  </si>
  <si>
    <t>E-5325</t>
  </si>
  <si>
    <t>E-5326</t>
  </si>
  <si>
    <t>E-5327</t>
  </si>
  <si>
    <t>E-5328</t>
  </si>
  <si>
    <t>E-5329</t>
  </si>
  <si>
    <t>E-5330</t>
  </si>
  <si>
    <t>E-5331</t>
  </si>
  <si>
    <t>E-5332</t>
  </si>
  <si>
    <t>E-5333</t>
  </si>
  <si>
    <t>E-5334</t>
  </si>
  <si>
    <t>E-5335</t>
  </si>
  <si>
    <t>E-5336</t>
  </si>
  <si>
    <t>E-5337</t>
  </si>
  <si>
    <t>E-5338</t>
  </si>
  <si>
    <t>E-5339</t>
  </si>
  <si>
    <t>E-5340</t>
  </si>
  <si>
    <t>E-5341</t>
  </si>
  <si>
    <t>E-5342</t>
  </si>
  <si>
    <t>E-5343</t>
  </si>
  <si>
    <t>E-5344</t>
  </si>
  <si>
    <t>E-5345</t>
  </si>
  <si>
    <t>E-5346</t>
  </si>
  <si>
    <t>E-5347</t>
  </si>
  <si>
    <t>E-5348</t>
  </si>
  <si>
    <t>E-5349</t>
  </si>
  <si>
    <t>E-5350</t>
  </si>
  <si>
    <t>E-5351</t>
  </si>
  <si>
    <t>E-5352</t>
  </si>
  <si>
    <t>E-5353</t>
  </si>
  <si>
    <t>E-5354</t>
  </si>
  <si>
    <t>E-5355</t>
  </si>
  <si>
    <t>E-5356</t>
  </si>
  <si>
    <t>E-5357</t>
  </si>
  <si>
    <t>E-5358</t>
  </si>
  <si>
    <t>E-5359</t>
  </si>
  <si>
    <t>E-5360</t>
  </si>
  <si>
    <t>E-5361</t>
  </si>
  <si>
    <t>E-5362</t>
  </si>
  <si>
    <t>E-5363</t>
  </si>
  <si>
    <t>E-5364</t>
  </si>
  <si>
    <t>E-5365</t>
  </si>
  <si>
    <t>E-5366</t>
  </si>
  <si>
    <t>E-5367</t>
  </si>
  <si>
    <t>E-5368</t>
  </si>
  <si>
    <t>E-5369</t>
  </si>
  <si>
    <t>E-5370</t>
  </si>
  <si>
    <t>E-5371</t>
  </si>
  <si>
    <t>E-5372</t>
  </si>
  <si>
    <t>E-5373</t>
  </si>
  <si>
    <t>E-5374</t>
  </si>
  <si>
    <t>E-5375</t>
  </si>
  <si>
    <t>E-5376</t>
  </si>
  <si>
    <t>E-5377</t>
  </si>
  <si>
    <t>E-5378</t>
  </si>
  <si>
    <t>E-5379</t>
  </si>
  <si>
    <t>E-5380</t>
  </si>
  <si>
    <t>E-5381</t>
  </si>
  <si>
    <t>E-5382</t>
  </si>
  <si>
    <t>E-5383</t>
  </si>
  <si>
    <t>E-5384</t>
  </si>
  <si>
    <t>E-5385</t>
  </si>
  <si>
    <t>E-5386</t>
  </si>
  <si>
    <t>E-5387</t>
  </si>
  <si>
    <t>E-5388</t>
  </si>
  <si>
    <t>E-5389</t>
  </si>
  <si>
    <t>E-5390</t>
  </si>
  <si>
    <t>E-5391</t>
  </si>
  <si>
    <t>E-5392</t>
  </si>
  <si>
    <t>E-5393</t>
  </si>
  <si>
    <t>E-5394</t>
  </si>
  <si>
    <t>E-5395</t>
  </si>
  <si>
    <t>E-5396</t>
  </si>
  <si>
    <t>E-5397</t>
  </si>
  <si>
    <t>E-5398</t>
  </si>
  <si>
    <t>E-5399</t>
  </si>
  <si>
    <t>E-5400</t>
  </si>
  <si>
    <t>E-5401</t>
  </si>
  <si>
    <t>E-5402</t>
  </si>
  <si>
    <t>E-5403</t>
  </si>
  <si>
    <t>E-5404</t>
  </si>
  <si>
    <t>E-5405</t>
  </si>
  <si>
    <t>E-5406</t>
  </si>
  <si>
    <t>E-5407</t>
  </si>
  <si>
    <t>E-5408</t>
  </si>
  <si>
    <t>E-5409</t>
  </si>
  <si>
    <t>E-5410</t>
  </si>
  <si>
    <t>E-5411</t>
  </si>
  <si>
    <t>E-5412</t>
  </si>
  <si>
    <t>E-5413</t>
  </si>
  <si>
    <t>E-5414</t>
  </si>
  <si>
    <t>E-5415</t>
  </si>
  <si>
    <t>E-5416</t>
  </si>
  <si>
    <t>E-5417</t>
  </si>
  <si>
    <t>E-5418</t>
  </si>
  <si>
    <t>E-5419</t>
  </si>
  <si>
    <t>E-5420</t>
  </si>
  <si>
    <t>E-5421</t>
  </si>
  <si>
    <t>E-5422</t>
  </si>
  <si>
    <t>E-5423</t>
  </si>
  <si>
    <t>E-5424</t>
  </si>
  <si>
    <t>E-5425</t>
  </si>
  <si>
    <t>E-5426</t>
  </si>
  <si>
    <t>E-5427</t>
  </si>
  <si>
    <t>E-5428</t>
  </si>
  <si>
    <t>E-5429</t>
  </si>
  <si>
    <t>E-5430</t>
  </si>
  <si>
    <t>E-5431</t>
  </si>
  <si>
    <t>E-5432</t>
  </si>
  <si>
    <t>E-5433</t>
  </si>
  <si>
    <t>E-5434</t>
  </si>
  <si>
    <t>E-5435</t>
  </si>
  <si>
    <t>E-5436</t>
  </si>
  <si>
    <t>E-5437</t>
  </si>
  <si>
    <t>E-5438</t>
  </si>
  <si>
    <t>E-5439</t>
  </si>
  <si>
    <t>E-5440</t>
  </si>
  <si>
    <t>E-5441</t>
  </si>
  <si>
    <t>E-5442</t>
  </si>
  <si>
    <t>E-5443</t>
  </si>
  <si>
    <t>E-5444</t>
  </si>
  <si>
    <t>E-5445</t>
  </si>
  <si>
    <t>E-5446</t>
  </si>
  <si>
    <t>E-5447</t>
  </si>
  <si>
    <t>E-5448</t>
  </si>
  <si>
    <t>E-5449</t>
  </si>
  <si>
    <t>E-5450</t>
  </si>
  <si>
    <t>E-5451</t>
  </si>
  <si>
    <t>E-5452</t>
  </si>
  <si>
    <t>E-5453</t>
  </si>
  <si>
    <t>E-5454</t>
  </si>
  <si>
    <t>E-5455</t>
  </si>
  <si>
    <t>E-5456</t>
  </si>
  <si>
    <t>E-5457</t>
  </si>
  <si>
    <t>E-5458</t>
  </si>
  <si>
    <t>E-5459</t>
  </si>
  <si>
    <t>E-5460</t>
  </si>
  <si>
    <t>E-5461</t>
  </si>
  <si>
    <t>E-5462</t>
  </si>
  <si>
    <t>E-5463</t>
  </si>
  <si>
    <t>E-5464</t>
  </si>
  <si>
    <t>E-5465</t>
  </si>
  <si>
    <t>E-5466</t>
  </si>
  <si>
    <t>E-5467</t>
  </si>
  <si>
    <t>E-5468</t>
  </si>
  <si>
    <t>E-5469</t>
  </si>
  <si>
    <t>E-5470</t>
  </si>
  <si>
    <t>E-5471</t>
  </si>
  <si>
    <t>E-5472</t>
  </si>
  <si>
    <t>E-5473</t>
  </si>
  <si>
    <t>E-5474</t>
  </si>
  <si>
    <t>E-5475</t>
  </si>
  <si>
    <t>E-5476</t>
  </si>
  <si>
    <t>E-5477</t>
  </si>
  <si>
    <t>E-5478</t>
  </si>
  <si>
    <t>E-5479</t>
  </si>
  <si>
    <t>E-5480</t>
  </si>
  <si>
    <t>E-5481</t>
  </si>
  <si>
    <t>E-5482</t>
  </si>
  <si>
    <t>E-5483</t>
  </si>
  <si>
    <t>E-5484</t>
  </si>
  <si>
    <t>E-5485</t>
  </si>
  <si>
    <t>E-5486</t>
  </si>
  <si>
    <t>E-5487</t>
  </si>
  <si>
    <t>E-5488</t>
  </si>
  <si>
    <t>E-5489</t>
  </si>
  <si>
    <t>E-5490</t>
  </si>
  <si>
    <t>E-5491</t>
  </si>
  <si>
    <t>E-5492</t>
  </si>
  <si>
    <t>E-5493</t>
  </si>
  <si>
    <t>E-5494</t>
  </si>
  <si>
    <t>E-5495</t>
  </si>
  <si>
    <t>E-5496</t>
  </si>
  <si>
    <t>E-5497</t>
  </si>
  <si>
    <t>E-5498</t>
  </si>
  <si>
    <t>E-5499</t>
  </si>
  <si>
    <t>E-5500</t>
  </si>
  <si>
    <t>E-5501</t>
  </si>
  <si>
    <t>E-5502</t>
  </si>
  <si>
    <t>E-5503</t>
  </si>
  <si>
    <t>E-5504</t>
  </si>
  <si>
    <t>E-5505</t>
  </si>
  <si>
    <t>E-5506</t>
  </si>
  <si>
    <t>E-5507</t>
  </si>
  <si>
    <t>E-5508</t>
  </si>
  <si>
    <t>E-5509</t>
  </si>
  <si>
    <t>E-5510</t>
  </si>
  <si>
    <t>E-5511</t>
  </si>
  <si>
    <t>E-5512</t>
  </si>
  <si>
    <t>E-5513</t>
  </si>
  <si>
    <t>E-5514</t>
  </si>
  <si>
    <t>E-5515</t>
  </si>
  <si>
    <t>E-5516</t>
  </si>
  <si>
    <t>E-5517</t>
  </si>
  <si>
    <t>E-5518</t>
  </si>
  <si>
    <t>E-5519</t>
  </si>
  <si>
    <t>E-5520</t>
  </si>
  <si>
    <t>E-5521</t>
  </si>
  <si>
    <t>E-5522</t>
  </si>
  <si>
    <t>E-5523</t>
  </si>
  <si>
    <t>E-5524</t>
  </si>
  <si>
    <t>E-5525</t>
  </si>
  <si>
    <t>E-5526</t>
  </si>
  <si>
    <t>E-5527</t>
  </si>
  <si>
    <t>E-5528</t>
  </si>
  <si>
    <t>E-5529</t>
  </si>
  <si>
    <t>E-5530</t>
  </si>
  <si>
    <t>E-5531</t>
  </si>
  <si>
    <t>E-5532</t>
  </si>
  <si>
    <t>E-5533</t>
  </si>
  <si>
    <t>E-5534</t>
  </si>
  <si>
    <t>E-5535</t>
  </si>
  <si>
    <t>E-5536</t>
  </si>
  <si>
    <t>E-5537</t>
  </si>
  <si>
    <t>E-5538</t>
  </si>
  <si>
    <t>E-5539</t>
  </si>
  <si>
    <t>E-5540</t>
  </si>
  <si>
    <t>E-5541</t>
  </si>
  <si>
    <t>E-5542</t>
  </si>
  <si>
    <t>E-5543</t>
  </si>
  <si>
    <t>E-5544</t>
  </si>
  <si>
    <t>E-5545</t>
  </si>
  <si>
    <t>E-5546</t>
  </si>
  <si>
    <t>E-5547</t>
  </si>
  <si>
    <t>E-5548</t>
  </si>
  <si>
    <t>E-5549</t>
  </si>
  <si>
    <t>E-5550</t>
  </si>
  <si>
    <t>E-5551</t>
  </si>
  <si>
    <t>E-5552</t>
  </si>
  <si>
    <t>E-5553</t>
  </si>
  <si>
    <t>E-5554</t>
  </si>
  <si>
    <t>E-5555</t>
  </si>
  <si>
    <t>E-5556</t>
  </si>
  <si>
    <t>E-5557</t>
  </si>
  <si>
    <t>E-5558</t>
  </si>
  <si>
    <t>E-5559</t>
  </si>
  <si>
    <t>E-5560</t>
  </si>
  <si>
    <t>E-5561</t>
  </si>
  <si>
    <t>E-5562</t>
  </si>
  <si>
    <t>E-5563</t>
  </si>
  <si>
    <t>E-5564</t>
  </si>
  <si>
    <t>E-5565</t>
  </si>
  <si>
    <t>E-5566</t>
  </si>
  <si>
    <t>E-5567</t>
  </si>
  <si>
    <t>E-5568</t>
  </si>
  <si>
    <t>E-5569</t>
  </si>
  <si>
    <t>E-5570</t>
  </si>
  <si>
    <t>E-5571</t>
  </si>
  <si>
    <t>E-5572</t>
  </si>
  <si>
    <t>E-5573</t>
  </si>
  <si>
    <t>E-5574</t>
  </si>
  <si>
    <t>E-5575</t>
  </si>
  <si>
    <t>E-5576</t>
  </si>
  <si>
    <t>E-5577</t>
  </si>
  <si>
    <t>E-5578</t>
  </si>
  <si>
    <t>E-5579</t>
  </si>
  <si>
    <t>E-5580</t>
  </si>
  <si>
    <t>E-5581</t>
  </si>
  <si>
    <t>E-5582</t>
  </si>
  <si>
    <t>E-5583</t>
  </si>
  <si>
    <t>E-5584</t>
  </si>
  <si>
    <t>E-5585</t>
  </si>
  <si>
    <t>E-5586</t>
  </si>
  <si>
    <t>E-5587</t>
  </si>
  <si>
    <t>E-5588</t>
  </si>
  <si>
    <t>E-5589</t>
  </si>
  <si>
    <t>E-5590</t>
  </si>
  <si>
    <t>E-5591</t>
  </si>
  <si>
    <t>E-5592</t>
  </si>
  <si>
    <t>E-5593</t>
  </si>
  <si>
    <t>E-5594</t>
  </si>
  <si>
    <t>E-5595</t>
  </si>
  <si>
    <t>E-5596</t>
  </si>
  <si>
    <t>E-5597</t>
  </si>
  <si>
    <t>E-5598</t>
  </si>
  <si>
    <t>E-5599</t>
  </si>
  <si>
    <t>E-5600</t>
  </si>
  <si>
    <t>E-5601</t>
  </si>
  <si>
    <t>E-5602</t>
  </si>
  <si>
    <t>E-5603</t>
  </si>
  <si>
    <t>E-5604</t>
  </si>
  <si>
    <t>E-5605</t>
  </si>
  <si>
    <t>E-5606</t>
  </si>
  <si>
    <t>E-5607</t>
  </si>
  <si>
    <t>E-5608</t>
  </si>
  <si>
    <t>E-5609</t>
  </si>
  <si>
    <t>E-5610</t>
  </si>
  <si>
    <t>E-5611</t>
  </si>
  <si>
    <t>E-5612</t>
  </si>
  <si>
    <t>E-5613</t>
  </si>
  <si>
    <t>E-5614</t>
  </si>
  <si>
    <t>E-5615</t>
  </si>
  <si>
    <t>E-5616</t>
  </si>
  <si>
    <t>E-5617</t>
  </si>
  <si>
    <t>E-5618</t>
  </si>
  <si>
    <t>E-5619</t>
  </si>
  <si>
    <t>E-5620</t>
  </si>
  <si>
    <t>E-5621</t>
  </si>
  <si>
    <t>E-5622</t>
  </si>
  <si>
    <t>E-5623</t>
  </si>
  <si>
    <t>E-5624</t>
  </si>
  <si>
    <t>E-5625</t>
  </si>
  <si>
    <t>E-5626</t>
  </si>
  <si>
    <t>E-5627</t>
  </si>
  <si>
    <t>E-5628</t>
  </si>
  <si>
    <t>E-5629</t>
  </si>
  <si>
    <t>E-5630</t>
  </si>
  <si>
    <t>E-5631</t>
  </si>
  <si>
    <t>E-5632</t>
  </si>
  <si>
    <t>E-5633</t>
  </si>
  <si>
    <t>E-5634</t>
  </si>
  <si>
    <t>E-5635</t>
  </si>
  <si>
    <t>E-5636</t>
  </si>
  <si>
    <t>E-5637</t>
  </si>
  <si>
    <t>E-5638</t>
  </si>
  <si>
    <t>E-5639</t>
  </si>
  <si>
    <t>E-5640</t>
  </si>
  <si>
    <t>E-5641</t>
  </si>
  <si>
    <t>E-5642</t>
  </si>
  <si>
    <t>E-5643</t>
  </si>
  <si>
    <t>E-5644</t>
  </si>
  <si>
    <t>E-5645</t>
  </si>
  <si>
    <t>E-5646</t>
  </si>
  <si>
    <t>E-5647</t>
  </si>
  <si>
    <t>E-5648</t>
  </si>
  <si>
    <t>E-5649</t>
  </si>
  <si>
    <t>E-5650</t>
  </si>
  <si>
    <t>E-5651</t>
  </si>
  <si>
    <t>E-5652</t>
  </si>
  <si>
    <t>E-5653</t>
  </si>
  <si>
    <t>E-5654</t>
  </si>
  <si>
    <t>E-5655</t>
  </si>
  <si>
    <t>E-5656</t>
  </si>
  <si>
    <t>E-5657</t>
  </si>
  <si>
    <t>E-5658</t>
  </si>
  <si>
    <t>E-5659</t>
  </si>
  <si>
    <t>E-5660</t>
  </si>
  <si>
    <t>E-5661</t>
  </si>
  <si>
    <t>E-5662</t>
  </si>
  <si>
    <t>E-5663</t>
  </si>
  <si>
    <t>E-5664</t>
  </si>
  <si>
    <t>E-5665</t>
  </si>
  <si>
    <t>E-5666</t>
  </si>
  <si>
    <t>E-5667</t>
  </si>
  <si>
    <t>E-5668</t>
  </si>
  <si>
    <t>E-5669</t>
  </si>
  <si>
    <t>E-5670</t>
  </si>
  <si>
    <t>E-5671</t>
  </si>
  <si>
    <t>E-5672</t>
  </si>
  <si>
    <t>E-5673</t>
  </si>
  <si>
    <t>E-5674</t>
  </si>
  <si>
    <t>E-5675</t>
  </si>
  <si>
    <t>E-5676</t>
  </si>
  <si>
    <t>E-5677</t>
  </si>
  <si>
    <t>E-5678</t>
  </si>
  <si>
    <t>E-5679</t>
  </si>
  <si>
    <t>E-5680</t>
  </si>
  <si>
    <t>E-5681</t>
  </si>
  <si>
    <t>E-5682</t>
  </si>
  <si>
    <t>E-5683</t>
  </si>
  <si>
    <t>E-5684</t>
  </si>
  <si>
    <t>E-5685</t>
  </si>
  <si>
    <t>E-5686</t>
  </si>
  <si>
    <t>E-5687</t>
  </si>
  <si>
    <t>E-5688</t>
  </si>
  <si>
    <t>E-5689</t>
  </si>
  <si>
    <t>E-5690</t>
  </si>
  <si>
    <t>E-5691</t>
  </si>
  <si>
    <t>E-5692</t>
  </si>
  <si>
    <t>E-5693</t>
  </si>
  <si>
    <t>E-5694</t>
  </si>
  <si>
    <t>E-5695</t>
  </si>
  <si>
    <t>E-5696</t>
  </si>
  <si>
    <t>E-5697</t>
  </si>
  <si>
    <t>E-5698</t>
  </si>
  <si>
    <t>E-5699</t>
  </si>
  <si>
    <t>E-5700</t>
  </si>
  <si>
    <t>E-5701</t>
  </si>
  <si>
    <t>E-5702</t>
  </si>
  <si>
    <t>E-5703</t>
  </si>
  <si>
    <t>E-5704</t>
  </si>
  <si>
    <t>E-5705</t>
  </si>
  <si>
    <t>E-5706</t>
  </si>
  <si>
    <t>E-5707</t>
  </si>
  <si>
    <t>E-5708</t>
  </si>
  <si>
    <t>E-5709</t>
  </si>
  <si>
    <t>E-5710</t>
  </si>
  <si>
    <t>E-5711</t>
  </si>
  <si>
    <t>E-5712</t>
  </si>
  <si>
    <t>E-5713</t>
  </si>
  <si>
    <t>E-5714</t>
  </si>
  <si>
    <t>E-5715</t>
  </si>
  <si>
    <t>E-5716</t>
  </si>
  <si>
    <t>E-5717</t>
  </si>
  <si>
    <t>E-5718</t>
  </si>
  <si>
    <t>E-5719</t>
  </si>
  <si>
    <t>E-5720</t>
  </si>
  <si>
    <t>E-5721</t>
  </si>
  <si>
    <t>E-5722</t>
  </si>
  <si>
    <t>E-5723</t>
  </si>
  <si>
    <t>E-5724</t>
  </si>
  <si>
    <t>E-5725</t>
  </si>
  <si>
    <t>E-5726</t>
  </si>
  <si>
    <t>E-5727</t>
  </si>
  <si>
    <t>E-5728</t>
  </si>
  <si>
    <t>E-5729</t>
  </si>
  <si>
    <t>E-5730</t>
  </si>
  <si>
    <t>E-5731</t>
  </si>
  <si>
    <t>E-5732</t>
  </si>
  <si>
    <t>E-5733</t>
  </si>
  <si>
    <t>E-5734</t>
  </si>
  <si>
    <t>E-5735</t>
  </si>
  <si>
    <t>E-5736</t>
  </si>
  <si>
    <t>E-5737</t>
  </si>
  <si>
    <t>E-5738</t>
  </si>
  <si>
    <t>E-5739</t>
  </si>
  <si>
    <t>E-5740</t>
  </si>
  <si>
    <t>E-5741</t>
  </si>
  <si>
    <t>E-5742</t>
  </si>
  <si>
    <t>E-5743</t>
  </si>
  <si>
    <t>E-5744</t>
  </si>
  <si>
    <t>E-5745</t>
  </si>
  <si>
    <t>E-5746</t>
  </si>
  <si>
    <t>E-5747</t>
  </si>
  <si>
    <t>E-5748</t>
  </si>
  <si>
    <t>E-5749</t>
  </si>
  <si>
    <t>E-5750</t>
  </si>
  <si>
    <t>E-5751</t>
  </si>
  <si>
    <t>E-5752</t>
  </si>
  <si>
    <t>E-5753</t>
  </si>
  <si>
    <t>E-5754</t>
  </si>
  <si>
    <t>E-5755</t>
  </si>
  <si>
    <t>E-5756</t>
  </si>
  <si>
    <t>E-5757</t>
  </si>
  <si>
    <t>E-5758</t>
  </si>
  <si>
    <t>E-5759</t>
  </si>
  <si>
    <t>E-5760</t>
  </si>
  <si>
    <t>E-5761</t>
  </si>
  <si>
    <t>E-5762</t>
  </si>
  <si>
    <t>E-5763</t>
  </si>
  <si>
    <t>E-5764</t>
  </si>
  <si>
    <t>E-5765</t>
  </si>
  <si>
    <t>E-5766</t>
  </si>
  <si>
    <t>E-5767</t>
  </si>
  <si>
    <t>E-5768</t>
  </si>
  <si>
    <t>E-5769</t>
  </si>
  <si>
    <t>E-5770</t>
  </si>
  <si>
    <t>E-5771</t>
  </si>
  <si>
    <t>E-5772</t>
  </si>
  <si>
    <t>E-5773</t>
  </si>
  <si>
    <t>E-5774</t>
  </si>
  <si>
    <t>E-5775</t>
  </si>
  <si>
    <t>E-5776</t>
  </si>
  <si>
    <t>E-5777</t>
  </si>
  <si>
    <t>E-5778</t>
  </si>
  <si>
    <t>E-5779</t>
  </si>
  <si>
    <t>E-5780</t>
  </si>
  <si>
    <t>E-5781</t>
  </si>
  <si>
    <t>E-5782</t>
  </si>
  <si>
    <t>E-5783</t>
  </si>
  <si>
    <t>E-5784</t>
  </si>
  <si>
    <t>E-5785</t>
  </si>
  <si>
    <t>E-5786</t>
  </si>
  <si>
    <t>E-5787</t>
  </si>
  <si>
    <t>E-5788</t>
  </si>
  <si>
    <t>E-5789</t>
  </si>
  <si>
    <t>E-5790</t>
  </si>
  <si>
    <t>E-5791</t>
  </si>
  <si>
    <t>E-5792</t>
  </si>
  <si>
    <t>E-5793</t>
  </si>
  <si>
    <t>E-5794</t>
  </si>
  <si>
    <t>E-5795</t>
  </si>
  <si>
    <t>E-5796</t>
  </si>
  <si>
    <t>E-5797</t>
  </si>
  <si>
    <t>E-5798</t>
  </si>
  <si>
    <t>E-5799</t>
  </si>
  <si>
    <t>E-5800</t>
  </si>
  <si>
    <t>E-5801</t>
  </si>
  <si>
    <t>E-5802</t>
  </si>
  <si>
    <t>E-5803</t>
  </si>
  <si>
    <t>E-5804</t>
  </si>
  <si>
    <t>E-5805</t>
  </si>
  <si>
    <t>E-5806</t>
  </si>
  <si>
    <t>E-5807</t>
  </si>
  <si>
    <t>E-5808</t>
  </si>
  <si>
    <t>E-5809</t>
  </si>
  <si>
    <t>E-5810</t>
  </si>
  <si>
    <t>E-5811</t>
  </si>
  <si>
    <t>E-5812</t>
  </si>
  <si>
    <t>E-5813</t>
  </si>
  <si>
    <t>E-5814</t>
  </si>
  <si>
    <t>E-5815</t>
  </si>
  <si>
    <t>E-5816</t>
  </si>
  <si>
    <t>E-5817</t>
  </si>
  <si>
    <t>E-5818</t>
  </si>
  <si>
    <t>E-5819</t>
  </si>
  <si>
    <t>E-5820</t>
  </si>
  <si>
    <t>E-5821</t>
  </si>
  <si>
    <t>E-5822</t>
  </si>
  <si>
    <t>E-5823</t>
  </si>
  <si>
    <t>E-5824</t>
  </si>
  <si>
    <t>E-5825</t>
  </si>
  <si>
    <t>E-5826</t>
  </si>
  <si>
    <t>E-5827</t>
  </si>
  <si>
    <t>E-5828</t>
  </si>
  <si>
    <t>E-5829</t>
  </si>
  <si>
    <t>E-5830</t>
  </si>
  <si>
    <t>E-5831</t>
  </si>
  <si>
    <t>E-5832</t>
  </si>
  <si>
    <t>E-5833</t>
  </si>
  <si>
    <t>E-5834</t>
  </si>
  <si>
    <t>E-5835</t>
  </si>
  <si>
    <t>E-5836</t>
  </si>
  <si>
    <t>E-5837</t>
  </si>
  <si>
    <t>E-5838</t>
  </si>
  <si>
    <t>E-5839</t>
  </si>
  <si>
    <t>E-5840</t>
  </si>
  <si>
    <t>E-5841</t>
  </si>
  <si>
    <t>E-5842</t>
  </si>
  <si>
    <t>E-5843</t>
  </si>
  <si>
    <t>E-5844</t>
  </si>
  <si>
    <t>E-5845</t>
  </si>
  <si>
    <t>E-5846</t>
  </si>
  <si>
    <t>E-5847</t>
  </si>
  <si>
    <t>E-5848</t>
  </si>
  <si>
    <t>E-5849</t>
  </si>
  <si>
    <t>E-5850</t>
  </si>
  <si>
    <t>E-5851</t>
  </si>
  <si>
    <t>E-5852</t>
  </si>
  <si>
    <t>E-5853</t>
  </si>
  <si>
    <t>E-5854</t>
  </si>
  <si>
    <t>E-5855</t>
  </si>
  <si>
    <t>E-5856</t>
  </si>
  <si>
    <t>E-5857</t>
  </si>
  <si>
    <t>E-5858</t>
  </si>
  <si>
    <t>E-5859</t>
  </si>
  <si>
    <t>E-5860</t>
  </si>
  <si>
    <t>E-5861</t>
  </si>
  <si>
    <t>E-5862</t>
  </si>
  <si>
    <t>E-5863</t>
  </si>
  <si>
    <t>E-5864</t>
  </si>
  <si>
    <t>E-5865</t>
  </si>
  <si>
    <t>E-5866</t>
  </si>
  <si>
    <t>E-5867</t>
  </si>
  <si>
    <t>E-5868</t>
  </si>
  <si>
    <t>E-5869</t>
  </si>
  <si>
    <t>E-5870</t>
  </si>
  <si>
    <t>E-5871</t>
  </si>
  <si>
    <t>E-5872</t>
  </si>
  <si>
    <t>E-5873</t>
  </si>
  <si>
    <t>E-5874</t>
  </si>
  <si>
    <t>E-5875</t>
  </si>
  <si>
    <t>E-5876</t>
  </si>
  <si>
    <t>E-5877</t>
  </si>
  <si>
    <t>E-5878</t>
  </si>
  <si>
    <t>E-5879</t>
  </si>
  <si>
    <t>E-5880</t>
  </si>
  <si>
    <t>E-5881</t>
  </si>
  <si>
    <t>E-5882</t>
  </si>
  <si>
    <t>E-5883</t>
  </si>
  <si>
    <t>E-5884</t>
  </si>
  <si>
    <t>E-5885</t>
  </si>
  <si>
    <t>E-5886</t>
  </si>
  <si>
    <t>E-5887</t>
  </si>
  <si>
    <t>E-5888</t>
  </si>
  <si>
    <t>E-5889</t>
  </si>
  <si>
    <t>E-5890</t>
  </si>
  <si>
    <t>E-5891</t>
  </si>
  <si>
    <t>E-5892</t>
  </si>
  <si>
    <t>E-5893</t>
  </si>
  <si>
    <t>E-5894</t>
  </si>
  <si>
    <t>E-5895</t>
  </si>
  <si>
    <t>E-5896</t>
  </si>
  <si>
    <t>E-5897</t>
  </si>
  <si>
    <t>E-5898</t>
  </si>
  <si>
    <t>E-5899</t>
  </si>
  <si>
    <t>E-5900</t>
  </si>
  <si>
    <t>E-5901</t>
  </si>
  <si>
    <t>E-5902</t>
  </si>
  <si>
    <t>E-5903</t>
  </si>
  <si>
    <t>E-5904</t>
  </si>
  <si>
    <t>E-5905</t>
  </si>
  <si>
    <t>E-5906</t>
  </si>
  <si>
    <t>E-5907</t>
  </si>
  <si>
    <t>E-5908</t>
  </si>
  <si>
    <t>E-5909</t>
  </si>
  <si>
    <t>E-5910</t>
  </si>
  <si>
    <t>E-5911</t>
  </si>
  <si>
    <t>E-5912</t>
  </si>
  <si>
    <t>E-5913</t>
  </si>
  <si>
    <t>E-5914</t>
  </si>
  <si>
    <t>E-5915</t>
  </si>
  <si>
    <t>E-5916</t>
  </si>
  <si>
    <t>E-5917</t>
  </si>
  <si>
    <t>E-5918</t>
  </si>
  <si>
    <t>E-5919</t>
  </si>
  <si>
    <t>E-5920</t>
  </si>
  <si>
    <t>E-5921</t>
  </si>
  <si>
    <t>E-5922</t>
  </si>
  <si>
    <t>E-5923</t>
  </si>
  <si>
    <t>E-5924</t>
  </si>
  <si>
    <t>E-5925</t>
  </si>
  <si>
    <t>E-5926</t>
  </si>
  <si>
    <t>E-5927</t>
  </si>
  <si>
    <t>E-5928</t>
  </si>
  <si>
    <t>E-5929</t>
  </si>
  <si>
    <t>E-5930</t>
  </si>
  <si>
    <t>E-5931</t>
  </si>
  <si>
    <t>E-5932</t>
  </si>
  <si>
    <t>E-5933</t>
  </si>
  <si>
    <t>E-5934</t>
  </si>
  <si>
    <t>E-5935</t>
  </si>
  <si>
    <t>E-5936</t>
  </si>
  <si>
    <t>E-5937</t>
  </si>
  <si>
    <t>E-5938</t>
  </si>
  <si>
    <t>E-5939</t>
  </si>
  <si>
    <t>E-5940</t>
  </si>
  <si>
    <t>E-5941</t>
  </si>
  <si>
    <t>E-5942</t>
  </si>
  <si>
    <t>E-5943</t>
  </si>
  <si>
    <t>E-5944</t>
  </si>
  <si>
    <t>E-5945</t>
  </si>
  <si>
    <t>E-5946</t>
  </si>
  <si>
    <t>E-5947</t>
  </si>
  <si>
    <t>E-5948</t>
  </si>
  <si>
    <t>E-5949</t>
  </si>
  <si>
    <t>E-5950</t>
  </si>
  <si>
    <t>E-5951</t>
  </si>
  <si>
    <t>E-5952</t>
  </si>
  <si>
    <t>E-5953</t>
  </si>
  <si>
    <t>E-5954</t>
  </si>
  <si>
    <t>E-5955</t>
  </si>
  <si>
    <t>E-5956</t>
  </si>
  <si>
    <t>E-5957</t>
  </si>
  <si>
    <t>E-5958</t>
  </si>
  <si>
    <t>E-5959</t>
  </si>
  <si>
    <t>E-5960</t>
  </si>
  <si>
    <t>E-5961</t>
  </si>
  <si>
    <t>E-5962</t>
  </si>
  <si>
    <t>E-5963</t>
  </si>
  <si>
    <t>E-5964</t>
  </si>
  <si>
    <t>E-5965</t>
  </si>
  <si>
    <t>E-5966</t>
  </si>
  <si>
    <t>E-5967</t>
  </si>
  <si>
    <t>E-5968</t>
  </si>
  <si>
    <t>E-5969</t>
  </si>
  <si>
    <t>E-5970</t>
  </si>
  <si>
    <t>E-5971</t>
  </si>
  <si>
    <t>E-5972</t>
  </si>
  <si>
    <t>E-5973</t>
  </si>
  <si>
    <t>E-5974</t>
  </si>
  <si>
    <t>E-5975</t>
  </si>
  <si>
    <t>E-5976</t>
  </si>
  <si>
    <t>E-5977</t>
  </si>
  <si>
    <t>E-5978</t>
  </si>
  <si>
    <t>E-5979</t>
  </si>
  <si>
    <t>E-5980</t>
  </si>
  <si>
    <t>E-5981</t>
  </si>
  <si>
    <t>E-5982</t>
  </si>
  <si>
    <t>E-5983</t>
  </si>
  <si>
    <t>E-5984</t>
  </si>
  <si>
    <t>E-5985</t>
  </si>
  <si>
    <t>E-5986</t>
  </si>
  <si>
    <t>E-5987</t>
  </si>
  <si>
    <t>E-5988</t>
  </si>
  <si>
    <t>E-5989</t>
  </si>
  <si>
    <t>E-5990</t>
  </si>
  <si>
    <t>E-5991</t>
  </si>
  <si>
    <t>E-5992</t>
  </si>
  <si>
    <t>E-5993</t>
  </si>
  <si>
    <t>E-5994</t>
  </si>
  <si>
    <t>E-5995</t>
  </si>
  <si>
    <t>E-5996</t>
  </si>
  <si>
    <t>E-5997</t>
  </si>
  <si>
    <t>E-5998</t>
  </si>
  <si>
    <t>E-5999</t>
  </si>
  <si>
    <t>E-6000</t>
  </si>
  <si>
    <t>E-6001</t>
  </si>
  <si>
    <t>E-6002</t>
  </si>
  <si>
    <t>E-6003</t>
  </si>
  <si>
    <t>E-6004</t>
  </si>
  <si>
    <t>E-6005</t>
  </si>
  <si>
    <t>E-6006</t>
  </si>
  <si>
    <t>E-6007</t>
  </si>
  <si>
    <t>E-6008</t>
  </si>
  <si>
    <t>E-6009</t>
  </si>
  <si>
    <t>E-6010</t>
  </si>
  <si>
    <t>E-6011</t>
  </si>
  <si>
    <t>E-6012</t>
  </si>
  <si>
    <t>E-6013</t>
  </si>
  <si>
    <t>E-6014</t>
  </si>
  <si>
    <t>E-6015</t>
  </si>
  <si>
    <t>E-6016</t>
  </si>
  <si>
    <t>E-6017</t>
  </si>
  <si>
    <t>E-6018</t>
  </si>
  <si>
    <t>E-6019</t>
  </si>
  <si>
    <t>E-6020</t>
  </si>
  <si>
    <t>E-6021</t>
  </si>
  <si>
    <t>E-6022</t>
  </si>
  <si>
    <t>E-6023</t>
  </si>
  <si>
    <t>E-6024</t>
  </si>
  <si>
    <t>E-6025</t>
  </si>
  <si>
    <t>E-6026</t>
  </si>
  <si>
    <t>E-6027</t>
  </si>
  <si>
    <t>E-6028</t>
  </si>
  <si>
    <t>E-6029</t>
  </si>
  <si>
    <t>E-6030</t>
  </si>
  <si>
    <t>E-6031</t>
  </si>
  <si>
    <t>E-6032</t>
  </si>
  <si>
    <t>E-6033</t>
  </si>
  <si>
    <t>E-6034</t>
  </si>
  <si>
    <t>E-6035</t>
  </si>
  <si>
    <t>E-6036</t>
  </si>
  <si>
    <t>E-6037</t>
  </si>
  <si>
    <t>E-6038</t>
  </si>
  <si>
    <t>E-6039</t>
  </si>
  <si>
    <t>E-6040</t>
  </si>
  <si>
    <t>E-6041</t>
  </si>
  <si>
    <t>E-6042</t>
  </si>
  <si>
    <t>E-6043</t>
  </si>
  <si>
    <t>E-6044</t>
  </si>
  <si>
    <t>E-6045</t>
  </si>
  <si>
    <t>E-6046</t>
  </si>
  <si>
    <t>E-6047</t>
  </si>
  <si>
    <t>E-6048</t>
  </si>
  <si>
    <t>E-6049</t>
  </si>
  <si>
    <t>E-6050</t>
  </si>
  <si>
    <t>E-6051</t>
  </si>
  <si>
    <t>E-6052</t>
  </si>
  <si>
    <t>E-6053</t>
  </si>
  <si>
    <t>E-6054</t>
  </si>
  <si>
    <t>E-6055</t>
  </si>
  <si>
    <t>E-6056</t>
  </si>
  <si>
    <t>E-6057</t>
  </si>
  <si>
    <t>E-6058</t>
  </si>
  <si>
    <t>E-6059</t>
  </si>
  <si>
    <t>E-6060</t>
  </si>
  <si>
    <t>E-6061</t>
  </si>
  <si>
    <t>E-6062</t>
  </si>
  <si>
    <t>E-6063</t>
  </si>
  <si>
    <t>E-6064</t>
  </si>
  <si>
    <t>E-6065</t>
  </si>
  <si>
    <t>E-6066</t>
  </si>
  <si>
    <t>E-6067</t>
  </si>
  <si>
    <t>E-6068</t>
  </si>
  <si>
    <t>E-6069</t>
  </si>
  <si>
    <t>E-6070</t>
  </si>
  <si>
    <t>E-6071</t>
  </si>
  <si>
    <t>E-6072</t>
  </si>
  <si>
    <t>E-6073</t>
  </si>
  <si>
    <t>E-6074</t>
  </si>
  <si>
    <t>E-6075</t>
  </si>
  <si>
    <t>E-6076</t>
  </si>
  <si>
    <t>E-6077</t>
  </si>
  <si>
    <t>E-6078</t>
  </si>
  <si>
    <t>E-6079</t>
  </si>
  <si>
    <t>E-6080</t>
  </si>
  <si>
    <t>E-6081</t>
  </si>
  <si>
    <t>E-6082</t>
  </si>
  <si>
    <t>E-6083</t>
  </si>
  <si>
    <t>E-6084</t>
  </si>
  <si>
    <t>E-6085</t>
  </si>
  <si>
    <t>E-6086</t>
  </si>
  <si>
    <t>E-6087</t>
  </si>
  <si>
    <t>E-6088</t>
  </si>
  <si>
    <t>E-6089</t>
  </si>
  <si>
    <t>E-6090</t>
  </si>
  <si>
    <t>E-6091</t>
  </si>
  <si>
    <t>E-6092</t>
  </si>
  <si>
    <t>E-6093</t>
  </si>
  <si>
    <t>E-6094</t>
  </si>
  <si>
    <t>E-6095</t>
  </si>
  <si>
    <t>E-6096</t>
  </si>
  <si>
    <t>E-6097</t>
  </si>
  <si>
    <t>E-6098</t>
  </si>
  <si>
    <t>E-6099</t>
  </si>
  <si>
    <t>E-6100</t>
  </si>
  <si>
    <t>E-6101</t>
  </si>
  <si>
    <t>E-6102</t>
  </si>
  <si>
    <t>E-6103</t>
  </si>
  <si>
    <t>E-6104</t>
  </si>
  <si>
    <t>E-6105</t>
  </si>
  <si>
    <t>E-6106</t>
  </si>
  <si>
    <t>E-6107</t>
  </si>
  <si>
    <t>E-6108</t>
  </si>
  <si>
    <t>E-6109</t>
  </si>
  <si>
    <t>E-6110</t>
  </si>
  <si>
    <t>E-6111</t>
  </si>
  <si>
    <t>E-6112</t>
  </si>
  <si>
    <t>E-6113</t>
  </si>
  <si>
    <t>E-6114</t>
  </si>
  <si>
    <t>E-6115</t>
  </si>
  <si>
    <t>E-6116</t>
  </si>
  <si>
    <t>E-6117</t>
  </si>
  <si>
    <t>E-6118</t>
  </si>
  <si>
    <t>E-6119</t>
  </si>
  <si>
    <t>E-6120</t>
  </si>
  <si>
    <t>E-6121</t>
  </si>
  <si>
    <t>E-6122</t>
  </si>
  <si>
    <t>E-6123</t>
  </si>
  <si>
    <t>E-6124</t>
  </si>
  <si>
    <t>E-6125</t>
  </si>
  <si>
    <t>E-6126</t>
  </si>
  <si>
    <t>E-6127</t>
  </si>
  <si>
    <t>E-6128</t>
  </si>
  <si>
    <t>E-6129</t>
  </si>
  <si>
    <t>E-6130</t>
  </si>
  <si>
    <t>E-6131</t>
  </si>
  <si>
    <t>E-6132</t>
  </si>
  <si>
    <t>E-6133</t>
  </si>
  <si>
    <t>E-6134</t>
  </si>
  <si>
    <t>E-6135</t>
  </si>
  <si>
    <t>E-6136</t>
  </si>
  <si>
    <t>E-6137</t>
  </si>
  <si>
    <t>E-6138</t>
  </si>
  <si>
    <t>E-6139</t>
  </si>
  <si>
    <t>E-6140</t>
  </si>
  <si>
    <t>E-6141</t>
  </si>
  <si>
    <t>E-6142</t>
  </si>
  <si>
    <t>E-6143</t>
  </si>
  <si>
    <t>E-6144</t>
  </si>
  <si>
    <t>E-6145</t>
  </si>
  <si>
    <t>E-6146</t>
  </si>
  <si>
    <t>E-6147</t>
  </si>
  <si>
    <t>E-6148</t>
  </si>
  <si>
    <t>E-6149</t>
  </si>
  <si>
    <t>E-6150</t>
  </si>
  <si>
    <t>E-6151</t>
  </si>
  <si>
    <t>E-6152</t>
  </si>
  <si>
    <t>E-6153</t>
  </si>
  <si>
    <t>E-6154</t>
  </si>
  <si>
    <t>E-6155</t>
  </si>
  <si>
    <t>E-6156</t>
  </si>
  <si>
    <t>E-6157</t>
  </si>
  <si>
    <t>E-6158</t>
  </si>
  <si>
    <t>E-6159</t>
  </si>
  <si>
    <t>E-6160</t>
  </si>
  <si>
    <t>E-6161</t>
  </si>
  <si>
    <t>E-6162</t>
  </si>
  <si>
    <t>E-6163</t>
  </si>
  <si>
    <t>E-6164</t>
  </si>
  <si>
    <t>E-6165</t>
  </si>
  <si>
    <t>E-6166</t>
  </si>
  <si>
    <t>E-6167</t>
  </si>
  <si>
    <t>E-6168</t>
  </si>
  <si>
    <t>E-6169</t>
  </si>
  <si>
    <t>E-6170</t>
  </si>
  <si>
    <t>E-6171</t>
  </si>
  <si>
    <t>E-6172</t>
  </si>
  <si>
    <t>E-6173</t>
  </si>
  <si>
    <t>E-6174</t>
  </si>
  <si>
    <t>E-6175</t>
  </si>
  <si>
    <t>E-6176</t>
  </si>
  <si>
    <t>E-6177</t>
  </si>
  <si>
    <t>E-6178</t>
  </si>
  <si>
    <t>E-6179</t>
  </si>
  <si>
    <t>E-6180</t>
  </si>
  <si>
    <t>E-6181</t>
  </si>
  <si>
    <t>E-6182</t>
  </si>
  <si>
    <t>E-6183</t>
  </si>
  <si>
    <t>E-6184</t>
  </si>
  <si>
    <t>E-6185</t>
  </si>
  <si>
    <t>E-6186</t>
  </si>
  <si>
    <t>E-6187</t>
  </si>
  <si>
    <t>E-6188</t>
  </si>
  <si>
    <t>E-6189</t>
  </si>
  <si>
    <t>E-6190</t>
  </si>
  <si>
    <t>E-6191</t>
  </si>
  <si>
    <t>E-6192</t>
  </si>
  <si>
    <t>E-6193</t>
  </si>
  <si>
    <t>E-6194</t>
  </si>
  <si>
    <t>E-6195</t>
  </si>
  <si>
    <t>E-6196</t>
  </si>
  <si>
    <t>E-6197</t>
  </si>
  <si>
    <t>E-6198</t>
  </si>
  <si>
    <t>E-6199</t>
  </si>
  <si>
    <t>E-6200</t>
  </si>
  <si>
    <t>E-6201</t>
  </si>
  <si>
    <t>E-6202</t>
  </si>
  <si>
    <t>E-6203</t>
  </si>
  <si>
    <t>E-6204</t>
  </si>
  <si>
    <t>E-6205</t>
  </si>
  <si>
    <t>E-6206</t>
  </si>
  <si>
    <t>E-6207</t>
  </si>
  <si>
    <t>E-6208</t>
  </si>
  <si>
    <t>E-6209</t>
  </si>
  <si>
    <t>E-6210</t>
  </si>
  <si>
    <t>E-6211</t>
  </si>
  <si>
    <t>E-6212</t>
  </si>
  <si>
    <t>E-6213</t>
  </si>
  <si>
    <t>E-6214</t>
  </si>
  <si>
    <t>E-6215</t>
  </si>
  <si>
    <t>E-6216</t>
  </si>
  <si>
    <t>E-6217</t>
  </si>
  <si>
    <t>E-6218</t>
  </si>
  <si>
    <t>E-6219</t>
  </si>
  <si>
    <t>E-6220</t>
  </si>
  <si>
    <t>E-6221</t>
  </si>
  <si>
    <t>E-6222</t>
  </si>
  <si>
    <t>E-6223</t>
  </si>
  <si>
    <t>E-6224</t>
  </si>
  <si>
    <t>E-6225</t>
  </si>
  <si>
    <t>E-6226</t>
  </si>
  <si>
    <t>E-6227</t>
  </si>
  <si>
    <t>E-6228</t>
  </si>
  <si>
    <t>E-6229</t>
  </si>
  <si>
    <t>E-6230</t>
  </si>
  <si>
    <t>E-6231</t>
  </si>
  <si>
    <t>E-6232</t>
  </si>
  <si>
    <t>E-6233</t>
  </si>
  <si>
    <t>E-6234</t>
  </si>
  <si>
    <t>E-6235</t>
  </si>
  <si>
    <t>E-6236</t>
  </si>
  <si>
    <t>E-6237</t>
  </si>
  <si>
    <t>E-6238</t>
  </si>
  <si>
    <t>E-6239</t>
  </si>
  <si>
    <t>E-6240</t>
  </si>
  <si>
    <t>E-6241</t>
  </si>
  <si>
    <t>E-6242</t>
  </si>
  <si>
    <t>E-6243</t>
  </si>
  <si>
    <t>E-6244</t>
  </si>
  <si>
    <t>E-6245</t>
  </si>
  <si>
    <t>E-6246</t>
  </si>
  <si>
    <t>E-6247</t>
  </si>
  <si>
    <t>E-6248</t>
  </si>
  <si>
    <t>E-6249</t>
  </si>
  <si>
    <t>E-6250</t>
  </si>
  <si>
    <t>E-6251</t>
  </si>
  <si>
    <t>E-6252</t>
  </si>
  <si>
    <t>E-6253</t>
  </si>
  <si>
    <t>E-6254</t>
  </si>
  <si>
    <t>E-6255</t>
  </si>
  <si>
    <t>E-6256</t>
  </si>
  <si>
    <t>E-6257</t>
  </si>
  <si>
    <t>E-6258</t>
  </si>
  <si>
    <t>E-6259</t>
  </si>
  <si>
    <t>E-6260</t>
  </si>
  <si>
    <t>E-6261</t>
  </si>
  <si>
    <t>E-6262</t>
  </si>
  <si>
    <t>E-6263</t>
  </si>
  <si>
    <t>E-6264</t>
  </si>
  <si>
    <t>E-6265</t>
  </si>
  <si>
    <t>E-6266</t>
  </si>
  <si>
    <t>E-6267</t>
  </si>
  <si>
    <t>E-6268</t>
  </si>
  <si>
    <t>E-6269</t>
  </si>
  <si>
    <t>E-6270</t>
  </si>
  <si>
    <t>E-6271</t>
  </si>
  <si>
    <t>E-6272</t>
  </si>
  <si>
    <t>E-6273</t>
  </si>
  <si>
    <t>E-6274</t>
  </si>
  <si>
    <t>E-6275</t>
  </si>
  <si>
    <t>E-6276</t>
  </si>
  <si>
    <t>E-6277</t>
  </si>
  <si>
    <t>E-6278</t>
  </si>
  <si>
    <t>E-6279</t>
  </si>
  <si>
    <t>E-6280</t>
  </si>
  <si>
    <t>E-6281</t>
  </si>
  <si>
    <t>E-6282</t>
  </si>
  <si>
    <t>E-6283</t>
  </si>
  <si>
    <t>E-6284</t>
  </si>
  <si>
    <t>E-6285</t>
  </si>
  <si>
    <t>E-6286</t>
  </si>
  <si>
    <t>E-6287</t>
  </si>
  <si>
    <t>E-6288</t>
  </si>
  <si>
    <t>E-6289</t>
  </si>
  <si>
    <t>E-6290</t>
  </si>
  <si>
    <t>E-6291</t>
  </si>
  <si>
    <t>E-6292</t>
  </si>
  <si>
    <t>E-6293</t>
  </si>
  <si>
    <t>E-6294</t>
  </si>
  <si>
    <t>E-6295</t>
  </si>
  <si>
    <t>E-6296</t>
  </si>
  <si>
    <t>E-6297</t>
  </si>
  <si>
    <t>E-6298</t>
  </si>
  <si>
    <t>E-6299</t>
  </si>
  <si>
    <t>E-6300</t>
  </si>
  <si>
    <t>E-6301</t>
  </si>
  <si>
    <t>E-6302</t>
  </si>
  <si>
    <t>E-6303</t>
  </si>
  <si>
    <t>E-6304</t>
  </si>
  <si>
    <t>E-6305</t>
  </si>
  <si>
    <t>E-6306</t>
  </si>
  <si>
    <t>E-6307</t>
  </si>
  <si>
    <t>E-6308</t>
  </si>
  <si>
    <t>E-6309</t>
  </si>
  <si>
    <t>E-6310</t>
  </si>
  <si>
    <t>E-6311</t>
  </si>
  <si>
    <t>E-6312</t>
  </si>
  <si>
    <t>E-6313</t>
  </si>
  <si>
    <t>E-6314</t>
  </si>
  <si>
    <t>E-6315</t>
  </si>
  <si>
    <t>E-6316</t>
  </si>
  <si>
    <t>E-6317</t>
  </si>
  <si>
    <t>E-6318</t>
  </si>
  <si>
    <t>E-6319</t>
  </si>
  <si>
    <t>E-6320</t>
  </si>
  <si>
    <t>E-6321</t>
  </si>
  <si>
    <t>E-6322</t>
  </si>
  <si>
    <t>E-6323</t>
  </si>
  <si>
    <t>E-6324</t>
  </si>
  <si>
    <t>E-6325</t>
  </si>
  <si>
    <t>E-6326</t>
  </si>
  <si>
    <t>E-6327</t>
  </si>
  <si>
    <t>E-6328</t>
  </si>
  <si>
    <t>E-6329</t>
  </si>
  <si>
    <t>E-6330</t>
  </si>
  <si>
    <t>E-6331</t>
  </si>
  <si>
    <t>E-6332</t>
  </si>
  <si>
    <t>E-6333</t>
  </si>
  <si>
    <t>E-6334</t>
  </si>
  <si>
    <t>E-6335</t>
  </si>
  <si>
    <t>E-6336</t>
  </si>
  <si>
    <t>E-6337</t>
  </si>
  <si>
    <t>E-6338</t>
  </si>
  <si>
    <t>E-6339</t>
  </si>
  <si>
    <t>E-6340</t>
  </si>
  <si>
    <t>E-6341</t>
  </si>
  <si>
    <t>E-6342</t>
  </si>
  <si>
    <t>E-6343</t>
  </si>
  <si>
    <t>E-6344</t>
  </si>
  <si>
    <t>E-6345</t>
  </si>
  <si>
    <t>E-6346</t>
  </si>
  <si>
    <t>E-6347</t>
  </si>
  <si>
    <t>E-6348</t>
  </si>
  <si>
    <t>E-6349</t>
  </si>
  <si>
    <t>E-6350</t>
  </si>
  <si>
    <t>E-6351</t>
  </si>
  <si>
    <t>E-6352</t>
  </si>
  <si>
    <t>E-6353</t>
  </si>
  <si>
    <t>E-6354</t>
  </si>
  <si>
    <t>E-6355</t>
  </si>
  <si>
    <t>E-6356</t>
  </si>
  <si>
    <t>E-6357</t>
  </si>
  <si>
    <t>E-6358</t>
  </si>
  <si>
    <t>E-6359</t>
  </si>
  <si>
    <t>E-6360</t>
  </si>
  <si>
    <t>E-6361</t>
  </si>
  <si>
    <t>E-6362</t>
  </si>
  <si>
    <t>E-6363</t>
  </si>
  <si>
    <t>E-6364</t>
  </si>
  <si>
    <t>E-6365</t>
  </si>
  <si>
    <t>E-6366</t>
  </si>
  <si>
    <t>E-6367</t>
  </si>
  <si>
    <t>E-6368</t>
  </si>
  <si>
    <t>E-6369</t>
  </si>
  <si>
    <t>E-6370</t>
  </si>
  <si>
    <t>E-6371</t>
  </si>
  <si>
    <t>E-6372</t>
  </si>
  <si>
    <t>E-6373</t>
  </si>
  <si>
    <t>E-6374</t>
  </si>
  <si>
    <t>E-6375</t>
  </si>
  <si>
    <t>E-6376</t>
  </si>
  <si>
    <t>E-6377</t>
  </si>
  <si>
    <t>E-6378</t>
  </si>
  <si>
    <t>E-6379</t>
  </si>
  <si>
    <t>E-6380</t>
  </si>
  <si>
    <t>E-6381</t>
  </si>
  <si>
    <t>E-6382</t>
  </si>
  <si>
    <t>E-6383</t>
  </si>
  <si>
    <t>E-6384</t>
  </si>
  <si>
    <t>E-6385</t>
  </si>
  <si>
    <t>E-6386</t>
  </si>
  <si>
    <t>E-6387</t>
  </si>
  <si>
    <t>E-6388</t>
  </si>
  <si>
    <t>E-6389</t>
  </si>
  <si>
    <t>E-6390</t>
  </si>
  <si>
    <t>E-6391</t>
  </si>
  <si>
    <t>E-6392</t>
  </si>
  <si>
    <t>E-6393</t>
  </si>
  <si>
    <t>E-6394</t>
  </si>
  <si>
    <t>E-6395</t>
  </si>
  <si>
    <t>E-6396</t>
  </si>
  <si>
    <t>E-6397</t>
  </si>
  <si>
    <t>E-6398</t>
  </si>
  <si>
    <t>E-6399</t>
  </si>
  <si>
    <t>E-6400</t>
  </si>
  <si>
    <t>E-6401</t>
  </si>
  <si>
    <t>E-6402</t>
  </si>
  <si>
    <t>E-6403</t>
  </si>
  <si>
    <t>E-6404</t>
  </si>
  <si>
    <t>E-6405</t>
  </si>
  <si>
    <t>E-6406</t>
  </si>
  <si>
    <t>E-6407</t>
  </si>
  <si>
    <t>E-6408</t>
  </si>
  <si>
    <t>E-6409</t>
  </si>
  <si>
    <t>E-6410</t>
  </si>
  <si>
    <t>E-6411</t>
  </si>
  <si>
    <t>E-6412</t>
  </si>
  <si>
    <t>E-6413</t>
  </si>
  <si>
    <t>E-6414</t>
  </si>
  <si>
    <t>E-6415</t>
  </si>
  <si>
    <t>E-6416</t>
  </si>
  <si>
    <t>E-6417</t>
  </si>
  <si>
    <t>E-6418</t>
  </si>
  <si>
    <t>E-6419</t>
  </si>
  <si>
    <t>E-6420</t>
  </si>
  <si>
    <t>E-6421</t>
  </si>
  <si>
    <t>E-6422</t>
  </si>
  <si>
    <t>E-6423</t>
  </si>
  <si>
    <t>E-6424</t>
  </si>
  <si>
    <t>E-6425</t>
  </si>
  <si>
    <t>E-6426</t>
  </si>
  <si>
    <t>E-6427</t>
  </si>
  <si>
    <t>E-6428</t>
  </si>
  <si>
    <t>E-6429</t>
  </si>
  <si>
    <t>E-6430</t>
  </si>
  <si>
    <t>E-6431</t>
  </si>
  <si>
    <t>E-6432</t>
  </si>
  <si>
    <t>E-6433</t>
  </si>
  <si>
    <t>E-6434</t>
  </si>
  <si>
    <t>E-6435</t>
  </si>
  <si>
    <t>E-6436</t>
  </si>
  <si>
    <t>E-6437</t>
  </si>
  <si>
    <t>E-6438</t>
  </si>
  <si>
    <t>E-6439</t>
  </si>
  <si>
    <t>E-6440</t>
  </si>
  <si>
    <t>E-6441</t>
  </si>
  <si>
    <t>E-6442</t>
  </si>
  <si>
    <t>E-6443</t>
  </si>
  <si>
    <t>E-6444</t>
  </si>
  <si>
    <t>E-6445</t>
  </si>
  <si>
    <t>E-6446</t>
  </si>
  <si>
    <t>E-6447</t>
  </si>
  <si>
    <t>E-6448</t>
  </si>
  <si>
    <t>E-6449</t>
  </si>
  <si>
    <t>E-6450</t>
  </si>
  <si>
    <t>E-6451</t>
  </si>
  <si>
    <t>E-6452</t>
  </si>
  <si>
    <t>E-6453</t>
  </si>
  <si>
    <t>E-6454</t>
  </si>
  <si>
    <t>E-6455</t>
  </si>
  <si>
    <t>E-6456</t>
  </si>
  <si>
    <t>E-6457</t>
  </si>
  <si>
    <t>E-6458</t>
  </si>
  <si>
    <t>E-6459</t>
  </si>
  <si>
    <t>E-6460</t>
  </si>
  <si>
    <t>E-6461</t>
  </si>
  <si>
    <t>E-6462</t>
  </si>
  <si>
    <t>E-6463</t>
  </si>
  <si>
    <t>E-6464</t>
  </si>
  <si>
    <t>E-6465</t>
  </si>
  <si>
    <t>E-6466</t>
  </si>
  <si>
    <t>E-6467</t>
  </si>
  <si>
    <t>E-6468</t>
  </si>
  <si>
    <t>E-6469</t>
  </si>
  <si>
    <t>E-6470</t>
  </si>
  <si>
    <t>E-6471</t>
  </si>
  <si>
    <t>E-6472</t>
  </si>
  <si>
    <t>E-6473</t>
  </si>
  <si>
    <t>E-6474</t>
  </si>
  <si>
    <t>E-6475</t>
  </si>
  <si>
    <t>E-6476</t>
  </si>
  <si>
    <t>E-6477</t>
  </si>
  <si>
    <t>E-6478</t>
  </si>
  <si>
    <t>E-6479</t>
  </si>
  <si>
    <t>E-6480</t>
  </si>
  <si>
    <t>E-6481</t>
  </si>
  <si>
    <t>E-6482</t>
  </si>
  <si>
    <t>E-6483</t>
  </si>
  <si>
    <t>E-6484</t>
  </si>
  <si>
    <t>E-6485</t>
  </si>
  <si>
    <t>E-6486</t>
  </si>
  <si>
    <t>E-6487</t>
  </si>
  <si>
    <t>E-6488</t>
  </si>
  <si>
    <t>E-6489</t>
  </si>
  <si>
    <t>E-6490</t>
  </si>
  <si>
    <t>E-6491</t>
  </si>
  <si>
    <t>E-6492</t>
  </si>
  <si>
    <t>E-6493</t>
  </si>
  <si>
    <t>E-6494</t>
  </si>
  <si>
    <t>E-6495</t>
  </si>
  <si>
    <t>E-6496</t>
  </si>
  <si>
    <t>E-6497</t>
  </si>
  <si>
    <t>E-6498</t>
  </si>
  <si>
    <t>E-6499</t>
  </si>
  <si>
    <t>E-6500</t>
  </si>
  <si>
    <t>E-6501</t>
  </si>
  <si>
    <t>E-6502</t>
  </si>
  <si>
    <t>E-6503</t>
  </si>
  <si>
    <t>E-6504</t>
  </si>
  <si>
    <t>E-6505</t>
  </si>
  <si>
    <t>E-6506</t>
  </si>
  <si>
    <t>E-6507</t>
  </si>
  <si>
    <t>E-6508</t>
  </si>
  <si>
    <t>E-6509</t>
  </si>
  <si>
    <t>E-6510</t>
  </si>
  <si>
    <t>E-6511</t>
  </si>
  <si>
    <t>E-6512</t>
  </si>
  <si>
    <t>E-6513</t>
  </si>
  <si>
    <t>E-6514</t>
  </si>
  <si>
    <t>E-6515</t>
  </si>
  <si>
    <t>E-6516</t>
  </si>
  <si>
    <t>E-6517</t>
  </si>
  <si>
    <t>E-6518</t>
  </si>
  <si>
    <t>E-6519</t>
  </si>
  <si>
    <t>E-6520</t>
  </si>
  <si>
    <t>E-6521</t>
  </si>
  <si>
    <t>E-6522</t>
  </si>
  <si>
    <t>E-6523</t>
  </si>
  <si>
    <t>E-6524</t>
  </si>
  <si>
    <t>E-6525</t>
  </si>
  <si>
    <t>E-6526</t>
  </si>
  <si>
    <t>E-6527</t>
  </si>
  <si>
    <t>E-6528</t>
  </si>
  <si>
    <t>E-6529</t>
  </si>
  <si>
    <t>E-6530</t>
  </si>
  <si>
    <t>E-6531</t>
  </si>
  <si>
    <t>E-6532</t>
  </si>
  <si>
    <t>E-6533</t>
  </si>
  <si>
    <t>E-6534</t>
  </si>
  <si>
    <t>E-6535</t>
  </si>
  <si>
    <t>E-6536</t>
  </si>
  <si>
    <t>E-6537</t>
  </si>
  <si>
    <t>E-6538</t>
  </si>
  <si>
    <t>E-6539</t>
  </si>
  <si>
    <t>E-6540</t>
  </si>
  <si>
    <t>E-6541</t>
  </si>
  <si>
    <t>E-6542</t>
  </si>
  <si>
    <t>E-6543</t>
  </si>
  <si>
    <t>E-6544</t>
  </si>
  <si>
    <t>E-6545</t>
  </si>
  <si>
    <t>E-6546</t>
  </si>
  <si>
    <t>E-6547</t>
  </si>
  <si>
    <t>E-6548</t>
  </si>
  <si>
    <t>E-6549</t>
  </si>
  <si>
    <t>E-6550</t>
  </si>
  <si>
    <t>E-6551</t>
  </si>
  <si>
    <t>E-6552</t>
  </si>
  <si>
    <t>E-6553</t>
  </si>
  <si>
    <t>E-6554</t>
  </si>
  <si>
    <t>E-6555</t>
  </si>
  <si>
    <t>E-6556</t>
  </si>
  <si>
    <t>E-6557</t>
  </si>
  <si>
    <t>E-6558</t>
  </si>
  <si>
    <t>E-6559</t>
  </si>
  <si>
    <t>E-6560</t>
  </si>
  <si>
    <t>E-6561</t>
  </si>
  <si>
    <t>E-6562</t>
  </si>
  <si>
    <t>E-6563</t>
  </si>
  <si>
    <t>E-6564</t>
  </si>
  <si>
    <t>E-6565</t>
  </si>
  <si>
    <t>E-6566</t>
  </si>
  <si>
    <t>E-6567</t>
  </si>
  <si>
    <t>E-6568</t>
  </si>
  <si>
    <t>E-6569</t>
  </si>
  <si>
    <t>E-6570</t>
  </si>
  <si>
    <t>E-6571</t>
  </si>
  <si>
    <t>E-6572</t>
  </si>
  <si>
    <t>E-6573</t>
  </si>
  <si>
    <t>E-6574</t>
  </si>
  <si>
    <t>E-6575</t>
  </si>
  <si>
    <t>E-6576</t>
  </si>
  <si>
    <t>E-6577</t>
  </si>
  <si>
    <t>E-6578</t>
  </si>
  <si>
    <t>E-6579</t>
  </si>
  <si>
    <t>E-6580</t>
  </si>
  <si>
    <t>E-6581</t>
  </si>
  <si>
    <t>E-6582</t>
  </si>
  <si>
    <t>E-6583</t>
  </si>
  <si>
    <t>E-6584</t>
  </si>
  <si>
    <t>E-6585</t>
  </si>
  <si>
    <t>E-6586</t>
  </si>
  <si>
    <t>E-6587</t>
  </si>
  <si>
    <t>E-6588</t>
  </si>
  <si>
    <t>E-6589</t>
  </si>
  <si>
    <t>E-6590</t>
  </si>
  <si>
    <t>E-6591</t>
  </si>
  <si>
    <t>E-6592</t>
  </si>
  <si>
    <t>E-6593</t>
  </si>
  <si>
    <t>E-6594</t>
  </si>
  <si>
    <t>E-6595</t>
  </si>
  <si>
    <t>E-6596</t>
  </si>
  <si>
    <t>E-6597</t>
  </si>
  <si>
    <t>E-6598</t>
  </si>
  <si>
    <t>E-6599</t>
  </si>
  <si>
    <t>E-6600</t>
  </si>
  <si>
    <t>E-6601</t>
  </si>
  <si>
    <t>E-6602</t>
  </si>
  <si>
    <t>E-6603</t>
  </si>
  <si>
    <t>E-6604</t>
  </si>
  <si>
    <t>E-6605</t>
  </si>
  <si>
    <t>E-6606</t>
  </si>
  <si>
    <t>E-6607</t>
  </si>
  <si>
    <t>E-6608</t>
  </si>
  <si>
    <t>E-6609</t>
  </si>
  <si>
    <t>E-6610</t>
  </si>
  <si>
    <t>E-6611</t>
  </si>
  <si>
    <t>E-6612</t>
  </si>
  <si>
    <t>E-6613</t>
  </si>
  <si>
    <t>E-6614</t>
  </si>
  <si>
    <t>E-6615</t>
  </si>
  <si>
    <t>E-6616</t>
  </si>
  <si>
    <t>E-6617</t>
  </si>
  <si>
    <t>E-6618</t>
  </si>
  <si>
    <t>E-6619</t>
  </si>
  <si>
    <t>E-6620</t>
  </si>
  <si>
    <t>E-6621</t>
  </si>
  <si>
    <t>E-6622</t>
  </si>
  <si>
    <t>E-6623</t>
  </si>
  <si>
    <t>E-6624</t>
  </si>
  <si>
    <t>E-6625</t>
  </si>
  <si>
    <t>E-6626</t>
  </si>
  <si>
    <t>E-6627</t>
  </si>
  <si>
    <t>E-6628</t>
  </si>
  <si>
    <t>E-6629</t>
  </si>
  <si>
    <t>E-6630</t>
  </si>
  <si>
    <t>E-6631</t>
  </si>
  <si>
    <t>E-6632</t>
  </si>
  <si>
    <t>E-6633</t>
  </si>
  <si>
    <t>E-6634</t>
  </si>
  <si>
    <t>E-6635</t>
  </si>
  <si>
    <t>E-6636</t>
  </si>
  <si>
    <t>E-6637</t>
  </si>
  <si>
    <t>E-6638</t>
  </si>
  <si>
    <t>E-6639</t>
  </si>
  <si>
    <t>E-6640</t>
  </si>
  <si>
    <t>E-6641</t>
  </si>
  <si>
    <t>E-6642</t>
  </si>
  <si>
    <t>E-6643</t>
  </si>
  <si>
    <t>E-6644</t>
  </si>
  <si>
    <t>E-6645</t>
  </si>
  <si>
    <t>E-6646</t>
  </si>
  <si>
    <t>E-6647</t>
  </si>
  <si>
    <t>E-6648</t>
  </si>
  <si>
    <t>E-6649</t>
  </si>
  <si>
    <t>E-6650</t>
  </si>
  <si>
    <t>E-6651</t>
  </si>
  <si>
    <t>E-6652</t>
  </si>
  <si>
    <t>E-6653</t>
  </si>
  <si>
    <t>E-6654</t>
  </si>
  <si>
    <t>E-6655</t>
  </si>
  <si>
    <t>E-6656</t>
  </si>
  <si>
    <t>E-6657</t>
  </si>
  <si>
    <t>E-6658</t>
  </si>
  <si>
    <t>E-6659</t>
  </si>
  <si>
    <t>E-6660</t>
  </si>
  <si>
    <t>E-6661</t>
  </si>
  <si>
    <t>E-6662</t>
  </si>
  <si>
    <t>E-6663</t>
  </si>
  <si>
    <t>E-6664</t>
  </si>
  <si>
    <t>E-6665</t>
  </si>
  <si>
    <t>E-6666</t>
  </si>
  <si>
    <t>E-6667</t>
  </si>
  <si>
    <t>E-6668</t>
  </si>
  <si>
    <t>E-6669</t>
  </si>
  <si>
    <t>E-6670</t>
  </si>
  <si>
    <t>E-6671</t>
  </si>
  <si>
    <t>E-6672</t>
  </si>
  <si>
    <t>E-6673</t>
  </si>
  <si>
    <t>E-6674</t>
  </si>
  <si>
    <t>E-6675</t>
  </si>
  <si>
    <t>E-6676</t>
  </si>
  <si>
    <t>E-6677</t>
  </si>
  <si>
    <t>E-6678</t>
  </si>
  <si>
    <t>E-6679</t>
  </si>
  <si>
    <t>E-6680</t>
  </si>
  <si>
    <t>E-6681</t>
  </si>
  <si>
    <t>E-6682</t>
  </si>
  <si>
    <t>E-6683</t>
  </si>
  <si>
    <t>E-6684</t>
  </si>
  <si>
    <t>E-6685</t>
  </si>
  <si>
    <t>E-6686</t>
  </si>
  <si>
    <t>E-6687</t>
  </si>
  <si>
    <t>E-6688</t>
  </si>
  <si>
    <t>E-6689</t>
  </si>
  <si>
    <t>E-6690</t>
  </si>
  <si>
    <t>E-6691</t>
  </si>
  <si>
    <t>E-6692</t>
  </si>
  <si>
    <t>E-6693</t>
  </si>
  <si>
    <t>E-6694</t>
  </si>
  <si>
    <t>E-6695</t>
  </si>
  <si>
    <t>E-6696</t>
  </si>
  <si>
    <t>E-6697</t>
  </si>
  <si>
    <t>E-6698</t>
  </si>
  <si>
    <t>E-6699</t>
  </si>
  <si>
    <t>E-6700</t>
  </si>
  <si>
    <t>E-6701</t>
  </si>
  <si>
    <t>E-6702</t>
  </si>
  <si>
    <t>E-6703</t>
  </si>
  <si>
    <t>E-6704</t>
  </si>
  <si>
    <t>E-6705</t>
  </si>
  <si>
    <t>E-6706</t>
  </si>
  <si>
    <t>E-6707</t>
  </si>
  <si>
    <t>E-6708</t>
  </si>
  <si>
    <t>E-6709</t>
  </si>
  <si>
    <t>E-6710</t>
  </si>
  <si>
    <t>E-6711</t>
  </si>
  <si>
    <t>E-6712</t>
  </si>
  <si>
    <t>E-6713</t>
  </si>
  <si>
    <t>E-6714</t>
  </si>
  <si>
    <t>E-6715</t>
  </si>
  <si>
    <t>E-6716</t>
  </si>
  <si>
    <t>E-6717</t>
  </si>
  <si>
    <t>E-6718</t>
  </si>
  <si>
    <t>E-6719</t>
  </si>
  <si>
    <t>E-6720</t>
  </si>
  <si>
    <t>E-6721</t>
  </si>
  <si>
    <t>E-6722</t>
  </si>
  <si>
    <t>E-6723</t>
  </si>
  <si>
    <t>E-6724</t>
  </si>
  <si>
    <t>E-6725</t>
  </si>
  <si>
    <t>E-6726</t>
  </si>
  <si>
    <t>E-6727</t>
  </si>
  <si>
    <t>E-6728</t>
  </si>
  <si>
    <t>E-6729</t>
  </si>
  <si>
    <t>E-6730</t>
  </si>
  <si>
    <t>E-6731</t>
  </si>
  <si>
    <t>E-6732</t>
  </si>
  <si>
    <t>E-6733</t>
  </si>
  <si>
    <t>E-6734</t>
  </si>
  <si>
    <t>E-6735</t>
  </si>
  <si>
    <t>E-6736</t>
  </si>
  <si>
    <t>E-6737</t>
  </si>
  <si>
    <t>E-6738</t>
  </si>
  <si>
    <t>E-6739</t>
  </si>
  <si>
    <t>E-6740</t>
  </si>
  <si>
    <t>E-6741</t>
  </si>
  <si>
    <t>E-6742</t>
  </si>
  <si>
    <t>E-6743</t>
  </si>
  <si>
    <t>E-6744</t>
  </si>
  <si>
    <t>E-6745</t>
  </si>
  <si>
    <t>E-6746</t>
  </si>
  <si>
    <t>E-6747</t>
  </si>
  <si>
    <t>E-6748</t>
  </si>
  <si>
    <t>E-6749</t>
  </si>
  <si>
    <t>E-6750</t>
  </si>
  <si>
    <t>E-6751</t>
  </si>
  <si>
    <t>E-6752</t>
  </si>
  <si>
    <t>E-6753</t>
  </si>
  <si>
    <t>E-6754</t>
  </si>
  <si>
    <t>E-6755</t>
  </si>
  <si>
    <t>E-6756</t>
  </si>
  <si>
    <t>E-6757</t>
  </si>
  <si>
    <t>E-6758</t>
  </si>
  <si>
    <t>E-6759</t>
  </si>
  <si>
    <t>E-6760</t>
  </si>
  <si>
    <t>E-6761</t>
  </si>
  <si>
    <t>E-6762</t>
  </si>
  <si>
    <t>E-6763</t>
  </si>
  <si>
    <t>E-6764</t>
  </si>
  <si>
    <t>E-6765</t>
  </si>
  <si>
    <t>E-6766</t>
  </si>
  <si>
    <t>E-6767</t>
  </si>
  <si>
    <t>E-6768</t>
  </si>
  <si>
    <t>E-6769</t>
  </si>
  <si>
    <t>E-6770</t>
  </si>
  <si>
    <t>E-6771</t>
  </si>
  <si>
    <t>E-6772</t>
  </si>
  <si>
    <t>E-6773</t>
  </si>
  <si>
    <t>E-6774</t>
  </si>
  <si>
    <t>E-6775</t>
  </si>
  <si>
    <t>E-6776</t>
  </si>
  <si>
    <t>E-6777</t>
  </si>
  <si>
    <t>E-6778</t>
  </si>
  <si>
    <t>E-6779</t>
  </si>
  <si>
    <t>E-6780</t>
  </si>
  <si>
    <t>E-6781</t>
  </si>
  <si>
    <t>E-6782</t>
  </si>
  <si>
    <t>E-6783</t>
  </si>
  <si>
    <t>E-6784</t>
  </si>
  <si>
    <t>E-6785</t>
  </si>
  <si>
    <t>E-6786</t>
  </si>
  <si>
    <t>E-6787</t>
  </si>
  <si>
    <t>E-6788</t>
  </si>
  <si>
    <t>E-6789</t>
  </si>
  <si>
    <t>E-6790</t>
  </si>
  <si>
    <t>E-6791</t>
  </si>
  <si>
    <t>E-6792</t>
  </si>
  <si>
    <t>E-6793</t>
  </si>
  <si>
    <t>E-6794</t>
  </si>
  <si>
    <t>E-6795</t>
  </si>
  <si>
    <t>E-6796</t>
  </si>
  <si>
    <t>E-6797</t>
  </si>
  <si>
    <t>E-6798</t>
  </si>
  <si>
    <t>E-6799</t>
  </si>
  <si>
    <t>E-6800</t>
  </si>
  <si>
    <t>E-6801</t>
  </si>
  <si>
    <t>E-6802</t>
  </si>
  <si>
    <t>E-6803</t>
  </si>
  <si>
    <t>E-6804</t>
  </si>
  <si>
    <t>E-6805</t>
  </si>
  <si>
    <t>E-6806</t>
  </si>
  <si>
    <t>E-6807</t>
  </si>
  <si>
    <t>E-6808</t>
  </si>
  <si>
    <t>E-6809</t>
  </si>
  <si>
    <t>E-6810</t>
  </si>
  <si>
    <t>E-6811</t>
  </si>
  <si>
    <t>E-6812</t>
  </si>
  <si>
    <t>E-6813</t>
  </si>
  <si>
    <t>E-6814</t>
  </si>
  <si>
    <t>E-6815</t>
  </si>
  <si>
    <t>E-6816</t>
  </si>
  <si>
    <t>E-6817</t>
  </si>
  <si>
    <t>E-6818</t>
  </si>
  <si>
    <t>E-6819</t>
  </si>
  <si>
    <t>E-6820</t>
  </si>
  <si>
    <t>E-6821</t>
  </si>
  <si>
    <t>E-6822</t>
  </si>
  <si>
    <t>E-6823</t>
  </si>
  <si>
    <t>E-6824</t>
  </si>
  <si>
    <t>E-6825</t>
  </si>
  <si>
    <t>E-6826</t>
  </si>
  <si>
    <t>E-6827</t>
  </si>
  <si>
    <t>E-6828</t>
  </si>
  <si>
    <t>E-6829</t>
  </si>
  <si>
    <t>E-6830</t>
  </si>
  <si>
    <t>E-6831</t>
  </si>
  <si>
    <t>E-6832</t>
  </si>
  <si>
    <t>E-6833</t>
  </si>
  <si>
    <t>E-6834</t>
  </si>
  <si>
    <t>E-6835</t>
  </si>
  <si>
    <t>E-6836</t>
  </si>
  <si>
    <t>E-6837</t>
  </si>
  <si>
    <t>E-6838</t>
  </si>
  <si>
    <t>E-6839</t>
  </si>
  <si>
    <t>E-6840</t>
  </si>
  <si>
    <t>E-6841</t>
  </si>
  <si>
    <t>E-6842</t>
  </si>
  <si>
    <t>E-6843</t>
  </si>
  <si>
    <t>E-6844</t>
  </si>
  <si>
    <t>E-6845</t>
  </si>
  <si>
    <t>E-6846</t>
  </si>
  <si>
    <t>E-6847</t>
  </si>
  <si>
    <t>E-6848</t>
  </si>
  <si>
    <t>E-6849</t>
  </si>
  <si>
    <t>E-6850</t>
  </si>
  <si>
    <t>E-6851</t>
  </si>
  <si>
    <t>E-6852</t>
  </si>
  <si>
    <t>E-6853</t>
  </si>
  <si>
    <t>E-6854</t>
  </si>
  <si>
    <t>E-6855</t>
  </si>
  <si>
    <t>E-6856</t>
  </si>
  <si>
    <t>E-6857</t>
  </si>
  <si>
    <t>E-6858</t>
  </si>
  <si>
    <t>E-6859</t>
  </si>
  <si>
    <t>E-6860</t>
  </si>
  <si>
    <t>E-6861</t>
  </si>
  <si>
    <t>E-6862</t>
  </si>
  <si>
    <t>E-6863</t>
  </si>
  <si>
    <t>E-6864</t>
  </si>
  <si>
    <t>E-6865</t>
  </si>
  <si>
    <t>E-6866</t>
  </si>
  <si>
    <t>E-6867</t>
  </si>
  <si>
    <t>E-6868</t>
  </si>
  <si>
    <t>E-6869</t>
  </si>
  <si>
    <t>E-6870</t>
  </si>
  <si>
    <t>E-6871</t>
  </si>
  <si>
    <t>E-6872</t>
  </si>
  <si>
    <t>E-6873</t>
  </si>
  <si>
    <t>E-6874</t>
  </si>
  <si>
    <t>E-6875</t>
  </si>
  <si>
    <t>E-6876</t>
  </si>
  <si>
    <t>E-6877</t>
  </si>
  <si>
    <t>E-6878</t>
  </si>
  <si>
    <t>E-6879</t>
  </si>
  <si>
    <t>E-6880</t>
  </si>
  <si>
    <t>E-6881</t>
  </si>
  <si>
    <t>E-6882</t>
  </si>
  <si>
    <t>E-6883</t>
  </si>
  <si>
    <t>E-6884</t>
  </si>
  <si>
    <t>E-6885</t>
  </si>
  <si>
    <t>E-6886</t>
  </si>
  <si>
    <t>E-6887</t>
  </si>
  <si>
    <t>E-6888</t>
  </si>
  <si>
    <t>E-6889</t>
  </si>
  <si>
    <t>E-6890</t>
  </si>
  <si>
    <t>E-6891</t>
  </si>
  <si>
    <t>E-6892</t>
  </si>
  <si>
    <t>E-6893</t>
  </si>
  <si>
    <t>E-6894</t>
  </si>
  <si>
    <t>E-6895</t>
  </si>
  <si>
    <t>E-6896</t>
  </si>
  <si>
    <t>E-6897</t>
  </si>
  <si>
    <t>E-6898</t>
  </si>
  <si>
    <t>E-6899</t>
  </si>
  <si>
    <t>E-6900</t>
  </si>
  <si>
    <t>E-6901</t>
  </si>
  <si>
    <t>E-6902</t>
  </si>
  <si>
    <t>E-6903</t>
  </si>
  <si>
    <t>E-6904</t>
  </si>
  <si>
    <t>E-6905</t>
  </si>
  <si>
    <t>E-6906</t>
  </si>
  <si>
    <t>E-6907</t>
  </si>
  <si>
    <t>E-6908</t>
  </si>
  <si>
    <t>E-6909</t>
  </si>
  <si>
    <t>E-6910</t>
  </si>
  <si>
    <t>E-6911</t>
  </si>
  <si>
    <t>E-6912</t>
  </si>
  <si>
    <t>E-6913</t>
  </si>
  <si>
    <t>E-6914</t>
  </si>
  <si>
    <t>E-6915</t>
  </si>
  <si>
    <t>E-6916</t>
  </si>
  <si>
    <t>E-6917</t>
  </si>
  <si>
    <t>E-6918</t>
  </si>
  <si>
    <t>E-6919</t>
  </si>
  <si>
    <t>E-6920</t>
  </si>
  <si>
    <t>E-6921</t>
  </si>
  <si>
    <t>E-6922</t>
  </si>
  <si>
    <t>E-6923</t>
  </si>
  <si>
    <t>E-6924</t>
  </si>
  <si>
    <t>E-6925</t>
  </si>
  <si>
    <t>E-6926</t>
  </si>
  <si>
    <t>E-6927</t>
  </si>
  <si>
    <t>E-6928</t>
  </si>
  <si>
    <t>E-6929</t>
  </si>
  <si>
    <t>E-6930</t>
  </si>
  <si>
    <t>E-6931</t>
  </si>
  <si>
    <t>E-6932</t>
  </si>
  <si>
    <t>E-6933</t>
  </si>
  <si>
    <t>E-6934</t>
  </si>
  <si>
    <t>E-6935</t>
  </si>
  <si>
    <t>E-6936</t>
  </si>
  <si>
    <t>E-6937</t>
  </si>
  <si>
    <t>E-6938</t>
  </si>
  <si>
    <t>E-6939</t>
  </si>
  <si>
    <t>E-6940</t>
  </si>
  <si>
    <t>E-6941</t>
  </si>
  <si>
    <t>E-6942</t>
  </si>
  <si>
    <t>E-6943</t>
  </si>
  <si>
    <t>E-6944</t>
  </si>
  <si>
    <t>E-6945</t>
  </si>
  <si>
    <t>E-6946</t>
  </si>
  <si>
    <t>E-6947</t>
  </si>
  <si>
    <t>E-6948</t>
  </si>
  <si>
    <t>E-6949</t>
  </si>
  <si>
    <t>E-6950</t>
  </si>
  <si>
    <t>E-6951</t>
  </si>
  <si>
    <t>E-6952</t>
  </si>
  <si>
    <t>E-6953</t>
  </si>
  <si>
    <t>E-6954</t>
  </si>
  <si>
    <t>E-6955</t>
  </si>
  <si>
    <t>E-6956</t>
  </si>
  <si>
    <t>E-6957</t>
  </si>
  <si>
    <t>E-6958</t>
  </si>
  <si>
    <t>E-6959</t>
  </si>
  <si>
    <t>E-6960</t>
  </si>
  <si>
    <t>E-6961</t>
  </si>
  <si>
    <t>E-6962</t>
  </si>
  <si>
    <t>E-6963</t>
  </si>
  <si>
    <t>E-6964</t>
  </si>
  <si>
    <t>E-6965</t>
  </si>
  <si>
    <t>E-6966</t>
  </si>
  <si>
    <t>E-6967</t>
  </si>
  <si>
    <t>E-6968</t>
  </si>
  <si>
    <t>E-6969</t>
  </si>
  <si>
    <t>E-6970</t>
  </si>
  <si>
    <t>E-6971</t>
  </si>
  <si>
    <t>E-6972</t>
  </si>
  <si>
    <t>E-6973</t>
  </si>
  <si>
    <t>E-6974</t>
  </si>
  <si>
    <t>E-6975</t>
  </si>
  <si>
    <t>E-6976</t>
  </si>
  <si>
    <t>E-6977</t>
  </si>
  <si>
    <t>E-6978</t>
  </si>
  <si>
    <t>E-6979</t>
  </si>
  <si>
    <t>E-6980</t>
  </si>
  <si>
    <t>E-6981</t>
  </si>
  <si>
    <t>E-6982</t>
  </si>
  <si>
    <t>E-6983</t>
  </si>
  <si>
    <t>E-6984</t>
  </si>
  <si>
    <t>E-6985</t>
  </si>
  <si>
    <t>E-6986</t>
  </si>
  <si>
    <t>E-6987</t>
  </si>
  <si>
    <t>E-6988</t>
  </si>
  <si>
    <t>E-6989</t>
  </si>
  <si>
    <t>E-6990</t>
  </si>
  <si>
    <t>E-6991</t>
  </si>
  <si>
    <t>E-6992</t>
  </si>
  <si>
    <t>E-6993</t>
  </si>
  <si>
    <t>E-6994</t>
  </si>
  <si>
    <t>E-6995</t>
  </si>
  <si>
    <t>E-6996</t>
  </si>
  <si>
    <t>E-6997</t>
  </si>
  <si>
    <t>E-6998</t>
  </si>
  <si>
    <t>E-6999</t>
  </si>
  <si>
    <t>HR</t>
  </si>
  <si>
    <t>IT</t>
  </si>
  <si>
    <t>Sales</t>
  </si>
  <si>
    <t>Marketing</t>
  </si>
  <si>
    <t>Operations</t>
  </si>
  <si>
    <t>Finance</t>
  </si>
  <si>
    <t>Department_Name</t>
  </si>
  <si>
    <t>Department_ID</t>
  </si>
  <si>
    <t>Row Labels</t>
  </si>
  <si>
    <t>Grand Total</t>
  </si>
  <si>
    <t>Column Labels</t>
  </si>
  <si>
    <t>Count of Employee_ID</t>
  </si>
  <si>
    <t>Age_Bracket</t>
  </si>
  <si>
    <t>Average of Salary_USD</t>
  </si>
  <si>
    <t>August</t>
  </si>
  <si>
    <t>June</t>
  </si>
  <si>
    <t>September</t>
  </si>
  <si>
    <t>July</t>
  </si>
  <si>
    <t>March</t>
  </si>
  <si>
    <t>May</t>
  </si>
  <si>
    <t>January</t>
  </si>
  <si>
    <t>November</t>
  </si>
  <si>
    <t>October</t>
  </si>
  <si>
    <t>April</t>
  </si>
  <si>
    <t>December</t>
  </si>
  <si>
    <t>February</t>
  </si>
  <si>
    <t>Year</t>
  </si>
  <si>
    <t>Month</t>
  </si>
  <si>
    <t>Day</t>
  </si>
  <si>
    <t>Avg_Absences</t>
  </si>
  <si>
    <t>Avg_Performance</t>
  </si>
  <si>
    <t>Tenure_Bracket</t>
  </si>
  <si>
    <t>Mid Career (6–10 yr)</t>
  </si>
  <si>
    <t>Early Career (2-5 yr)</t>
  </si>
  <si>
    <t>New (0–1 yr)</t>
  </si>
  <si>
    <t>Average of Performance_Score</t>
  </si>
  <si>
    <t>Sum of Performance_Score</t>
  </si>
  <si>
    <t>Dept_ID</t>
  </si>
  <si>
    <t>Middle Age (32-50)</t>
  </si>
  <si>
    <t>Old (51-65)</t>
  </si>
  <si>
    <t>Young (20-31)</t>
  </si>
  <si>
    <t>Performance Score</t>
  </si>
  <si>
    <t>Absences</t>
  </si>
  <si>
    <t>Salary</t>
  </si>
  <si>
    <t>Tenure Year</t>
  </si>
  <si>
    <t>Tenure YR Bracket</t>
  </si>
  <si>
    <t xml:space="preserve">Employee ID: </t>
  </si>
  <si>
    <t>HR EMPLOYEE LOOKUP</t>
  </si>
  <si>
    <t>Department:</t>
  </si>
  <si>
    <t>Clear</t>
  </si>
  <si>
    <t>Employee ID:</t>
  </si>
  <si>
    <t>Gender:</t>
  </si>
  <si>
    <t>Salary:</t>
  </si>
  <si>
    <t>Performance:</t>
  </si>
  <si>
    <t>Absences:</t>
  </si>
  <si>
    <t>Tenure:</t>
  </si>
  <si>
    <r>
      <rPr>
        <b/>
        <sz val="11"/>
        <color theme="1"/>
        <rFont val="Aptos Narrow"/>
        <family val="2"/>
        <scheme val="minor"/>
      </rPr>
      <t>Employee Age and Experience</t>
    </r>
    <r>
      <rPr>
        <sz val="11"/>
        <color theme="1"/>
        <rFont val="Aptos Narrow"/>
        <family val="2"/>
        <scheme val="minor"/>
      </rPr>
      <t xml:space="preserve">
•	Employees have different age groups, from young to senior.
•	Older employees usually have longer tenure.
•	Younger employees are more common in some departments.</t>
    </r>
  </si>
  <si>
    <r>
      <rPr>
        <b/>
        <sz val="11"/>
        <color theme="1"/>
        <rFont val="Aptos Narrow"/>
        <family val="2"/>
        <scheme val="minor"/>
      </rPr>
      <t>Performance Score</t>
    </r>
    <r>
      <rPr>
        <sz val="11"/>
        <color theme="1"/>
        <rFont val="Aptos Narrow"/>
        <family val="2"/>
        <scheme val="minor"/>
      </rPr>
      <t xml:space="preserve">
•	Performance scores change from employee to employee.
•	Some departments show higher average performance.
•	Some employees perform very well while others need improvement.</t>
    </r>
  </si>
  <si>
    <r>
      <rPr>
        <b/>
        <sz val="11"/>
        <color theme="1"/>
        <rFont val="Aptos Narrow"/>
        <family val="2"/>
        <scheme val="minor"/>
      </rPr>
      <t>Salary</t>
    </r>
    <r>
      <rPr>
        <sz val="11"/>
        <color theme="1"/>
        <rFont val="Aptos Narrow"/>
        <family val="2"/>
        <scheme val="minor"/>
      </rPr>
      <t xml:space="preserve">
•	Salary levels are not equal across departments.
•	Employees with more experience (tenure) often have higher salaries.
•	Some departments pay more because of job type (ex: IT, Opreations).</t>
    </r>
  </si>
  <si>
    <r>
      <rPr>
        <b/>
        <sz val="11"/>
        <color theme="1"/>
        <rFont val="Aptos Narrow"/>
        <family val="2"/>
        <scheme val="minor"/>
      </rPr>
      <t xml:space="preserve"> Simple Overall Summary</t>
    </r>
    <r>
      <rPr>
        <sz val="11"/>
        <color theme="1"/>
        <rFont val="Aptos Narrow"/>
        <family val="2"/>
        <scheme val="minor"/>
      </rPr>
      <t xml:space="preserve">
•	Data shows a mix of young and experienced employees.
•	Performance and absences differ by department.
•	Salary grows with age and tenure.
•	Hiring activity changes by year and month.</t>
    </r>
  </si>
  <si>
    <r>
      <rPr>
        <b/>
        <sz val="11"/>
        <color theme="1"/>
        <rFont val="Aptos Narrow"/>
        <family val="2"/>
        <scheme val="minor"/>
      </rPr>
      <t>Hiring Trends</t>
    </r>
    <r>
      <rPr>
        <sz val="11"/>
        <color theme="1"/>
        <rFont val="Aptos Narrow"/>
        <family val="2"/>
        <scheme val="minor"/>
      </rPr>
      <t xml:space="preserve">
•	Some years have more hires than others.
•	Hiring changes depending on the department.
•	May show stability and good governance but still low recent hiring may affect the future of the company</t>
    </r>
  </si>
  <si>
    <t>HR Analytics Dashboard (Excel Project)</t>
  </si>
  <si>
    <r>
      <rPr>
        <b/>
        <sz val="11"/>
        <color theme="1"/>
        <rFont val="Aptos Narrow"/>
        <family val="2"/>
        <scheme val="minor"/>
      </rPr>
      <t>Absences</t>
    </r>
    <r>
      <rPr>
        <sz val="11"/>
        <color theme="1"/>
        <rFont val="Aptos Narrow"/>
        <family val="2"/>
        <scheme val="minor"/>
      </rPr>
      <t xml:space="preserve">
•	Some employees have high absences, which may affect performance.
•	Teams with low absences may have better work discipline.
•	Monthly absences change and can show patterns.</t>
    </r>
  </si>
  <si>
    <t>Employee ID</t>
  </si>
  <si>
    <r>
      <rPr>
        <b/>
        <sz val="11"/>
        <color theme="1"/>
        <rFont val="Aptos Narrow"/>
        <family val="2"/>
        <scheme val="minor"/>
      </rPr>
      <t>HR Report</t>
    </r>
    <r>
      <rPr>
        <sz val="11"/>
        <color theme="1"/>
        <rFont val="Aptos Narrow"/>
        <family val="2"/>
        <scheme val="minor"/>
      </rPr>
      <t xml:space="preserve">
• HR analytics for age distribution, tenure segmentation, and performance tracking
• Quick lookup for individual employee metrics
• Workforce planning and departmental insight</t>
    </r>
  </si>
  <si>
    <t>HR Project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</si>
</sst>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0"/>
      <color theme="1"/>
      <name val="Aptos Narrow"/>
      <family val="2"/>
      <scheme val="minor"/>
    </font>
    <font>
      <b/>
      <sz val="2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89999084444715716"/>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xf numFmtId="0" fontId="0" fillId="34" borderId="0" xfId="0" applyFill="1"/>
    <xf numFmtId="2" fontId="0" fillId="0" borderId="0" xfId="0" applyNumberFormat="1" applyAlignment="1">
      <alignment horizontal="left"/>
    </xf>
    <xf numFmtId="0" fontId="16" fillId="0" borderId="0" xfId="0" applyFont="1" applyAlignment="1">
      <alignment horizontal="left"/>
    </xf>
    <xf numFmtId="164" fontId="16" fillId="0" borderId="0" xfId="0" applyNumberFormat="1" applyFont="1" applyAlignment="1">
      <alignment horizontal="left"/>
    </xf>
    <xf numFmtId="0" fontId="16" fillId="0" borderId="11" xfId="0" applyFont="1" applyBorder="1"/>
    <xf numFmtId="0" fontId="16" fillId="0" borderId="11" xfId="0" applyFont="1" applyBorder="1" applyAlignment="1">
      <alignment horizontal="center" vertical="center"/>
    </xf>
    <xf numFmtId="0" fontId="0" fillId="0" borderId="11" xfId="0" applyBorder="1"/>
    <xf numFmtId="14" fontId="0" fillId="0" borderId="11" xfId="0" applyNumberFormat="1" applyBorder="1"/>
    <xf numFmtId="0" fontId="0" fillId="0" borderId="11" xfId="0" applyBorder="1" applyAlignment="1">
      <alignment horizontal="left"/>
    </xf>
    <xf numFmtId="0" fontId="0" fillId="0" borderId="20" xfId="0" applyBorder="1"/>
    <xf numFmtId="0" fontId="0" fillId="0" borderId="21" xfId="0" applyBorder="1" applyAlignment="1">
      <alignment horizontal="left"/>
    </xf>
    <xf numFmtId="0" fontId="0" fillId="0" borderId="22" xfId="0" applyBorder="1"/>
    <xf numFmtId="0" fontId="0" fillId="0" borderId="23" xfId="0" applyBorder="1"/>
    <xf numFmtId="0" fontId="0" fillId="0" borderId="23" xfId="0" applyBorder="1" applyAlignment="1">
      <alignment horizontal="left"/>
    </xf>
    <xf numFmtId="14" fontId="0" fillId="0" borderId="23" xfId="0" applyNumberFormat="1" applyBorder="1"/>
    <xf numFmtId="0" fontId="0" fillId="0" borderId="24" xfId="0" applyBorder="1" applyAlignment="1">
      <alignment horizontal="left"/>
    </xf>
    <xf numFmtId="0" fontId="16" fillId="0" borderId="25" xfId="0" applyFont="1" applyBorder="1"/>
    <xf numFmtId="0" fontId="16" fillId="0" borderId="25" xfId="0" applyFont="1" applyBorder="1" applyAlignment="1">
      <alignment horizontal="center"/>
    </xf>
    <xf numFmtId="0" fontId="0" fillId="0" borderId="26" xfId="0" applyBorder="1"/>
    <xf numFmtId="0" fontId="0" fillId="0" borderId="25" xfId="0" applyBorder="1"/>
    <xf numFmtId="0" fontId="0" fillId="0" borderId="25" xfId="0" applyBorder="1" applyAlignment="1">
      <alignment horizontal="left"/>
    </xf>
    <xf numFmtId="14" fontId="0" fillId="0" borderId="25" xfId="0" applyNumberFormat="1" applyBorder="1"/>
    <xf numFmtId="0" fontId="0" fillId="0" borderId="27" xfId="0" applyBorder="1" applyAlignment="1">
      <alignment horizontal="left"/>
    </xf>
    <xf numFmtId="0" fontId="0" fillId="0" borderId="28" xfId="0" applyBorder="1"/>
    <xf numFmtId="0" fontId="0" fillId="0" borderId="29" xfId="0" applyBorder="1"/>
    <xf numFmtId="14" fontId="0" fillId="0" borderId="29" xfId="0" applyNumberFormat="1" applyBorder="1"/>
    <xf numFmtId="0" fontId="0" fillId="0" borderId="30" xfId="0" applyBorder="1"/>
    <xf numFmtId="0" fontId="0" fillId="0" borderId="0" xfId="0" applyAlignment="1">
      <alignment vertical="top"/>
    </xf>
    <xf numFmtId="0" fontId="0" fillId="0" borderId="34" xfId="0" applyBorder="1" applyAlignment="1">
      <alignment vertical="top"/>
    </xf>
    <xf numFmtId="0" fontId="0" fillId="0" borderId="35" xfId="0" applyBorder="1" applyAlignment="1">
      <alignment vertical="top"/>
    </xf>
    <xf numFmtId="0" fontId="0" fillId="0" borderId="35" xfId="0" applyBorder="1"/>
    <xf numFmtId="0" fontId="0" fillId="0" borderId="34" xfId="0" applyBorder="1"/>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0" fillId="0" borderId="34" xfId="0" applyBorder="1" applyAlignment="1">
      <alignment horizontal="left" wrapText="1"/>
    </xf>
    <xf numFmtId="0" fontId="0" fillId="0" borderId="0" xfId="0" applyAlignment="1">
      <alignment horizontal="left"/>
    </xf>
    <xf numFmtId="0" fontId="0" fillId="0" borderId="35" xfId="0" applyBorder="1" applyAlignment="1">
      <alignment horizontal="left"/>
    </xf>
    <xf numFmtId="0" fontId="0" fillId="0" borderId="34" xfId="0" applyBorder="1" applyAlignment="1">
      <alignment horizontal="left"/>
    </xf>
    <xf numFmtId="0" fontId="0" fillId="0" borderId="36" xfId="0" applyBorder="1" applyAlignment="1">
      <alignment horizontal="left"/>
    </xf>
    <xf numFmtId="0" fontId="0" fillId="0" borderId="37" xfId="0" applyBorder="1" applyAlignment="1">
      <alignment horizontal="left"/>
    </xf>
    <xf numFmtId="0" fontId="0" fillId="0" borderId="38" xfId="0" applyBorder="1" applyAlignment="1">
      <alignment horizontal="left"/>
    </xf>
    <xf numFmtId="0" fontId="0" fillId="0" borderId="34" xfId="0" applyBorder="1" applyAlignment="1">
      <alignment horizontal="left" vertical="top" wrapText="1"/>
    </xf>
    <xf numFmtId="0" fontId="0" fillId="0" borderId="0" xfId="0" applyAlignment="1">
      <alignment horizontal="left" vertical="top"/>
    </xf>
    <xf numFmtId="0" fontId="0" fillId="0" borderId="35" xfId="0" applyBorder="1" applyAlignment="1">
      <alignment horizontal="left" vertical="top"/>
    </xf>
    <xf numFmtId="0" fontId="0" fillId="0" borderId="34" xfId="0" applyBorder="1" applyAlignment="1">
      <alignment horizontal="left" vertical="top"/>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9" fillId="0" borderId="0" xfId="0" applyFont="1" applyAlignment="1">
      <alignment horizontal="center" vertical="center"/>
    </xf>
    <xf numFmtId="0" fontId="19" fillId="0" borderId="16" xfId="0" applyFont="1" applyBorder="1" applyAlignment="1">
      <alignment horizontal="center" vertical="center"/>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0" xfId="0" applyAlignment="1">
      <alignment horizontal="left" vertical="top" wrapText="1"/>
    </xf>
    <xf numFmtId="0" fontId="0" fillId="0" borderId="35" xfId="0" applyBorder="1" applyAlignment="1">
      <alignment horizontal="left" vertical="top" wrapText="1"/>
    </xf>
    <xf numFmtId="0" fontId="20"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9" formatCode="dd/mm/yyyy"/>
    </dxf>
    <dxf>
      <numFmt numFmtId="2" formatCode="0.00"/>
    </dxf>
    <dxf>
      <numFmt numFmtId="2" formatCode="0.0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F505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Gender Distribition</a:t>
            </a:r>
            <a:r>
              <a:rPr lang="en-PH" baseline="0"/>
              <a:t> %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PivotTables!$G$2</c:f>
              <c:strCache>
                <c:ptCount val="1"/>
                <c:pt idx="0">
                  <c:v>Male</c:v>
                </c:pt>
              </c:strCache>
            </c:strRef>
          </c:tx>
          <c:spPr>
            <a:solidFill>
              <a:schemeClr val="accent6">
                <a:lumMod val="40000"/>
                <a:lumOff val="6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PivotTables!$F$3:$F$8</c:f>
              <c:strCache>
                <c:ptCount val="6"/>
                <c:pt idx="0">
                  <c:v>Finance</c:v>
                </c:pt>
                <c:pt idx="1">
                  <c:v>HR</c:v>
                </c:pt>
                <c:pt idx="2">
                  <c:v>IT</c:v>
                </c:pt>
                <c:pt idx="3">
                  <c:v>Marketing</c:v>
                </c:pt>
                <c:pt idx="4">
                  <c:v>Operations</c:v>
                </c:pt>
                <c:pt idx="5">
                  <c:v>Sales</c:v>
                </c:pt>
              </c:strCache>
            </c:strRef>
          </c:cat>
          <c:val>
            <c:numRef>
              <c:f>PivotTables!$G$3:$G$8</c:f>
              <c:numCache>
                <c:formatCode>General</c:formatCode>
                <c:ptCount val="6"/>
                <c:pt idx="0">
                  <c:v>-8.9368258859784278E-2</c:v>
                </c:pt>
                <c:pt idx="1">
                  <c:v>-7.0878274268104779E-2</c:v>
                </c:pt>
                <c:pt idx="2">
                  <c:v>-8.9368258859784278E-2</c:v>
                </c:pt>
                <c:pt idx="3">
                  <c:v>-8.6286594761171037E-2</c:v>
                </c:pt>
                <c:pt idx="4">
                  <c:v>-7.8582434514637908E-2</c:v>
                </c:pt>
                <c:pt idx="5">
                  <c:v>-7.8582434514637908E-2</c:v>
                </c:pt>
              </c:numCache>
            </c:numRef>
          </c:val>
          <c:extLst>
            <c:ext xmlns:c16="http://schemas.microsoft.com/office/drawing/2014/chart" uri="{C3380CC4-5D6E-409C-BE32-E72D297353CC}">
              <c16:uniqueId val="{00000000-07F7-4075-8DC6-EAF8B79446A3}"/>
            </c:ext>
          </c:extLst>
        </c:ser>
        <c:ser>
          <c:idx val="1"/>
          <c:order val="1"/>
          <c:tx>
            <c:strRef>
              <c:f>PivotTables!$H$2</c:f>
              <c:strCache>
                <c:ptCount val="1"/>
                <c:pt idx="0">
                  <c:v>Female</c:v>
                </c:pt>
              </c:strCache>
            </c:strRef>
          </c:tx>
          <c:spPr>
            <a:solidFill>
              <a:schemeClr val="accent2">
                <a:lumMod val="40000"/>
                <a:lumOff val="6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PivotTables!$F$3:$F$8</c:f>
              <c:strCache>
                <c:ptCount val="6"/>
                <c:pt idx="0">
                  <c:v>Finance</c:v>
                </c:pt>
                <c:pt idx="1">
                  <c:v>HR</c:v>
                </c:pt>
                <c:pt idx="2">
                  <c:v>IT</c:v>
                </c:pt>
                <c:pt idx="3">
                  <c:v>Marketing</c:v>
                </c:pt>
                <c:pt idx="4">
                  <c:v>Operations</c:v>
                </c:pt>
                <c:pt idx="5">
                  <c:v>Sales</c:v>
                </c:pt>
              </c:strCache>
            </c:strRef>
          </c:cat>
          <c:val>
            <c:numRef>
              <c:f>PivotTables!$H$3:$H$8</c:f>
              <c:numCache>
                <c:formatCode>General</c:formatCode>
                <c:ptCount val="6"/>
                <c:pt idx="0">
                  <c:v>9.2449922958397532E-2</c:v>
                </c:pt>
                <c:pt idx="1">
                  <c:v>8.1664098613251149E-2</c:v>
                </c:pt>
                <c:pt idx="2">
                  <c:v>0.10015408320493066</c:v>
                </c:pt>
                <c:pt idx="3">
                  <c:v>8.4745762711864403E-2</c:v>
                </c:pt>
                <c:pt idx="4">
                  <c:v>6.9337442218798145E-2</c:v>
                </c:pt>
                <c:pt idx="5">
                  <c:v>7.8582434514637908E-2</c:v>
                </c:pt>
              </c:numCache>
            </c:numRef>
          </c:val>
          <c:extLst>
            <c:ext xmlns:c16="http://schemas.microsoft.com/office/drawing/2014/chart" uri="{C3380CC4-5D6E-409C-BE32-E72D297353CC}">
              <c16:uniqueId val="{00000001-07F7-4075-8DC6-EAF8B79446A3}"/>
            </c:ext>
          </c:extLst>
        </c:ser>
        <c:dLbls>
          <c:dLblPos val="ctr"/>
          <c:showLegendKey val="0"/>
          <c:showVal val="1"/>
          <c:showCatName val="0"/>
          <c:showSerName val="0"/>
          <c:showPercent val="0"/>
          <c:showBubbleSize val="0"/>
        </c:dLbls>
        <c:gapWidth val="110"/>
        <c:overlap val="100"/>
        <c:axId val="2128844799"/>
        <c:axId val="2128842879"/>
      </c:barChart>
      <c:catAx>
        <c:axId val="212884479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8842879"/>
        <c:crosses val="autoZero"/>
        <c:auto val="1"/>
        <c:lblAlgn val="ctr"/>
        <c:lblOffset val="100"/>
        <c:noMultiLvlLbl val="0"/>
      </c:catAx>
      <c:valAx>
        <c:axId val="2128842879"/>
        <c:scaling>
          <c:orientation val="minMax"/>
          <c:max val="0.15000000000000002"/>
        </c:scaling>
        <c:delete val="0"/>
        <c:axPos val="b"/>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844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[employee_productivity_final.xlsx]PivotTables!Avg_Salary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PivotTables!$B$14</c:f>
              <c:strCache>
                <c:ptCount val="1"/>
                <c:pt idx="0">
                  <c:v>Total</c:v>
                </c:pt>
              </c:strCache>
            </c:strRef>
          </c:tx>
          <c:spPr>
            <a:solidFill>
              <a:schemeClr val="tx2">
                <a:lumMod val="25000"/>
                <a:lumOff val="75000"/>
              </a:schemeClr>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PivotTables!$A$15:$A$21</c:f>
              <c:strCache>
                <c:ptCount val="6"/>
                <c:pt idx="0">
                  <c:v>Finance</c:v>
                </c:pt>
                <c:pt idx="1">
                  <c:v>HR</c:v>
                </c:pt>
                <c:pt idx="2">
                  <c:v>IT</c:v>
                </c:pt>
                <c:pt idx="3">
                  <c:v>Marketing</c:v>
                </c:pt>
                <c:pt idx="4">
                  <c:v>Operations</c:v>
                </c:pt>
                <c:pt idx="5">
                  <c:v>Sales</c:v>
                </c:pt>
              </c:strCache>
            </c:strRef>
          </c:cat>
          <c:val>
            <c:numRef>
              <c:f>PivotTables!$B$15:$B$21</c:f>
              <c:numCache>
                <c:formatCode>0.00</c:formatCode>
                <c:ptCount val="6"/>
                <c:pt idx="0">
                  <c:v>9036.8995762711893</c:v>
                </c:pt>
                <c:pt idx="1">
                  <c:v>8807.6243434343432</c:v>
                </c:pt>
                <c:pt idx="2">
                  <c:v>9674.87154471545</c:v>
                </c:pt>
                <c:pt idx="3">
                  <c:v>8821.0011711711686</c:v>
                </c:pt>
                <c:pt idx="4">
                  <c:v>9438.2010416666708</c:v>
                </c:pt>
                <c:pt idx="5">
                  <c:v>9005.1017647058816</c:v>
                </c:pt>
              </c:numCache>
            </c:numRef>
          </c:val>
          <c:extLst>
            <c:ext xmlns:c16="http://schemas.microsoft.com/office/drawing/2014/chart" uri="{C3380CC4-5D6E-409C-BE32-E72D297353CC}">
              <c16:uniqueId val="{00000000-AE52-4D95-A0DF-A0BB0E84E513}"/>
            </c:ext>
          </c:extLst>
        </c:ser>
        <c:dLbls>
          <c:dLblPos val="outEnd"/>
          <c:showLegendKey val="0"/>
          <c:showVal val="1"/>
          <c:showCatName val="0"/>
          <c:showSerName val="0"/>
          <c:showPercent val="0"/>
          <c:showBubbleSize val="0"/>
        </c:dLbls>
        <c:gapWidth val="219"/>
        <c:overlap val="-27"/>
        <c:axId val="230149632"/>
        <c:axId val="230150592"/>
      </c:barChart>
      <c:catAx>
        <c:axId val="23014963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0150592"/>
        <c:crosses val="autoZero"/>
        <c:auto val="1"/>
        <c:lblAlgn val="ctr"/>
        <c:lblOffset val="100"/>
        <c:noMultiLvlLbl val="0"/>
      </c:catAx>
      <c:valAx>
        <c:axId val="230150592"/>
        <c:scaling>
          <c:orientation val="minMax"/>
        </c:scaling>
        <c:delete val="1"/>
        <c:axPos val="l"/>
        <c:numFmt formatCode="0.00" sourceLinked="1"/>
        <c:majorTickMark val="none"/>
        <c:minorTickMark val="none"/>
        <c:tickLblPos val="nextTo"/>
        <c:crossAx val="23014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[employee_productivity_final.xlsx]PivotTables!AvgPvsAvgA</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Monthly Avg Perfomance vs Avg Absences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PivotTables!$C$27</c:f>
              <c:strCache>
                <c:ptCount val="1"/>
                <c:pt idx="0">
                  <c:v>Avg_Performance</c:v>
                </c:pt>
              </c:strCache>
            </c:strRef>
          </c:tx>
          <c:spPr>
            <a:solidFill>
              <a:schemeClr val="accent2"/>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PivotTables!$A$28:$A$40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PivotTables!$C$28:$C$40</c:f>
              <c:numCache>
                <c:formatCode>0.00</c:formatCode>
                <c:ptCount val="12"/>
                <c:pt idx="0">
                  <c:v>3.2922222222222217</c:v>
                </c:pt>
                <c:pt idx="1">
                  <c:v>3.4415555555555555</c:v>
                </c:pt>
                <c:pt idx="2">
                  <c:v>3.2131578947368409</c:v>
                </c:pt>
                <c:pt idx="3">
                  <c:v>3.2294444444444443</c:v>
                </c:pt>
                <c:pt idx="4">
                  <c:v>3.3649090909090917</c:v>
                </c:pt>
                <c:pt idx="5">
                  <c:v>3.3663157894736839</c:v>
                </c:pt>
                <c:pt idx="6">
                  <c:v>3.1094736842105264</c:v>
                </c:pt>
                <c:pt idx="7">
                  <c:v>3.2447058823529424</c:v>
                </c:pt>
                <c:pt idx="8">
                  <c:v>3.2119999999999993</c:v>
                </c:pt>
                <c:pt idx="9">
                  <c:v>3.0820000000000003</c:v>
                </c:pt>
                <c:pt idx="10">
                  <c:v>3.2326190476190471</c:v>
                </c:pt>
                <c:pt idx="11">
                  <c:v>3.214390243902439</c:v>
                </c:pt>
              </c:numCache>
            </c:numRef>
          </c:val>
          <c:extLst>
            <c:ext xmlns:c16="http://schemas.microsoft.com/office/drawing/2014/chart" uri="{C3380CC4-5D6E-409C-BE32-E72D297353CC}">
              <c16:uniqueId val="{00000000-6846-49C8-B5BA-38A2B43AE224}"/>
            </c:ext>
          </c:extLst>
        </c:ser>
        <c:dLbls>
          <c:showLegendKey val="0"/>
          <c:showVal val="0"/>
          <c:showCatName val="0"/>
          <c:showSerName val="0"/>
          <c:showPercent val="0"/>
          <c:showBubbleSize val="0"/>
        </c:dLbls>
        <c:gapWidth val="219"/>
        <c:axId val="232955760"/>
        <c:axId val="232956240"/>
      </c:barChart>
      <c:lineChart>
        <c:grouping val="standard"/>
        <c:varyColors val="0"/>
        <c:ser>
          <c:idx val="0"/>
          <c:order val="0"/>
          <c:tx>
            <c:strRef>
              <c:f>PivotTables!$B$27</c:f>
              <c:strCache>
                <c:ptCount val="1"/>
                <c:pt idx="0">
                  <c:v>Avg_Absences</c:v>
                </c:pt>
              </c:strCache>
            </c:strRef>
          </c:tx>
          <c:spPr>
            <a:ln w="28575" cap="rnd">
              <a:solidFill>
                <a:schemeClr val="accent1"/>
              </a:solidFill>
              <a:round/>
            </a:ln>
            <a:effectLst/>
          </c:spPr>
          <c:marker>
            <c:symbol val="none"/>
          </c:marker>
          <c:dLbls>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PivotTables!$A$28:$A$40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PivotTables!$B$28:$B$40</c:f>
              <c:numCache>
                <c:formatCode>0.00</c:formatCode>
                <c:ptCount val="12"/>
                <c:pt idx="0">
                  <c:v>7.8571428571428568</c:v>
                </c:pt>
                <c:pt idx="1">
                  <c:v>7.3777777777777782</c:v>
                </c:pt>
                <c:pt idx="2">
                  <c:v>7.3859649122807021</c:v>
                </c:pt>
                <c:pt idx="3">
                  <c:v>6.7777777777777777</c:v>
                </c:pt>
                <c:pt idx="4">
                  <c:v>7.9090909090909092</c:v>
                </c:pt>
                <c:pt idx="5">
                  <c:v>7.6140350877192979</c:v>
                </c:pt>
                <c:pt idx="6">
                  <c:v>7.6315789473684212</c:v>
                </c:pt>
                <c:pt idx="7">
                  <c:v>7.3529411764705879</c:v>
                </c:pt>
                <c:pt idx="8">
                  <c:v>7.3833333333333337</c:v>
                </c:pt>
                <c:pt idx="9">
                  <c:v>7.48</c:v>
                </c:pt>
                <c:pt idx="10">
                  <c:v>8.9523809523809526</c:v>
                </c:pt>
                <c:pt idx="11">
                  <c:v>7.5853658536585362</c:v>
                </c:pt>
              </c:numCache>
            </c:numRef>
          </c:val>
          <c:smooth val="0"/>
          <c:extLst>
            <c:ext xmlns:c16="http://schemas.microsoft.com/office/drawing/2014/chart" uri="{C3380CC4-5D6E-409C-BE32-E72D297353CC}">
              <c16:uniqueId val="{00000001-6846-49C8-B5BA-38A2B43AE224}"/>
            </c:ext>
          </c:extLst>
        </c:ser>
        <c:dLbls>
          <c:showLegendKey val="0"/>
          <c:showVal val="0"/>
          <c:showCatName val="0"/>
          <c:showSerName val="0"/>
          <c:showPercent val="0"/>
          <c:showBubbleSize val="0"/>
        </c:dLbls>
        <c:marker val="1"/>
        <c:smooth val="0"/>
        <c:axId val="574437503"/>
        <c:axId val="574439423"/>
      </c:lineChart>
      <c:catAx>
        <c:axId val="23295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56240"/>
        <c:crosses val="autoZero"/>
        <c:auto val="1"/>
        <c:lblAlgn val="ctr"/>
        <c:lblOffset val="100"/>
        <c:noMultiLvlLbl val="0"/>
      </c:catAx>
      <c:valAx>
        <c:axId val="23295624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55760"/>
        <c:crosses val="autoZero"/>
        <c:crossBetween val="between"/>
        <c:majorUnit val="1"/>
        <c:minorUnit val="0.5"/>
      </c:valAx>
      <c:valAx>
        <c:axId val="57443942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437503"/>
        <c:crosses val="max"/>
        <c:crossBetween val="between"/>
      </c:valAx>
      <c:catAx>
        <c:axId val="574437503"/>
        <c:scaling>
          <c:orientation val="minMax"/>
        </c:scaling>
        <c:delete val="1"/>
        <c:axPos val="b"/>
        <c:numFmt formatCode="General" sourceLinked="1"/>
        <c:majorTickMark val="out"/>
        <c:minorTickMark val="none"/>
        <c:tickLblPos val="nextTo"/>
        <c:crossAx val="574439423"/>
        <c:crosses val="autoZero"/>
        <c:auto val="1"/>
        <c:lblAlgn val="ctr"/>
        <c:lblOffset val="100"/>
        <c:noMultiLvlLbl val="0"/>
      </c:catAx>
      <c:spPr>
        <a:noFill/>
        <a:ln>
          <a:noFill/>
        </a:ln>
        <a:effectLst/>
      </c:spPr>
    </c:plotArea>
    <c:legend>
      <c:legendPos val="b"/>
      <c:layout>
        <c:manualLayout>
          <c:xMode val="edge"/>
          <c:yMode val="edge"/>
          <c:x val="2.4883708451562524E-2"/>
          <c:y val="0.90839681818458617"/>
          <c:w val="0.47163658754006638"/>
          <c:h val="7.404196462539414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[employee_productivity_final.xlsx]PivotTables!TenureYRDistri</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Tenure Years</a:t>
            </a:r>
            <a:r>
              <a:rPr lang="en-PH" baseline="0"/>
              <a: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PivotTables!$B$45:$B$46</c:f>
              <c:strCache>
                <c:ptCount val="1"/>
                <c:pt idx="0">
                  <c:v>New (0–1 yr)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PivotTables!$A$47:$A$53</c:f>
              <c:strCache>
                <c:ptCount val="6"/>
                <c:pt idx="0">
                  <c:v>IT</c:v>
                </c:pt>
                <c:pt idx="1">
                  <c:v>Marketing</c:v>
                </c:pt>
                <c:pt idx="2">
                  <c:v>Finance</c:v>
                </c:pt>
                <c:pt idx="3">
                  <c:v>Operations</c:v>
                </c:pt>
                <c:pt idx="4">
                  <c:v>HR</c:v>
                </c:pt>
                <c:pt idx="5">
                  <c:v>Sales</c:v>
                </c:pt>
              </c:strCache>
            </c:strRef>
          </c:cat>
          <c:val>
            <c:numRef>
              <c:f>PivotTables!$B$47:$B$53</c:f>
              <c:numCache>
                <c:formatCode>General</c:formatCode>
                <c:ptCount val="6"/>
                <c:pt idx="0">
                  <c:v>16</c:v>
                </c:pt>
                <c:pt idx="1">
                  <c:v>21</c:v>
                </c:pt>
                <c:pt idx="2">
                  <c:v>19</c:v>
                </c:pt>
                <c:pt idx="3">
                  <c:v>14</c:v>
                </c:pt>
                <c:pt idx="4">
                  <c:v>15</c:v>
                </c:pt>
                <c:pt idx="5">
                  <c:v>26</c:v>
                </c:pt>
              </c:numCache>
            </c:numRef>
          </c:val>
          <c:extLst>
            <c:ext xmlns:c16="http://schemas.microsoft.com/office/drawing/2014/chart" uri="{C3380CC4-5D6E-409C-BE32-E72D297353CC}">
              <c16:uniqueId val="{00000000-194D-4CF9-9DAB-5C98FC9C9CDF}"/>
            </c:ext>
          </c:extLst>
        </c:ser>
        <c:ser>
          <c:idx val="1"/>
          <c:order val="1"/>
          <c:tx>
            <c:strRef>
              <c:f>PivotTables!$C$45:$C$46</c:f>
              <c:strCache>
                <c:ptCount val="1"/>
                <c:pt idx="0">
                  <c:v>Early Career (2-5 yr)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PivotTables!$A$47:$A$53</c:f>
              <c:strCache>
                <c:ptCount val="6"/>
                <c:pt idx="0">
                  <c:v>IT</c:v>
                </c:pt>
                <c:pt idx="1">
                  <c:v>Marketing</c:v>
                </c:pt>
                <c:pt idx="2">
                  <c:v>Finance</c:v>
                </c:pt>
                <c:pt idx="3">
                  <c:v>Operations</c:v>
                </c:pt>
                <c:pt idx="4">
                  <c:v>HR</c:v>
                </c:pt>
                <c:pt idx="5">
                  <c:v>Sales</c:v>
                </c:pt>
              </c:strCache>
            </c:strRef>
          </c:cat>
          <c:val>
            <c:numRef>
              <c:f>PivotTables!$C$47:$C$53</c:f>
              <c:numCache>
                <c:formatCode>General</c:formatCode>
                <c:ptCount val="6"/>
                <c:pt idx="0">
                  <c:v>91</c:v>
                </c:pt>
                <c:pt idx="1">
                  <c:v>77</c:v>
                </c:pt>
                <c:pt idx="2">
                  <c:v>76</c:v>
                </c:pt>
                <c:pt idx="3">
                  <c:v>66</c:v>
                </c:pt>
                <c:pt idx="4">
                  <c:v>66</c:v>
                </c:pt>
                <c:pt idx="5">
                  <c:v>63</c:v>
                </c:pt>
              </c:numCache>
            </c:numRef>
          </c:val>
          <c:extLst>
            <c:ext xmlns:c16="http://schemas.microsoft.com/office/drawing/2014/chart" uri="{C3380CC4-5D6E-409C-BE32-E72D297353CC}">
              <c16:uniqueId val="{00000003-05B9-4C48-8946-5E817101958F}"/>
            </c:ext>
          </c:extLst>
        </c:ser>
        <c:ser>
          <c:idx val="2"/>
          <c:order val="2"/>
          <c:tx>
            <c:strRef>
              <c:f>PivotTables!$D$45:$D$46</c:f>
              <c:strCache>
                <c:ptCount val="1"/>
                <c:pt idx="0">
                  <c:v>Mid Career (6–10 yr)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PivotTables!$A$47:$A$53</c:f>
              <c:strCache>
                <c:ptCount val="6"/>
                <c:pt idx="0">
                  <c:v>IT</c:v>
                </c:pt>
                <c:pt idx="1">
                  <c:v>Marketing</c:v>
                </c:pt>
                <c:pt idx="2">
                  <c:v>Finance</c:v>
                </c:pt>
                <c:pt idx="3">
                  <c:v>Operations</c:v>
                </c:pt>
                <c:pt idx="4">
                  <c:v>HR</c:v>
                </c:pt>
                <c:pt idx="5">
                  <c:v>Sales</c:v>
                </c:pt>
              </c:strCache>
            </c:strRef>
          </c:cat>
          <c:val>
            <c:numRef>
              <c:f>PivotTables!$D$47:$D$53</c:f>
              <c:numCache>
                <c:formatCode>General</c:formatCode>
                <c:ptCount val="6"/>
                <c:pt idx="0">
                  <c:v>16</c:v>
                </c:pt>
                <c:pt idx="1">
                  <c:v>13</c:v>
                </c:pt>
                <c:pt idx="2">
                  <c:v>23</c:v>
                </c:pt>
                <c:pt idx="3">
                  <c:v>16</c:v>
                </c:pt>
                <c:pt idx="4">
                  <c:v>18</c:v>
                </c:pt>
                <c:pt idx="5">
                  <c:v>13</c:v>
                </c:pt>
              </c:numCache>
            </c:numRef>
          </c:val>
          <c:extLst>
            <c:ext xmlns:c16="http://schemas.microsoft.com/office/drawing/2014/chart" uri="{C3380CC4-5D6E-409C-BE32-E72D297353CC}">
              <c16:uniqueId val="{00000004-05B9-4C48-8946-5E817101958F}"/>
            </c:ext>
          </c:extLst>
        </c:ser>
        <c:dLbls>
          <c:dLblPos val="outEnd"/>
          <c:showLegendKey val="0"/>
          <c:showVal val="1"/>
          <c:showCatName val="0"/>
          <c:showSerName val="0"/>
          <c:showPercent val="0"/>
          <c:showBubbleSize val="0"/>
        </c:dLbls>
        <c:gapWidth val="177"/>
        <c:overlap val="-15"/>
        <c:axId val="1115119344"/>
        <c:axId val="1115128464"/>
      </c:barChart>
      <c:catAx>
        <c:axId val="111511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28464"/>
        <c:crosses val="autoZero"/>
        <c:auto val="1"/>
        <c:lblAlgn val="ctr"/>
        <c:lblOffset val="100"/>
        <c:noMultiLvlLbl val="0"/>
      </c:catAx>
      <c:valAx>
        <c:axId val="111512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1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[employee_productivity_final.xlsx]PivotTables!TopEmp</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PivotTables!$B$126</c:f>
              <c:strCache>
                <c:ptCount val="1"/>
                <c:pt idx="0">
                  <c:v>Total</c:v>
                </c:pt>
              </c:strCache>
            </c:strRef>
          </c:tx>
          <c:spPr>
            <a:solidFill>
              <a:schemeClr val="accent1"/>
            </a:solidFill>
            <a:ln>
              <a:noFill/>
            </a:ln>
            <a:effectLst/>
          </c:spPr>
          <c:invertIfNegative val="0"/>
          <c:cat>
            <c:strRef>
              <c:f>PivotTables!$A$127:$A$137</c:f>
              <c:strCache>
                <c:ptCount val="10"/>
                <c:pt idx="0">
                  <c:v>E-6373</c:v>
                </c:pt>
                <c:pt idx="1">
                  <c:v>E-3501</c:v>
                </c:pt>
                <c:pt idx="2">
                  <c:v>E-2616</c:v>
                </c:pt>
                <c:pt idx="3">
                  <c:v>E-2485</c:v>
                </c:pt>
                <c:pt idx="4">
                  <c:v>E-3171</c:v>
                </c:pt>
                <c:pt idx="5">
                  <c:v>E-5502</c:v>
                </c:pt>
                <c:pt idx="6">
                  <c:v>E-2750</c:v>
                </c:pt>
                <c:pt idx="7">
                  <c:v>E-2925</c:v>
                </c:pt>
                <c:pt idx="8">
                  <c:v>E-4207</c:v>
                </c:pt>
                <c:pt idx="9">
                  <c:v>E-6978</c:v>
                </c:pt>
              </c:strCache>
            </c:strRef>
          </c:cat>
          <c:val>
            <c:numRef>
              <c:f>PivotTables!$B$127:$B$137</c:f>
              <c:numCache>
                <c:formatCode>General</c:formatCode>
                <c:ptCount val="10"/>
                <c:pt idx="0">
                  <c:v>4.96</c:v>
                </c:pt>
                <c:pt idx="1">
                  <c:v>4.97</c:v>
                </c:pt>
                <c:pt idx="2">
                  <c:v>4.9800000000000004</c:v>
                </c:pt>
                <c:pt idx="3">
                  <c:v>4.9800000000000004</c:v>
                </c:pt>
                <c:pt idx="4">
                  <c:v>4.99</c:v>
                </c:pt>
                <c:pt idx="5">
                  <c:v>4.99</c:v>
                </c:pt>
                <c:pt idx="6">
                  <c:v>4.99</c:v>
                </c:pt>
                <c:pt idx="7">
                  <c:v>5</c:v>
                </c:pt>
                <c:pt idx="8">
                  <c:v>5</c:v>
                </c:pt>
                <c:pt idx="9">
                  <c:v>5</c:v>
                </c:pt>
              </c:numCache>
            </c:numRef>
          </c:val>
          <c:extLst>
            <c:ext xmlns:c16="http://schemas.microsoft.com/office/drawing/2014/chart" uri="{C3380CC4-5D6E-409C-BE32-E72D297353CC}">
              <c16:uniqueId val="{00000000-3FBE-4DDD-94E5-D845E7B97E56}"/>
            </c:ext>
          </c:extLst>
        </c:ser>
        <c:dLbls>
          <c:showLegendKey val="0"/>
          <c:showVal val="0"/>
          <c:showCatName val="0"/>
          <c:showSerName val="0"/>
          <c:showPercent val="0"/>
          <c:showBubbleSize val="0"/>
        </c:dLbls>
        <c:gapWidth val="182"/>
        <c:axId val="1834399791"/>
        <c:axId val="1834347471"/>
      </c:barChart>
      <c:catAx>
        <c:axId val="183439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4347471"/>
        <c:crosses val="autoZero"/>
        <c:auto val="1"/>
        <c:lblAlgn val="ctr"/>
        <c:lblOffset val="100"/>
        <c:noMultiLvlLbl val="0"/>
      </c:catAx>
      <c:valAx>
        <c:axId val="1834347471"/>
        <c:scaling>
          <c:orientation val="minMax"/>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9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[employee_productivity_final.xlsx]PivotTables!LowPerEmp</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Lowest 10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PivotTables!$B$146</c:f>
              <c:strCache>
                <c:ptCount val="1"/>
                <c:pt idx="0">
                  <c:v>Total</c:v>
                </c:pt>
              </c:strCache>
            </c:strRef>
          </c:tx>
          <c:spPr>
            <a:solidFill>
              <a:schemeClr val="accent1"/>
            </a:solidFill>
            <a:ln>
              <a:noFill/>
            </a:ln>
            <a:effectLst/>
          </c:spPr>
          <c:invertIfNegative val="0"/>
          <c:cat>
            <c:strRef>
              <c:f>PivotTables!$A$147:$A$157</c:f>
              <c:strCache>
                <c:ptCount val="10"/>
                <c:pt idx="0">
                  <c:v>E-3826</c:v>
                </c:pt>
                <c:pt idx="1">
                  <c:v>E-2799</c:v>
                </c:pt>
                <c:pt idx="2">
                  <c:v>E-2149</c:v>
                </c:pt>
                <c:pt idx="3">
                  <c:v>E-2189</c:v>
                </c:pt>
                <c:pt idx="4">
                  <c:v>E-2272</c:v>
                </c:pt>
                <c:pt idx="5">
                  <c:v>E-2501</c:v>
                </c:pt>
                <c:pt idx="6">
                  <c:v>E-2844</c:v>
                </c:pt>
                <c:pt idx="7">
                  <c:v>E-2503</c:v>
                </c:pt>
                <c:pt idx="8">
                  <c:v>E-2576</c:v>
                </c:pt>
                <c:pt idx="9">
                  <c:v>E-2689</c:v>
                </c:pt>
              </c:strCache>
            </c:strRef>
          </c:cat>
          <c:val>
            <c:numRef>
              <c:f>PivotTables!$B$147:$B$157</c:f>
              <c:numCache>
                <c:formatCode>General</c:formatCode>
                <c:ptCount val="10"/>
                <c:pt idx="0">
                  <c:v>1.53</c:v>
                </c:pt>
                <c:pt idx="1">
                  <c:v>1.53</c:v>
                </c:pt>
                <c:pt idx="2">
                  <c:v>1.53</c:v>
                </c:pt>
                <c:pt idx="3">
                  <c:v>1.53</c:v>
                </c:pt>
                <c:pt idx="4">
                  <c:v>1.53</c:v>
                </c:pt>
                <c:pt idx="5">
                  <c:v>1.53</c:v>
                </c:pt>
                <c:pt idx="6">
                  <c:v>1.51</c:v>
                </c:pt>
                <c:pt idx="7">
                  <c:v>1.51</c:v>
                </c:pt>
                <c:pt idx="8">
                  <c:v>1.5</c:v>
                </c:pt>
                <c:pt idx="9">
                  <c:v>1.5</c:v>
                </c:pt>
              </c:numCache>
            </c:numRef>
          </c:val>
          <c:extLst>
            <c:ext xmlns:c16="http://schemas.microsoft.com/office/drawing/2014/chart" uri="{C3380CC4-5D6E-409C-BE32-E72D297353CC}">
              <c16:uniqueId val="{00000000-8FC2-44CD-A814-34156F8BFA4B}"/>
            </c:ext>
          </c:extLst>
        </c:ser>
        <c:dLbls>
          <c:showLegendKey val="0"/>
          <c:showVal val="0"/>
          <c:showCatName val="0"/>
          <c:showSerName val="0"/>
          <c:showPercent val="0"/>
          <c:showBubbleSize val="0"/>
        </c:dLbls>
        <c:gapWidth val="150"/>
        <c:overlap val="100"/>
        <c:axId val="1834390191"/>
        <c:axId val="1834390671"/>
      </c:barChart>
      <c:catAx>
        <c:axId val="18343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4390671"/>
        <c:crosses val="autoZero"/>
        <c:auto val="1"/>
        <c:lblAlgn val="ctr"/>
        <c:lblOffset val="100"/>
        <c:noMultiLvlLbl val="0"/>
      </c:catAx>
      <c:valAx>
        <c:axId val="183439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9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190819</xdr:colOff>
      <xdr:row>4</xdr:row>
      <xdr:rowOff>20683</xdr:rowOff>
    </xdr:from>
    <xdr:to>
      <xdr:col>20</xdr:col>
      <xdr:colOff>581169</xdr:colOff>
      <xdr:row>35</xdr:row>
      <xdr:rowOff>144736</xdr:rowOff>
    </xdr:to>
    <xdr:grpSp>
      <xdr:nvGrpSpPr>
        <xdr:cNvPr id="10" name="Group 9">
          <a:extLst>
            <a:ext uri="{FF2B5EF4-FFF2-40B4-BE49-F238E27FC236}">
              <a16:creationId xmlns:a16="http://schemas.microsoft.com/office/drawing/2014/main" id="{9BA5005B-DE6D-E01E-E839-C9140B63035A}"/>
            </a:ext>
          </a:extLst>
        </xdr:cNvPr>
        <xdr:cNvGrpSpPr/>
      </xdr:nvGrpSpPr>
      <xdr:grpSpPr>
        <a:xfrm>
          <a:off x="1414637" y="759592"/>
          <a:ext cx="11404714" cy="5850599"/>
          <a:chOff x="1420905" y="390734"/>
          <a:chExt cx="11363150" cy="5860844"/>
        </a:xfrm>
      </xdr:grpSpPr>
      <xdr:graphicFrame macro="">
        <xdr:nvGraphicFramePr>
          <xdr:cNvPr id="4" name="Chart 7">
            <a:extLst>
              <a:ext uri="{FF2B5EF4-FFF2-40B4-BE49-F238E27FC236}">
                <a16:creationId xmlns:a16="http://schemas.microsoft.com/office/drawing/2014/main" id="{DC23D3AC-279F-8785-4155-BBAA118CAF15}"/>
              </a:ext>
            </a:extLst>
          </xdr:cNvPr>
          <xdr:cNvGraphicFramePr/>
        </xdr:nvGraphicFramePr>
        <xdr:xfrm>
          <a:off x="7833872" y="3507737"/>
          <a:ext cx="4945957" cy="274384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8">
            <a:extLst>
              <a:ext uri="{FF2B5EF4-FFF2-40B4-BE49-F238E27FC236}">
                <a16:creationId xmlns:a16="http://schemas.microsoft.com/office/drawing/2014/main" id="{B2822976-503F-67C9-1F28-5D441EC8B68D}"/>
              </a:ext>
            </a:extLst>
          </xdr:cNvPr>
          <xdr:cNvGraphicFramePr/>
        </xdr:nvGraphicFramePr>
        <xdr:xfrm>
          <a:off x="7228114" y="396150"/>
          <a:ext cx="5555941" cy="310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9">
            <a:extLst>
              <a:ext uri="{FF2B5EF4-FFF2-40B4-BE49-F238E27FC236}">
                <a16:creationId xmlns:a16="http://schemas.microsoft.com/office/drawing/2014/main" id="{D8FA11B1-5764-D941-BA0A-80E08BF50F72}"/>
              </a:ext>
            </a:extLst>
          </xdr:cNvPr>
          <xdr:cNvGraphicFramePr/>
        </xdr:nvGraphicFramePr>
        <xdr:xfrm>
          <a:off x="1420905" y="390734"/>
          <a:ext cx="5796323" cy="310166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10">
            <a:extLst>
              <a:ext uri="{FF2B5EF4-FFF2-40B4-BE49-F238E27FC236}">
                <a16:creationId xmlns:a16="http://schemas.microsoft.com/office/drawing/2014/main" id="{A5EF9FF4-CE6C-E15F-D778-2F6E72F49850}"/>
              </a:ext>
            </a:extLst>
          </xdr:cNvPr>
          <xdr:cNvGraphicFramePr/>
        </xdr:nvGraphicFramePr>
        <xdr:xfrm>
          <a:off x="1423191" y="3501389"/>
          <a:ext cx="6403638" cy="27432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0</xdr:colOff>
      <xdr:row>15</xdr:row>
      <xdr:rowOff>103191</xdr:rowOff>
    </xdr:from>
    <xdr:to>
      <xdr:col>2</xdr:col>
      <xdr:colOff>182712</xdr:colOff>
      <xdr:row>27</xdr:row>
      <xdr:rowOff>146733</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F499797B-A13E-14E9-9E2D-B3D342BDF69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843259"/>
              <a:ext cx="1404000" cy="223559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579121</xdr:colOff>
      <xdr:row>4</xdr:row>
      <xdr:rowOff>15240</xdr:rowOff>
    </xdr:from>
    <xdr:to>
      <xdr:col>28</xdr:col>
      <xdr:colOff>287479</xdr:colOff>
      <xdr:row>20</xdr:row>
      <xdr:rowOff>160020</xdr:rowOff>
    </xdr:to>
    <xdr:graphicFrame macro="">
      <xdr:nvGraphicFramePr>
        <xdr:cNvPr id="3" name="Chart 3">
          <a:extLst>
            <a:ext uri="{FF2B5EF4-FFF2-40B4-BE49-F238E27FC236}">
              <a16:creationId xmlns:a16="http://schemas.microsoft.com/office/drawing/2014/main" id="{50EDB6EF-7DF1-EE4F-AF89-817CD11E6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582706</xdr:colOff>
      <xdr:row>20</xdr:row>
      <xdr:rowOff>170331</xdr:rowOff>
    </xdr:from>
    <xdr:to>
      <xdr:col>28</xdr:col>
      <xdr:colOff>281940</xdr:colOff>
      <xdr:row>35</xdr:row>
      <xdr:rowOff>141319</xdr:rowOff>
    </xdr:to>
    <xdr:graphicFrame macro="">
      <xdr:nvGraphicFramePr>
        <xdr:cNvPr id="11" name="Chart 2">
          <a:extLst>
            <a:ext uri="{FF2B5EF4-FFF2-40B4-BE49-F238E27FC236}">
              <a16:creationId xmlns:a16="http://schemas.microsoft.com/office/drawing/2014/main" id="{5BEE8757-AE95-4394-A309-29E3B0DA2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26096</xdr:rowOff>
    </xdr:from>
    <xdr:to>
      <xdr:col>2</xdr:col>
      <xdr:colOff>182671</xdr:colOff>
      <xdr:row>15</xdr:row>
      <xdr:rowOff>97971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3E7F137D-F139-5961-85B0-9AE584C5D86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756781"/>
              <a:ext cx="1403959" cy="208125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o Herrera" refreshedDate="45982.83336099537" createdVersion="8" refreshedVersion="8" minRefreshableVersion="3" recordCount="649" xr:uid="{46278AB7-F8D5-4594-B95D-8314B5CA7D54}">
  <cacheSource type="worksheet">
    <worksheetSource name="Worksheet"/>
  </cacheSource>
  <cacheFields count="15">
    <cacheField name="Employee_ID" numFmtId="0">
      <sharedItems count="5000">
        <s v="E-2005"/>
        <s v="E-2006"/>
        <s v="E-2007"/>
        <s v="E-2008"/>
        <s v="E-2009"/>
        <s v="E-2014"/>
        <s v="E-2010"/>
        <s v="E-2026"/>
        <s v="E-2027"/>
        <s v="E-2030"/>
        <s v="E-2033"/>
        <s v="E-2037"/>
        <s v="E-2043"/>
        <s v="E-2045"/>
        <s v="E-2048"/>
        <s v="E-2053"/>
        <s v="E-2057"/>
        <s v="E-2063"/>
        <s v="E-2065"/>
        <s v="E-2066"/>
        <s v="E-2067"/>
        <s v="E-2068"/>
        <s v="E-2072"/>
        <s v="E-2081"/>
        <s v="E-2082"/>
        <s v="E-2084"/>
        <s v="E-2087"/>
        <s v="E-2088"/>
        <s v="E-2090"/>
        <s v="E-2091"/>
        <s v="E-2094"/>
        <s v="E-2095"/>
        <s v="E-2096"/>
        <s v="E-2097"/>
        <s v="E-2098"/>
        <s v="E-2101"/>
        <s v="E-2107"/>
        <s v="E-2108"/>
        <s v="E-2111"/>
        <s v="E-2112"/>
        <s v="E-2113"/>
        <s v="E-2115"/>
        <s v="E-2116"/>
        <s v="E-2118"/>
        <s v="E-2120"/>
        <s v="E-2121"/>
        <s v="E-2122"/>
        <s v="E-2124"/>
        <s v="E-2127"/>
        <s v="E-2130"/>
        <s v="E-2132"/>
        <s v="E-2133"/>
        <s v="E-2139"/>
        <s v="E-2140"/>
        <s v="E-2143"/>
        <s v="E-2147"/>
        <s v="E-2149"/>
        <s v="E-2151"/>
        <s v="E-2153"/>
        <s v="E-2165"/>
        <s v="E-2169"/>
        <s v="E-2171"/>
        <s v="E-2179"/>
        <s v="E-2180"/>
        <s v="E-2181"/>
        <s v="E-2183"/>
        <s v="E-2188"/>
        <s v="E-2189"/>
        <s v="E-2190"/>
        <s v="E-2197"/>
        <s v="E-2198"/>
        <s v="E-2200"/>
        <s v="E-2203"/>
        <s v="E-2204"/>
        <s v="E-2206"/>
        <s v="E-2210"/>
        <s v="E-2212"/>
        <s v="E-2214"/>
        <s v="E-2219"/>
        <s v="E-2224"/>
        <s v="E-2226"/>
        <s v="E-2227"/>
        <s v="E-2238"/>
        <s v="E-2239"/>
        <s v="E-2240"/>
        <s v="E-2242"/>
        <s v="E-2245"/>
        <s v="E-2248"/>
        <s v="E-2250"/>
        <s v="E-2251"/>
        <s v="E-2252"/>
        <s v="E-2258"/>
        <s v="E-2264"/>
        <s v="E-2270"/>
        <s v="E-2271"/>
        <s v="E-2272"/>
        <s v="E-2274"/>
        <s v="E-2276"/>
        <s v="E-2279"/>
        <s v="E-2283"/>
        <s v="E-2286"/>
        <s v="E-2289"/>
        <s v="E-2290"/>
        <s v="E-2292"/>
        <s v="E-2294"/>
        <s v="E-2298"/>
        <s v="E-2302"/>
        <s v="E-2313"/>
        <s v="E-2314"/>
        <s v="E-2316"/>
        <s v="E-2318"/>
        <s v="E-2320"/>
        <s v="E-2322"/>
        <s v="E-2324"/>
        <s v="E-2325"/>
        <s v="E-2330"/>
        <s v="E-2338"/>
        <s v="E-2341"/>
        <s v="E-2347"/>
        <s v="E-2352"/>
        <s v="E-2360"/>
        <s v="E-2363"/>
        <s v="E-2366"/>
        <s v="E-2368"/>
        <s v="E-2372"/>
        <s v="E-2375"/>
        <s v="E-2383"/>
        <s v="E-2388"/>
        <s v="E-2391"/>
        <s v="E-2394"/>
        <s v="E-2396"/>
        <s v="E-2398"/>
        <s v="E-2401"/>
        <s v="E-2403"/>
        <s v="E-2405"/>
        <s v="E-2415"/>
        <s v="E-2416"/>
        <s v="E-2417"/>
        <s v="E-2418"/>
        <s v="E-2420"/>
        <s v="E-2422"/>
        <s v="E-2427"/>
        <s v="E-2429"/>
        <s v="E-2430"/>
        <s v="E-2434"/>
        <s v="E-2436"/>
        <s v="E-2437"/>
        <s v="E-2438"/>
        <s v="E-2439"/>
        <s v="E-2441"/>
        <s v="E-2444"/>
        <s v="E-2445"/>
        <s v="E-2447"/>
        <s v="E-2451"/>
        <s v="E-2454"/>
        <s v="E-2459"/>
        <s v="E-2460"/>
        <s v="E-2463"/>
        <s v="E-2464"/>
        <s v="E-2470"/>
        <s v="E-2471"/>
        <s v="E-2474"/>
        <s v="E-2480"/>
        <s v="E-2483"/>
        <s v="E-2485"/>
        <s v="E-2487"/>
        <s v="E-2488"/>
        <s v="E-2489"/>
        <s v="E-2490"/>
        <s v="E-2492"/>
        <s v="E-2495"/>
        <s v="E-2498"/>
        <s v="E-2499"/>
        <s v="E-2501"/>
        <s v="E-2503"/>
        <s v="E-2504"/>
        <s v="E-2505"/>
        <s v="E-2506"/>
        <s v="E-2512"/>
        <s v="E-2513"/>
        <s v="E-2515"/>
        <s v="E-2521"/>
        <s v="E-2522"/>
        <s v="E-2527"/>
        <s v="E-2528"/>
        <s v="E-2530"/>
        <s v="E-2531"/>
        <s v="E-2533"/>
        <s v="E-2534"/>
        <s v="E-2541"/>
        <s v="E-2547"/>
        <s v="E-2548"/>
        <s v="E-2551"/>
        <s v="E-2555"/>
        <s v="E-2557"/>
        <s v="E-2559"/>
        <s v="E-2566"/>
        <s v="E-2570"/>
        <s v="E-2575"/>
        <s v="E-2576"/>
        <s v="E-2580"/>
        <s v="E-2584"/>
        <s v="E-2585"/>
        <s v="E-2586"/>
        <s v="E-2589"/>
        <s v="E-2591"/>
        <s v="E-2594"/>
        <s v="E-2602"/>
        <s v="E-2604"/>
        <s v="E-2607"/>
        <s v="E-2615"/>
        <s v="E-2616"/>
        <s v="E-2618"/>
        <s v="E-2619"/>
        <s v="E-2622"/>
        <s v="E-2623"/>
        <s v="E-2626"/>
        <s v="E-2633"/>
        <s v="E-2635"/>
        <s v="E-2636"/>
        <s v="E-2637"/>
        <s v="E-2639"/>
        <s v="E-2642"/>
        <s v="E-2647"/>
        <s v="E-2648"/>
        <s v="E-2649"/>
        <s v="E-2651"/>
        <s v="E-2653"/>
        <s v="E-2659"/>
        <s v="E-2661"/>
        <s v="E-2662"/>
        <s v="E-2665"/>
        <s v="E-2669"/>
        <s v="E-2676"/>
        <s v="E-2679"/>
        <s v="E-2684"/>
        <s v="E-2685"/>
        <s v="E-2686"/>
        <s v="E-2687"/>
        <s v="E-2689"/>
        <s v="E-2691"/>
        <s v="E-2693"/>
        <s v="E-2694"/>
        <s v="E-2695"/>
        <s v="E-2697"/>
        <s v="E-2699"/>
        <s v="E-2702"/>
        <s v="E-2703"/>
        <s v="E-2708"/>
        <s v="E-2714"/>
        <s v="E-2718"/>
        <s v="E-2720"/>
        <s v="E-2723"/>
        <s v="E-2724"/>
        <s v="E-2726"/>
        <s v="E-2727"/>
        <s v="E-2730"/>
        <s v="E-2732"/>
        <s v="E-2733"/>
        <s v="E-2737"/>
        <s v="E-2739"/>
        <s v="E-2740"/>
        <s v="E-2742"/>
        <s v="E-2744"/>
        <s v="E-2746"/>
        <s v="E-2750"/>
        <s v="E-2751"/>
        <s v="E-2755"/>
        <s v="E-2766"/>
        <s v="E-2767"/>
        <s v="E-2771"/>
        <s v="E-2777"/>
        <s v="E-2780"/>
        <s v="E-2781"/>
        <s v="E-2784"/>
        <s v="E-2786"/>
        <s v="E-2788"/>
        <s v="E-2791"/>
        <s v="E-2792"/>
        <s v="E-2793"/>
        <s v="E-2796"/>
        <s v="E-2798"/>
        <s v="E-2799"/>
        <s v="E-2800"/>
        <s v="E-2806"/>
        <s v="E-2810"/>
        <s v="E-2811"/>
        <s v="E-2815"/>
        <s v="E-2818"/>
        <s v="E-2821"/>
        <s v="E-2822"/>
        <s v="E-2823"/>
        <s v="E-2824"/>
        <s v="E-2827"/>
        <s v="E-2830"/>
        <s v="E-2832"/>
        <s v="E-2833"/>
        <s v="E-2834"/>
        <s v="E-2837"/>
        <s v="E-2839"/>
        <s v="E-2840"/>
        <s v="E-2843"/>
        <s v="E-2844"/>
        <s v="E-2846"/>
        <s v="E-2849"/>
        <s v="E-2850"/>
        <s v="E-2852"/>
        <s v="E-2853"/>
        <s v="E-2856"/>
        <s v="E-2857"/>
        <s v="E-2859"/>
        <s v="E-2862"/>
        <s v="E-2866"/>
        <s v="E-2867"/>
        <s v="E-2869"/>
        <s v="E-2873"/>
        <s v="E-2890"/>
        <s v="E-2893"/>
        <s v="E-2899"/>
        <s v="E-2908"/>
        <s v="E-2909"/>
        <s v="E-2910"/>
        <s v="E-2911"/>
        <s v="E-2913"/>
        <s v="E-2914"/>
        <s v="E-2917"/>
        <s v="E-2918"/>
        <s v="E-2922"/>
        <s v="E-2923"/>
        <s v="E-2925"/>
        <s v="E-2926"/>
        <s v="E-2927"/>
        <s v="E-2928"/>
        <s v="E-2930"/>
        <s v="E-2932"/>
        <s v="E-2933"/>
        <s v="E-2935"/>
        <s v="E-2940"/>
        <s v="E-2943"/>
        <s v="E-2947"/>
        <s v="E-2948"/>
        <s v="E-2949"/>
        <s v="E-2950"/>
        <s v="E-2951"/>
        <s v="E-2952"/>
        <s v="E-2953"/>
        <s v="E-2955"/>
        <s v="E-2957"/>
        <s v="E-2958"/>
        <s v="E-2962"/>
        <s v="E-2963"/>
        <s v="E-2964"/>
        <s v="E-2966"/>
        <s v="E-2969"/>
        <s v="E-2972"/>
        <s v="E-2974"/>
        <s v="E-2975"/>
        <s v="E-2978"/>
        <s v="E-2984"/>
        <s v="E-2986"/>
        <s v="E-2987"/>
        <s v="E-2990"/>
        <s v="E-2991"/>
        <s v="E-2992"/>
        <s v="E-2995"/>
        <s v="E-2997"/>
        <s v="E-2998"/>
        <s v="E-3001"/>
        <s v="E-3002"/>
        <s v="E-3004"/>
        <s v="E-3005"/>
        <s v="E-3008"/>
        <s v="E-3011"/>
        <s v="E-3012"/>
        <s v="E-3013"/>
        <s v="E-3015"/>
        <s v="E-3016"/>
        <s v="E-3017"/>
        <s v="E-3018"/>
        <s v="E-3022"/>
        <s v="E-3024"/>
        <s v="E-3028"/>
        <s v="E-3036"/>
        <s v="E-3040"/>
        <s v="E-3043"/>
        <s v="E-3045"/>
        <s v="E-3048"/>
        <s v="E-3049"/>
        <s v="E-3052"/>
        <s v="E-3054"/>
        <s v="E-3055"/>
        <s v="E-3060"/>
        <s v="E-3061"/>
        <s v="E-3062"/>
        <s v="E-3063"/>
        <s v="E-3064"/>
        <s v="E-3066"/>
        <s v="E-3067"/>
        <s v="E-3075"/>
        <s v="E-3080"/>
        <s v="E-3081"/>
        <s v="E-3084"/>
        <s v="E-3085"/>
        <s v="E-3131"/>
        <s v="E-3171"/>
        <s v="E-3188"/>
        <s v="E-3195"/>
        <s v="E-3196"/>
        <s v="E-3216"/>
        <s v="E-3222"/>
        <s v="E-3227"/>
        <s v="E-3235"/>
        <s v="E-3242"/>
        <s v="E-3244"/>
        <s v="E-3255"/>
        <s v="E-3271"/>
        <s v="E-3278"/>
        <s v="E-3335"/>
        <s v="E-3353"/>
        <s v="E-3370"/>
        <s v="E-3391"/>
        <s v="E-3401"/>
        <s v="E-3417"/>
        <s v="E-3432"/>
        <s v="E-3460"/>
        <s v="E-3475"/>
        <s v="E-3487"/>
        <s v="E-3501"/>
        <s v="E-3514"/>
        <s v="E-3551"/>
        <s v="E-3571"/>
        <s v="E-3574"/>
        <s v="E-3590"/>
        <s v="E-3615"/>
        <s v="E-3664"/>
        <s v="E-3668"/>
        <s v="E-3672"/>
        <s v="E-3679"/>
        <s v="E-3689"/>
        <s v="E-3729"/>
        <s v="E-3733"/>
        <s v="E-3750"/>
        <s v="E-3776"/>
        <s v="E-3788"/>
        <s v="E-3789"/>
        <s v="E-3805"/>
        <s v="E-3826"/>
        <s v="E-3851"/>
        <s v="E-3869"/>
        <s v="E-3873"/>
        <s v="E-3874"/>
        <s v="E-3882"/>
        <s v="E-3947"/>
        <s v="E-3955"/>
        <s v="E-3964"/>
        <s v="E-3970"/>
        <s v="E-3989"/>
        <s v="E-4007"/>
        <s v="E-4011"/>
        <s v="E-4014"/>
        <s v="E-4053"/>
        <s v="E-4100"/>
        <s v="E-4140"/>
        <s v="E-4142"/>
        <s v="E-4154"/>
        <s v="E-4185"/>
        <s v="E-4207"/>
        <s v="E-4216"/>
        <s v="E-4231"/>
        <s v="E-4241"/>
        <s v="E-4258"/>
        <s v="E-4262"/>
        <s v="E-4294"/>
        <s v="E-4297"/>
        <s v="E-4339"/>
        <s v="E-4342"/>
        <s v="E-4366"/>
        <s v="E-4398"/>
        <s v="E-4400"/>
        <s v="E-4407"/>
        <s v="E-4432"/>
        <s v="E-4438"/>
        <s v="E-4464"/>
        <s v="E-4468"/>
        <s v="E-4481"/>
        <s v="E-4505"/>
        <s v="E-4508"/>
        <s v="E-4533"/>
        <s v="E-4539"/>
        <s v="E-4561"/>
        <s v="E-4575"/>
        <s v="E-4584"/>
        <s v="E-4613"/>
        <s v="E-4618"/>
        <s v="E-4623"/>
        <s v="E-4629"/>
        <s v="E-4644"/>
        <s v="E-4654"/>
        <s v="E-4669"/>
        <s v="E-4671"/>
        <s v="E-4691"/>
        <s v="E-4732"/>
        <s v="E-4738"/>
        <s v="E-4747"/>
        <s v="E-4750"/>
        <s v="E-4753"/>
        <s v="E-4756"/>
        <s v="E-4785"/>
        <s v="E-4798"/>
        <s v="E-4804"/>
        <s v="E-4840"/>
        <s v="E-4906"/>
        <s v="E-4924"/>
        <s v="E-4925"/>
        <s v="E-4932"/>
        <s v="E-4970"/>
        <s v="E-4982"/>
        <s v="E-4985"/>
        <s v="E-5002"/>
        <s v="E-5021"/>
        <s v="E-5026"/>
        <s v="E-5045"/>
        <s v="E-5053"/>
        <s v="E-5056"/>
        <s v="E-5060"/>
        <s v="E-5070"/>
        <s v="E-5086"/>
        <s v="E-5092"/>
        <s v="E-5109"/>
        <s v="E-5112"/>
        <s v="E-5121"/>
        <s v="E-5133"/>
        <s v="E-5135"/>
        <s v="E-5138"/>
        <s v="E-5144"/>
        <s v="E-5156"/>
        <s v="E-5172"/>
        <s v="E-5192"/>
        <s v="E-5198"/>
        <s v="E-5215"/>
        <s v="E-5228"/>
        <s v="E-5230"/>
        <s v="E-5247"/>
        <s v="E-5248"/>
        <s v="E-5258"/>
        <s v="E-5264"/>
        <s v="E-5283"/>
        <s v="E-5285"/>
        <s v="E-5308"/>
        <s v="E-5350"/>
        <s v="E-5360"/>
        <s v="E-5400"/>
        <s v="E-5406"/>
        <s v="E-5422"/>
        <s v="E-5426"/>
        <s v="E-5445"/>
        <s v="E-5462"/>
        <s v="E-5468"/>
        <s v="E-5475"/>
        <s v="E-5502"/>
        <s v="E-5513"/>
        <s v="E-5518"/>
        <s v="E-5521"/>
        <s v="E-5559"/>
        <s v="E-5563"/>
        <s v="E-5592"/>
        <s v="E-5630"/>
        <s v="E-5657"/>
        <s v="E-5668"/>
        <s v="E-5693"/>
        <s v="E-5709"/>
        <s v="E-5756"/>
        <s v="E-5796"/>
        <s v="E-5822"/>
        <s v="E-5826"/>
        <s v="E-5830"/>
        <s v="E-5838"/>
        <s v="E-5840"/>
        <s v="E-5845"/>
        <s v="E-5855"/>
        <s v="E-5886"/>
        <s v="E-5887"/>
        <s v="E-5899"/>
        <s v="E-5933"/>
        <s v="E-5936"/>
        <s v="E-5947"/>
        <s v="E-6008"/>
        <s v="E-6027"/>
        <s v="E-6051"/>
        <s v="E-6084"/>
        <s v="E-6104"/>
        <s v="E-6109"/>
        <s v="E-6123"/>
        <s v="E-6159"/>
        <s v="E-6192"/>
        <s v="E-6197"/>
        <s v="E-6229"/>
        <s v="E-6263"/>
        <s v="E-6301"/>
        <s v="E-6315"/>
        <s v="E-6334"/>
        <s v="E-6353"/>
        <s v="E-6373"/>
        <s v="E-6377"/>
        <s v="E-6412"/>
        <s v="E-6439"/>
        <s v="E-6460"/>
        <s v="E-6486"/>
        <s v="E-6488"/>
        <s v="E-6507"/>
        <s v="E-6519"/>
        <s v="E-6536"/>
        <s v="E-6553"/>
        <s v="E-6554"/>
        <s v="E-6587"/>
        <s v="E-6589"/>
        <s v="E-6592"/>
        <s v="E-6602"/>
        <s v="E-6617"/>
        <s v="E-6621"/>
        <s v="E-6629"/>
        <s v="E-6631"/>
        <s v="E-6638"/>
        <s v="E-6648"/>
        <s v="E-6660"/>
        <s v="E-6702"/>
        <s v="E-6733"/>
        <s v="E-6753"/>
        <s v="E-6756"/>
        <s v="E-6813"/>
        <s v="E-6831"/>
        <s v="E-6833"/>
        <s v="E-6835"/>
        <s v="E-6869"/>
        <s v="E-6884"/>
        <s v="E-6892"/>
        <s v="E-6900"/>
        <s v="E-6907"/>
        <s v="E-6915"/>
        <s v="E-6923"/>
        <s v="E-6927"/>
        <s v="E-6942"/>
        <s v="E-6944"/>
        <s v="E-6950"/>
        <s v="E-6968"/>
        <s v="E-6978"/>
        <s v="E-6979"/>
        <s v="E-6987"/>
        <s v="E-6998"/>
        <s v="E-2000" u="1"/>
        <s v="E-2004" u="1"/>
        <s v="E-2001" u="1"/>
        <s v="E-2002" u="1"/>
        <s v="E-2003" u="1"/>
        <s v="E-2011" u="1"/>
        <s v="E-2012" u="1"/>
        <s v="E-2013" u="1"/>
        <s v="E-2015" u="1"/>
        <s v="E-2016" u="1"/>
        <s v="E-2017" u="1"/>
        <s v="E-2018" u="1"/>
        <s v="E-2019" u="1"/>
        <s v="E-2020" u="1"/>
        <s v="E-2021" u="1"/>
        <s v="E-2022" u="1"/>
        <s v="E-2023" u="1"/>
        <s v="E-2024" u="1"/>
        <s v="E-2025" u="1"/>
        <s v="E-2028" u="1"/>
        <s v="E-2029" u="1"/>
        <s v="E-2031" u="1"/>
        <s v="E-2032" u="1"/>
        <s v="E-2034" u="1"/>
        <s v="E-2035" u="1"/>
        <s v="E-2036" u="1"/>
        <s v="E-2038" u="1"/>
        <s v="E-2039" u="1"/>
        <s v="E-2040" u="1"/>
        <s v="E-2041" u="1"/>
        <s v="E-2042" u="1"/>
        <s v="E-2044" u="1"/>
        <s v="E-2046" u="1"/>
        <s v="E-2047" u="1"/>
        <s v="E-2049" u="1"/>
        <s v="E-2050" u="1"/>
        <s v="E-2051" u="1"/>
        <s v="E-2052" u="1"/>
        <s v="E-2054" u="1"/>
        <s v="E-2055" u="1"/>
        <s v="E-2056" u="1"/>
        <s v="E-2058" u="1"/>
        <s v="E-2059" u="1"/>
        <s v="E-2060" u="1"/>
        <s v="E-2061" u="1"/>
        <s v="E-2062" u="1"/>
        <s v="E-2064" u="1"/>
        <s v="E-2069" u="1"/>
        <s v="E-2070" u="1"/>
        <s v="E-2071" u="1"/>
        <s v="E-2073" u="1"/>
        <s v="E-2074" u="1"/>
        <s v="E-2075" u="1"/>
        <s v="E-2076" u="1"/>
        <s v="E-2077" u="1"/>
        <s v="E-2078" u="1"/>
        <s v="E-2079" u="1"/>
        <s v="E-2080" u="1"/>
        <s v="E-2083" u="1"/>
        <s v="E-2085" u="1"/>
        <s v="E-2086" u="1"/>
        <s v="E-2089" u="1"/>
        <s v="E-2092" u="1"/>
        <s v="E-2093" u="1"/>
        <s v="E-2099" u="1"/>
        <s v="E-2100" u="1"/>
        <s v="E-2102" u="1"/>
        <s v="E-2103" u="1"/>
        <s v="E-2104" u="1"/>
        <s v="E-2105" u="1"/>
        <s v="E-2106" u="1"/>
        <s v="E-2109" u="1"/>
        <s v="E-2110" u="1"/>
        <s v="E-2114" u="1"/>
        <s v="E-2117" u="1"/>
        <s v="E-2119" u="1"/>
        <s v="E-2123" u="1"/>
        <s v="E-2125" u="1"/>
        <s v="E-2126" u="1"/>
        <s v="E-2128" u="1"/>
        <s v="E-2129" u="1"/>
        <s v="E-2131" u="1"/>
        <s v="E-2134" u="1"/>
        <s v="E-2135" u="1"/>
        <s v="E-2136" u="1"/>
        <s v="E-2137" u="1"/>
        <s v="E-2138" u="1"/>
        <s v="E-2141" u="1"/>
        <s v="E-2142" u="1"/>
        <s v="E-2144" u="1"/>
        <s v="E-2145" u="1"/>
        <s v="E-2146" u="1"/>
        <s v="E-2148" u="1"/>
        <s v="E-2150" u="1"/>
        <s v="E-2152" u="1"/>
        <s v="E-2154" u="1"/>
        <s v="E-2155" u="1"/>
        <s v="E-2156" u="1"/>
        <s v="E-2157" u="1"/>
        <s v="E-2158" u="1"/>
        <s v="E-2159" u="1"/>
        <s v="E-2160" u="1"/>
        <s v="E-2161" u="1"/>
        <s v="E-2162" u="1"/>
        <s v="E-2163" u="1"/>
        <s v="E-2164" u="1"/>
        <s v="E-2166" u="1"/>
        <s v="E-2167" u="1"/>
        <s v="E-2168" u="1"/>
        <s v="E-2170" u="1"/>
        <s v="E-2172" u="1"/>
        <s v="E-2173" u="1"/>
        <s v="E-2174" u="1"/>
        <s v="E-2175" u="1"/>
        <s v="E-2176" u="1"/>
        <s v="E-2177" u="1"/>
        <s v="E-2178" u="1"/>
        <s v="E-2182" u="1"/>
        <s v="E-2184" u="1"/>
        <s v="E-2185" u="1"/>
        <s v="E-2186" u="1"/>
        <s v="E-2187" u="1"/>
        <s v="E-2191" u="1"/>
        <s v="E-2192" u="1"/>
        <s v="E-2193" u="1"/>
        <s v="E-2194" u="1"/>
        <s v="E-2195" u="1"/>
        <s v="E-2196" u="1"/>
        <s v="E-2199" u="1"/>
        <s v="E-2201" u="1"/>
        <s v="E-2202" u="1"/>
        <s v="E-2205" u="1"/>
        <s v="E-2207" u="1"/>
        <s v="E-2208" u="1"/>
        <s v="E-2209" u="1"/>
        <s v="E-2211" u="1"/>
        <s v="E-2213" u="1"/>
        <s v="E-2215" u="1"/>
        <s v="E-2216" u="1"/>
        <s v="E-2217" u="1"/>
        <s v="E-2218" u="1"/>
        <s v="E-2220" u="1"/>
        <s v="E-2221" u="1"/>
        <s v="E-2222" u="1"/>
        <s v="E-2223" u="1"/>
        <s v="E-2225" u="1"/>
        <s v="E-2228" u="1"/>
        <s v="E-2229" u="1"/>
        <s v="E-2230" u="1"/>
        <s v="E-2231" u="1"/>
        <s v="E-2232" u="1"/>
        <s v="E-2233" u="1"/>
        <s v="E-2234" u="1"/>
        <s v="E-2235" u="1"/>
        <s v="E-2236" u="1"/>
        <s v="E-2237" u="1"/>
        <s v="E-2241" u="1"/>
        <s v="E-2243" u="1"/>
        <s v="E-2244" u="1"/>
        <s v="E-2246" u="1"/>
        <s v="E-2247" u="1"/>
        <s v="E-2249" u="1"/>
        <s v="E-2253" u="1"/>
        <s v="E-2254" u="1"/>
        <s v="E-2255" u="1"/>
        <s v="E-2256" u="1"/>
        <s v="E-2257" u="1"/>
        <s v="E-2259" u="1"/>
        <s v="E-2260" u="1"/>
        <s v="E-2261" u="1"/>
        <s v="E-2262" u="1"/>
        <s v="E-2263" u="1"/>
        <s v="E-2265" u="1"/>
        <s v="E-2266" u="1"/>
        <s v="E-2267" u="1"/>
        <s v="E-2268" u="1"/>
        <s v="E-2269" u="1"/>
        <s v="E-2273" u="1"/>
        <s v="E-2275" u="1"/>
        <s v="E-2277" u="1"/>
        <s v="E-2278" u="1"/>
        <s v="E-2280" u="1"/>
        <s v="E-2281" u="1"/>
        <s v="E-2282" u="1"/>
        <s v="E-2284" u="1"/>
        <s v="E-2285" u="1"/>
        <s v="E-2287" u="1"/>
        <s v="E-2288" u="1"/>
        <s v="E-2291" u="1"/>
        <s v="E-2293" u="1"/>
        <s v="E-2295" u="1"/>
        <s v="E-2296" u="1"/>
        <s v="E-2297" u="1"/>
        <s v="E-2299" u="1"/>
        <s v="E-2300" u="1"/>
        <s v="E-2301" u="1"/>
        <s v="E-2303" u="1"/>
        <s v="E-2304" u="1"/>
        <s v="E-2305" u="1"/>
        <s v="E-2306" u="1"/>
        <s v="E-2307" u="1"/>
        <s v="E-2308" u="1"/>
        <s v="E-2309" u="1"/>
        <s v="E-2310" u="1"/>
        <s v="E-2311" u="1"/>
        <s v="E-2312" u="1"/>
        <s v="E-2315" u="1"/>
        <s v="E-2317" u="1"/>
        <s v="E-2319" u="1"/>
        <s v="E-2321" u="1"/>
        <s v="E-2323" u="1"/>
        <s v="E-2326" u="1"/>
        <s v="E-2327" u="1"/>
        <s v="E-2328" u="1"/>
        <s v="E-2329" u="1"/>
        <s v="E-2331" u="1"/>
        <s v="E-2332" u="1"/>
        <s v="E-2333" u="1"/>
        <s v="E-2334" u="1"/>
        <s v="E-2335" u="1"/>
        <s v="E-2336" u="1"/>
        <s v="E-2337" u="1"/>
        <s v="E-2339" u="1"/>
        <s v="E-2340" u="1"/>
        <s v="E-2342" u="1"/>
        <s v="E-2343" u="1"/>
        <s v="E-2344" u="1"/>
        <s v="E-2345" u="1"/>
        <s v="E-2346" u="1"/>
        <s v="E-2348" u="1"/>
        <s v="E-2349" u="1"/>
        <s v="E-2350" u="1"/>
        <s v="E-2351" u="1"/>
        <s v="E-2353" u="1"/>
        <s v="E-2354" u="1"/>
        <s v="E-2355" u="1"/>
        <s v="E-2356" u="1"/>
        <s v="E-2357" u="1"/>
        <s v="E-2358" u="1"/>
        <s v="E-2359" u="1"/>
        <s v="E-2361" u="1"/>
        <s v="E-2362" u="1"/>
        <s v="E-2364" u="1"/>
        <s v="E-2365" u="1"/>
        <s v="E-2367" u="1"/>
        <s v="E-2369" u="1"/>
        <s v="E-2370" u="1"/>
        <s v="E-2371" u="1"/>
        <s v="E-2373" u="1"/>
        <s v="E-2374" u="1"/>
        <s v="E-2376" u="1"/>
        <s v="E-2377" u="1"/>
        <s v="E-2378" u="1"/>
        <s v="E-2379" u="1"/>
        <s v="E-2380" u="1"/>
        <s v="E-2381" u="1"/>
        <s v="E-2382" u="1"/>
        <s v="E-2384" u="1"/>
        <s v="E-2385" u="1"/>
        <s v="E-2386" u="1"/>
        <s v="E-2387" u="1"/>
        <s v="E-2389" u="1"/>
        <s v="E-2390" u="1"/>
        <s v="E-2392" u="1"/>
        <s v="E-2393" u="1"/>
        <s v="E-2395" u="1"/>
        <s v="E-2397" u="1"/>
        <s v="E-2399" u="1"/>
        <s v="E-2400" u="1"/>
        <s v="E-2402" u="1"/>
        <s v="E-2404" u="1"/>
        <s v="E-2406" u="1"/>
        <s v="E-2407" u="1"/>
        <s v="E-2408" u="1"/>
        <s v="E-2409" u="1"/>
        <s v="E-2410" u="1"/>
        <s v="E-2411" u="1"/>
        <s v="E-2412" u="1"/>
        <s v="E-2413" u="1"/>
        <s v="E-2414" u="1"/>
        <s v="E-2419" u="1"/>
        <s v="E-2421" u="1"/>
        <s v="E-2423" u="1"/>
        <s v="E-2424" u="1"/>
        <s v="E-2425" u="1"/>
        <s v="E-2426" u="1"/>
        <s v="E-2428" u="1"/>
        <s v="E-2431" u="1"/>
        <s v="E-2432" u="1"/>
        <s v="E-2433" u="1"/>
        <s v="E-2435" u="1"/>
        <s v="E-2440" u="1"/>
        <s v="E-2442" u="1"/>
        <s v="E-2443" u="1"/>
        <s v="E-2446" u="1"/>
        <s v="E-2448" u="1"/>
        <s v="E-2449" u="1"/>
        <s v="E-2450" u="1"/>
        <s v="E-2452" u="1"/>
        <s v="E-2453" u="1"/>
        <s v="E-2455" u="1"/>
        <s v="E-2456" u="1"/>
        <s v="E-2457" u="1"/>
        <s v="E-2458" u="1"/>
        <s v="E-2461" u="1"/>
        <s v="E-2462" u="1"/>
        <s v="E-2465" u="1"/>
        <s v="E-2466" u="1"/>
        <s v="E-2467" u="1"/>
        <s v="E-2468" u="1"/>
        <s v="E-2469" u="1"/>
        <s v="E-2472" u="1"/>
        <s v="E-2473" u="1"/>
        <s v="E-2475" u="1"/>
        <s v="E-2476" u="1"/>
        <s v="E-2477" u="1"/>
        <s v="E-2478" u="1"/>
        <s v="E-2479" u="1"/>
        <s v="E-2481" u="1"/>
        <s v="E-2482" u="1"/>
        <s v="E-2484" u="1"/>
        <s v="E-2486" u="1"/>
        <s v="E-2491" u="1"/>
        <s v="E-2493" u="1"/>
        <s v="E-2494" u="1"/>
        <s v="E-2496" u="1"/>
        <s v="E-2497" u="1"/>
        <s v="E-2500" u="1"/>
        <s v="E-2502" u="1"/>
        <s v="E-2507" u="1"/>
        <s v="E-2508" u="1"/>
        <s v="E-2509" u="1"/>
        <s v="E-2510" u="1"/>
        <s v="E-2511" u="1"/>
        <s v="E-2514" u="1"/>
        <s v="E-2516" u="1"/>
        <s v="E-2517" u="1"/>
        <s v="E-2518" u="1"/>
        <s v="E-2519" u="1"/>
        <s v="E-2520" u="1"/>
        <s v="E-2523" u="1"/>
        <s v="E-2524" u="1"/>
        <s v="E-2525" u="1"/>
        <s v="E-2526" u="1"/>
        <s v="E-2529" u="1"/>
        <s v="E-2532" u="1"/>
        <s v="E-2535" u="1"/>
        <s v="E-2536" u="1"/>
        <s v="E-2537" u="1"/>
        <s v="E-2538" u="1"/>
        <s v="E-2539" u="1"/>
        <s v="E-2540" u="1"/>
        <s v="E-2542" u="1"/>
        <s v="E-2543" u="1"/>
        <s v="E-2544" u="1"/>
        <s v="E-2545" u="1"/>
        <s v="E-2546" u="1"/>
        <s v="E-2549" u="1"/>
        <s v="E-2550" u="1"/>
        <s v="E-2552" u="1"/>
        <s v="E-2553" u="1"/>
        <s v="E-2554" u="1"/>
        <s v="E-2556" u="1"/>
        <s v="E-2558" u="1"/>
        <s v="E-2560" u="1"/>
        <s v="E-2561" u="1"/>
        <s v="E-2562" u="1"/>
        <s v="E-2563" u="1"/>
        <s v="E-2564" u="1"/>
        <s v="E-2565" u="1"/>
        <s v="E-2567" u="1"/>
        <s v="E-2568" u="1"/>
        <s v="E-2569" u="1"/>
        <s v="E-2571" u="1"/>
        <s v="E-2572" u="1"/>
        <s v="E-2573" u="1"/>
        <s v="E-2574" u="1"/>
        <s v="E-2577" u="1"/>
        <s v="E-2578" u="1"/>
        <s v="E-2579" u="1"/>
        <s v="E-2581" u="1"/>
        <s v="E-2582" u="1"/>
        <s v="E-2583" u="1"/>
        <s v="E-2587" u="1"/>
        <s v="E-2588" u="1"/>
        <s v="E-2590" u="1"/>
        <s v="E-2592" u="1"/>
        <s v="E-2593" u="1"/>
        <s v="E-2595" u="1"/>
        <s v="E-2596" u="1"/>
        <s v="E-2597" u="1"/>
        <s v="E-2598" u="1"/>
        <s v="E-2599" u="1"/>
        <s v="E-2600" u="1"/>
        <s v="E-2601" u="1"/>
        <s v="E-2603" u="1"/>
        <s v="E-2605" u="1"/>
        <s v="E-2606" u="1"/>
        <s v="E-2608" u="1"/>
        <s v="E-2609" u="1"/>
        <s v="E-2610" u="1"/>
        <s v="E-2611" u="1"/>
        <s v="E-2612" u="1"/>
        <s v="E-2613" u="1"/>
        <s v="E-2614" u="1"/>
        <s v="E-2617" u="1"/>
        <s v="E-2620" u="1"/>
        <s v="E-2621" u="1"/>
        <s v="E-2624" u="1"/>
        <s v="E-2625" u="1"/>
        <s v="E-2627" u="1"/>
        <s v="E-2628" u="1"/>
        <s v="E-2629" u="1"/>
        <s v="E-2630" u="1"/>
        <s v="E-2631" u="1"/>
        <s v="E-2632" u="1"/>
        <s v="E-2634" u="1"/>
        <s v="E-2638" u="1"/>
        <s v="E-2640" u="1"/>
        <s v="E-2641" u="1"/>
        <s v="E-2643" u="1"/>
        <s v="E-2644" u="1"/>
        <s v="E-2645" u="1"/>
        <s v="E-2646" u="1"/>
        <s v="E-2650" u="1"/>
        <s v="E-2652" u="1"/>
        <s v="E-2654" u="1"/>
        <s v="E-2655" u="1"/>
        <s v="E-2656" u="1"/>
        <s v="E-2657" u="1"/>
        <s v="E-2658" u="1"/>
        <s v="E-2660" u="1"/>
        <s v="E-2663" u="1"/>
        <s v="E-2664" u="1"/>
        <s v="E-2666" u="1"/>
        <s v="E-2667" u="1"/>
        <s v="E-2668" u="1"/>
        <s v="E-2670" u="1"/>
        <s v="E-2671" u="1"/>
        <s v="E-2672" u="1"/>
        <s v="E-2673" u="1"/>
        <s v="E-2674" u="1"/>
        <s v="E-2675" u="1"/>
        <s v="E-2677" u="1"/>
        <s v="E-2678" u="1"/>
        <s v="E-2680" u="1"/>
        <s v="E-2681" u="1"/>
        <s v="E-2682" u="1"/>
        <s v="E-2683" u="1"/>
        <s v="E-2688" u="1"/>
        <s v="E-2690" u="1"/>
        <s v="E-2692" u="1"/>
        <s v="E-2696" u="1"/>
        <s v="E-2698" u="1"/>
        <s v="E-2700" u="1"/>
        <s v="E-2701" u="1"/>
        <s v="E-2704" u="1"/>
        <s v="E-2705" u="1"/>
        <s v="E-2706" u="1"/>
        <s v="E-2707" u="1"/>
        <s v="E-2709" u="1"/>
        <s v="E-2710" u="1"/>
        <s v="E-2711" u="1"/>
        <s v="E-2712" u="1"/>
        <s v="E-2713" u="1"/>
        <s v="E-2715" u="1"/>
        <s v="E-2716" u="1"/>
        <s v="E-2717" u="1"/>
        <s v="E-2719" u="1"/>
        <s v="E-2721" u="1"/>
        <s v="E-2722" u="1"/>
        <s v="E-2725" u="1"/>
        <s v="E-2728" u="1"/>
        <s v="E-2729" u="1"/>
        <s v="E-2731" u="1"/>
        <s v="E-2734" u="1"/>
        <s v="E-2735" u="1"/>
        <s v="E-2736" u="1"/>
        <s v="E-2738" u="1"/>
        <s v="E-2741" u="1"/>
        <s v="E-2743" u="1"/>
        <s v="E-2745" u="1"/>
        <s v="E-2747" u="1"/>
        <s v="E-2748" u="1"/>
        <s v="E-2749" u="1"/>
        <s v="E-2752" u="1"/>
        <s v="E-2753" u="1"/>
        <s v="E-2754" u="1"/>
        <s v="E-2756" u="1"/>
        <s v="E-2757" u="1"/>
        <s v="E-2758" u="1"/>
        <s v="E-2759" u="1"/>
        <s v="E-2760" u="1"/>
        <s v="E-2761" u="1"/>
        <s v="E-2762" u="1"/>
        <s v="E-2763" u="1"/>
        <s v="E-2764" u="1"/>
        <s v="E-2765" u="1"/>
        <s v="E-2768" u="1"/>
        <s v="E-2769" u="1"/>
        <s v="E-2770" u="1"/>
        <s v="E-2772" u="1"/>
        <s v="E-2773" u="1"/>
        <s v="E-2774" u="1"/>
        <s v="E-2775" u="1"/>
        <s v="E-2776" u="1"/>
        <s v="E-2778" u="1"/>
        <s v="E-2779" u="1"/>
        <s v="E-2782" u="1"/>
        <s v="E-2783" u="1"/>
        <s v="E-2785" u="1"/>
        <s v="E-2787" u="1"/>
        <s v="E-2789" u="1"/>
        <s v="E-2790" u="1"/>
        <s v="E-2794" u="1"/>
        <s v="E-2795" u="1"/>
        <s v="E-2797" u="1"/>
        <s v="E-2801" u="1"/>
        <s v="E-2802" u="1"/>
        <s v="E-2803" u="1"/>
        <s v="E-2804" u="1"/>
        <s v="E-2805" u="1"/>
        <s v="E-2807" u="1"/>
        <s v="E-2808" u="1"/>
        <s v="E-2809" u="1"/>
        <s v="E-2812" u="1"/>
        <s v="E-2813" u="1"/>
        <s v="E-2814" u="1"/>
        <s v="E-2816" u="1"/>
        <s v="E-2817" u="1"/>
        <s v="E-2819" u="1"/>
        <s v="E-2820" u="1"/>
        <s v="E-2825" u="1"/>
        <s v="E-2826" u="1"/>
        <s v="E-2828" u="1"/>
        <s v="E-2829" u="1"/>
        <s v="E-2831" u="1"/>
        <s v="E-2835" u="1"/>
        <s v="E-2836" u="1"/>
        <s v="E-2838" u="1"/>
        <s v="E-2841" u="1"/>
        <s v="E-2842" u="1"/>
        <s v="E-2845" u="1"/>
        <s v="E-2847" u="1"/>
        <s v="E-2848" u="1"/>
        <s v="E-2851" u="1"/>
        <s v="E-2854" u="1"/>
        <s v="E-2855" u="1"/>
        <s v="E-2858" u="1"/>
        <s v="E-2860" u="1"/>
        <s v="E-2861" u="1"/>
        <s v="E-2863" u="1"/>
        <s v="E-2864" u="1"/>
        <s v="E-2865" u="1"/>
        <s v="E-2868" u="1"/>
        <s v="E-2870" u="1"/>
        <s v="E-2871" u="1"/>
        <s v="E-2872" u="1"/>
        <s v="E-2874" u="1"/>
        <s v="E-2875" u="1"/>
        <s v="E-2876" u="1"/>
        <s v="E-2877" u="1"/>
        <s v="E-2878" u="1"/>
        <s v="E-2879" u="1"/>
        <s v="E-2880" u="1"/>
        <s v="E-2881" u="1"/>
        <s v="E-2882" u="1"/>
        <s v="E-2883" u="1"/>
        <s v="E-2884" u="1"/>
        <s v="E-2885" u="1"/>
        <s v="E-2886" u="1"/>
        <s v="E-2887" u="1"/>
        <s v="E-2888" u="1"/>
        <s v="E-2889" u="1"/>
        <s v="E-2891" u="1"/>
        <s v="E-2892" u="1"/>
        <s v="E-2894" u="1"/>
        <s v="E-2895" u="1"/>
        <s v="E-2896" u="1"/>
        <s v="E-2897" u="1"/>
        <s v="E-2898" u="1"/>
        <s v="E-2900" u="1"/>
        <s v="E-2901" u="1"/>
        <s v="E-2902" u="1"/>
        <s v="E-2903" u="1"/>
        <s v="E-2904" u="1"/>
        <s v="E-2905" u="1"/>
        <s v="E-2906" u="1"/>
        <s v="E-2907" u="1"/>
        <s v="E-2912" u="1"/>
        <s v="E-2915" u="1"/>
        <s v="E-2916" u="1"/>
        <s v="E-2919" u="1"/>
        <s v="E-2920" u="1"/>
        <s v="E-2921" u="1"/>
        <s v="E-2924" u="1"/>
        <s v="E-2929" u="1"/>
        <s v="E-2931" u="1"/>
        <s v="E-2934" u="1"/>
        <s v="E-2936" u="1"/>
        <s v="E-2937" u="1"/>
        <s v="E-2938" u="1"/>
        <s v="E-2939" u="1"/>
        <s v="E-2941" u="1"/>
        <s v="E-2942" u="1"/>
        <s v="E-2944" u="1"/>
        <s v="E-2945" u="1"/>
        <s v="E-2946" u="1"/>
        <s v="E-2954" u="1"/>
        <s v="E-2956" u="1"/>
        <s v="E-2959" u="1"/>
        <s v="E-2960" u="1"/>
        <s v="E-2961" u="1"/>
        <s v="E-2965" u="1"/>
        <s v="E-2967" u="1"/>
        <s v="E-2968" u="1"/>
        <s v="E-2970" u="1"/>
        <s v="E-2971" u="1"/>
        <s v="E-2973" u="1"/>
        <s v="E-2976" u="1"/>
        <s v="E-2977" u="1"/>
        <s v="E-2979" u="1"/>
        <s v="E-2980" u="1"/>
        <s v="E-2981" u="1"/>
        <s v="E-2982" u="1"/>
        <s v="E-2983" u="1"/>
        <s v="E-2985" u="1"/>
        <s v="E-2988" u="1"/>
        <s v="E-2989" u="1"/>
        <s v="E-2993" u="1"/>
        <s v="E-2994" u="1"/>
        <s v="E-2996" u="1"/>
        <s v="E-2999" u="1"/>
        <s v="E-3000" u="1"/>
        <s v="E-3003" u="1"/>
        <s v="E-3006" u="1"/>
        <s v="E-3007" u="1"/>
        <s v="E-3009" u="1"/>
        <s v="E-3010" u="1"/>
        <s v="E-3014" u="1"/>
        <s v="E-3019" u="1"/>
        <s v="E-3020" u="1"/>
        <s v="E-3021" u="1"/>
        <s v="E-3023" u="1"/>
        <s v="E-3025" u="1"/>
        <s v="E-3026" u="1"/>
        <s v="E-3027" u="1"/>
        <s v="E-3029" u="1"/>
        <s v="E-3030" u="1"/>
        <s v="E-3031" u="1"/>
        <s v="E-3032" u="1"/>
        <s v="E-3033" u="1"/>
        <s v="E-3034" u="1"/>
        <s v="E-3035" u="1"/>
        <s v="E-3037" u="1"/>
        <s v="E-3038" u="1"/>
        <s v="E-3039" u="1"/>
        <s v="E-3041" u="1"/>
        <s v="E-3042" u="1"/>
        <s v="E-3044" u="1"/>
        <s v="E-3046" u="1"/>
        <s v="E-3047" u="1"/>
        <s v="E-3050" u="1"/>
        <s v="E-3051" u="1"/>
        <s v="E-3053" u="1"/>
        <s v="E-3056" u="1"/>
        <s v="E-3057" u="1"/>
        <s v="E-3058" u="1"/>
        <s v="E-3059" u="1"/>
        <s v="E-3065" u="1"/>
        <s v="E-3068" u="1"/>
        <s v="E-3069" u="1"/>
        <s v="E-3070" u="1"/>
        <s v="E-3071" u="1"/>
        <s v="E-3072" u="1"/>
        <s v="E-3073" u="1"/>
        <s v="E-3074" u="1"/>
        <s v="E-3076" u="1"/>
        <s v="E-3077" u="1"/>
        <s v="E-3078" u="1"/>
        <s v="E-3079" u="1"/>
        <s v="E-3082" u="1"/>
        <s v="E-3083" u="1"/>
        <s v="E-3086" u="1"/>
        <s v="E-3087" u="1"/>
        <s v="E-3088" u="1"/>
        <s v="E-3089" u="1"/>
        <s v="E-3090" u="1"/>
        <s v="E-3091" u="1"/>
        <s v="E-3092" u="1"/>
        <s v="E-3093" u="1"/>
        <s v="E-3094" u="1"/>
        <s v="E-3095" u="1"/>
        <s v="E-3096" u="1"/>
        <s v="E-3097" u="1"/>
        <s v="E-3098" u="1"/>
        <s v="E-3099" u="1"/>
        <s v="E-3100" u="1"/>
        <s v="E-3101" u="1"/>
        <s v="E-3102" u="1"/>
        <s v="E-3103" u="1"/>
        <s v="E-3104" u="1"/>
        <s v="E-3105" u="1"/>
        <s v="E-3106" u="1"/>
        <s v="E-3107" u="1"/>
        <s v="E-3108" u="1"/>
        <s v="E-3109" u="1"/>
        <s v="E-3110" u="1"/>
        <s v="E-3111" u="1"/>
        <s v="E-3112" u="1"/>
        <s v="E-3113" u="1"/>
        <s v="E-3114" u="1"/>
        <s v="E-3115" u="1"/>
        <s v="E-3116" u="1"/>
        <s v="E-3117" u="1"/>
        <s v="E-3118" u="1"/>
        <s v="E-3119" u="1"/>
        <s v="E-3120" u="1"/>
        <s v="E-3121" u="1"/>
        <s v="E-3122" u="1"/>
        <s v="E-3123" u="1"/>
        <s v="E-3124" u="1"/>
        <s v="E-3125" u="1"/>
        <s v="E-3126" u="1"/>
        <s v="E-3127" u="1"/>
        <s v="E-3128" u="1"/>
        <s v="E-3129" u="1"/>
        <s v="E-3130" u="1"/>
        <s v="E-3132" u="1"/>
        <s v="E-3133" u="1"/>
        <s v="E-3134" u="1"/>
        <s v="E-3135" u="1"/>
        <s v="E-3136" u="1"/>
        <s v="E-3137" u="1"/>
        <s v="E-3138" u="1"/>
        <s v="E-3139" u="1"/>
        <s v="E-3140" u="1"/>
        <s v="E-3141" u="1"/>
        <s v="E-3142" u="1"/>
        <s v="E-3143" u="1"/>
        <s v="E-3144" u="1"/>
        <s v="E-3145" u="1"/>
        <s v="E-3146" u="1"/>
        <s v="E-3147" u="1"/>
        <s v="E-3148" u="1"/>
        <s v="E-3149" u="1"/>
        <s v="E-3150" u="1"/>
        <s v="E-3151" u="1"/>
        <s v="E-3152" u="1"/>
        <s v="E-3153" u="1"/>
        <s v="E-3154" u="1"/>
        <s v="E-3155" u="1"/>
        <s v="E-3156" u="1"/>
        <s v="E-3157" u="1"/>
        <s v="E-3158" u="1"/>
        <s v="E-3159" u="1"/>
        <s v="E-3160" u="1"/>
        <s v="E-3161" u="1"/>
        <s v="E-3162" u="1"/>
        <s v="E-3163" u="1"/>
        <s v="E-3164" u="1"/>
        <s v="E-3165" u="1"/>
        <s v="E-3166" u="1"/>
        <s v="E-3167" u="1"/>
        <s v="E-3168" u="1"/>
        <s v="E-3169" u="1"/>
        <s v="E-3170" u="1"/>
        <s v="E-3172" u="1"/>
        <s v="E-3173" u="1"/>
        <s v="E-3174" u="1"/>
        <s v="E-3175" u="1"/>
        <s v="E-3176" u="1"/>
        <s v="E-3177" u="1"/>
        <s v="E-3178" u="1"/>
        <s v="E-3179" u="1"/>
        <s v="E-3180" u="1"/>
        <s v="E-3181" u="1"/>
        <s v="E-3182" u="1"/>
        <s v="E-3183" u="1"/>
        <s v="E-3184" u="1"/>
        <s v="E-3185" u="1"/>
        <s v="E-3186" u="1"/>
        <s v="E-3187" u="1"/>
        <s v="E-3189" u="1"/>
        <s v="E-3190" u="1"/>
        <s v="E-3191" u="1"/>
        <s v="E-3192" u="1"/>
        <s v="E-3193" u="1"/>
        <s v="E-3194" u="1"/>
        <s v="E-3197" u="1"/>
        <s v="E-3198" u="1"/>
        <s v="E-3199" u="1"/>
        <s v="E-3200" u="1"/>
        <s v="E-3201" u="1"/>
        <s v="E-3202" u="1"/>
        <s v="E-3203" u="1"/>
        <s v="E-3204" u="1"/>
        <s v="E-3205" u="1"/>
        <s v="E-3206" u="1"/>
        <s v="E-3207" u="1"/>
        <s v="E-3208" u="1"/>
        <s v="E-3209" u="1"/>
        <s v="E-3210" u="1"/>
        <s v="E-3211" u="1"/>
        <s v="E-3212" u="1"/>
        <s v="E-3213" u="1"/>
        <s v="E-3214" u="1"/>
        <s v="E-3215" u="1"/>
        <s v="E-3217" u="1"/>
        <s v="E-3218" u="1"/>
        <s v="E-3219" u="1"/>
        <s v="E-3220" u="1"/>
        <s v="E-3221" u="1"/>
        <s v="E-3223" u="1"/>
        <s v="E-3224" u="1"/>
        <s v="E-3225" u="1"/>
        <s v="E-3226" u="1"/>
        <s v="E-3228" u="1"/>
        <s v="E-3229" u="1"/>
        <s v="E-3230" u="1"/>
        <s v="E-3231" u="1"/>
        <s v="E-3232" u="1"/>
        <s v="E-3233" u="1"/>
        <s v="E-3234" u="1"/>
        <s v="E-3236" u="1"/>
        <s v="E-3237" u="1"/>
        <s v="E-3238" u="1"/>
        <s v="E-3239" u="1"/>
        <s v="E-3240" u="1"/>
        <s v="E-3241" u="1"/>
        <s v="E-3243" u="1"/>
        <s v="E-3245" u="1"/>
        <s v="E-3246" u="1"/>
        <s v="E-3247" u="1"/>
        <s v="E-3248" u="1"/>
        <s v="E-3249" u="1"/>
        <s v="E-3250" u="1"/>
        <s v="E-3251" u="1"/>
        <s v="E-3252" u="1"/>
        <s v="E-3253" u="1"/>
        <s v="E-3254" u="1"/>
        <s v="E-3256" u="1"/>
        <s v="E-3257" u="1"/>
        <s v="E-3258" u="1"/>
        <s v="E-3259" u="1"/>
        <s v="E-3260" u="1"/>
        <s v="E-3261" u="1"/>
        <s v="E-3262" u="1"/>
        <s v="E-3263" u="1"/>
        <s v="E-3264" u="1"/>
        <s v="E-3265" u="1"/>
        <s v="E-3266" u="1"/>
        <s v="E-3267" u="1"/>
        <s v="E-3268" u="1"/>
        <s v="E-3269" u="1"/>
        <s v="E-3270" u="1"/>
        <s v="E-3272" u="1"/>
        <s v="E-3273" u="1"/>
        <s v="E-3274" u="1"/>
        <s v="E-3275" u="1"/>
        <s v="E-3276" u="1"/>
        <s v="E-3277" u="1"/>
        <s v="E-3279" u="1"/>
        <s v="E-3280" u="1"/>
        <s v="E-3281" u="1"/>
        <s v="E-3282" u="1"/>
        <s v="E-3283" u="1"/>
        <s v="E-3284" u="1"/>
        <s v="E-3285" u="1"/>
        <s v="E-3286" u="1"/>
        <s v="E-3287" u="1"/>
        <s v="E-3288" u="1"/>
        <s v="E-3289" u="1"/>
        <s v="E-3290" u="1"/>
        <s v="E-3291" u="1"/>
        <s v="E-3292" u="1"/>
        <s v="E-3293" u="1"/>
        <s v="E-3294" u="1"/>
        <s v="E-3295" u="1"/>
        <s v="E-3296" u="1"/>
        <s v="E-3297" u="1"/>
        <s v="E-3298" u="1"/>
        <s v="E-3299" u="1"/>
        <s v="E-3300" u="1"/>
        <s v="E-3301" u="1"/>
        <s v="E-3302" u="1"/>
        <s v="E-3303" u="1"/>
        <s v="E-3304" u="1"/>
        <s v="E-3305" u="1"/>
        <s v="E-3306" u="1"/>
        <s v="E-3307" u="1"/>
        <s v="E-3308" u="1"/>
        <s v="E-3309" u="1"/>
        <s v="E-3310" u="1"/>
        <s v="E-3311" u="1"/>
        <s v="E-3312" u="1"/>
        <s v="E-3313" u="1"/>
        <s v="E-3314" u="1"/>
        <s v="E-3315" u="1"/>
        <s v="E-3316" u="1"/>
        <s v="E-3317" u="1"/>
        <s v="E-3318" u="1"/>
        <s v="E-3319" u="1"/>
        <s v="E-3320" u="1"/>
        <s v="E-3321" u="1"/>
        <s v="E-3322" u="1"/>
        <s v="E-3323" u="1"/>
        <s v="E-3324" u="1"/>
        <s v="E-3325" u="1"/>
        <s v="E-3326" u="1"/>
        <s v="E-3327" u="1"/>
        <s v="E-3328" u="1"/>
        <s v="E-3329" u="1"/>
        <s v="E-3330" u="1"/>
        <s v="E-3331" u="1"/>
        <s v="E-3332" u="1"/>
        <s v="E-3333" u="1"/>
        <s v="E-3334" u="1"/>
        <s v="E-3336" u="1"/>
        <s v="E-3337" u="1"/>
        <s v="E-3338" u="1"/>
        <s v="E-3339" u="1"/>
        <s v="E-3340" u="1"/>
        <s v="E-3341" u="1"/>
        <s v="E-3342" u="1"/>
        <s v="E-3343" u="1"/>
        <s v="E-3344" u="1"/>
        <s v="E-3345" u="1"/>
        <s v="E-3346" u="1"/>
        <s v="E-3347" u="1"/>
        <s v="E-3348" u="1"/>
        <s v="E-3349" u="1"/>
        <s v="E-3350" u="1"/>
        <s v="E-3351" u="1"/>
        <s v="E-3352" u="1"/>
        <s v="E-3354" u="1"/>
        <s v="E-3355" u="1"/>
        <s v="E-3356" u="1"/>
        <s v="E-3357" u="1"/>
        <s v="E-3358" u="1"/>
        <s v="E-3359" u="1"/>
        <s v="E-3360" u="1"/>
        <s v="E-3361" u="1"/>
        <s v="E-3362" u="1"/>
        <s v="E-3363" u="1"/>
        <s v="E-3364" u="1"/>
        <s v="E-3365" u="1"/>
        <s v="E-3366" u="1"/>
        <s v="E-3367" u="1"/>
        <s v="E-3368" u="1"/>
        <s v="E-3369" u="1"/>
        <s v="E-3371" u="1"/>
        <s v="E-3372" u="1"/>
        <s v="E-3373" u="1"/>
        <s v="E-3374" u="1"/>
        <s v="E-3375" u="1"/>
        <s v="E-3376" u="1"/>
        <s v="E-3377" u="1"/>
        <s v="E-3378" u="1"/>
        <s v="E-3379" u="1"/>
        <s v="E-3380" u="1"/>
        <s v="E-3381" u="1"/>
        <s v="E-3382" u="1"/>
        <s v="E-3383" u="1"/>
        <s v="E-3384" u="1"/>
        <s v="E-3385" u="1"/>
        <s v="E-3386" u="1"/>
        <s v="E-3387" u="1"/>
        <s v="E-3388" u="1"/>
        <s v="E-3389" u="1"/>
        <s v="E-3390" u="1"/>
        <s v="E-3392" u="1"/>
        <s v="E-3393" u="1"/>
        <s v="E-3394" u="1"/>
        <s v="E-3395" u="1"/>
        <s v="E-3396" u="1"/>
        <s v="E-3397" u="1"/>
        <s v="E-3398" u="1"/>
        <s v="E-3399" u="1"/>
        <s v="E-3400" u="1"/>
        <s v="E-3402" u="1"/>
        <s v="E-3403" u="1"/>
        <s v="E-3404" u="1"/>
        <s v="E-3405" u="1"/>
        <s v="E-3406" u="1"/>
        <s v="E-3407" u="1"/>
        <s v="E-3408" u="1"/>
        <s v="E-3409" u="1"/>
        <s v="E-3410" u="1"/>
        <s v="E-3411" u="1"/>
        <s v="E-3412" u="1"/>
        <s v="E-3413" u="1"/>
        <s v="E-3414" u="1"/>
        <s v="E-3415" u="1"/>
        <s v="E-3416" u="1"/>
        <s v="E-3418" u="1"/>
        <s v="E-3419" u="1"/>
        <s v="E-3420" u="1"/>
        <s v="E-3421" u="1"/>
        <s v="E-3422" u="1"/>
        <s v="E-3423" u="1"/>
        <s v="E-3424" u="1"/>
        <s v="E-3425" u="1"/>
        <s v="E-3426" u="1"/>
        <s v="E-3427" u="1"/>
        <s v="E-3428" u="1"/>
        <s v="E-3429" u="1"/>
        <s v="E-3430" u="1"/>
        <s v="E-3431" u="1"/>
        <s v="E-3433" u="1"/>
        <s v="E-3434" u="1"/>
        <s v="E-3435" u="1"/>
        <s v="E-3436" u="1"/>
        <s v="E-3437" u="1"/>
        <s v="E-3438" u="1"/>
        <s v="E-3439" u="1"/>
        <s v="E-3440" u="1"/>
        <s v="E-3441" u="1"/>
        <s v="E-3442" u="1"/>
        <s v="E-3443" u="1"/>
        <s v="E-3444" u="1"/>
        <s v="E-3445" u="1"/>
        <s v="E-3446" u="1"/>
        <s v="E-3447" u="1"/>
        <s v="E-3448" u="1"/>
        <s v="E-3449" u="1"/>
        <s v="E-3450" u="1"/>
        <s v="E-3451" u="1"/>
        <s v="E-3452" u="1"/>
        <s v="E-3453" u="1"/>
        <s v="E-3454" u="1"/>
        <s v="E-3455" u="1"/>
        <s v="E-3456" u="1"/>
        <s v="E-3457" u="1"/>
        <s v="E-3458" u="1"/>
        <s v="E-3459" u="1"/>
        <s v="E-3461" u="1"/>
        <s v="E-3462" u="1"/>
        <s v="E-3463" u="1"/>
        <s v="E-3464" u="1"/>
        <s v="E-3465" u="1"/>
        <s v="E-3466" u="1"/>
        <s v="E-3467" u="1"/>
        <s v="E-3468" u="1"/>
        <s v="E-3469" u="1"/>
        <s v="E-3470" u="1"/>
        <s v="E-3471" u="1"/>
        <s v="E-3472" u="1"/>
        <s v="E-3473" u="1"/>
        <s v="E-3474" u="1"/>
        <s v="E-3476" u="1"/>
        <s v="E-3477" u="1"/>
        <s v="E-3478" u="1"/>
        <s v="E-3479" u="1"/>
        <s v="E-3480" u="1"/>
        <s v="E-3481" u="1"/>
        <s v="E-3482" u="1"/>
        <s v="E-3483" u="1"/>
        <s v="E-3484" u="1"/>
        <s v="E-3485" u="1"/>
        <s v="E-3486" u="1"/>
        <s v="E-3488" u="1"/>
        <s v="E-3489" u="1"/>
        <s v="E-3490" u="1"/>
        <s v="E-3491" u="1"/>
        <s v="E-3492" u="1"/>
        <s v="E-3493" u="1"/>
        <s v="E-3494" u="1"/>
        <s v="E-3495" u="1"/>
        <s v="E-3496" u="1"/>
        <s v="E-3497" u="1"/>
        <s v="E-3498" u="1"/>
        <s v="E-3499" u="1"/>
        <s v="E-3500" u="1"/>
        <s v="E-3502" u="1"/>
        <s v="E-3503" u="1"/>
        <s v="E-3504" u="1"/>
        <s v="E-3505" u="1"/>
        <s v="E-3506" u="1"/>
        <s v="E-3507" u="1"/>
        <s v="E-3508" u="1"/>
        <s v="E-3509" u="1"/>
        <s v="E-3510" u="1"/>
        <s v="E-3511" u="1"/>
        <s v="E-3512" u="1"/>
        <s v="E-3513" u="1"/>
        <s v="E-3515" u="1"/>
        <s v="E-3516" u="1"/>
        <s v="E-3517" u="1"/>
        <s v="E-3518" u="1"/>
        <s v="E-3519" u="1"/>
        <s v="E-3520" u="1"/>
        <s v="E-3521" u="1"/>
        <s v="E-3522" u="1"/>
        <s v="E-3523" u="1"/>
        <s v="E-3524" u="1"/>
        <s v="E-3525" u="1"/>
        <s v="E-3526" u="1"/>
        <s v="E-3527" u="1"/>
        <s v="E-3528" u="1"/>
        <s v="E-3529" u="1"/>
        <s v="E-3530" u="1"/>
        <s v="E-3531" u="1"/>
        <s v="E-3532" u="1"/>
        <s v="E-3533" u="1"/>
        <s v="E-3534" u="1"/>
        <s v="E-3535" u="1"/>
        <s v="E-3536" u="1"/>
        <s v="E-3537" u="1"/>
        <s v="E-3538" u="1"/>
        <s v="E-3539" u="1"/>
        <s v="E-3540" u="1"/>
        <s v="E-3541" u="1"/>
        <s v="E-3542" u="1"/>
        <s v="E-3543" u="1"/>
        <s v="E-3544" u="1"/>
        <s v="E-3545" u="1"/>
        <s v="E-3546" u="1"/>
        <s v="E-3547" u="1"/>
        <s v="E-3548" u="1"/>
        <s v="E-3549" u="1"/>
        <s v="E-3550" u="1"/>
        <s v="E-3552" u="1"/>
        <s v="E-3553" u="1"/>
        <s v="E-3554" u="1"/>
        <s v="E-3555" u="1"/>
        <s v="E-3556" u="1"/>
        <s v="E-3557" u="1"/>
        <s v="E-3558" u="1"/>
        <s v="E-3559" u="1"/>
        <s v="E-3560" u="1"/>
        <s v="E-3561" u="1"/>
        <s v="E-3562" u="1"/>
        <s v="E-3563" u="1"/>
        <s v="E-3564" u="1"/>
        <s v="E-3565" u="1"/>
        <s v="E-3566" u="1"/>
        <s v="E-3567" u="1"/>
        <s v="E-3568" u="1"/>
        <s v="E-3569" u="1"/>
        <s v="E-3570" u="1"/>
        <s v="E-3572" u="1"/>
        <s v="E-3573" u="1"/>
        <s v="E-3575" u="1"/>
        <s v="E-3576" u="1"/>
        <s v="E-3577" u="1"/>
        <s v="E-3578" u="1"/>
        <s v="E-3579" u="1"/>
        <s v="E-3580" u="1"/>
        <s v="E-3581" u="1"/>
        <s v="E-3582" u="1"/>
        <s v="E-3583" u="1"/>
        <s v="E-3584" u="1"/>
        <s v="E-3585" u="1"/>
        <s v="E-3586" u="1"/>
        <s v="E-3587" u="1"/>
        <s v="E-3588" u="1"/>
        <s v="E-3589" u="1"/>
        <s v="E-3591" u="1"/>
        <s v="E-3592" u="1"/>
        <s v="E-3593" u="1"/>
        <s v="E-3594" u="1"/>
        <s v="E-3595" u="1"/>
        <s v="E-3596" u="1"/>
        <s v="E-3597" u="1"/>
        <s v="E-3598" u="1"/>
        <s v="E-3599" u="1"/>
        <s v="E-3600" u="1"/>
        <s v="E-3601" u="1"/>
        <s v="E-3602" u="1"/>
        <s v="E-3603" u="1"/>
        <s v="E-3604" u="1"/>
        <s v="E-3605" u="1"/>
        <s v="E-3606" u="1"/>
        <s v="E-3607" u="1"/>
        <s v="E-3608" u="1"/>
        <s v="E-3609" u="1"/>
        <s v="E-3610" u="1"/>
        <s v="E-3611" u="1"/>
        <s v="E-3612" u="1"/>
        <s v="E-3613" u="1"/>
        <s v="E-3614" u="1"/>
        <s v="E-3616" u="1"/>
        <s v="E-3617" u="1"/>
        <s v="E-3618" u="1"/>
        <s v="E-3619" u="1"/>
        <s v="E-3620" u="1"/>
        <s v="E-3621" u="1"/>
        <s v="E-3622" u="1"/>
        <s v="E-3623" u="1"/>
        <s v="E-3624" u="1"/>
        <s v="E-3625" u="1"/>
        <s v="E-3626" u="1"/>
        <s v="E-3627" u="1"/>
        <s v="E-3628" u="1"/>
        <s v="E-3629" u="1"/>
        <s v="E-3630" u="1"/>
        <s v="E-3631" u="1"/>
        <s v="E-3632" u="1"/>
        <s v="E-3633" u="1"/>
        <s v="E-3634" u="1"/>
        <s v="E-3635" u="1"/>
        <s v="E-3636" u="1"/>
        <s v="E-3637" u="1"/>
        <s v="E-3638" u="1"/>
        <s v="E-3639" u="1"/>
        <s v="E-3640" u="1"/>
        <s v="E-3641" u="1"/>
        <s v="E-3642" u="1"/>
        <s v="E-3643" u="1"/>
        <s v="E-3644" u="1"/>
        <s v="E-3645" u="1"/>
        <s v="E-3646" u="1"/>
        <s v="E-3647" u="1"/>
        <s v="E-3648" u="1"/>
        <s v="E-3649" u="1"/>
        <s v="E-3650" u="1"/>
        <s v="E-3651" u="1"/>
        <s v="E-3652" u="1"/>
        <s v="E-3653" u="1"/>
        <s v="E-3654" u="1"/>
        <s v="E-3655" u="1"/>
        <s v="E-3656" u="1"/>
        <s v="E-3657" u="1"/>
        <s v="E-3658" u="1"/>
        <s v="E-3659" u="1"/>
        <s v="E-3660" u="1"/>
        <s v="E-3661" u="1"/>
        <s v="E-3662" u="1"/>
        <s v="E-3663" u="1"/>
        <s v="E-3665" u="1"/>
        <s v="E-3666" u="1"/>
        <s v="E-3667" u="1"/>
        <s v="E-3669" u="1"/>
        <s v="E-3670" u="1"/>
        <s v="E-3671" u="1"/>
        <s v="E-3673" u="1"/>
        <s v="E-3674" u="1"/>
        <s v="E-3675" u="1"/>
        <s v="E-3676" u="1"/>
        <s v="E-3677" u="1"/>
        <s v="E-3678" u="1"/>
        <s v="E-3680" u="1"/>
        <s v="E-3681" u="1"/>
        <s v="E-3682" u="1"/>
        <s v="E-3683" u="1"/>
        <s v="E-3684" u="1"/>
        <s v="E-3685" u="1"/>
        <s v="E-3686" u="1"/>
        <s v="E-3687" u="1"/>
        <s v="E-3688" u="1"/>
        <s v="E-3690" u="1"/>
        <s v="E-3691" u="1"/>
        <s v="E-3692" u="1"/>
        <s v="E-3693" u="1"/>
        <s v="E-3694" u="1"/>
        <s v="E-3695" u="1"/>
        <s v="E-3696" u="1"/>
        <s v="E-3697" u="1"/>
        <s v="E-3698" u="1"/>
        <s v="E-3699" u="1"/>
        <s v="E-3700" u="1"/>
        <s v="E-3701" u="1"/>
        <s v="E-3702" u="1"/>
        <s v="E-3703" u="1"/>
        <s v="E-3704" u="1"/>
        <s v="E-3705" u="1"/>
        <s v="E-3706" u="1"/>
        <s v="E-3707" u="1"/>
        <s v="E-3708" u="1"/>
        <s v="E-3709" u="1"/>
        <s v="E-3710" u="1"/>
        <s v="E-3711" u="1"/>
        <s v="E-3712" u="1"/>
        <s v="E-3713" u="1"/>
        <s v="E-3714" u="1"/>
        <s v="E-3715" u="1"/>
        <s v="E-3716" u="1"/>
        <s v="E-3717" u="1"/>
        <s v="E-3718" u="1"/>
        <s v="E-3719" u="1"/>
        <s v="E-3720" u="1"/>
        <s v="E-3721" u="1"/>
        <s v="E-3722" u="1"/>
        <s v="E-3723" u="1"/>
        <s v="E-3724" u="1"/>
        <s v="E-3725" u="1"/>
        <s v="E-3726" u="1"/>
        <s v="E-3727" u="1"/>
        <s v="E-3728" u="1"/>
        <s v="E-3730" u="1"/>
        <s v="E-3731" u="1"/>
        <s v="E-3732" u="1"/>
        <s v="E-3734" u="1"/>
        <s v="E-3735" u="1"/>
        <s v="E-3736" u="1"/>
        <s v="E-3737" u="1"/>
        <s v="E-3738" u="1"/>
        <s v="E-3739" u="1"/>
        <s v="E-3740" u="1"/>
        <s v="E-3741" u="1"/>
        <s v="E-3742" u="1"/>
        <s v="E-3743" u="1"/>
        <s v="E-3744" u="1"/>
        <s v="E-3745" u="1"/>
        <s v="E-3746" u="1"/>
        <s v="E-3747" u="1"/>
        <s v="E-3748" u="1"/>
        <s v="E-3749" u="1"/>
        <s v="E-3751" u="1"/>
        <s v="E-3752" u="1"/>
        <s v="E-3753" u="1"/>
        <s v="E-3754" u="1"/>
        <s v="E-3755" u="1"/>
        <s v="E-3756" u="1"/>
        <s v="E-3757" u="1"/>
        <s v="E-3758" u="1"/>
        <s v="E-3759" u="1"/>
        <s v="E-3760" u="1"/>
        <s v="E-3761" u="1"/>
        <s v="E-3762" u="1"/>
        <s v="E-3763" u="1"/>
        <s v="E-3764" u="1"/>
        <s v="E-3765" u="1"/>
        <s v="E-3766" u="1"/>
        <s v="E-3767" u="1"/>
        <s v="E-3768" u="1"/>
        <s v="E-3769" u="1"/>
        <s v="E-3770" u="1"/>
        <s v="E-3771" u="1"/>
        <s v="E-3772" u="1"/>
        <s v="E-3773" u="1"/>
        <s v="E-3774" u="1"/>
        <s v="E-3775" u="1"/>
        <s v="E-3777" u="1"/>
        <s v="E-3778" u="1"/>
        <s v="E-3779" u="1"/>
        <s v="E-3780" u="1"/>
        <s v="E-3781" u="1"/>
        <s v="E-3782" u="1"/>
        <s v="E-3783" u="1"/>
        <s v="E-3784" u="1"/>
        <s v="E-3785" u="1"/>
        <s v="E-3786" u="1"/>
        <s v="E-3787" u="1"/>
        <s v="E-3790" u="1"/>
        <s v="E-3791" u="1"/>
        <s v="E-3792" u="1"/>
        <s v="E-3793" u="1"/>
        <s v="E-3794" u="1"/>
        <s v="E-3795" u="1"/>
        <s v="E-3796" u="1"/>
        <s v="E-3797" u="1"/>
        <s v="E-3798" u="1"/>
        <s v="E-3799" u="1"/>
        <s v="E-3800" u="1"/>
        <s v="E-3801" u="1"/>
        <s v="E-3802" u="1"/>
        <s v="E-3803" u="1"/>
        <s v="E-3804" u="1"/>
        <s v="E-3806" u="1"/>
        <s v="E-3807" u="1"/>
        <s v="E-3808" u="1"/>
        <s v="E-3809" u="1"/>
        <s v="E-3810" u="1"/>
        <s v="E-3811" u="1"/>
        <s v="E-3812" u="1"/>
        <s v="E-3813" u="1"/>
        <s v="E-3814" u="1"/>
        <s v="E-3815" u="1"/>
        <s v="E-3816" u="1"/>
        <s v="E-3817" u="1"/>
        <s v="E-3818" u="1"/>
        <s v="E-3819" u="1"/>
        <s v="E-3820" u="1"/>
        <s v="E-3821" u="1"/>
        <s v="E-3822" u="1"/>
        <s v="E-3823" u="1"/>
        <s v="E-3824" u="1"/>
        <s v="E-3825" u="1"/>
        <s v="E-3827" u="1"/>
        <s v="E-3828" u="1"/>
        <s v="E-3829" u="1"/>
        <s v="E-3830" u="1"/>
        <s v="E-3831" u="1"/>
        <s v="E-3832" u="1"/>
        <s v="E-3833" u="1"/>
        <s v="E-3834" u="1"/>
        <s v="E-3835" u="1"/>
        <s v="E-3836" u="1"/>
        <s v="E-3837" u="1"/>
        <s v="E-3838" u="1"/>
        <s v="E-3839" u="1"/>
        <s v="E-3840" u="1"/>
        <s v="E-3841" u="1"/>
        <s v="E-3842" u="1"/>
        <s v="E-3843" u="1"/>
        <s v="E-3844" u="1"/>
        <s v="E-3845" u="1"/>
        <s v="E-3846" u="1"/>
        <s v="E-3847" u="1"/>
        <s v="E-3848" u="1"/>
        <s v="E-3849" u="1"/>
        <s v="E-3850" u="1"/>
        <s v="E-3852" u="1"/>
        <s v="E-3853" u="1"/>
        <s v="E-3854" u="1"/>
        <s v="E-3855" u="1"/>
        <s v="E-3856" u="1"/>
        <s v="E-3857" u="1"/>
        <s v="E-3858" u="1"/>
        <s v="E-3859" u="1"/>
        <s v="E-3860" u="1"/>
        <s v="E-3861" u="1"/>
        <s v="E-3862" u="1"/>
        <s v="E-3863" u="1"/>
        <s v="E-3864" u="1"/>
        <s v="E-3865" u="1"/>
        <s v="E-3866" u="1"/>
        <s v="E-3867" u="1"/>
        <s v="E-3868" u="1"/>
        <s v="E-3870" u="1"/>
        <s v="E-3871" u="1"/>
        <s v="E-3872" u="1"/>
        <s v="E-3875" u="1"/>
        <s v="E-3876" u="1"/>
        <s v="E-3877" u="1"/>
        <s v="E-3878" u="1"/>
        <s v="E-3879" u="1"/>
        <s v="E-3880" u="1"/>
        <s v="E-3881" u="1"/>
        <s v="E-3883" u="1"/>
        <s v="E-3884" u="1"/>
        <s v="E-3885" u="1"/>
        <s v="E-3886" u="1"/>
        <s v="E-3887" u="1"/>
        <s v="E-3888" u="1"/>
        <s v="E-3889" u="1"/>
        <s v="E-3890" u="1"/>
        <s v="E-3891" u="1"/>
        <s v="E-3892" u="1"/>
        <s v="E-3893" u="1"/>
        <s v="E-3894" u="1"/>
        <s v="E-3895" u="1"/>
        <s v="E-3896" u="1"/>
        <s v="E-3897" u="1"/>
        <s v="E-3898" u="1"/>
        <s v="E-3899" u="1"/>
        <s v="E-3900" u="1"/>
        <s v="E-3901" u="1"/>
        <s v="E-3902" u="1"/>
        <s v="E-3903" u="1"/>
        <s v="E-3904" u="1"/>
        <s v="E-3905" u="1"/>
        <s v="E-3906" u="1"/>
        <s v="E-3907" u="1"/>
        <s v="E-3908" u="1"/>
        <s v="E-3909" u="1"/>
        <s v="E-3910" u="1"/>
        <s v="E-3911" u="1"/>
        <s v="E-3912" u="1"/>
        <s v="E-3913" u="1"/>
        <s v="E-3914" u="1"/>
        <s v="E-3915" u="1"/>
        <s v="E-3916" u="1"/>
        <s v="E-3917" u="1"/>
        <s v="E-3918" u="1"/>
        <s v="E-3919" u="1"/>
        <s v="E-3920" u="1"/>
        <s v="E-3921" u="1"/>
        <s v="E-3922" u="1"/>
        <s v="E-3923" u="1"/>
        <s v="E-3924" u="1"/>
        <s v="E-3925" u="1"/>
        <s v="E-3926" u="1"/>
        <s v="E-3927" u="1"/>
        <s v="E-3928" u="1"/>
        <s v="E-3929" u="1"/>
        <s v="E-3930" u="1"/>
        <s v="E-3931" u="1"/>
        <s v="E-3932" u="1"/>
        <s v="E-3933" u="1"/>
        <s v="E-3934" u="1"/>
        <s v="E-3935" u="1"/>
        <s v="E-3936" u="1"/>
        <s v="E-3937" u="1"/>
        <s v="E-3938" u="1"/>
        <s v="E-3939" u="1"/>
        <s v="E-3940" u="1"/>
        <s v="E-3941" u="1"/>
        <s v="E-3942" u="1"/>
        <s v="E-3943" u="1"/>
        <s v="E-3944" u="1"/>
        <s v="E-3945" u="1"/>
        <s v="E-3946" u="1"/>
        <s v="E-3948" u="1"/>
        <s v="E-3949" u="1"/>
        <s v="E-3950" u="1"/>
        <s v="E-3951" u="1"/>
        <s v="E-3952" u="1"/>
        <s v="E-3953" u="1"/>
        <s v="E-3954" u="1"/>
        <s v="E-3956" u="1"/>
        <s v="E-3957" u="1"/>
        <s v="E-3958" u="1"/>
        <s v="E-3959" u="1"/>
        <s v="E-3960" u="1"/>
        <s v="E-3961" u="1"/>
        <s v="E-3962" u="1"/>
        <s v="E-3963" u="1"/>
        <s v="E-3965" u="1"/>
        <s v="E-3966" u="1"/>
        <s v="E-3967" u="1"/>
        <s v="E-3968" u="1"/>
        <s v="E-3969" u="1"/>
        <s v="E-3971" u="1"/>
        <s v="E-3972" u="1"/>
        <s v="E-3973" u="1"/>
        <s v="E-3974" u="1"/>
        <s v="E-3975" u="1"/>
        <s v="E-3976" u="1"/>
        <s v="E-3977" u="1"/>
        <s v="E-3978" u="1"/>
        <s v="E-3979" u="1"/>
        <s v="E-3980" u="1"/>
        <s v="E-3981" u="1"/>
        <s v="E-3982" u="1"/>
        <s v="E-3983" u="1"/>
        <s v="E-3984" u="1"/>
        <s v="E-3985" u="1"/>
        <s v="E-3986" u="1"/>
        <s v="E-3987" u="1"/>
        <s v="E-3988" u="1"/>
        <s v="E-3990" u="1"/>
        <s v="E-3991" u="1"/>
        <s v="E-3992" u="1"/>
        <s v="E-3993" u="1"/>
        <s v="E-3994" u="1"/>
        <s v="E-3995" u="1"/>
        <s v="E-3996" u="1"/>
        <s v="E-3997" u="1"/>
        <s v="E-3998" u="1"/>
        <s v="E-3999" u="1"/>
        <s v="E-4000" u="1"/>
        <s v="E-4001" u="1"/>
        <s v="E-4002" u="1"/>
        <s v="E-4003" u="1"/>
        <s v="E-4004" u="1"/>
        <s v="E-4005" u="1"/>
        <s v="E-4006" u="1"/>
        <s v="E-4008" u="1"/>
        <s v="E-4009" u="1"/>
        <s v="E-4010" u="1"/>
        <s v="E-4012" u="1"/>
        <s v="E-4013" u="1"/>
        <s v="E-4015" u="1"/>
        <s v="E-4016" u="1"/>
        <s v="E-4017" u="1"/>
        <s v="E-4018" u="1"/>
        <s v="E-4019" u="1"/>
        <s v="E-4020" u="1"/>
        <s v="E-4021" u="1"/>
        <s v="E-4022" u="1"/>
        <s v="E-4023" u="1"/>
        <s v="E-4024" u="1"/>
        <s v="E-4025" u="1"/>
        <s v="E-4026" u="1"/>
        <s v="E-4027" u="1"/>
        <s v="E-4028" u="1"/>
        <s v="E-4029" u="1"/>
        <s v="E-4030" u="1"/>
        <s v="E-4031" u="1"/>
        <s v="E-4032" u="1"/>
        <s v="E-4033" u="1"/>
        <s v="E-4034" u="1"/>
        <s v="E-4035" u="1"/>
        <s v="E-4036" u="1"/>
        <s v="E-4037" u="1"/>
        <s v="E-4038" u="1"/>
        <s v="E-4039" u="1"/>
        <s v="E-4040" u="1"/>
        <s v="E-4041" u="1"/>
        <s v="E-4042" u="1"/>
        <s v="E-4043" u="1"/>
        <s v="E-4044" u="1"/>
        <s v="E-4045" u="1"/>
        <s v="E-4046" u="1"/>
        <s v="E-4047" u="1"/>
        <s v="E-4048" u="1"/>
        <s v="E-4049" u="1"/>
        <s v="E-4050" u="1"/>
        <s v="E-4051" u="1"/>
        <s v="E-4052" u="1"/>
        <s v="E-4054" u="1"/>
        <s v="E-4055" u="1"/>
        <s v="E-4056" u="1"/>
        <s v="E-4057" u="1"/>
        <s v="E-4058" u="1"/>
        <s v="E-4059" u="1"/>
        <s v="E-4060" u="1"/>
        <s v="E-4061" u="1"/>
        <s v="E-4062" u="1"/>
        <s v="E-4063" u="1"/>
        <s v="E-4064" u="1"/>
        <s v="E-4065" u="1"/>
        <s v="E-4066" u="1"/>
        <s v="E-4067" u="1"/>
        <s v="E-4068" u="1"/>
        <s v="E-4069" u="1"/>
        <s v="E-4070" u="1"/>
        <s v="E-4071" u="1"/>
        <s v="E-4072" u="1"/>
        <s v="E-4073" u="1"/>
        <s v="E-4074" u="1"/>
        <s v="E-4075" u="1"/>
        <s v="E-4076" u="1"/>
        <s v="E-4077" u="1"/>
        <s v="E-4078" u="1"/>
        <s v="E-4079" u="1"/>
        <s v="E-4080" u="1"/>
        <s v="E-4081" u="1"/>
        <s v="E-4082" u="1"/>
        <s v="E-4083" u="1"/>
        <s v="E-4084" u="1"/>
        <s v="E-4085" u="1"/>
        <s v="E-4086" u="1"/>
        <s v="E-4087" u="1"/>
        <s v="E-4088" u="1"/>
        <s v="E-4089" u="1"/>
        <s v="E-4090" u="1"/>
        <s v="E-4091" u="1"/>
        <s v="E-4092" u="1"/>
        <s v="E-4093" u="1"/>
        <s v="E-4094" u="1"/>
        <s v="E-4095" u="1"/>
        <s v="E-4096" u="1"/>
        <s v="E-4097" u="1"/>
        <s v="E-4098" u="1"/>
        <s v="E-4099" u="1"/>
        <s v="E-4101" u="1"/>
        <s v="E-4102" u="1"/>
        <s v="E-4103" u="1"/>
        <s v="E-4104" u="1"/>
        <s v="E-4105" u="1"/>
        <s v="E-4106" u="1"/>
        <s v="E-4107" u="1"/>
        <s v="E-4108" u="1"/>
        <s v="E-4109" u="1"/>
        <s v="E-4110" u="1"/>
        <s v="E-4111" u="1"/>
        <s v="E-4112" u="1"/>
        <s v="E-4113" u="1"/>
        <s v="E-4114" u="1"/>
        <s v="E-4115" u="1"/>
        <s v="E-4116" u="1"/>
        <s v="E-4117" u="1"/>
        <s v="E-4118" u="1"/>
        <s v="E-4119" u="1"/>
        <s v="E-4120" u="1"/>
        <s v="E-4121" u="1"/>
        <s v="E-4122" u="1"/>
        <s v="E-4123" u="1"/>
        <s v="E-4124" u="1"/>
        <s v="E-4125" u="1"/>
        <s v="E-4126" u="1"/>
        <s v="E-4127" u="1"/>
        <s v="E-4128" u="1"/>
        <s v="E-4129" u="1"/>
        <s v="E-4130" u="1"/>
        <s v="E-4131" u="1"/>
        <s v="E-4132" u="1"/>
        <s v="E-4133" u="1"/>
        <s v="E-4134" u="1"/>
        <s v="E-4135" u="1"/>
        <s v="E-4136" u="1"/>
        <s v="E-4137" u="1"/>
        <s v="E-4138" u="1"/>
        <s v="E-4139" u="1"/>
        <s v="E-4141" u="1"/>
        <s v="E-4143" u="1"/>
        <s v="E-4144" u="1"/>
        <s v="E-4145" u="1"/>
        <s v="E-4146" u="1"/>
        <s v="E-4147" u="1"/>
        <s v="E-4148" u="1"/>
        <s v="E-4149" u="1"/>
        <s v="E-4150" u="1"/>
        <s v="E-4151" u="1"/>
        <s v="E-4152" u="1"/>
        <s v="E-4153" u="1"/>
        <s v="E-4155" u="1"/>
        <s v="E-4156" u="1"/>
        <s v="E-4157" u="1"/>
        <s v="E-4158" u="1"/>
        <s v="E-4159" u="1"/>
        <s v="E-4160" u="1"/>
        <s v="E-4161" u="1"/>
        <s v="E-4162" u="1"/>
        <s v="E-4163" u="1"/>
        <s v="E-4164" u="1"/>
        <s v="E-4165" u="1"/>
        <s v="E-4166" u="1"/>
        <s v="E-4167" u="1"/>
        <s v="E-4168" u="1"/>
        <s v="E-4169" u="1"/>
        <s v="E-4170" u="1"/>
        <s v="E-4171" u="1"/>
        <s v="E-4172" u="1"/>
        <s v="E-4173" u="1"/>
        <s v="E-4174" u="1"/>
        <s v="E-4175" u="1"/>
        <s v="E-4176" u="1"/>
        <s v="E-4177" u="1"/>
        <s v="E-4178" u="1"/>
        <s v="E-4179" u="1"/>
        <s v="E-4180" u="1"/>
        <s v="E-4181" u="1"/>
        <s v="E-4182" u="1"/>
        <s v="E-4183" u="1"/>
        <s v="E-4184" u="1"/>
        <s v="E-4186" u="1"/>
        <s v="E-4187" u="1"/>
        <s v="E-4188" u="1"/>
        <s v="E-4189" u="1"/>
        <s v="E-4190" u="1"/>
        <s v="E-4191" u="1"/>
        <s v="E-4192" u="1"/>
        <s v="E-4193" u="1"/>
        <s v="E-4194" u="1"/>
        <s v="E-4195" u="1"/>
        <s v="E-4196" u="1"/>
        <s v="E-4197" u="1"/>
        <s v="E-4198" u="1"/>
        <s v="E-4199" u="1"/>
        <s v="E-4200" u="1"/>
        <s v="E-4201" u="1"/>
        <s v="E-4202" u="1"/>
        <s v="E-4203" u="1"/>
        <s v="E-4204" u="1"/>
        <s v="E-4205" u="1"/>
        <s v="E-4206" u="1"/>
        <s v="E-4208" u="1"/>
        <s v="E-4209" u="1"/>
        <s v="E-4210" u="1"/>
        <s v="E-4211" u="1"/>
        <s v="E-4212" u="1"/>
        <s v="E-4213" u="1"/>
        <s v="E-4214" u="1"/>
        <s v="E-4215" u="1"/>
        <s v="E-4217" u="1"/>
        <s v="E-4218" u="1"/>
        <s v="E-4219" u="1"/>
        <s v="E-4220" u="1"/>
        <s v="E-4221" u="1"/>
        <s v="E-4222" u="1"/>
        <s v="E-4223" u="1"/>
        <s v="E-4224" u="1"/>
        <s v="E-4225" u="1"/>
        <s v="E-4226" u="1"/>
        <s v="E-4227" u="1"/>
        <s v="E-4228" u="1"/>
        <s v="E-4229" u="1"/>
        <s v="E-4230" u="1"/>
        <s v="E-4232" u="1"/>
        <s v="E-4233" u="1"/>
        <s v="E-4234" u="1"/>
        <s v="E-4235" u="1"/>
        <s v="E-4236" u="1"/>
        <s v="E-4237" u="1"/>
        <s v="E-4238" u="1"/>
        <s v="E-4239" u="1"/>
        <s v="E-4240" u="1"/>
        <s v="E-4242" u="1"/>
        <s v="E-4243" u="1"/>
        <s v="E-4244" u="1"/>
        <s v="E-4245" u="1"/>
        <s v="E-4246" u="1"/>
        <s v="E-4247" u="1"/>
        <s v="E-4248" u="1"/>
        <s v="E-4249" u="1"/>
        <s v="E-4250" u="1"/>
        <s v="E-4251" u="1"/>
        <s v="E-4252" u="1"/>
        <s v="E-4253" u="1"/>
        <s v="E-4254" u="1"/>
        <s v="E-4255" u="1"/>
        <s v="E-4256" u="1"/>
        <s v="E-4257" u="1"/>
        <s v="E-4259" u="1"/>
        <s v="E-4260" u="1"/>
        <s v="E-4261" u="1"/>
        <s v="E-4263" u="1"/>
        <s v="E-4264" u="1"/>
        <s v="E-4265" u="1"/>
        <s v="E-4266" u="1"/>
        <s v="E-4267" u="1"/>
        <s v="E-4268" u="1"/>
        <s v="E-4269" u="1"/>
        <s v="E-4270" u="1"/>
        <s v="E-4271" u="1"/>
        <s v="E-4272" u="1"/>
        <s v="E-4273" u="1"/>
        <s v="E-4274" u="1"/>
        <s v="E-4275" u="1"/>
        <s v="E-4276" u="1"/>
        <s v="E-4277" u="1"/>
        <s v="E-4278" u="1"/>
        <s v="E-4279" u="1"/>
        <s v="E-4280" u="1"/>
        <s v="E-4281" u="1"/>
        <s v="E-4282" u="1"/>
        <s v="E-4283" u="1"/>
        <s v="E-4284" u="1"/>
        <s v="E-4285" u="1"/>
        <s v="E-4286" u="1"/>
        <s v="E-4287" u="1"/>
        <s v="E-4288" u="1"/>
        <s v="E-4289" u="1"/>
        <s v="E-4290" u="1"/>
        <s v="E-4291" u="1"/>
        <s v="E-4292" u="1"/>
        <s v="E-4293" u="1"/>
        <s v="E-4295" u="1"/>
        <s v="E-4296" u="1"/>
        <s v="E-4298" u="1"/>
        <s v="E-4299" u="1"/>
        <s v="E-4300" u="1"/>
        <s v="E-4301" u="1"/>
        <s v="E-4302" u="1"/>
        <s v="E-4303" u="1"/>
        <s v="E-4304" u="1"/>
        <s v="E-4305" u="1"/>
        <s v="E-4306" u="1"/>
        <s v="E-4307" u="1"/>
        <s v="E-4308" u="1"/>
        <s v="E-4309" u="1"/>
        <s v="E-4310" u="1"/>
        <s v="E-4311" u="1"/>
        <s v="E-4312" u="1"/>
        <s v="E-4313" u="1"/>
        <s v="E-4314" u="1"/>
        <s v="E-4315" u="1"/>
        <s v="E-4316" u="1"/>
        <s v="E-4317" u="1"/>
        <s v="E-4318" u="1"/>
        <s v="E-4319" u="1"/>
        <s v="E-4320" u="1"/>
        <s v="E-4321" u="1"/>
        <s v="E-4322" u="1"/>
        <s v="E-4323" u="1"/>
        <s v="E-4324" u="1"/>
        <s v="E-4325" u="1"/>
        <s v="E-4326" u="1"/>
        <s v="E-4327" u="1"/>
        <s v="E-4328" u="1"/>
        <s v="E-4329" u="1"/>
        <s v="E-4330" u="1"/>
        <s v="E-4331" u="1"/>
        <s v="E-4332" u="1"/>
        <s v="E-4333" u="1"/>
        <s v="E-4334" u="1"/>
        <s v="E-4335" u="1"/>
        <s v="E-4336" u="1"/>
        <s v="E-4337" u="1"/>
        <s v="E-4338" u="1"/>
        <s v="E-4340" u="1"/>
        <s v="E-4341" u="1"/>
        <s v="E-4343" u="1"/>
        <s v="E-4344" u="1"/>
        <s v="E-4345" u="1"/>
        <s v="E-4346" u="1"/>
        <s v="E-4347" u="1"/>
        <s v="E-4348" u="1"/>
        <s v="E-4349" u="1"/>
        <s v="E-4350" u="1"/>
        <s v="E-4351" u="1"/>
        <s v="E-4352" u="1"/>
        <s v="E-4353" u="1"/>
        <s v="E-4354" u="1"/>
        <s v="E-4355" u="1"/>
        <s v="E-4356" u="1"/>
        <s v="E-4357" u="1"/>
        <s v="E-4358" u="1"/>
        <s v="E-4359" u="1"/>
        <s v="E-4360" u="1"/>
        <s v="E-4361" u="1"/>
        <s v="E-4362" u="1"/>
        <s v="E-4363" u="1"/>
        <s v="E-4364" u="1"/>
        <s v="E-4365" u="1"/>
        <s v="E-4367" u="1"/>
        <s v="E-4368" u="1"/>
        <s v="E-4369" u="1"/>
        <s v="E-4370" u="1"/>
        <s v="E-4371" u="1"/>
        <s v="E-4372" u="1"/>
        <s v="E-4373" u="1"/>
        <s v="E-4374" u="1"/>
        <s v="E-4375" u="1"/>
        <s v="E-4376" u="1"/>
        <s v="E-4377" u="1"/>
        <s v="E-4378" u="1"/>
        <s v="E-4379" u="1"/>
        <s v="E-4380" u="1"/>
        <s v="E-4381" u="1"/>
        <s v="E-4382" u="1"/>
        <s v="E-4383" u="1"/>
        <s v="E-4384" u="1"/>
        <s v="E-4385" u="1"/>
        <s v="E-4386" u="1"/>
        <s v="E-4387" u="1"/>
        <s v="E-4388" u="1"/>
        <s v="E-4389" u="1"/>
        <s v="E-4390" u="1"/>
        <s v="E-4391" u="1"/>
        <s v="E-4392" u="1"/>
        <s v="E-4393" u="1"/>
        <s v="E-4394" u="1"/>
        <s v="E-4395" u="1"/>
        <s v="E-4396" u="1"/>
        <s v="E-4397" u="1"/>
        <s v="E-4399" u="1"/>
        <s v="E-4401" u="1"/>
        <s v="E-4402" u="1"/>
        <s v="E-4403" u="1"/>
        <s v="E-4404" u="1"/>
        <s v="E-4405" u="1"/>
        <s v="E-4406" u="1"/>
        <s v="E-4408" u="1"/>
        <s v="E-4409" u="1"/>
        <s v="E-4410" u="1"/>
        <s v="E-4411" u="1"/>
        <s v="E-4412" u="1"/>
        <s v="E-4413" u="1"/>
        <s v="E-4414" u="1"/>
        <s v="E-4415" u="1"/>
        <s v="E-4416" u="1"/>
        <s v="E-4417" u="1"/>
        <s v="E-4418" u="1"/>
        <s v="E-4419" u="1"/>
        <s v="E-4420" u="1"/>
        <s v="E-4421" u="1"/>
        <s v="E-4422" u="1"/>
        <s v="E-4423" u="1"/>
        <s v="E-4424" u="1"/>
        <s v="E-4425" u="1"/>
        <s v="E-4426" u="1"/>
        <s v="E-4427" u="1"/>
        <s v="E-4428" u="1"/>
        <s v="E-4429" u="1"/>
        <s v="E-4430" u="1"/>
        <s v="E-4431" u="1"/>
        <s v="E-4433" u="1"/>
        <s v="E-4434" u="1"/>
        <s v="E-4435" u="1"/>
        <s v="E-4436" u="1"/>
        <s v="E-4437" u="1"/>
        <s v="E-4439" u="1"/>
        <s v="E-4440" u="1"/>
        <s v="E-4441" u="1"/>
        <s v="E-4442" u="1"/>
        <s v="E-4443" u="1"/>
        <s v="E-4444" u="1"/>
        <s v="E-4445" u="1"/>
        <s v="E-4446" u="1"/>
        <s v="E-4447" u="1"/>
        <s v="E-4448" u="1"/>
        <s v="E-4449" u="1"/>
        <s v="E-4450" u="1"/>
        <s v="E-4451" u="1"/>
        <s v="E-4452" u="1"/>
        <s v="E-4453" u="1"/>
        <s v="E-4454" u="1"/>
        <s v="E-4455" u="1"/>
        <s v="E-4456" u="1"/>
        <s v="E-4457" u="1"/>
        <s v="E-4458" u="1"/>
        <s v="E-4459" u="1"/>
        <s v="E-4460" u="1"/>
        <s v="E-4461" u="1"/>
        <s v="E-4462" u="1"/>
        <s v="E-4463" u="1"/>
        <s v="E-4465" u="1"/>
        <s v="E-4466" u="1"/>
        <s v="E-4467" u="1"/>
        <s v="E-4469" u="1"/>
        <s v="E-4470" u="1"/>
        <s v="E-4471" u="1"/>
        <s v="E-4472" u="1"/>
        <s v="E-4473" u="1"/>
        <s v="E-4474" u="1"/>
        <s v="E-4475" u="1"/>
        <s v="E-4476" u="1"/>
        <s v="E-4477" u="1"/>
        <s v="E-4478" u="1"/>
        <s v="E-4479" u="1"/>
        <s v="E-4480" u="1"/>
        <s v="E-4482" u="1"/>
        <s v="E-4483" u="1"/>
        <s v="E-4484" u="1"/>
        <s v="E-4485" u="1"/>
        <s v="E-4486" u="1"/>
        <s v="E-4487" u="1"/>
        <s v="E-4488" u="1"/>
        <s v="E-4489" u="1"/>
        <s v="E-4490" u="1"/>
        <s v="E-4491" u="1"/>
        <s v="E-4492" u="1"/>
        <s v="E-4493" u="1"/>
        <s v="E-4494" u="1"/>
        <s v="E-4495" u="1"/>
        <s v="E-4496" u="1"/>
        <s v="E-4497" u="1"/>
        <s v="E-4498" u="1"/>
        <s v="E-4499" u="1"/>
        <s v="E-4500" u="1"/>
        <s v="E-4501" u="1"/>
        <s v="E-4502" u="1"/>
        <s v="E-4503" u="1"/>
        <s v="E-4504" u="1"/>
        <s v="E-4506" u="1"/>
        <s v="E-4507" u="1"/>
        <s v="E-4509" u="1"/>
        <s v="E-4510" u="1"/>
        <s v="E-4511" u="1"/>
        <s v="E-4512" u="1"/>
        <s v="E-4513" u="1"/>
        <s v="E-4514" u="1"/>
        <s v="E-4515" u="1"/>
        <s v="E-4516" u="1"/>
        <s v="E-4517" u="1"/>
        <s v="E-4518" u="1"/>
        <s v="E-4519" u="1"/>
        <s v="E-4520" u="1"/>
        <s v="E-4521" u="1"/>
        <s v="E-4522" u="1"/>
        <s v="E-4523" u="1"/>
        <s v="E-4524" u="1"/>
        <s v="E-4525" u="1"/>
        <s v="E-4526" u="1"/>
        <s v="E-4527" u="1"/>
        <s v="E-4528" u="1"/>
        <s v="E-4529" u="1"/>
        <s v="E-4530" u="1"/>
        <s v="E-4531" u="1"/>
        <s v="E-4532" u="1"/>
        <s v="E-4534" u="1"/>
        <s v="E-4535" u="1"/>
        <s v="E-4536" u="1"/>
        <s v="E-4537" u="1"/>
        <s v="E-4538" u="1"/>
        <s v="E-4540" u="1"/>
        <s v="E-4541" u="1"/>
        <s v="E-4542" u="1"/>
        <s v="E-4543" u="1"/>
        <s v="E-4544" u="1"/>
        <s v="E-4545" u="1"/>
        <s v="E-4546" u="1"/>
        <s v="E-4547" u="1"/>
        <s v="E-4548" u="1"/>
        <s v="E-4549" u="1"/>
        <s v="E-4550" u="1"/>
        <s v="E-4551" u="1"/>
        <s v="E-4552" u="1"/>
        <s v="E-4553" u="1"/>
        <s v="E-4554" u="1"/>
        <s v="E-4555" u="1"/>
        <s v="E-4556" u="1"/>
        <s v="E-4557" u="1"/>
        <s v="E-4558" u="1"/>
        <s v="E-4559" u="1"/>
        <s v="E-4560" u="1"/>
        <s v="E-4562" u="1"/>
        <s v="E-4563" u="1"/>
        <s v="E-4564" u="1"/>
        <s v="E-4565" u="1"/>
        <s v="E-4566" u="1"/>
        <s v="E-4567" u="1"/>
        <s v="E-4568" u="1"/>
        <s v="E-4569" u="1"/>
        <s v="E-4570" u="1"/>
        <s v="E-4571" u="1"/>
        <s v="E-4572" u="1"/>
        <s v="E-4573" u="1"/>
        <s v="E-4574" u="1"/>
        <s v="E-4576" u="1"/>
        <s v="E-4577" u="1"/>
        <s v="E-4578" u="1"/>
        <s v="E-4579" u="1"/>
        <s v="E-4580" u="1"/>
        <s v="E-4581" u="1"/>
        <s v="E-4582" u="1"/>
        <s v="E-4583" u="1"/>
        <s v="E-4585" u="1"/>
        <s v="E-4586" u="1"/>
        <s v="E-4587" u="1"/>
        <s v="E-4588" u="1"/>
        <s v="E-4589" u="1"/>
        <s v="E-4590" u="1"/>
        <s v="E-4591" u="1"/>
        <s v="E-4592" u="1"/>
        <s v="E-4593" u="1"/>
        <s v="E-4594" u="1"/>
        <s v="E-4595" u="1"/>
        <s v="E-4596" u="1"/>
        <s v="E-4597" u="1"/>
        <s v="E-4598" u="1"/>
        <s v="E-4599" u="1"/>
        <s v="E-4600" u="1"/>
        <s v="E-4601" u="1"/>
        <s v="E-4602" u="1"/>
        <s v="E-4603" u="1"/>
        <s v="E-4604" u="1"/>
        <s v="E-4605" u="1"/>
        <s v="E-4606" u="1"/>
        <s v="E-4607" u="1"/>
        <s v="E-4608" u="1"/>
        <s v="E-4609" u="1"/>
        <s v="E-4610" u="1"/>
        <s v="E-4611" u="1"/>
        <s v="E-4612" u="1"/>
        <s v="E-4614" u="1"/>
        <s v="E-4615" u="1"/>
        <s v="E-4616" u="1"/>
        <s v="E-4617" u="1"/>
        <s v="E-4619" u="1"/>
        <s v="E-4620" u="1"/>
        <s v="E-4621" u="1"/>
        <s v="E-4622" u="1"/>
        <s v="E-4624" u="1"/>
        <s v="E-4625" u="1"/>
        <s v="E-4626" u="1"/>
        <s v="E-4627" u="1"/>
        <s v="E-4628" u="1"/>
        <s v="E-4630" u="1"/>
        <s v="E-4631" u="1"/>
        <s v="E-4632" u="1"/>
        <s v="E-4633" u="1"/>
        <s v="E-4634" u="1"/>
        <s v="E-4635" u="1"/>
        <s v="E-4636" u="1"/>
        <s v="E-4637" u="1"/>
        <s v="E-4638" u="1"/>
        <s v="E-4639" u="1"/>
        <s v="E-4640" u="1"/>
        <s v="E-4641" u="1"/>
        <s v="E-4642" u="1"/>
        <s v="E-4643" u="1"/>
        <s v="E-4645" u="1"/>
        <s v="E-4646" u="1"/>
        <s v="E-4647" u="1"/>
        <s v="E-4648" u="1"/>
        <s v="E-4649" u="1"/>
        <s v="E-4650" u="1"/>
        <s v="E-4651" u="1"/>
        <s v="E-4652" u="1"/>
        <s v="E-4653" u="1"/>
        <s v="E-4655" u="1"/>
        <s v="E-4656" u="1"/>
        <s v="E-4657" u="1"/>
        <s v="E-4658" u="1"/>
        <s v="E-4659" u="1"/>
        <s v="E-4660" u="1"/>
        <s v="E-4661" u="1"/>
        <s v="E-4662" u="1"/>
        <s v="E-4663" u="1"/>
        <s v="E-4664" u="1"/>
        <s v="E-4665" u="1"/>
        <s v="E-4666" u="1"/>
        <s v="E-4667" u="1"/>
        <s v="E-4668" u="1"/>
        <s v="E-4670" u="1"/>
        <s v="E-4672" u="1"/>
        <s v="E-4673" u="1"/>
        <s v="E-4674" u="1"/>
        <s v="E-4675" u="1"/>
        <s v="E-4676" u="1"/>
        <s v="E-4677" u="1"/>
        <s v="E-4678" u="1"/>
        <s v="E-4679" u="1"/>
        <s v="E-4680" u="1"/>
        <s v="E-4681" u="1"/>
        <s v="E-4682" u="1"/>
        <s v="E-4683" u="1"/>
        <s v="E-4684" u="1"/>
        <s v="E-4685" u="1"/>
        <s v="E-4686" u="1"/>
        <s v="E-4687" u="1"/>
        <s v="E-4688" u="1"/>
        <s v="E-4689" u="1"/>
        <s v="E-4690" u="1"/>
        <s v="E-4692" u="1"/>
        <s v="E-4693" u="1"/>
        <s v="E-4694" u="1"/>
        <s v="E-4695" u="1"/>
        <s v="E-4696" u="1"/>
        <s v="E-4697" u="1"/>
        <s v="E-4698" u="1"/>
        <s v="E-4699" u="1"/>
        <s v="E-4700" u="1"/>
        <s v="E-4701" u="1"/>
        <s v="E-4702" u="1"/>
        <s v="E-4703" u="1"/>
        <s v="E-4704" u="1"/>
        <s v="E-4705" u="1"/>
        <s v="E-4706" u="1"/>
        <s v="E-4707" u="1"/>
        <s v="E-4708" u="1"/>
        <s v="E-4709" u="1"/>
        <s v="E-4710" u="1"/>
        <s v="E-4711" u="1"/>
        <s v="E-4712" u="1"/>
        <s v="E-4713" u="1"/>
        <s v="E-4714" u="1"/>
        <s v="E-4715" u="1"/>
        <s v="E-4716" u="1"/>
        <s v="E-4717" u="1"/>
        <s v="E-4718" u="1"/>
        <s v="E-4719" u="1"/>
        <s v="E-4720" u="1"/>
        <s v="E-4721" u="1"/>
        <s v="E-4722" u="1"/>
        <s v="E-4723" u="1"/>
        <s v="E-4724" u="1"/>
        <s v="E-4725" u="1"/>
        <s v="E-4726" u="1"/>
        <s v="E-4727" u="1"/>
        <s v="E-4728" u="1"/>
        <s v="E-4729" u="1"/>
        <s v="E-4730" u="1"/>
        <s v="E-4731" u="1"/>
        <s v="E-4733" u="1"/>
        <s v="E-4734" u="1"/>
        <s v="E-4735" u="1"/>
        <s v="E-4736" u="1"/>
        <s v="E-4737" u="1"/>
        <s v="E-4739" u="1"/>
        <s v="E-4740" u="1"/>
        <s v="E-4741" u="1"/>
        <s v="E-4742" u="1"/>
        <s v="E-4743" u="1"/>
        <s v="E-4744" u="1"/>
        <s v="E-4745" u="1"/>
        <s v="E-4746" u="1"/>
        <s v="E-4748" u="1"/>
        <s v="E-4749" u="1"/>
        <s v="E-4751" u="1"/>
        <s v="E-4752" u="1"/>
        <s v="E-4754" u="1"/>
        <s v="E-4755" u="1"/>
        <s v="E-4757" u="1"/>
        <s v="E-4758" u="1"/>
        <s v="E-4759" u="1"/>
        <s v="E-4760" u="1"/>
        <s v="E-4761" u="1"/>
        <s v="E-4762" u="1"/>
        <s v="E-4763" u="1"/>
        <s v="E-4764" u="1"/>
        <s v="E-4765" u="1"/>
        <s v="E-4766" u="1"/>
        <s v="E-4767" u="1"/>
        <s v="E-4768" u="1"/>
        <s v="E-4769" u="1"/>
        <s v="E-4770" u="1"/>
        <s v="E-4771" u="1"/>
        <s v="E-4772" u="1"/>
        <s v="E-4773" u="1"/>
        <s v="E-4774" u="1"/>
        <s v="E-4775" u="1"/>
        <s v="E-4776" u="1"/>
        <s v="E-4777" u="1"/>
        <s v="E-4778" u="1"/>
        <s v="E-4779" u="1"/>
        <s v="E-4780" u="1"/>
        <s v="E-4781" u="1"/>
        <s v="E-4782" u="1"/>
        <s v="E-4783" u="1"/>
        <s v="E-4784" u="1"/>
        <s v="E-4786" u="1"/>
        <s v="E-4787" u="1"/>
        <s v="E-4788" u="1"/>
        <s v="E-4789" u="1"/>
        <s v="E-4790" u="1"/>
        <s v="E-4791" u="1"/>
        <s v="E-4792" u="1"/>
        <s v="E-4793" u="1"/>
        <s v="E-4794" u="1"/>
        <s v="E-4795" u="1"/>
        <s v="E-4796" u="1"/>
        <s v="E-4797" u="1"/>
        <s v="E-4799" u="1"/>
        <s v="E-4800" u="1"/>
        <s v="E-4801" u="1"/>
        <s v="E-4802" u="1"/>
        <s v="E-4803" u="1"/>
        <s v="E-4805" u="1"/>
        <s v="E-4806" u="1"/>
        <s v="E-4807" u="1"/>
        <s v="E-4808" u="1"/>
        <s v="E-4809" u="1"/>
        <s v="E-4810" u="1"/>
        <s v="E-4811" u="1"/>
        <s v="E-4812" u="1"/>
        <s v="E-4813" u="1"/>
        <s v="E-4814" u="1"/>
        <s v="E-4815" u="1"/>
        <s v="E-4816" u="1"/>
        <s v="E-4817" u="1"/>
        <s v="E-4818" u="1"/>
        <s v="E-4819" u="1"/>
        <s v="E-4820" u="1"/>
        <s v="E-4821" u="1"/>
        <s v="E-4822" u="1"/>
        <s v="E-4823" u="1"/>
        <s v="E-4824" u="1"/>
        <s v="E-4825" u="1"/>
        <s v="E-4826" u="1"/>
        <s v="E-4827" u="1"/>
        <s v="E-4828" u="1"/>
        <s v="E-4829" u="1"/>
        <s v="E-4830" u="1"/>
        <s v="E-4831" u="1"/>
        <s v="E-4832" u="1"/>
        <s v="E-4833" u="1"/>
        <s v="E-4834" u="1"/>
        <s v="E-4835" u="1"/>
        <s v="E-4836" u="1"/>
        <s v="E-4837" u="1"/>
        <s v="E-4838" u="1"/>
        <s v="E-4839" u="1"/>
        <s v="E-4841" u="1"/>
        <s v="E-4842" u="1"/>
        <s v="E-4843" u="1"/>
        <s v="E-4844" u="1"/>
        <s v="E-4845" u="1"/>
        <s v="E-4846" u="1"/>
        <s v="E-4847" u="1"/>
        <s v="E-4848" u="1"/>
        <s v="E-4849" u="1"/>
        <s v="E-4850" u="1"/>
        <s v="E-4851" u="1"/>
        <s v="E-4852" u="1"/>
        <s v="E-4853" u="1"/>
        <s v="E-4854" u="1"/>
        <s v="E-4855" u="1"/>
        <s v="E-4856" u="1"/>
        <s v="E-4857" u="1"/>
        <s v="E-4858" u="1"/>
        <s v="E-4859" u="1"/>
        <s v="E-4860" u="1"/>
        <s v="E-4861" u="1"/>
        <s v="E-4862" u="1"/>
        <s v="E-4863" u="1"/>
        <s v="E-4864" u="1"/>
        <s v="E-4865" u="1"/>
        <s v="E-4866" u="1"/>
        <s v="E-4867" u="1"/>
        <s v="E-4868" u="1"/>
        <s v="E-4869" u="1"/>
        <s v="E-4870" u="1"/>
        <s v="E-4871" u="1"/>
        <s v="E-4872" u="1"/>
        <s v="E-4873" u="1"/>
        <s v="E-4874" u="1"/>
        <s v="E-4875" u="1"/>
        <s v="E-4876" u="1"/>
        <s v="E-4877" u="1"/>
        <s v="E-4878" u="1"/>
        <s v="E-4879" u="1"/>
        <s v="E-4880" u="1"/>
        <s v="E-4881" u="1"/>
        <s v="E-4882" u="1"/>
        <s v="E-4883" u="1"/>
        <s v="E-4884" u="1"/>
        <s v="E-4885" u="1"/>
        <s v="E-4886" u="1"/>
        <s v="E-4887" u="1"/>
        <s v="E-4888" u="1"/>
        <s v="E-4889" u="1"/>
        <s v="E-4890" u="1"/>
        <s v="E-4891" u="1"/>
        <s v="E-4892" u="1"/>
        <s v="E-4893" u="1"/>
        <s v="E-4894" u="1"/>
        <s v="E-4895" u="1"/>
        <s v="E-4896" u="1"/>
        <s v="E-4897" u="1"/>
        <s v="E-4898" u="1"/>
        <s v="E-4899" u="1"/>
        <s v="E-4900" u="1"/>
        <s v="E-4901" u="1"/>
        <s v="E-4902" u="1"/>
        <s v="E-4903" u="1"/>
        <s v="E-4904" u="1"/>
        <s v="E-4905" u="1"/>
        <s v="E-4907" u="1"/>
        <s v="E-4908" u="1"/>
        <s v="E-4909" u="1"/>
        <s v="E-4910" u="1"/>
        <s v="E-4911" u="1"/>
        <s v="E-4912" u="1"/>
        <s v="E-4913" u="1"/>
        <s v="E-4914" u="1"/>
        <s v="E-4915" u="1"/>
        <s v="E-4916" u="1"/>
        <s v="E-4917" u="1"/>
        <s v="E-4918" u="1"/>
        <s v="E-4919" u="1"/>
        <s v="E-4920" u="1"/>
        <s v="E-4921" u="1"/>
        <s v="E-4922" u="1"/>
        <s v="E-4923" u="1"/>
        <s v="E-4926" u="1"/>
        <s v="E-4927" u="1"/>
        <s v="E-4928" u="1"/>
        <s v="E-4929" u="1"/>
        <s v="E-4930" u="1"/>
        <s v="E-4931" u="1"/>
        <s v="E-4933" u="1"/>
        <s v="E-4934" u="1"/>
        <s v="E-4935" u="1"/>
        <s v="E-4936" u="1"/>
        <s v="E-4937" u="1"/>
        <s v="E-4938" u="1"/>
        <s v="E-4939" u="1"/>
        <s v="E-4940" u="1"/>
        <s v="E-4941" u="1"/>
        <s v="E-4942" u="1"/>
        <s v="E-4943" u="1"/>
        <s v="E-4944" u="1"/>
        <s v="E-4945" u="1"/>
        <s v="E-4946" u="1"/>
        <s v="E-4947" u="1"/>
        <s v="E-4948" u="1"/>
        <s v="E-4949" u="1"/>
        <s v="E-4950" u="1"/>
        <s v="E-4951" u="1"/>
        <s v="E-4952" u="1"/>
        <s v="E-4953" u="1"/>
        <s v="E-4954" u="1"/>
        <s v="E-4955" u="1"/>
        <s v="E-4956" u="1"/>
        <s v="E-4957" u="1"/>
        <s v="E-4958" u="1"/>
        <s v="E-4959" u="1"/>
        <s v="E-4960" u="1"/>
        <s v="E-4961" u="1"/>
        <s v="E-4962" u="1"/>
        <s v="E-4963" u="1"/>
        <s v="E-4964" u="1"/>
        <s v="E-4965" u="1"/>
        <s v="E-4966" u="1"/>
        <s v="E-4967" u="1"/>
        <s v="E-4968" u="1"/>
        <s v="E-4969" u="1"/>
        <s v="E-4971" u="1"/>
        <s v="E-4972" u="1"/>
        <s v="E-4973" u="1"/>
        <s v="E-4974" u="1"/>
        <s v="E-4975" u="1"/>
        <s v="E-4976" u="1"/>
        <s v="E-4977" u="1"/>
        <s v="E-4978" u="1"/>
        <s v="E-4979" u="1"/>
        <s v="E-4980" u="1"/>
        <s v="E-4981" u="1"/>
        <s v="E-4983" u="1"/>
        <s v="E-4984" u="1"/>
        <s v="E-4986" u="1"/>
        <s v="E-4987" u="1"/>
        <s v="E-4988" u="1"/>
        <s v="E-4989" u="1"/>
        <s v="E-4990" u="1"/>
        <s v="E-4991" u="1"/>
        <s v="E-4992" u="1"/>
        <s v="E-4993" u="1"/>
        <s v="E-4994" u="1"/>
        <s v="E-4995" u="1"/>
        <s v="E-4996" u="1"/>
        <s v="E-4997" u="1"/>
        <s v="E-4998" u="1"/>
        <s v="E-4999" u="1"/>
        <s v="E-5000" u="1"/>
        <s v="E-5001" u="1"/>
        <s v="E-5003" u="1"/>
        <s v="E-5004" u="1"/>
        <s v="E-5005" u="1"/>
        <s v="E-5006" u="1"/>
        <s v="E-5007" u="1"/>
        <s v="E-5008" u="1"/>
        <s v="E-5009" u="1"/>
        <s v="E-5010" u="1"/>
        <s v="E-5011" u="1"/>
        <s v="E-5012" u="1"/>
        <s v="E-5013" u="1"/>
        <s v="E-5014" u="1"/>
        <s v="E-5015" u="1"/>
        <s v="E-5016" u="1"/>
        <s v="E-5017" u="1"/>
        <s v="E-5018" u="1"/>
        <s v="E-5019" u="1"/>
        <s v="E-5020" u="1"/>
        <s v="E-5022" u="1"/>
        <s v="E-5023" u="1"/>
        <s v="E-5024" u="1"/>
        <s v="E-5025" u="1"/>
        <s v="E-5027" u="1"/>
        <s v="E-5028" u="1"/>
        <s v="E-5029" u="1"/>
        <s v="E-5030" u="1"/>
        <s v="E-5031" u="1"/>
        <s v="E-5032" u="1"/>
        <s v="E-5033" u="1"/>
        <s v="E-5034" u="1"/>
        <s v="E-5035" u="1"/>
        <s v="E-5036" u="1"/>
        <s v="E-5037" u="1"/>
        <s v="E-5038" u="1"/>
        <s v="E-5039" u="1"/>
        <s v="E-5040" u="1"/>
        <s v="E-5041" u="1"/>
        <s v="E-5042" u="1"/>
        <s v="E-5043" u="1"/>
        <s v="E-5044" u="1"/>
        <s v="E-5046" u="1"/>
        <s v="E-5047" u="1"/>
        <s v="E-5048" u="1"/>
        <s v="E-5049" u="1"/>
        <s v="E-5050" u="1"/>
        <s v="E-5051" u="1"/>
        <s v="E-5052" u="1"/>
        <s v="E-5054" u="1"/>
        <s v="E-5055" u="1"/>
        <s v="E-5057" u="1"/>
        <s v="E-5058" u="1"/>
        <s v="E-5059" u="1"/>
        <s v="E-5061" u="1"/>
        <s v="E-5062" u="1"/>
        <s v="E-5063" u="1"/>
        <s v="E-5064" u="1"/>
        <s v="E-5065" u="1"/>
        <s v="E-5066" u="1"/>
        <s v="E-5067" u="1"/>
        <s v="E-5068" u="1"/>
        <s v="E-5069" u="1"/>
        <s v="E-5071" u="1"/>
        <s v="E-5072" u="1"/>
        <s v="E-5073" u="1"/>
        <s v="E-5074" u="1"/>
        <s v="E-5075" u="1"/>
        <s v="E-5076" u="1"/>
        <s v="E-5077" u="1"/>
        <s v="E-5078" u="1"/>
        <s v="E-5079" u="1"/>
        <s v="E-5080" u="1"/>
        <s v="E-5081" u="1"/>
        <s v="E-5082" u="1"/>
        <s v="E-5083" u="1"/>
        <s v="E-5084" u="1"/>
        <s v="E-5085" u="1"/>
        <s v="E-5087" u="1"/>
        <s v="E-5088" u="1"/>
        <s v="E-5089" u="1"/>
        <s v="E-5090" u="1"/>
        <s v="E-5091" u="1"/>
        <s v="E-5093" u="1"/>
        <s v="E-5094" u="1"/>
        <s v="E-5095" u="1"/>
        <s v="E-5096" u="1"/>
        <s v="E-5097" u="1"/>
        <s v="E-5098" u="1"/>
        <s v="E-5099" u="1"/>
        <s v="E-5100" u="1"/>
        <s v="E-5101" u="1"/>
        <s v="E-5102" u="1"/>
        <s v="E-5103" u="1"/>
        <s v="E-5104" u="1"/>
        <s v="E-5105" u="1"/>
        <s v="E-5106" u="1"/>
        <s v="E-5107" u="1"/>
        <s v="E-5108" u="1"/>
        <s v="E-5110" u="1"/>
        <s v="E-5111" u="1"/>
        <s v="E-5113" u="1"/>
        <s v="E-5114" u="1"/>
        <s v="E-5115" u="1"/>
        <s v="E-5116" u="1"/>
        <s v="E-5117" u="1"/>
        <s v="E-5118" u="1"/>
        <s v="E-5119" u="1"/>
        <s v="E-5120" u="1"/>
        <s v="E-5122" u="1"/>
        <s v="E-5123" u="1"/>
        <s v="E-5124" u="1"/>
        <s v="E-5125" u="1"/>
        <s v="E-5126" u="1"/>
        <s v="E-5127" u="1"/>
        <s v="E-5128" u="1"/>
        <s v="E-5129" u="1"/>
        <s v="E-5130" u="1"/>
        <s v="E-5131" u="1"/>
        <s v="E-5132" u="1"/>
        <s v="E-5134" u="1"/>
        <s v="E-5136" u="1"/>
        <s v="E-5137" u="1"/>
        <s v="E-5139" u="1"/>
        <s v="E-5140" u="1"/>
        <s v="E-5141" u="1"/>
        <s v="E-5142" u="1"/>
        <s v="E-5143" u="1"/>
        <s v="E-5145" u="1"/>
        <s v="E-5146" u="1"/>
        <s v="E-5147" u="1"/>
        <s v="E-5148" u="1"/>
        <s v="E-5149" u="1"/>
        <s v="E-5150" u="1"/>
        <s v="E-5151" u="1"/>
        <s v="E-5152" u="1"/>
        <s v="E-5153" u="1"/>
        <s v="E-5154" u="1"/>
        <s v="E-5155" u="1"/>
        <s v="E-5157" u="1"/>
        <s v="E-5158" u="1"/>
        <s v="E-5159" u="1"/>
        <s v="E-5160" u="1"/>
        <s v="E-5161" u="1"/>
        <s v="E-5162" u="1"/>
        <s v="E-5163" u="1"/>
        <s v="E-5164" u="1"/>
        <s v="E-5165" u="1"/>
        <s v="E-5166" u="1"/>
        <s v="E-5167" u="1"/>
        <s v="E-5168" u="1"/>
        <s v="E-5169" u="1"/>
        <s v="E-5170" u="1"/>
        <s v="E-5171" u="1"/>
        <s v="E-5173" u="1"/>
        <s v="E-5174" u="1"/>
        <s v="E-5175" u="1"/>
        <s v="E-5176" u="1"/>
        <s v="E-5177" u="1"/>
        <s v="E-5178" u="1"/>
        <s v="E-5179" u="1"/>
        <s v="E-5180" u="1"/>
        <s v="E-5181" u="1"/>
        <s v="E-5182" u="1"/>
        <s v="E-5183" u="1"/>
        <s v="E-5184" u="1"/>
        <s v="E-5185" u="1"/>
        <s v="E-5186" u="1"/>
        <s v="E-5187" u="1"/>
        <s v="E-5188" u="1"/>
        <s v="E-5189" u="1"/>
        <s v="E-5190" u="1"/>
        <s v="E-5191" u="1"/>
        <s v="E-5193" u="1"/>
        <s v="E-5194" u="1"/>
        <s v="E-5195" u="1"/>
        <s v="E-5196" u="1"/>
        <s v="E-5197" u="1"/>
        <s v="E-5199" u="1"/>
        <s v="E-5200" u="1"/>
        <s v="E-5201" u="1"/>
        <s v="E-5202" u="1"/>
        <s v="E-5203" u="1"/>
        <s v="E-5204" u="1"/>
        <s v="E-5205" u="1"/>
        <s v="E-5206" u="1"/>
        <s v="E-5207" u="1"/>
        <s v="E-5208" u="1"/>
        <s v="E-5209" u="1"/>
        <s v="E-5210" u="1"/>
        <s v="E-5211" u="1"/>
        <s v="E-5212" u="1"/>
        <s v="E-5213" u="1"/>
        <s v="E-5214" u="1"/>
        <s v="E-5216" u="1"/>
        <s v="E-5217" u="1"/>
        <s v="E-5218" u="1"/>
        <s v="E-5219" u="1"/>
        <s v="E-5220" u="1"/>
        <s v="E-5221" u="1"/>
        <s v="E-5222" u="1"/>
        <s v="E-5223" u="1"/>
        <s v="E-5224" u="1"/>
        <s v="E-5225" u="1"/>
        <s v="E-5226" u="1"/>
        <s v="E-5227" u="1"/>
        <s v="E-5229" u="1"/>
        <s v="E-5231" u="1"/>
        <s v="E-5232" u="1"/>
        <s v="E-5233" u="1"/>
        <s v="E-5234" u="1"/>
        <s v="E-5235" u="1"/>
        <s v="E-5236" u="1"/>
        <s v="E-5237" u="1"/>
        <s v="E-5238" u="1"/>
        <s v="E-5239" u="1"/>
        <s v="E-5240" u="1"/>
        <s v="E-5241" u="1"/>
        <s v="E-5242" u="1"/>
        <s v="E-5243" u="1"/>
        <s v="E-5244" u="1"/>
        <s v="E-5245" u="1"/>
        <s v="E-5246" u="1"/>
        <s v="E-5249" u="1"/>
        <s v="E-5250" u="1"/>
        <s v="E-5251" u="1"/>
        <s v="E-5252" u="1"/>
        <s v="E-5253" u="1"/>
        <s v="E-5254" u="1"/>
        <s v="E-5255" u="1"/>
        <s v="E-5256" u="1"/>
        <s v="E-5257" u="1"/>
        <s v="E-5259" u="1"/>
        <s v="E-5260" u="1"/>
        <s v="E-5261" u="1"/>
        <s v="E-5262" u="1"/>
        <s v="E-5263" u="1"/>
        <s v="E-5265" u="1"/>
        <s v="E-5266" u="1"/>
        <s v="E-5267" u="1"/>
        <s v="E-5268" u="1"/>
        <s v="E-5269" u="1"/>
        <s v="E-5270" u="1"/>
        <s v="E-5271" u="1"/>
        <s v="E-5272" u="1"/>
        <s v="E-5273" u="1"/>
        <s v="E-5274" u="1"/>
        <s v="E-5275" u="1"/>
        <s v="E-5276" u="1"/>
        <s v="E-5277" u="1"/>
        <s v="E-5278" u="1"/>
        <s v="E-5279" u="1"/>
        <s v="E-5280" u="1"/>
        <s v="E-5281" u="1"/>
        <s v="E-5282" u="1"/>
        <s v="E-5284" u="1"/>
        <s v="E-5286" u="1"/>
        <s v="E-5287" u="1"/>
        <s v="E-5288" u="1"/>
        <s v="E-5289" u="1"/>
        <s v="E-5290" u="1"/>
        <s v="E-5291" u="1"/>
        <s v="E-5292" u="1"/>
        <s v="E-5293" u="1"/>
        <s v="E-5294" u="1"/>
        <s v="E-5295" u="1"/>
        <s v="E-5296" u="1"/>
        <s v="E-5297" u="1"/>
        <s v="E-5298" u="1"/>
        <s v="E-5299" u="1"/>
        <s v="E-5300" u="1"/>
        <s v="E-5301" u="1"/>
        <s v="E-5302" u="1"/>
        <s v="E-5303" u="1"/>
        <s v="E-5304" u="1"/>
        <s v="E-5305" u="1"/>
        <s v="E-5306" u="1"/>
        <s v="E-5307" u="1"/>
        <s v="E-5309" u="1"/>
        <s v="E-5310" u="1"/>
        <s v="E-5311" u="1"/>
        <s v="E-5312" u="1"/>
        <s v="E-5313" u="1"/>
        <s v="E-5314" u="1"/>
        <s v="E-5315" u="1"/>
        <s v="E-5316" u="1"/>
        <s v="E-5317" u="1"/>
        <s v="E-5318" u="1"/>
        <s v="E-5319" u="1"/>
        <s v="E-5320" u="1"/>
        <s v="E-5321" u="1"/>
        <s v="E-5322" u="1"/>
        <s v="E-5323" u="1"/>
        <s v="E-5324" u="1"/>
        <s v="E-5325" u="1"/>
        <s v="E-5326" u="1"/>
        <s v="E-5327" u="1"/>
        <s v="E-5328" u="1"/>
        <s v="E-5329" u="1"/>
        <s v="E-5330" u="1"/>
        <s v="E-5331" u="1"/>
        <s v="E-5332" u="1"/>
        <s v="E-5333" u="1"/>
        <s v="E-5334" u="1"/>
        <s v="E-5335" u="1"/>
        <s v="E-5336" u="1"/>
        <s v="E-5337" u="1"/>
        <s v="E-5338" u="1"/>
        <s v="E-5339" u="1"/>
        <s v="E-5340" u="1"/>
        <s v="E-5341" u="1"/>
        <s v="E-5342" u="1"/>
        <s v="E-5343" u="1"/>
        <s v="E-5344" u="1"/>
        <s v="E-5345" u="1"/>
        <s v="E-5346" u="1"/>
        <s v="E-5347" u="1"/>
        <s v="E-5348" u="1"/>
        <s v="E-5349" u="1"/>
        <s v="E-5351" u="1"/>
        <s v="E-5352" u="1"/>
        <s v="E-5353" u="1"/>
        <s v="E-5354" u="1"/>
        <s v="E-5355" u="1"/>
        <s v="E-5356" u="1"/>
        <s v="E-5357" u="1"/>
        <s v="E-5358" u="1"/>
        <s v="E-5359" u="1"/>
        <s v="E-5361" u="1"/>
        <s v="E-5362" u="1"/>
        <s v="E-5363" u="1"/>
        <s v="E-5364" u="1"/>
        <s v="E-5365" u="1"/>
        <s v="E-5366" u="1"/>
        <s v="E-5367" u="1"/>
        <s v="E-5368" u="1"/>
        <s v="E-5369" u="1"/>
        <s v="E-5370" u="1"/>
        <s v="E-5371" u="1"/>
        <s v="E-5372" u="1"/>
        <s v="E-5373" u="1"/>
        <s v="E-5374" u="1"/>
        <s v="E-5375" u="1"/>
        <s v="E-5376" u="1"/>
        <s v="E-5377" u="1"/>
        <s v="E-5378" u="1"/>
        <s v="E-5379" u="1"/>
        <s v="E-5380" u="1"/>
        <s v="E-5381" u="1"/>
        <s v="E-5382" u="1"/>
        <s v="E-5383" u="1"/>
        <s v="E-5384" u="1"/>
        <s v="E-5385" u="1"/>
        <s v="E-5386" u="1"/>
        <s v="E-5387" u="1"/>
        <s v="E-5388" u="1"/>
        <s v="E-5389" u="1"/>
        <s v="E-5390" u="1"/>
        <s v="E-5391" u="1"/>
        <s v="E-5392" u="1"/>
        <s v="E-5393" u="1"/>
        <s v="E-5394" u="1"/>
        <s v="E-5395" u="1"/>
        <s v="E-5396" u="1"/>
        <s v="E-5397" u="1"/>
        <s v="E-5398" u="1"/>
        <s v="E-5399" u="1"/>
        <s v="E-5401" u="1"/>
        <s v="E-5402" u="1"/>
        <s v="E-5403" u="1"/>
        <s v="E-5404" u="1"/>
        <s v="E-5405" u="1"/>
        <s v="E-5407" u="1"/>
        <s v="E-5408" u="1"/>
        <s v="E-5409" u="1"/>
        <s v="E-5410" u="1"/>
        <s v="E-5411" u="1"/>
        <s v="E-5412" u="1"/>
        <s v="E-5413" u="1"/>
        <s v="E-5414" u="1"/>
        <s v="E-5415" u="1"/>
        <s v="E-5416" u="1"/>
        <s v="E-5417" u="1"/>
        <s v="E-5418" u="1"/>
        <s v="E-5419" u="1"/>
        <s v="E-5420" u="1"/>
        <s v="E-5421" u="1"/>
        <s v="E-5423" u="1"/>
        <s v="E-5424" u="1"/>
        <s v="E-5425" u="1"/>
        <s v="E-5427" u="1"/>
        <s v="E-5428" u="1"/>
        <s v="E-5429" u="1"/>
        <s v="E-5430" u="1"/>
        <s v="E-5431" u="1"/>
        <s v="E-5432" u="1"/>
        <s v="E-5433" u="1"/>
        <s v="E-5434" u="1"/>
        <s v="E-5435" u="1"/>
        <s v="E-5436" u="1"/>
        <s v="E-5437" u="1"/>
        <s v="E-5438" u="1"/>
        <s v="E-5439" u="1"/>
        <s v="E-5440" u="1"/>
        <s v="E-5441" u="1"/>
        <s v="E-5442" u="1"/>
        <s v="E-5443" u="1"/>
        <s v="E-5444" u="1"/>
        <s v="E-5446" u="1"/>
        <s v="E-5447" u="1"/>
        <s v="E-5448" u="1"/>
        <s v="E-5449" u="1"/>
        <s v="E-5450" u="1"/>
        <s v="E-5451" u="1"/>
        <s v="E-5452" u="1"/>
        <s v="E-5453" u="1"/>
        <s v="E-5454" u="1"/>
        <s v="E-5455" u="1"/>
        <s v="E-5456" u="1"/>
        <s v="E-5457" u="1"/>
        <s v="E-5458" u="1"/>
        <s v="E-5459" u="1"/>
        <s v="E-5460" u="1"/>
        <s v="E-5461" u="1"/>
        <s v="E-5463" u="1"/>
        <s v="E-5464" u="1"/>
        <s v="E-5465" u="1"/>
        <s v="E-5466" u="1"/>
        <s v="E-5467" u="1"/>
        <s v="E-5469" u="1"/>
        <s v="E-5470" u="1"/>
        <s v="E-5471" u="1"/>
        <s v="E-5472" u="1"/>
        <s v="E-5473" u="1"/>
        <s v="E-5474" u="1"/>
        <s v="E-5476" u="1"/>
        <s v="E-5477" u="1"/>
        <s v="E-5478" u="1"/>
        <s v="E-5479" u="1"/>
        <s v="E-5480" u="1"/>
        <s v="E-5481" u="1"/>
        <s v="E-5482" u="1"/>
        <s v="E-5483" u="1"/>
        <s v="E-5484" u="1"/>
        <s v="E-5485" u="1"/>
        <s v="E-5486" u="1"/>
        <s v="E-5487" u="1"/>
        <s v="E-5488" u="1"/>
        <s v="E-5489" u="1"/>
        <s v="E-5490" u="1"/>
        <s v="E-5491" u="1"/>
        <s v="E-5492" u="1"/>
        <s v="E-5493" u="1"/>
        <s v="E-5494" u="1"/>
        <s v="E-5495" u="1"/>
        <s v="E-5496" u="1"/>
        <s v="E-5497" u="1"/>
        <s v="E-5498" u="1"/>
        <s v="E-5499" u="1"/>
        <s v="E-5500" u="1"/>
        <s v="E-5501" u="1"/>
        <s v="E-5503" u="1"/>
        <s v="E-5504" u="1"/>
        <s v="E-5505" u="1"/>
        <s v="E-5506" u="1"/>
        <s v="E-5507" u="1"/>
        <s v="E-5508" u="1"/>
        <s v="E-5509" u="1"/>
        <s v="E-5510" u="1"/>
        <s v="E-5511" u="1"/>
        <s v="E-5512" u="1"/>
        <s v="E-5514" u="1"/>
        <s v="E-5515" u="1"/>
        <s v="E-5516" u="1"/>
        <s v="E-5517" u="1"/>
        <s v="E-5519" u="1"/>
        <s v="E-5520" u="1"/>
        <s v="E-5522" u="1"/>
        <s v="E-5523" u="1"/>
        <s v="E-5524" u="1"/>
        <s v="E-5525" u="1"/>
        <s v="E-5526" u="1"/>
        <s v="E-5527" u="1"/>
        <s v="E-5528" u="1"/>
        <s v="E-5529" u="1"/>
        <s v="E-5530" u="1"/>
        <s v="E-5531" u="1"/>
        <s v="E-5532" u="1"/>
        <s v="E-5533" u="1"/>
        <s v="E-5534" u="1"/>
        <s v="E-5535" u="1"/>
        <s v="E-5536" u="1"/>
        <s v="E-5537" u="1"/>
        <s v="E-5538" u="1"/>
        <s v="E-5539" u="1"/>
        <s v="E-5540" u="1"/>
        <s v="E-5541" u="1"/>
        <s v="E-5542" u="1"/>
        <s v="E-5543" u="1"/>
        <s v="E-5544" u="1"/>
        <s v="E-5545" u="1"/>
        <s v="E-5546" u="1"/>
        <s v="E-5547" u="1"/>
        <s v="E-5548" u="1"/>
        <s v="E-5549" u="1"/>
        <s v="E-5550" u="1"/>
        <s v="E-5551" u="1"/>
        <s v="E-5552" u="1"/>
        <s v="E-5553" u="1"/>
        <s v="E-5554" u="1"/>
        <s v="E-5555" u="1"/>
        <s v="E-5556" u="1"/>
        <s v="E-5557" u="1"/>
        <s v="E-5558" u="1"/>
        <s v="E-5560" u="1"/>
        <s v="E-5561" u="1"/>
        <s v="E-5562" u="1"/>
        <s v="E-5564" u="1"/>
        <s v="E-5565" u="1"/>
        <s v="E-5566" u="1"/>
        <s v="E-5567" u="1"/>
        <s v="E-5568" u="1"/>
        <s v="E-5569" u="1"/>
        <s v="E-5570" u="1"/>
        <s v="E-5571" u="1"/>
        <s v="E-5572" u="1"/>
        <s v="E-5573" u="1"/>
        <s v="E-5574" u="1"/>
        <s v="E-5575" u="1"/>
        <s v="E-5576" u="1"/>
        <s v="E-5577" u="1"/>
        <s v="E-5578" u="1"/>
        <s v="E-5579" u="1"/>
        <s v="E-5580" u="1"/>
        <s v="E-5581" u="1"/>
        <s v="E-5582" u="1"/>
        <s v="E-5583" u="1"/>
        <s v="E-5584" u="1"/>
        <s v="E-5585" u="1"/>
        <s v="E-5586" u="1"/>
        <s v="E-5587" u="1"/>
        <s v="E-5588" u="1"/>
        <s v="E-5589" u="1"/>
        <s v="E-5590" u="1"/>
        <s v="E-5591" u="1"/>
        <s v="E-5593" u="1"/>
        <s v="E-5594" u="1"/>
        <s v="E-5595" u="1"/>
        <s v="E-5596" u="1"/>
        <s v="E-5597" u="1"/>
        <s v="E-5598" u="1"/>
        <s v="E-5599" u="1"/>
        <s v="E-5600" u="1"/>
        <s v="E-5601" u="1"/>
        <s v="E-5602" u="1"/>
        <s v="E-5603" u="1"/>
        <s v="E-5604" u="1"/>
        <s v="E-5605" u="1"/>
        <s v="E-5606" u="1"/>
        <s v="E-5607" u="1"/>
        <s v="E-5608" u="1"/>
        <s v="E-5609" u="1"/>
        <s v="E-5610" u="1"/>
        <s v="E-5611" u="1"/>
        <s v="E-5612" u="1"/>
        <s v="E-5613" u="1"/>
        <s v="E-5614" u="1"/>
        <s v="E-5615" u="1"/>
        <s v="E-5616" u="1"/>
        <s v="E-5617" u="1"/>
        <s v="E-5618" u="1"/>
        <s v="E-5619" u="1"/>
        <s v="E-5620" u="1"/>
        <s v="E-5621" u="1"/>
        <s v="E-5622" u="1"/>
        <s v="E-5623" u="1"/>
        <s v="E-5624" u="1"/>
        <s v="E-5625" u="1"/>
        <s v="E-5626" u="1"/>
        <s v="E-5627" u="1"/>
        <s v="E-5628" u="1"/>
        <s v="E-5629" u="1"/>
        <s v="E-5631" u="1"/>
        <s v="E-5632" u="1"/>
        <s v="E-5633" u="1"/>
        <s v="E-5634" u="1"/>
        <s v="E-5635" u="1"/>
        <s v="E-5636" u="1"/>
        <s v="E-5637" u="1"/>
        <s v="E-5638" u="1"/>
        <s v="E-5639" u="1"/>
        <s v="E-5640" u="1"/>
        <s v="E-5641" u="1"/>
        <s v="E-5642" u="1"/>
        <s v="E-5643" u="1"/>
        <s v="E-5644" u="1"/>
        <s v="E-5645" u="1"/>
        <s v="E-5646" u="1"/>
        <s v="E-5647" u="1"/>
        <s v="E-5648" u="1"/>
        <s v="E-5649" u="1"/>
        <s v="E-5650" u="1"/>
        <s v="E-5651" u="1"/>
        <s v="E-5652" u="1"/>
        <s v="E-5653" u="1"/>
        <s v="E-5654" u="1"/>
        <s v="E-5655" u="1"/>
        <s v="E-5656" u="1"/>
        <s v="E-5658" u="1"/>
        <s v="E-5659" u="1"/>
        <s v="E-5660" u="1"/>
        <s v="E-5661" u="1"/>
        <s v="E-5662" u="1"/>
        <s v="E-5663" u="1"/>
        <s v="E-5664" u="1"/>
        <s v="E-5665" u="1"/>
        <s v="E-5666" u="1"/>
        <s v="E-5667" u="1"/>
        <s v="E-5669" u="1"/>
        <s v="E-5670" u="1"/>
        <s v="E-5671" u="1"/>
        <s v="E-5672" u="1"/>
        <s v="E-5673" u="1"/>
        <s v="E-5674" u="1"/>
        <s v="E-5675" u="1"/>
        <s v="E-5676" u="1"/>
        <s v="E-5677" u="1"/>
        <s v="E-5678" u="1"/>
        <s v="E-5679" u="1"/>
        <s v="E-5680" u="1"/>
        <s v="E-5681" u="1"/>
        <s v="E-5682" u="1"/>
        <s v="E-5683" u="1"/>
        <s v="E-5684" u="1"/>
        <s v="E-5685" u="1"/>
        <s v="E-5686" u="1"/>
        <s v="E-5687" u="1"/>
        <s v="E-5688" u="1"/>
        <s v="E-5689" u="1"/>
        <s v="E-5690" u="1"/>
        <s v="E-5691" u="1"/>
        <s v="E-5692" u="1"/>
        <s v="E-5694" u="1"/>
        <s v="E-5695" u="1"/>
        <s v="E-5696" u="1"/>
        <s v="E-5697" u="1"/>
        <s v="E-5698" u="1"/>
        <s v="E-5699" u="1"/>
        <s v="E-5700" u="1"/>
        <s v="E-5701" u="1"/>
        <s v="E-5702" u="1"/>
        <s v="E-5703" u="1"/>
        <s v="E-5704" u="1"/>
        <s v="E-5705" u="1"/>
        <s v="E-5706" u="1"/>
        <s v="E-5707" u="1"/>
        <s v="E-5708" u="1"/>
        <s v="E-5710" u="1"/>
        <s v="E-5711" u="1"/>
        <s v="E-5712" u="1"/>
        <s v="E-5713" u="1"/>
        <s v="E-5714" u="1"/>
        <s v="E-5715" u="1"/>
        <s v="E-5716" u="1"/>
        <s v="E-5717" u="1"/>
        <s v="E-5718" u="1"/>
        <s v="E-5719" u="1"/>
        <s v="E-5720" u="1"/>
        <s v="E-5721" u="1"/>
        <s v="E-5722" u="1"/>
        <s v="E-5723" u="1"/>
        <s v="E-5724" u="1"/>
        <s v="E-5725" u="1"/>
        <s v="E-5726" u="1"/>
        <s v="E-5727" u="1"/>
        <s v="E-5728" u="1"/>
        <s v="E-5729" u="1"/>
        <s v="E-5730" u="1"/>
        <s v="E-5731" u="1"/>
        <s v="E-5732" u="1"/>
        <s v="E-5733" u="1"/>
        <s v="E-5734" u="1"/>
        <s v="E-5735" u="1"/>
        <s v="E-5736" u="1"/>
        <s v="E-5737" u="1"/>
        <s v="E-5738" u="1"/>
        <s v="E-5739" u="1"/>
        <s v="E-5740" u="1"/>
        <s v="E-5741" u="1"/>
        <s v="E-5742" u="1"/>
        <s v="E-5743" u="1"/>
        <s v="E-5744" u="1"/>
        <s v="E-5745" u="1"/>
        <s v="E-5746" u="1"/>
        <s v="E-5747" u="1"/>
        <s v="E-5748" u="1"/>
        <s v="E-5749" u="1"/>
        <s v="E-5750" u="1"/>
        <s v="E-5751" u="1"/>
        <s v="E-5752" u="1"/>
        <s v="E-5753" u="1"/>
        <s v="E-5754" u="1"/>
        <s v="E-5755" u="1"/>
        <s v="E-5757" u="1"/>
        <s v="E-5758" u="1"/>
        <s v="E-5759" u="1"/>
        <s v="E-5760" u="1"/>
        <s v="E-5761" u="1"/>
        <s v="E-5762" u="1"/>
        <s v="E-5763" u="1"/>
        <s v="E-5764" u="1"/>
        <s v="E-5765" u="1"/>
        <s v="E-5766" u="1"/>
        <s v="E-5767" u="1"/>
        <s v="E-5768" u="1"/>
        <s v="E-5769" u="1"/>
        <s v="E-5770" u="1"/>
        <s v="E-5771" u="1"/>
        <s v="E-5772" u="1"/>
        <s v="E-5773" u="1"/>
        <s v="E-5774" u="1"/>
        <s v="E-5775" u="1"/>
        <s v="E-5776" u="1"/>
        <s v="E-5777" u="1"/>
        <s v="E-5778" u="1"/>
        <s v="E-5779" u="1"/>
        <s v="E-5780" u="1"/>
        <s v="E-5781" u="1"/>
        <s v="E-5782" u="1"/>
        <s v="E-5783" u="1"/>
        <s v="E-5784" u="1"/>
        <s v="E-5785" u="1"/>
        <s v="E-5786" u="1"/>
        <s v="E-5787" u="1"/>
        <s v="E-5788" u="1"/>
        <s v="E-5789" u="1"/>
        <s v="E-5790" u="1"/>
        <s v="E-5791" u="1"/>
        <s v="E-5792" u="1"/>
        <s v="E-5793" u="1"/>
        <s v="E-5794" u="1"/>
        <s v="E-5795" u="1"/>
        <s v="E-5797" u="1"/>
        <s v="E-5798" u="1"/>
        <s v="E-5799" u="1"/>
        <s v="E-5800" u="1"/>
        <s v="E-5801" u="1"/>
        <s v="E-5802" u="1"/>
        <s v="E-5803" u="1"/>
        <s v="E-5804" u="1"/>
        <s v="E-5805" u="1"/>
        <s v="E-5806" u="1"/>
        <s v="E-5807" u="1"/>
        <s v="E-5808" u="1"/>
        <s v="E-5809" u="1"/>
        <s v="E-5810" u="1"/>
        <s v="E-5811" u="1"/>
        <s v="E-5812" u="1"/>
        <s v="E-5813" u="1"/>
        <s v="E-5814" u="1"/>
        <s v="E-5815" u="1"/>
        <s v="E-5816" u="1"/>
        <s v="E-5817" u="1"/>
        <s v="E-5818" u="1"/>
        <s v="E-5819" u="1"/>
        <s v="E-5820" u="1"/>
        <s v="E-5821" u="1"/>
        <s v="E-5823" u="1"/>
        <s v="E-5824" u="1"/>
        <s v="E-5825" u="1"/>
        <s v="E-5827" u="1"/>
        <s v="E-5828" u="1"/>
        <s v="E-5829" u="1"/>
        <s v="E-5831" u="1"/>
        <s v="E-5832" u="1"/>
        <s v="E-5833" u="1"/>
        <s v="E-5834" u="1"/>
        <s v="E-5835" u="1"/>
        <s v="E-5836" u="1"/>
        <s v="E-5837" u="1"/>
        <s v="E-5839" u="1"/>
        <s v="E-5841" u="1"/>
        <s v="E-5842" u="1"/>
        <s v="E-5843" u="1"/>
        <s v="E-5844" u="1"/>
        <s v="E-5846" u="1"/>
        <s v="E-5847" u="1"/>
        <s v="E-5848" u="1"/>
        <s v="E-5849" u="1"/>
        <s v="E-5850" u="1"/>
        <s v="E-5851" u="1"/>
        <s v="E-5852" u="1"/>
        <s v="E-5853" u="1"/>
        <s v="E-5854" u="1"/>
        <s v="E-5856" u="1"/>
        <s v="E-5857" u="1"/>
        <s v="E-5858" u="1"/>
        <s v="E-5859" u="1"/>
        <s v="E-5860" u="1"/>
        <s v="E-5861" u="1"/>
        <s v="E-5862" u="1"/>
        <s v="E-5863" u="1"/>
        <s v="E-5864" u="1"/>
        <s v="E-5865" u="1"/>
        <s v="E-5866" u="1"/>
        <s v="E-5867" u="1"/>
        <s v="E-5868" u="1"/>
        <s v="E-5869" u="1"/>
        <s v="E-5870" u="1"/>
        <s v="E-5871" u="1"/>
        <s v="E-5872" u="1"/>
        <s v="E-5873" u="1"/>
        <s v="E-5874" u="1"/>
        <s v="E-5875" u="1"/>
        <s v="E-5876" u="1"/>
        <s v="E-5877" u="1"/>
        <s v="E-5878" u="1"/>
        <s v="E-5879" u="1"/>
        <s v="E-5880" u="1"/>
        <s v="E-5881" u="1"/>
        <s v="E-5882" u="1"/>
        <s v="E-5883" u="1"/>
        <s v="E-5884" u="1"/>
        <s v="E-5885" u="1"/>
        <s v="E-5888" u="1"/>
        <s v="E-5889" u="1"/>
        <s v="E-5890" u="1"/>
        <s v="E-5891" u="1"/>
        <s v="E-5892" u="1"/>
        <s v="E-5893" u="1"/>
        <s v="E-5894" u="1"/>
        <s v="E-5895" u="1"/>
        <s v="E-5896" u="1"/>
        <s v="E-5897" u="1"/>
        <s v="E-5898" u="1"/>
        <s v="E-5900" u="1"/>
        <s v="E-5901" u="1"/>
        <s v="E-5902" u="1"/>
        <s v="E-5903" u="1"/>
        <s v="E-5904" u="1"/>
        <s v="E-5905" u="1"/>
        <s v="E-5906" u="1"/>
        <s v="E-5907" u="1"/>
        <s v="E-5908" u="1"/>
        <s v="E-5909" u="1"/>
        <s v="E-5910" u="1"/>
        <s v="E-5911" u="1"/>
        <s v="E-5912" u="1"/>
        <s v="E-5913" u="1"/>
        <s v="E-5914" u="1"/>
        <s v="E-5915" u="1"/>
        <s v="E-5916" u="1"/>
        <s v="E-5917" u="1"/>
        <s v="E-5918" u="1"/>
        <s v="E-5919" u="1"/>
        <s v="E-5920" u="1"/>
        <s v="E-5921" u="1"/>
        <s v="E-5922" u="1"/>
        <s v="E-5923" u="1"/>
        <s v="E-5924" u="1"/>
        <s v="E-5925" u="1"/>
        <s v="E-5926" u="1"/>
        <s v="E-5927" u="1"/>
        <s v="E-5928" u="1"/>
        <s v="E-5929" u="1"/>
        <s v="E-5930" u="1"/>
        <s v="E-5931" u="1"/>
        <s v="E-5932" u="1"/>
        <s v="E-5934" u="1"/>
        <s v="E-5935" u="1"/>
        <s v="E-5937" u="1"/>
        <s v="E-5938" u="1"/>
        <s v="E-5939" u="1"/>
        <s v="E-5940" u="1"/>
        <s v="E-5941" u="1"/>
        <s v="E-5942" u="1"/>
        <s v="E-5943" u="1"/>
        <s v="E-5944" u="1"/>
        <s v="E-5945" u="1"/>
        <s v="E-5946" u="1"/>
        <s v="E-5948" u="1"/>
        <s v="E-5949" u="1"/>
        <s v="E-5950" u="1"/>
        <s v="E-5951" u="1"/>
        <s v="E-5952" u="1"/>
        <s v="E-5953" u="1"/>
        <s v="E-5954" u="1"/>
        <s v="E-5955" u="1"/>
        <s v="E-5956" u="1"/>
        <s v="E-5957" u="1"/>
        <s v="E-5958" u="1"/>
        <s v="E-5959" u="1"/>
        <s v="E-5960" u="1"/>
        <s v="E-5961" u="1"/>
        <s v="E-5962" u="1"/>
        <s v="E-5963" u="1"/>
        <s v="E-5964" u="1"/>
        <s v="E-5965" u="1"/>
        <s v="E-5966" u="1"/>
        <s v="E-5967" u="1"/>
        <s v="E-5968" u="1"/>
        <s v="E-5969" u="1"/>
        <s v="E-5970" u="1"/>
        <s v="E-5971" u="1"/>
        <s v="E-5972" u="1"/>
        <s v="E-5973" u="1"/>
        <s v="E-5974" u="1"/>
        <s v="E-5975" u="1"/>
        <s v="E-5976" u="1"/>
        <s v="E-5977" u="1"/>
        <s v="E-5978" u="1"/>
        <s v="E-5979" u="1"/>
        <s v="E-5980" u="1"/>
        <s v="E-5981" u="1"/>
        <s v="E-5982" u="1"/>
        <s v="E-5983" u="1"/>
        <s v="E-5984" u="1"/>
        <s v="E-5985" u="1"/>
        <s v="E-5986" u="1"/>
        <s v="E-5987" u="1"/>
        <s v="E-5988" u="1"/>
        <s v="E-5989" u="1"/>
        <s v="E-5990" u="1"/>
        <s v="E-5991" u="1"/>
        <s v="E-5992" u="1"/>
        <s v="E-5993" u="1"/>
        <s v="E-5994" u="1"/>
        <s v="E-5995" u="1"/>
        <s v="E-5996" u="1"/>
        <s v="E-5997" u="1"/>
        <s v="E-5998" u="1"/>
        <s v="E-5999" u="1"/>
        <s v="E-6000" u="1"/>
        <s v="E-6001" u="1"/>
        <s v="E-6002" u="1"/>
        <s v="E-6003" u="1"/>
        <s v="E-6004" u="1"/>
        <s v="E-6005" u="1"/>
        <s v="E-6006" u="1"/>
        <s v="E-6007" u="1"/>
        <s v="E-6009" u="1"/>
        <s v="E-6010" u="1"/>
        <s v="E-6011" u="1"/>
        <s v="E-6012" u="1"/>
        <s v="E-6013" u="1"/>
        <s v="E-6014" u="1"/>
        <s v="E-6015" u="1"/>
        <s v="E-6016" u="1"/>
        <s v="E-6017" u="1"/>
        <s v="E-6018" u="1"/>
        <s v="E-6019" u="1"/>
        <s v="E-6020" u="1"/>
        <s v="E-6021" u="1"/>
        <s v="E-6022" u="1"/>
        <s v="E-6023" u="1"/>
        <s v="E-6024" u="1"/>
        <s v="E-6025" u="1"/>
        <s v="E-6026" u="1"/>
        <s v="E-6028" u="1"/>
        <s v="E-6029" u="1"/>
        <s v="E-6030" u="1"/>
        <s v="E-6031" u="1"/>
        <s v="E-6032" u="1"/>
        <s v="E-6033" u="1"/>
        <s v="E-6034" u="1"/>
        <s v="E-6035" u="1"/>
        <s v="E-6036" u="1"/>
        <s v="E-6037" u="1"/>
        <s v="E-6038" u="1"/>
        <s v="E-6039" u="1"/>
        <s v="E-6040" u="1"/>
        <s v="E-6041" u="1"/>
        <s v="E-6042" u="1"/>
        <s v="E-6043" u="1"/>
        <s v="E-6044" u="1"/>
        <s v="E-6045" u="1"/>
        <s v="E-6046" u="1"/>
        <s v="E-6047" u="1"/>
        <s v="E-6048" u="1"/>
        <s v="E-6049" u="1"/>
        <s v="E-6050" u="1"/>
        <s v="E-6052" u="1"/>
        <s v="E-6053" u="1"/>
        <s v="E-6054" u="1"/>
        <s v="E-6055" u="1"/>
        <s v="E-6056" u="1"/>
        <s v="E-6057" u="1"/>
        <s v="E-6058" u="1"/>
        <s v="E-6059" u="1"/>
        <s v="E-6060" u="1"/>
        <s v="E-6061" u="1"/>
        <s v="E-6062" u="1"/>
        <s v="E-6063" u="1"/>
        <s v="E-6064" u="1"/>
        <s v="E-6065" u="1"/>
        <s v="E-6066" u="1"/>
        <s v="E-6067" u="1"/>
        <s v="E-6068" u="1"/>
        <s v="E-6069" u="1"/>
        <s v="E-6070" u="1"/>
        <s v="E-6071" u="1"/>
        <s v="E-6072" u="1"/>
        <s v="E-6073" u="1"/>
        <s v="E-6074" u="1"/>
        <s v="E-6075" u="1"/>
        <s v="E-6076" u="1"/>
        <s v="E-6077" u="1"/>
        <s v="E-6078" u="1"/>
        <s v="E-6079" u="1"/>
        <s v="E-6080" u="1"/>
        <s v="E-6081" u="1"/>
        <s v="E-6082" u="1"/>
        <s v="E-6083" u="1"/>
        <s v="E-6085" u="1"/>
        <s v="E-6086" u="1"/>
        <s v="E-6087" u="1"/>
        <s v="E-6088" u="1"/>
        <s v="E-6089" u="1"/>
        <s v="E-6090" u="1"/>
        <s v="E-6091" u="1"/>
        <s v="E-6092" u="1"/>
        <s v="E-6093" u="1"/>
        <s v="E-6094" u="1"/>
        <s v="E-6095" u="1"/>
        <s v="E-6096" u="1"/>
        <s v="E-6097" u="1"/>
        <s v="E-6098" u="1"/>
        <s v="E-6099" u="1"/>
        <s v="E-6100" u="1"/>
        <s v="E-6101" u="1"/>
        <s v="E-6102" u="1"/>
        <s v="E-6103" u="1"/>
        <s v="E-6105" u="1"/>
        <s v="E-6106" u="1"/>
        <s v="E-6107" u="1"/>
        <s v="E-6108" u="1"/>
        <s v="E-6110" u="1"/>
        <s v="E-6111" u="1"/>
        <s v="E-6112" u="1"/>
        <s v="E-6113" u="1"/>
        <s v="E-6114" u="1"/>
        <s v="E-6115" u="1"/>
        <s v="E-6116" u="1"/>
        <s v="E-6117" u="1"/>
        <s v="E-6118" u="1"/>
        <s v="E-6119" u="1"/>
        <s v="E-6120" u="1"/>
        <s v="E-6121" u="1"/>
        <s v="E-6122" u="1"/>
        <s v="E-6124" u="1"/>
        <s v="E-6125" u="1"/>
        <s v="E-6126" u="1"/>
        <s v="E-6127" u="1"/>
        <s v="E-6128" u="1"/>
        <s v="E-6129" u="1"/>
        <s v="E-6130" u="1"/>
        <s v="E-6131" u="1"/>
        <s v="E-6132" u="1"/>
        <s v="E-6133" u="1"/>
        <s v="E-6134" u="1"/>
        <s v="E-6135" u="1"/>
        <s v="E-6136" u="1"/>
        <s v="E-6137" u="1"/>
        <s v="E-6138" u="1"/>
        <s v="E-6139" u="1"/>
        <s v="E-6140" u="1"/>
        <s v="E-6141" u="1"/>
        <s v="E-6142" u="1"/>
        <s v="E-6143" u="1"/>
        <s v="E-6144" u="1"/>
        <s v="E-6145" u="1"/>
        <s v="E-6146" u="1"/>
        <s v="E-6147" u="1"/>
        <s v="E-6148" u="1"/>
        <s v="E-6149" u="1"/>
        <s v="E-6150" u="1"/>
        <s v="E-6151" u="1"/>
        <s v="E-6152" u="1"/>
        <s v="E-6153" u="1"/>
        <s v="E-6154" u="1"/>
        <s v="E-6155" u="1"/>
        <s v="E-6156" u="1"/>
        <s v="E-6157" u="1"/>
        <s v="E-6158" u="1"/>
        <s v="E-6160" u="1"/>
        <s v="E-6161" u="1"/>
        <s v="E-6162" u="1"/>
        <s v="E-6163" u="1"/>
        <s v="E-6164" u="1"/>
        <s v="E-6165" u="1"/>
        <s v="E-6166" u="1"/>
        <s v="E-6167" u="1"/>
        <s v="E-6168" u="1"/>
        <s v="E-6169" u="1"/>
        <s v="E-6170" u="1"/>
        <s v="E-6171" u="1"/>
        <s v="E-6172" u="1"/>
        <s v="E-6173" u="1"/>
        <s v="E-6174" u="1"/>
        <s v="E-6175" u="1"/>
        <s v="E-6176" u="1"/>
        <s v="E-6177" u="1"/>
        <s v="E-6178" u="1"/>
        <s v="E-6179" u="1"/>
        <s v="E-6180" u="1"/>
        <s v="E-6181" u="1"/>
        <s v="E-6182" u="1"/>
        <s v="E-6183" u="1"/>
        <s v="E-6184" u="1"/>
        <s v="E-6185" u="1"/>
        <s v="E-6186" u="1"/>
        <s v="E-6187" u="1"/>
        <s v="E-6188" u="1"/>
        <s v="E-6189" u="1"/>
        <s v="E-6190" u="1"/>
        <s v="E-6191" u="1"/>
        <s v="E-6193" u="1"/>
        <s v="E-6194" u="1"/>
        <s v="E-6195" u="1"/>
        <s v="E-6196" u="1"/>
        <s v="E-6198" u="1"/>
        <s v="E-6199" u="1"/>
        <s v="E-6200" u="1"/>
        <s v="E-6201" u="1"/>
        <s v="E-6202" u="1"/>
        <s v="E-6203" u="1"/>
        <s v="E-6204" u="1"/>
        <s v="E-6205" u="1"/>
        <s v="E-6206" u="1"/>
        <s v="E-6207" u="1"/>
        <s v="E-6208" u="1"/>
        <s v="E-6209" u="1"/>
        <s v="E-6210" u="1"/>
        <s v="E-6211" u="1"/>
        <s v="E-6212" u="1"/>
        <s v="E-6213" u="1"/>
        <s v="E-6214" u="1"/>
        <s v="E-6215" u="1"/>
        <s v="E-6216" u="1"/>
        <s v="E-6217" u="1"/>
        <s v="E-6218" u="1"/>
        <s v="E-6219" u="1"/>
        <s v="E-6220" u="1"/>
        <s v="E-6221" u="1"/>
        <s v="E-6222" u="1"/>
        <s v="E-6223" u="1"/>
        <s v="E-6224" u="1"/>
        <s v="E-6225" u="1"/>
        <s v="E-6226" u="1"/>
        <s v="E-6227" u="1"/>
        <s v="E-6228" u="1"/>
        <s v="E-6230" u="1"/>
        <s v="E-6231" u="1"/>
        <s v="E-6232" u="1"/>
        <s v="E-6233" u="1"/>
        <s v="E-6234" u="1"/>
        <s v="E-6235" u="1"/>
        <s v="E-6236" u="1"/>
        <s v="E-6237" u="1"/>
        <s v="E-6238" u="1"/>
        <s v="E-6239" u="1"/>
        <s v="E-6240" u="1"/>
        <s v="E-6241" u="1"/>
        <s v="E-6242" u="1"/>
        <s v="E-6243" u="1"/>
        <s v="E-6244" u="1"/>
        <s v="E-6245" u="1"/>
        <s v="E-6246" u="1"/>
        <s v="E-6247" u="1"/>
        <s v="E-6248" u="1"/>
        <s v="E-6249" u="1"/>
        <s v="E-6250" u="1"/>
        <s v="E-6251" u="1"/>
        <s v="E-6252" u="1"/>
        <s v="E-6253" u="1"/>
        <s v="E-6254" u="1"/>
        <s v="E-6255" u="1"/>
        <s v="E-6256" u="1"/>
        <s v="E-6257" u="1"/>
        <s v="E-6258" u="1"/>
        <s v="E-6259" u="1"/>
        <s v="E-6260" u="1"/>
        <s v="E-6261" u="1"/>
        <s v="E-6262" u="1"/>
        <s v="E-6264" u="1"/>
        <s v="E-6265" u="1"/>
        <s v="E-6266" u="1"/>
        <s v="E-6267" u="1"/>
        <s v="E-6268" u="1"/>
        <s v="E-6269" u="1"/>
        <s v="E-6270" u="1"/>
        <s v="E-6271" u="1"/>
        <s v="E-6272" u="1"/>
        <s v="E-6273" u="1"/>
        <s v="E-6274" u="1"/>
        <s v="E-6275" u="1"/>
        <s v="E-6276" u="1"/>
        <s v="E-6277" u="1"/>
        <s v="E-6278" u="1"/>
        <s v="E-6279" u="1"/>
        <s v="E-6280" u="1"/>
        <s v="E-6281" u="1"/>
        <s v="E-6282" u="1"/>
        <s v="E-6283" u="1"/>
        <s v="E-6284" u="1"/>
        <s v="E-6285" u="1"/>
        <s v="E-6286" u="1"/>
        <s v="E-6287" u="1"/>
        <s v="E-6288" u="1"/>
        <s v="E-6289" u="1"/>
        <s v="E-6290" u="1"/>
        <s v="E-6291" u="1"/>
        <s v="E-6292" u="1"/>
        <s v="E-6293" u="1"/>
        <s v="E-6294" u="1"/>
        <s v="E-6295" u="1"/>
        <s v="E-6296" u="1"/>
        <s v="E-6297" u="1"/>
        <s v="E-6298" u="1"/>
        <s v="E-6299" u="1"/>
        <s v="E-6300" u="1"/>
        <s v="E-6302" u="1"/>
        <s v="E-6303" u="1"/>
        <s v="E-6304" u="1"/>
        <s v="E-6305" u="1"/>
        <s v="E-6306" u="1"/>
        <s v="E-6307" u="1"/>
        <s v="E-6308" u="1"/>
        <s v="E-6309" u="1"/>
        <s v="E-6310" u="1"/>
        <s v="E-6311" u="1"/>
        <s v="E-6312" u="1"/>
        <s v="E-6313" u="1"/>
        <s v="E-6314" u="1"/>
        <s v="E-6316" u="1"/>
        <s v="E-6317" u="1"/>
        <s v="E-6318" u="1"/>
        <s v="E-6319" u="1"/>
        <s v="E-6320" u="1"/>
        <s v="E-6321" u="1"/>
        <s v="E-6322" u="1"/>
        <s v="E-6323" u="1"/>
        <s v="E-6324" u="1"/>
        <s v="E-6325" u="1"/>
        <s v="E-6326" u="1"/>
        <s v="E-6327" u="1"/>
        <s v="E-6328" u="1"/>
        <s v="E-6329" u="1"/>
        <s v="E-6330" u="1"/>
        <s v="E-6331" u="1"/>
        <s v="E-6332" u="1"/>
        <s v="E-6333" u="1"/>
        <s v="E-6335" u="1"/>
        <s v="E-6336" u="1"/>
        <s v="E-6337" u="1"/>
        <s v="E-6338" u="1"/>
        <s v="E-6339" u="1"/>
        <s v="E-6340" u="1"/>
        <s v="E-6341" u="1"/>
        <s v="E-6342" u="1"/>
        <s v="E-6343" u="1"/>
        <s v="E-6344" u="1"/>
        <s v="E-6345" u="1"/>
        <s v="E-6346" u="1"/>
        <s v="E-6347" u="1"/>
        <s v="E-6348" u="1"/>
        <s v="E-6349" u="1"/>
        <s v="E-6350" u="1"/>
        <s v="E-6351" u="1"/>
        <s v="E-6352" u="1"/>
        <s v="E-6354" u="1"/>
        <s v="E-6355" u="1"/>
        <s v="E-6356" u="1"/>
        <s v="E-6357" u="1"/>
        <s v="E-6358" u="1"/>
        <s v="E-6359" u="1"/>
        <s v="E-6360" u="1"/>
        <s v="E-6361" u="1"/>
        <s v="E-6362" u="1"/>
        <s v="E-6363" u="1"/>
        <s v="E-6364" u="1"/>
        <s v="E-6365" u="1"/>
        <s v="E-6366" u="1"/>
        <s v="E-6367" u="1"/>
        <s v="E-6368" u="1"/>
        <s v="E-6369" u="1"/>
        <s v="E-6370" u="1"/>
        <s v="E-6371" u="1"/>
        <s v="E-6372" u="1"/>
        <s v="E-6374" u="1"/>
        <s v="E-6375" u="1"/>
        <s v="E-6376" u="1"/>
        <s v="E-6378" u="1"/>
        <s v="E-6379" u="1"/>
        <s v="E-6380" u="1"/>
        <s v="E-6381" u="1"/>
        <s v="E-6382" u="1"/>
        <s v="E-6383" u="1"/>
        <s v="E-6384" u="1"/>
        <s v="E-6385" u="1"/>
        <s v="E-6386" u="1"/>
        <s v="E-6387" u="1"/>
        <s v="E-6388" u="1"/>
        <s v="E-6389" u="1"/>
        <s v="E-6390" u="1"/>
        <s v="E-6391" u="1"/>
        <s v="E-6392" u="1"/>
        <s v="E-6393" u="1"/>
        <s v="E-6394" u="1"/>
        <s v="E-6395" u="1"/>
        <s v="E-6396" u="1"/>
        <s v="E-6397" u="1"/>
        <s v="E-6398" u="1"/>
        <s v="E-6399" u="1"/>
        <s v="E-6400" u="1"/>
        <s v="E-6401" u="1"/>
        <s v="E-6402" u="1"/>
        <s v="E-6403" u="1"/>
        <s v="E-6404" u="1"/>
        <s v="E-6405" u="1"/>
        <s v="E-6406" u="1"/>
        <s v="E-6407" u="1"/>
        <s v="E-6408" u="1"/>
        <s v="E-6409" u="1"/>
        <s v="E-6410" u="1"/>
        <s v="E-6411" u="1"/>
        <s v="E-6413" u="1"/>
        <s v="E-6414" u="1"/>
        <s v="E-6415" u="1"/>
        <s v="E-6416" u="1"/>
        <s v="E-6417" u="1"/>
        <s v="E-6418" u="1"/>
        <s v="E-6419" u="1"/>
        <s v="E-6420" u="1"/>
        <s v="E-6421" u="1"/>
        <s v="E-6422" u="1"/>
        <s v="E-6423" u="1"/>
        <s v="E-6424" u="1"/>
        <s v="E-6425" u="1"/>
        <s v="E-6426" u="1"/>
        <s v="E-6427" u="1"/>
        <s v="E-6428" u="1"/>
        <s v="E-6429" u="1"/>
        <s v="E-6430" u="1"/>
        <s v="E-6431" u="1"/>
        <s v="E-6432" u="1"/>
        <s v="E-6433" u="1"/>
        <s v="E-6434" u="1"/>
        <s v="E-6435" u="1"/>
        <s v="E-6436" u="1"/>
        <s v="E-6437" u="1"/>
        <s v="E-6438" u="1"/>
        <s v="E-6440" u="1"/>
        <s v="E-6441" u="1"/>
        <s v="E-6442" u="1"/>
        <s v="E-6443" u="1"/>
        <s v="E-6444" u="1"/>
        <s v="E-6445" u="1"/>
        <s v="E-6446" u="1"/>
        <s v="E-6447" u="1"/>
        <s v="E-6448" u="1"/>
        <s v="E-6449" u="1"/>
        <s v="E-6450" u="1"/>
        <s v="E-6451" u="1"/>
        <s v="E-6452" u="1"/>
        <s v="E-6453" u="1"/>
        <s v="E-6454" u="1"/>
        <s v="E-6455" u="1"/>
        <s v="E-6456" u="1"/>
        <s v="E-6457" u="1"/>
        <s v="E-6458" u="1"/>
        <s v="E-6459" u="1"/>
        <s v="E-6461" u="1"/>
        <s v="E-6462" u="1"/>
        <s v="E-6463" u="1"/>
        <s v="E-6464" u="1"/>
        <s v="E-6465" u="1"/>
        <s v="E-6466" u="1"/>
        <s v="E-6467" u="1"/>
        <s v="E-6468" u="1"/>
        <s v="E-6469" u="1"/>
        <s v="E-6470" u="1"/>
        <s v="E-6471" u="1"/>
        <s v="E-6472" u="1"/>
        <s v="E-6473" u="1"/>
        <s v="E-6474" u="1"/>
        <s v="E-6475" u="1"/>
        <s v="E-6476" u="1"/>
        <s v="E-6477" u="1"/>
        <s v="E-6478" u="1"/>
        <s v="E-6479" u="1"/>
        <s v="E-6480" u="1"/>
        <s v="E-6481" u="1"/>
        <s v="E-6482" u="1"/>
        <s v="E-6483" u="1"/>
        <s v="E-6484" u="1"/>
        <s v="E-6485" u="1"/>
        <s v="E-6487" u="1"/>
        <s v="E-6489" u="1"/>
        <s v="E-6490" u="1"/>
        <s v="E-6491" u="1"/>
        <s v="E-6492" u="1"/>
        <s v="E-6493" u="1"/>
        <s v="E-6494" u="1"/>
        <s v="E-6495" u="1"/>
        <s v="E-6496" u="1"/>
        <s v="E-6497" u="1"/>
        <s v="E-6498" u="1"/>
        <s v="E-6499" u="1"/>
        <s v="E-6500" u="1"/>
        <s v="E-6501" u="1"/>
        <s v="E-6502" u="1"/>
        <s v="E-6503" u="1"/>
        <s v="E-6504" u="1"/>
        <s v="E-6505" u="1"/>
        <s v="E-6506" u="1"/>
        <s v="E-6508" u="1"/>
        <s v="E-6509" u="1"/>
        <s v="E-6510" u="1"/>
        <s v="E-6511" u="1"/>
        <s v="E-6512" u="1"/>
        <s v="E-6513" u="1"/>
        <s v="E-6514" u="1"/>
        <s v="E-6515" u="1"/>
        <s v="E-6516" u="1"/>
        <s v="E-6517" u="1"/>
        <s v="E-6518" u="1"/>
        <s v="E-6520" u="1"/>
        <s v="E-6521" u="1"/>
        <s v="E-6522" u="1"/>
        <s v="E-6523" u="1"/>
        <s v="E-6524" u="1"/>
        <s v="E-6525" u="1"/>
        <s v="E-6526" u="1"/>
        <s v="E-6527" u="1"/>
        <s v="E-6528" u="1"/>
        <s v="E-6529" u="1"/>
        <s v="E-6530" u="1"/>
        <s v="E-6531" u="1"/>
        <s v="E-6532" u="1"/>
        <s v="E-6533" u="1"/>
        <s v="E-6534" u="1"/>
        <s v="E-6535" u="1"/>
        <s v="E-6537" u="1"/>
        <s v="E-6538" u="1"/>
        <s v="E-6539" u="1"/>
        <s v="E-6540" u="1"/>
        <s v="E-6541" u="1"/>
        <s v="E-6542" u="1"/>
        <s v="E-6543" u="1"/>
        <s v="E-6544" u="1"/>
        <s v="E-6545" u="1"/>
        <s v="E-6546" u="1"/>
        <s v="E-6547" u="1"/>
        <s v="E-6548" u="1"/>
        <s v="E-6549" u="1"/>
        <s v="E-6550" u="1"/>
        <s v="E-6551" u="1"/>
        <s v="E-6552" u="1"/>
        <s v="E-6555" u="1"/>
        <s v="E-6556" u="1"/>
        <s v="E-6557" u="1"/>
        <s v="E-6558" u="1"/>
        <s v="E-6559" u="1"/>
        <s v="E-6560" u="1"/>
        <s v="E-6561" u="1"/>
        <s v="E-6562" u="1"/>
        <s v="E-6563" u="1"/>
        <s v="E-6564" u="1"/>
        <s v="E-6565" u="1"/>
        <s v="E-6566" u="1"/>
        <s v="E-6567" u="1"/>
        <s v="E-6568" u="1"/>
        <s v="E-6569" u="1"/>
        <s v="E-6570" u="1"/>
        <s v="E-6571" u="1"/>
        <s v="E-6572" u="1"/>
        <s v="E-6573" u="1"/>
        <s v="E-6574" u="1"/>
        <s v="E-6575" u="1"/>
        <s v="E-6576" u="1"/>
        <s v="E-6577" u="1"/>
        <s v="E-6578" u="1"/>
        <s v="E-6579" u="1"/>
        <s v="E-6580" u="1"/>
        <s v="E-6581" u="1"/>
        <s v="E-6582" u="1"/>
        <s v="E-6583" u="1"/>
        <s v="E-6584" u="1"/>
        <s v="E-6585" u="1"/>
        <s v="E-6586" u="1"/>
        <s v="E-6588" u="1"/>
        <s v="E-6590" u="1"/>
        <s v="E-6591" u="1"/>
        <s v="E-6593" u="1"/>
        <s v="E-6594" u="1"/>
        <s v="E-6595" u="1"/>
        <s v="E-6596" u="1"/>
        <s v="E-6597" u="1"/>
        <s v="E-6598" u="1"/>
        <s v="E-6599" u="1"/>
        <s v="E-6600" u="1"/>
        <s v="E-6601" u="1"/>
        <s v="E-6603" u="1"/>
        <s v="E-6604" u="1"/>
        <s v="E-6605" u="1"/>
        <s v="E-6606" u="1"/>
        <s v="E-6607" u="1"/>
        <s v="E-6608" u="1"/>
        <s v="E-6609" u="1"/>
        <s v="E-6610" u="1"/>
        <s v="E-6611" u="1"/>
        <s v="E-6612" u="1"/>
        <s v="E-6613" u="1"/>
        <s v="E-6614" u="1"/>
        <s v="E-6615" u="1"/>
        <s v="E-6616" u="1"/>
        <s v="E-6618" u="1"/>
        <s v="E-6619" u="1"/>
        <s v="E-6620" u="1"/>
        <s v="E-6622" u="1"/>
        <s v="E-6623" u="1"/>
        <s v="E-6624" u="1"/>
        <s v="E-6625" u="1"/>
        <s v="E-6626" u="1"/>
        <s v="E-6627" u="1"/>
        <s v="E-6628" u="1"/>
        <s v="E-6630" u="1"/>
        <s v="E-6632" u="1"/>
        <s v="E-6633" u="1"/>
        <s v="E-6634" u="1"/>
        <s v="E-6635" u="1"/>
        <s v="E-6636" u="1"/>
        <s v="E-6637" u="1"/>
        <s v="E-6639" u="1"/>
        <s v="E-6640" u="1"/>
        <s v="E-6641" u="1"/>
        <s v="E-6642" u="1"/>
        <s v="E-6643" u="1"/>
        <s v="E-6644" u="1"/>
        <s v="E-6645" u="1"/>
        <s v="E-6646" u="1"/>
        <s v="E-6647" u="1"/>
        <s v="E-6649" u="1"/>
        <s v="E-6650" u="1"/>
        <s v="E-6651" u="1"/>
        <s v="E-6652" u="1"/>
        <s v="E-6653" u="1"/>
        <s v="E-6654" u="1"/>
        <s v="E-6655" u="1"/>
        <s v="E-6656" u="1"/>
        <s v="E-6657" u="1"/>
        <s v="E-6658" u="1"/>
        <s v="E-6659" u="1"/>
        <s v="E-6661" u="1"/>
        <s v="E-6662" u="1"/>
        <s v="E-6663" u="1"/>
        <s v="E-6664" u="1"/>
        <s v="E-6665" u="1"/>
        <s v="E-6666" u="1"/>
        <s v="E-6667" u="1"/>
        <s v="E-6668" u="1"/>
        <s v="E-6669" u="1"/>
        <s v="E-6670" u="1"/>
        <s v="E-6671" u="1"/>
        <s v="E-6672" u="1"/>
        <s v="E-6673" u="1"/>
        <s v="E-6674" u="1"/>
        <s v="E-6675" u="1"/>
        <s v="E-6676" u="1"/>
        <s v="E-6677" u="1"/>
        <s v="E-6678" u="1"/>
        <s v="E-6679" u="1"/>
        <s v="E-6680" u="1"/>
        <s v="E-6681" u="1"/>
        <s v="E-6682" u="1"/>
        <s v="E-6683" u="1"/>
        <s v="E-6684" u="1"/>
        <s v="E-6685" u="1"/>
        <s v="E-6686" u="1"/>
        <s v="E-6687" u="1"/>
        <s v="E-6688" u="1"/>
        <s v="E-6689" u="1"/>
        <s v="E-6690" u="1"/>
        <s v="E-6691" u="1"/>
        <s v="E-6692" u="1"/>
        <s v="E-6693" u="1"/>
        <s v="E-6694" u="1"/>
        <s v="E-6695" u="1"/>
        <s v="E-6696" u="1"/>
        <s v="E-6697" u="1"/>
        <s v="E-6698" u="1"/>
        <s v="E-6699" u="1"/>
        <s v="E-6700" u="1"/>
        <s v="E-6701" u="1"/>
        <s v="E-6703" u="1"/>
        <s v="E-6704" u="1"/>
        <s v="E-6705" u="1"/>
        <s v="E-6706" u="1"/>
        <s v="E-6707" u="1"/>
        <s v="E-6708" u="1"/>
        <s v="E-6709" u="1"/>
        <s v="E-6710" u="1"/>
        <s v="E-6711" u="1"/>
        <s v="E-6712" u="1"/>
        <s v="E-6713" u="1"/>
        <s v="E-6714" u="1"/>
        <s v="E-6715" u="1"/>
        <s v="E-6716" u="1"/>
        <s v="E-6717" u="1"/>
        <s v="E-6718" u="1"/>
        <s v="E-6719" u="1"/>
        <s v="E-6720" u="1"/>
        <s v="E-6721" u="1"/>
        <s v="E-6722" u="1"/>
        <s v="E-6723" u="1"/>
        <s v="E-6724" u="1"/>
        <s v="E-6725" u="1"/>
        <s v="E-6726" u="1"/>
        <s v="E-6727" u="1"/>
        <s v="E-6728" u="1"/>
        <s v="E-6729" u="1"/>
        <s v="E-6730" u="1"/>
        <s v="E-6731" u="1"/>
        <s v="E-6732" u="1"/>
        <s v="E-6734" u="1"/>
        <s v="E-6735" u="1"/>
        <s v="E-6736" u="1"/>
        <s v="E-6737" u="1"/>
        <s v="E-6738" u="1"/>
        <s v="E-6739" u="1"/>
        <s v="E-6740" u="1"/>
        <s v="E-6741" u="1"/>
        <s v="E-6742" u="1"/>
        <s v="E-6743" u="1"/>
        <s v="E-6744" u="1"/>
        <s v="E-6745" u="1"/>
        <s v="E-6746" u="1"/>
        <s v="E-6747" u="1"/>
        <s v="E-6748" u="1"/>
        <s v="E-6749" u="1"/>
        <s v="E-6750" u="1"/>
        <s v="E-6751" u="1"/>
        <s v="E-6752" u="1"/>
        <s v="E-6754" u="1"/>
        <s v="E-6755" u="1"/>
        <s v="E-6757" u="1"/>
        <s v="E-6758" u="1"/>
        <s v="E-6759" u="1"/>
        <s v="E-6760" u="1"/>
        <s v="E-6761" u="1"/>
        <s v="E-6762" u="1"/>
        <s v="E-6763" u="1"/>
        <s v="E-6764" u="1"/>
        <s v="E-6765" u="1"/>
        <s v="E-6766" u="1"/>
        <s v="E-6767" u="1"/>
        <s v="E-6768" u="1"/>
        <s v="E-6769" u="1"/>
        <s v="E-6770" u="1"/>
        <s v="E-6771" u="1"/>
        <s v="E-6772" u="1"/>
        <s v="E-6773" u="1"/>
        <s v="E-6774" u="1"/>
        <s v="E-6775" u="1"/>
        <s v="E-6776" u="1"/>
        <s v="E-6777" u="1"/>
        <s v="E-6778" u="1"/>
        <s v="E-6779" u="1"/>
        <s v="E-6780" u="1"/>
        <s v="E-6781" u="1"/>
        <s v="E-6782" u="1"/>
        <s v="E-6783" u="1"/>
        <s v="E-6784" u="1"/>
        <s v="E-6785" u="1"/>
        <s v="E-6786" u="1"/>
        <s v="E-6787" u="1"/>
        <s v="E-6788" u="1"/>
        <s v="E-6789" u="1"/>
        <s v="E-6790" u="1"/>
        <s v="E-6791" u="1"/>
        <s v="E-6792" u="1"/>
        <s v="E-6793" u="1"/>
        <s v="E-6794" u="1"/>
        <s v="E-6795" u="1"/>
        <s v="E-6796" u="1"/>
        <s v="E-6797" u="1"/>
        <s v="E-6798" u="1"/>
        <s v="E-6799" u="1"/>
        <s v="E-6800" u="1"/>
        <s v="E-6801" u="1"/>
        <s v="E-6802" u="1"/>
        <s v="E-6803" u="1"/>
        <s v="E-6804" u="1"/>
        <s v="E-6805" u="1"/>
        <s v="E-6806" u="1"/>
        <s v="E-6807" u="1"/>
        <s v="E-6808" u="1"/>
        <s v="E-6809" u="1"/>
        <s v="E-6810" u="1"/>
        <s v="E-6811" u="1"/>
        <s v="E-6812" u="1"/>
        <s v="E-6814" u="1"/>
        <s v="E-6815" u="1"/>
        <s v="E-6816" u="1"/>
        <s v="E-6817" u="1"/>
        <s v="E-6818" u="1"/>
        <s v="E-6819" u="1"/>
        <s v="E-6820" u="1"/>
        <s v="E-6821" u="1"/>
        <s v="E-6822" u="1"/>
        <s v="E-6823" u="1"/>
        <s v="E-6824" u="1"/>
        <s v="E-6825" u="1"/>
        <s v="E-6826" u="1"/>
        <s v="E-6827" u="1"/>
        <s v="E-6828" u="1"/>
        <s v="E-6829" u="1"/>
        <s v="E-6830" u="1"/>
        <s v="E-6832" u="1"/>
        <s v="E-6834" u="1"/>
        <s v="E-6836" u="1"/>
        <s v="E-6837" u="1"/>
        <s v="E-6838" u="1"/>
        <s v="E-6839" u="1"/>
        <s v="E-6840" u="1"/>
        <s v="E-6841" u="1"/>
        <s v="E-6842" u="1"/>
        <s v="E-6843" u="1"/>
        <s v="E-6844" u="1"/>
        <s v="E-6845" u="1"/>
        <s v="E-6846" u="1"/>
        <s v="E-6847" u="1"/>
        <s v="E-6848" u="1"/>
        <s v="E-6849" u="1"/>
        <s v="E-6850" u="1"/>
        <s v="E-6851" u="1"/>
        <s v="E-6852" u="1"/>
        <s v="E-6853" u="1"/>
        <s v="E-6854" u="1"/>
        <s v="E-6855" u="1"/>
        <s v="E-6856" u="1"/>
        <s v="E-6857" u="1"/>
        <s v="E-6858" u="1"/>
        <s v="E-6859" u="1"/>
        <s v="E-6860" u="1"/>
        <s v="E-6861" u="1"/>
        <s v="E-6862" u="1"/>
        <s v="E-6863" u="1"/>
        <s v="E-6864" u="1"/>
        <s v="E-6865" u="1"/>
        <s v="E-6866" u="1"/>
        <s v="E-6867" u="1"/>
        <s v="E-6868" u="1"/>
        <s v="E-6870" u="1"/>
        <s v="E-6871" u="1"/>
        <s v="E-6872" u="1"/>
        <s v="E-6873" u="1"/>
        <s v="E-6874" u="1"/>
        <s v="E-6875" u="1"/>
        <s v="E-6876" u="1"/>
        <s v="E-6877" u="1"/>
        <s v="E-6878" u="1"/>
        <s v="E-6879" u="1"/>
        <s v="E-6880" u="1"/>
        <s v="E-6881" u="1"/>
        <s v="E-6882" u="1"/>
        <s v="E-6883" u="1"/>
        <s v="E-6885" u="1"/>
        <s v="E-6886" u="1"/>
        <s v="E-6887" u="1"/>
        <s v="E-6888" u="1"/>
        <s v="E-6889" u="1"/>
        <s v="E-6890" u="1"/>
        <s v="E-6891" u="1"/>
        <s v="E-6893" u="1"/>
        <s v="E-6894" u="1"/>
        <s v="E-6895" u="1"/>
        <s v="E-6896" u="1"/>
        <s v="E-6897" u="1"/>
        <s v="E-6898" u="1"/>
        <s v="E-6899" u="1"/>
        <s v="E-6901" u="1"/>
        <s v="E-6902" u="1"/>
        <s v="E-6903" u="1"/>
        <s v="E-6904" u="1"/>
        <s v="E-6905" u="1"/>
        <s v="E-6906" u="1"/>
        <s v="E-6908" u="1"/>
        <s v="E-6909" u="1"/>
        <s v="E-6910" u="1"/>
        <s v="E-6911" u="1"/>
        <s v="E-6912" u="1"/>
        <s v="E-6913" u="1"/>
        <s v="E-6914" u="1"/>
        <s v="E-6916" u="1"/>
        <s v="E-6917" u="1"/>
        <s v="E-6918" u="1"/>
        <s v="E-6919" u="1"/>
        <s v="E-6920" u="1"/>
        <s v="E-6921" u="1"/>
        <s v="E-6922" u="1"/>
        <s v="E-6924" u="1"/>
        <s v="E-6925" u="1"/>
        <s v="E-6926" u="1"/>
        <s v="E-6928" u="1"/>
        <s v="E-6929" u="1"/>
        <s v="E-6930" u="1"/>
        <s v="E-6931" u="1"/>
        <s v="E-6932" u="1"/>
        <s v="E-6933" u="1"/>
        <s v="E-6934" u="1"/>
        <s v="E-6935" u="1"/>
        <s v="E-6936" u="1"/>
        <s v="E-6937" u="1"/>
        <s v="E-6938" u="1"/>
        <s v="E-6939" u="1"/>
        <s v="E-6940" u="1"/>
        <s v="E-6941" u="1"/>
        <s v="E-6943" u="1"/>
        <s v="E-6945" u="1"/>
        <s v="E-6946" u="1"/>
        <s v="E-6947" u="1"/>
        <s v="E-6948" u="1"/>
        <s v="E-6949" u="1"/>
        <s v="E-6951" u="1"/>
        <s v="E-6952" u="1"/>
        <s v="E-6953" u="1"/>
        <s v="E-6954" u="1"/>
        <s v="E-6955" u="1"/>
        <s v="E-6956" u="1"/>
        <s v="E-6957" u="1"/>
        <s v="E-6958" u="1"/>
        <s v="E-6959" u="1"/>
        <s v="E-6960" u="1"/>
        <s v="E-6961" u="1"/>
        <s v="E-6962" u="1"/>
        <s v="E-6963" u="1"/>
        <s v="E-6964" u="1"/>
        <s v="E-6965" u="1"/>
        <s v="E-6966" u="1"/>
        <s v="E-6967" u="1"/>
        <s v="E-6969" u="1"/>
        <s v="E-6970" u="1"/>
        <s v="E-6971" u="1"/>
        <s v="E-6972" u="1"/>
        <s v="E-6973" u="1"/>
        <s v="E-6974" u="1"/>
        <s v="E-6975" u="1"/>
        <s v="E-6976" u="1"/>
        <s v="E-6977" u="1"/>
        <s v="E-6980" u="1"/>
        <s v="E-6981" u="1"/>
        <s v="E-6982" u="1"/>
        <s v="E-6983" u="1"/>
        <s v="E-6984" u="1"/>
        <s v="E-6985" u="1"/>
        <s v="E-6986" u="1"/>
        <s v="E-6988" u="1"/>
        <s v="E-6989" u="1"/>
        <s v="E-6990" u="1"/>
        <s v="E-6991" u="1"/>
        <s v="E-6992" u="1"/>
        <s v="E-6993" u="1"/>
        <s v="E-6994" u="1"/>
        <s v="E-6995" u="1"/>
        <s v="E-6996" u="1"/>
        <s v="E-6997" u="1"/>
        <s v="E-6999" u="1"/>
      </sharedItems>
    </cacheField>
    <cacheField name="Department_ID" numFmtId="0">
      <sharedItems/>
    </cacheField>
    <cacheField name="Department" numFmtId="0">
      <sharedItems count="6">
        <s v="HR"/>
        <s v="IT"/>
        <s v="Sales"/>
        <s v="Finance"/>
        <s v="Operations"/>
        <s v="Marketing"/>
      </sharedItems>
    </cacheField>
    <cacheField name="Gender" numFmtId="0">
      <sharedItems count="2">
        <s v="Male"/>
        <s v="Female"/>
      </sharedItems>
    </cacheField>
    <cacheField name="Age" numFmtId="0">
      <sharedItems containsSemiMixedTypes="0" containsString="0" containsNumber="1" containsInteger="1" minValue="22" maxValue="60"/>
    </cacheField>
    <cacheField name="Age_Bracket" numFmtId="0">
      <sharedItems/>
    </cacheField>
    <cacheField name="Hire_Date" numFmtId="14">
      <sharedItems containsSemiMixedTypes="0" containsNonDate="0" containsDate="1" containsString="0" minDate="2020-01-10T00:00:00" maxDate="2025-10-19T00:00:00"/>
    </cacheField>
    <cacheField name="Year" numFmtId="0">
      <sharedItems containsSemiMixedTypes="0" containsString="0" containsNumber="1" containsInteger="1" minValue="2010" maxValue="2025" count="16">
        <n v="2021"/>
        <n v="2022"/>
        <n v="2020"/>
        <n v="2023"/>
        <n v="2024"/>
        <n v="2025"/>
        <n v="2019" u="1"/>
        <n v="2012" u="1"/>
        <n v="2010" u="1"/>
        <n v="2014" u="1"/>
        <n v="2013" u="1"/>
        <n v="2015" u="1"/>
        <n v="2011" u="1"/>
        <n v="2017" u="1"/>
        <n v="2016" u="1"/>
        <n v="2018" u="1"/>
      </sharedItems>
    </cacheField>
    <cacheField name="Month" numFmtId="0">
      <sharedItems count="12">
        <s v="March"/>
        <s v="May"/>
        <s v="January"/>
        <s v="November"/>
        <s v="July"/>
        <s v="June"/>
        <s v="April"/>
        <s v="September"/>
        <s v="December"/>
        <s v="February"/>
        <s v="October"/>
        <s v="August"/>
      </sharedItems>
    </cacheField>
    <cacheField name="Day" numFmtId="0">
      <sharedItems containsSemiMixedTypes="0" containsString="0" containsNumber="1" containsInteger="1" minValue="1" maxValue="31"/>
    </cacheField>
    <cacheField name="Performance_Score" numFmtId="0">
      <sharedItems containsSemiMixedTypes="0" containsString="0" containsNumber="1" minValue="1.5" maxValue="5"/>
    </cacheField>
    <cacheField name="Absences_per_Month" numFmtId="0">
      <sharedItems containsSemiMixedTypes="0" containsString="0" containsNumber="1" containsInteger="1" minValue="0" maxValue="15"/>
    </cacheField>
    <cacheField name="Salary_USD" numFmtId="0">
      <sharedItems containsSemiMixedTypes="0" containsString="0" containsNumber="1" minValue="3000.36" maxValue="14997.15"/>
    </cacheField>
    <cacheField name="Tenure_Years" numFmtId="0">
      <sharedItems containsSemiMixedTypes="0" containsString="0" containsNumber="1" minValue="0" maxValue="5.8"/>
    </cacheField>
    <cacheField name="Tenure_Bracket" numFmtId="0">
      <sharedItems count="4">
        <s v="Early Career (2-5 yr)"/>
        <s v="Mid Career (6–10 yr)"/>
        <s v="New (0–1 yr)"/>
        <s v="Veteran (11+ yr)" u="1"/>
      </sharedItems>
    </cacheField>
  </cacheFields>
  <extLst>
    <ext xmlns:x14="http://schemas.microsoft.com/office/spreadsheetml/2009/9/main" uri="{725AE2AE-9491-48be-B2B4-4EB974FC3084}">
      <x14:pivotCacheDefinition pivotCacheId="1607683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
  <r>
    <x v="0"/>
    <s v="HR-01"/>
    <x v="0"/>
    <x v="0"/>
    <n v="43"/>
    <s v="Middle Age (32-50)"/>
    <d v="2021-03-06T00:00:00"/>
    <x v="0"/>
    <x v="0"/>
    <n v="6"/>
    <n v="2.13"/>
    <n v="0"/>
    <n v="3895.18"/>
    <n v="4.7"/>
    <x v="0"/>
  </r>
  <r>
    <x v="1"/>
    <s v="IT-01"/>
    <x v="1"/>
    <x v="0"/>
    <n v="34"/>
    <s v="Middle Age (32-50)"/>
    <d v="2022-05-06T00:00:00"/>
    <x v="1"/>
    <x v="1"/>
    <n v="6"/>
    <n v="4.09"/>
    <n v="8"/>
    <n v="10680.43"/>
    <n v="3.5"/>
    <x v="0"/>
  </r>
  <r>
    <x v="2"/>
    <s v="IT-01"/>
    <x v="1"/>
    <x v="1"/>
    <n v="39"/>
    <s v="Middle Age (32-50)"/>
    <d v="2022-01-05T00:00:00"/>
    <x v="1"/>
    <x v="2"/>
    <n v="5"/>
    <n v="4.49"/>
    <n v="14"/>
    <n v="10850.25"/>
    <n v="3.8"/>
    <x v="0"/>
  </r>
  <r>
    <x v="3"/>
    <s v="SA-01"/>
    <x v="2"/>
    <x v="0"/>
    <n v="55"/>
    <s v="Old (51-65)"/>
    <d v="2020-11-24T00:00:00"/>
    <x v="2"/>
    <x v="3"/>
    <n v="24"/>
    <n v="2.4300000000000002"/>
    <n v="12"/>
    <n v="4237.22"/>
    <n v="4.9000000000000004"/>
    <x v="0"/>
  </r>
  <r>
    <x v="4"/>
    <s v="FI-01"/>
    <x v="3"/>
    <x v="1"/>
    <n v="27"/>
    <s v="Young (20-31)"/>
    <d v="2021-03-29T00:00:00"/>
    <x v="0"/>
    <x v="0"/>
    <n v="29"/>
    <n v="2.68"/>
    <n v="3"/>
    <n v="7679.81"/>
    <n v="4.5999999999999996"/>
    <x v="0"/>
  </r>
  <r>
    <x v="5"/>
    <s v="FI-01"/>
    <x v="3"/>
    <x v="1"/>
    <n v="42"/>
    <s v="Middle Age (32-50)"/>
    <d v="2023-07-04T00:00:00"/>
    <x v="3"/>
    <x v="4"/>
    <n v="4"/>
    <n v="2.94"/>
    <n v="3"/>
    <n v="9556.83"/>
    <n v="2.2999999999999998"/>
    <x v="0"/>
  </r>
  <r>
    <x v="6"/>
    <s v="OP-01"/>
    <x v="4"/>
    <x v="0"/>
    <n v="40"/>
    <s v="Middle Age (32-50)"/>
    <d v="2022-05-19T00:00:00"/>
    <x v="1"/>
    <x v="1"/>
    <n v="19"/>
    <n v="4.26"/>
    <n v="7"/>
    <n v="12468.25"/>
    <n v="3.5"/>
    <x v="0"/>
  </r>
  <r>
    <x v="7"/>
    <s v="OP-01"/>
    <x v="4"/>
    <x v="0"/>
    <n v="44"/>
    <s v="Middle Age (32-50)"/>
    <d v="2023-06-23T00:00:00"/>
    <x v="3"/>
    <x v="5"/>
    <n v="23"/>
    <n v="3.75"/>
    <n v="9"/>
    <n v="4124.55"/>
    <n v="2.4"/>
    <x v="0"/>
  </r>
  <r>
    <x v="8"/>
    <s v="OP-01"/>
    <x v="4"/>
    <x v="0"/>
    <n v="55"/>
    <s v="Old (51-65)"/>
    <d v="2023-04-22T00:00:00"/>
    <x v="3"/>
    <x v="6"/>
    <n v="22"/>
    <n v="3.06"/>
    <n v="0"/>
    <n v="9508.4699999999993"/>
    <n v="2.5"/>
    <x v="0"/>
  </r>
  <r>
    <x v="9"/>
    <s v="HR-01"/>
    <x v="0"/>
    <x v="1"/>
    <n v="53"/>
    <s v="Old (51-65)"/>
    <d v="2022-09-11T00:00:00"/>
    <x v="1"/>
    <x v="7"/>
    <n v="11"/>
    <n v="1.89"/>
    <n v="11"/>
    <n v="5288.77"/>
    <n v="3.1"/>
    <x v="0"/>
  </r>
  <r>
    <x v="10"/>
    <s v="HR-01"/>
    <x v="0"/>
    <x v="1"/>
    <n v="32"/>
    <s v="Middle Age (32-50)"/>
    <d v="2021-12-27T00:00:00"/>
    <x v="0"/>
    <x v="8"/>
    <n v="27"/>
    <n v="1.73"/>
    <n v="7"/>
    <n v="9091.7900000000009"/>
    <n v="3.8"/>
    <x v="0"/>
  </r>
  <r>
    <x v="11"/>
    <s v="SA-01"/>
    <x v="2"/>
    <x v="1"/>
    <n v="34"/>
    <s v="Middle Age (32-50)"/>
    <d v="2024-02-04T00:00:00"/>
    <x v="4"/>
    <x v="9"/>
    <n v="4"/>
    <n v="4.1399999999999997"/>
    <n v="14"/>
    <n v="12913.35"/>
    <n v="1.7"/>
    <x v="0"/>
  </r>
  <r>
    <x v="12"/>
    <s v="IT-01"/>
    <x v="1"/>
    <x v="0"/>
    <n v="24"/>
    <s v="Young (20-31)"/>
    <d v="2024-06-03T00:00:00"/>
    <x v="4"/>
    <x v="5"/>
    <n v="3"/>
    <n v="2.4700000000000002"/>
    <n v="2"/>
    <n v="3891.54"/>
    <n v="1.4"/>
    <x v="0"/>
  </r>
  <r>
    <x v="13"/>
    <s v="MA-01"/>
    <x v="5"/>
    <x v="0"/>
    <n v="45"/>
    <s v="Middle Age (32-50)"/>
    <d v="2020-02-06T00:00:00"/>
    <x v="2"/>
    <x v="9"/>
    <n v="6"/>
    <n v="4.82"/>
    <n v="11"/>
    <n v="3194.13"/>
    <n v="5.7"/>
    <x v="1"/>
  </r>
  <r>
    <x v="14"/>
    <s v="IT-01"/>
    <x v="1"/>
    <x v="1"/>
    <n v="59"/>
    <s v="Old (51-65)"/>
    <d v="2023-01-17T00:00:00"/>
    <x v="3"/>
    <x v="2"/>
    <n v="17"/>
    <n v="2.95"/>
    <n v="7"/>
    <n v="10187.15"/>
    <n v="2.8"/>
    <x v="0"/>
  </r>
  <r>
    <x v="15"/>
    <s v="OP-01"/>
    <x v="4"/>
    <x v="0"/>
    <n v="49"/>
    <s v="Middle Age (32-50)"/>
    <d v="2024-07-12T00:00:00"/>
    <x v="4"/>
    <x v="4"/>
    <n v="12"/>
    <n v="1.78"/>
    <n v="5"/>
    <n v="14128.24"/>
    <n v="1.3"/>
    <x v="0"/>
  </r>
  <r>
    <x v="16"/>
    <s v="SA-01"/>
    <x v="2"/>
    <x v="0"/>
    <n v="38"/>
    <s v="Middle Age (32-50)"/>
    <d v="2020-01-20T00:00:00"/>
    <x v="2"/>
    <x v="2"/>
    <n v="20"/>
    <n v="4.76"/>
    <n v="3"/>
    <n v="3651.84"/>
    <n v="5.8"/>
    <x v="1"/>
  </r>
  <r>
    <x v="17"/>
    <s v="MA-01"/>
    <x v="5"/>
    <x v="0"/>
    <n v="53"/>
    <s v="Old (51-65)"/>
    <d v="2024-05-01T00:00:00"/>
    <x v="4"/>
    <x v="1"/>
    <n v="1"/>
    <n v="2.95"/>
    <n v="12"/>
    <n v="7609.68"/>
    <n v="1.5"/>
    <x v="0"/>
  </r>
  <r>
    <x v="18"/>
    <s v="FI-01"/>
    <x v="3"/>
    <x v="1"/>
    <n v="38"/>
    <s v="Middle Age (32-50)"/>
    <d v="2024-11-06T00:00:00"/>
    <x v="4"/>
    <x v="3"/>
    <n v="6"/>
    <n v="4.24"/>
    <n v="5"/>
    <n v="10789.2"/>
    <n v="1"/>
    <x v="2"/>
  </r>
  <r>
    <x v="19"/>
    <s v="HR-01"/>
    <x v="0"/>
    <x v="0"/>
    <n v="27"/>
    <s v="Young (20-31)"/>
    <d v="2024-01-19T00:00:00"/>
    <x v="4"/>
    <x v="2"/>
    <n v="19"/>
    <n v="3.05"/>
    <n v="7"/>
    <n v="13323.12"/>
    <n v="1.8"/>
    <x v="0"/>
  </r>
  <r>
    <x v="20"/>
    <s v="HR-01"/>
    <x v="0"/>
    <x v="0"/>
    <n v="49"/>
    <s v="Middle Age (32-50)"/>
    <d v="2021-10-20T00:00:00"/>
    <x v="0"/>
    <x v="10"/>
    <n v="20"/>
    <n v="2.2200000000000002"/>
    <n v="9"/>
    <n v="6112.66"/>
    <n v="4"/>
    <x v="0"/>
  </r>
  <r>
    <x v="21"/>
    <s v="FI-01"/>
    <x v="3"/>
    <x v="1"/>
    <n v="36"/>
    <s v="Middle Age (32-50)"/>
    <d v="2024-02-16T00:00:00"/>
    <x v="4"/>
    <x v="9"/>
    <n v="16"/>
    <n v="3.24"/>
    <n v="2"/>
    <n v="3328.06"/>
    <n v="1.7"/>
    <x v="0"/>
  </r>
  <r>
    <x v="22"/>
    <s v="OP-01"/>
    <x v="4"/>
    <x v="1"/>
    <n v="22"/>
    <s v="Young (20-31)"/>
    <d v="2025-04-03T00:00:00"/>
    <x v="5"/>
    <x v="6"/>
    <n v="3"/>
    <n v="1.95"/>
    <n v="5"/>
    <n v="12414.29"/>
    <n v="0.6"/>
    <x v="2"/>
  </r>
  <r>
    <x v="23"/>
    <s v="OP-01"/>
    <x v="4"/>
    <x v="1"/>
    <n v="58"/>
    <s v="Old (51-65)"/>
    <d v="2021-01-01T00:00:00"/>
    <x v="0"/>
    <x v="2"/>
    <n v="1"/>
    <n v="3.41"/>
    <n v="9"/>
    <n v="6506.59"/>
    <n v="4.8"/>
    <x v="0"/>
  </r>
  <r>
    <x v="24"/>
    <s v="HR-01"/>
    <x v="0"/>
    <x v="1"/>
    <n v="39"/>
    <s v="Middle Age (32-50)"/>
    <d v="2022-01-27T00:00:00"/>
    <x v="1"/>
    <x v="2"/>
    <n v="27"/>
    <n v="3.12"/>
    <n v="11"/>
    <n v="4465.97"/>
    <n v="3.8"/>
    <x v="0"/>
  </r>
  <r>
    <x v="25"/>
    <s v="MA-01"/>
    <x v="5"/>
    <x v="1"/>
    <n v="52"/>
    <s v="Old (51-65)"/>
    <d v="2021-09-26T00:00:00"/>
    <x v="0"/>
    <x v="7"/>
    <n v="26"/>
    <n v="4.7300000000000004"/>
    <n v="0"/>
    <n v="12119.39"/>
    <n v="4.0999999999999996"/>
    <x v="0"/>
  </r>
  <r>
    <x v="26"/>
    <s v="SA-01"/>
    <x v="2"/>
    <x v="0"/>
    <n v="50"/>
    <s v="Middle Age (32-50)"/>
    <d v="2025-09-27T00:00:00"/>
    <x v="5"/>
    <x v="7"/>
    <n v="27"/>
    <n v="2.63"/>
    <n v="5"/>
    <n v="5626.69"/>
    <n v="0.1"/>
    <x v="2"/>
  </r>
  <r>
    <x v="27"/>
    <s v="IT-01"/>
    <x v="1"/>
    <x v="0"/>
    <n v="52"/>
    <s v="Old (51-65)"/>
    <d v="2021-05-03T00:00:00"/>
    <x v="0"/>
    <x v="1"/>
    <n v="3"/>
    <n v="3.44"/>
    <n v="8"/>
    <n v="12346.44"/>
    <n v="4.5"/>
    <x v="0"/>
  </r>
  <r>
    <x v="28"/>
    <s v="OP-01"/>
    <x v="4"/>
    <x v="0"/>
    <n v="53"/>
    <s v="Old (51-65)"/>
    <d v="2023-10-13T00:00:00"/>
    <x v="3"/>
    <x v="10"/>
    <n v="13"/>
    <n v="2.1"/>
    <n v="1"/>
    <n v="6691.86"/>
    <n v="2.1"/>
    <x v="0"/>
  </r>
  <r>
    <x v="29"/>
    <s v="OP-01"/>
    <x v="4"/>
    <x v="1"/>
    <n v="35"/>
    <s v="Middle Age (32-50)"/>
    <d v="2025-08-18T00:00:00"/>
    <x v="5"/>
    <x v="11"/>
    <n v="18"/>
    <n v="3.91"/>
    <n v="7"/>
    <n v="4748.5"/>
    <n v="0.2"/>
    <x v="2"/>
  </r>
  <r>
    <x v="30"/>
    <s v="FI-01"/>
    <x v="3"/>
    <x v="0"/>
    <n v="23"/>
    <s v="Young (20-31)"/>
    <d v="2023-05-21T00:00:00"/>
    <x v="3"/>
    <x v="1"/>
    <n v="21"/>
    <n v="4.6100000000000003"/>
    <n v="11"/>
    <n v="6759.8"/>
    <n v="2.5"/>
    <x v="0"/>
  </r>
  <r>
    <x v="31"/>
    <s v="FI-01"/>
    <x v="3"/>
    <x v="0"/>
    <n v="52"/>
    <s v="Old (51-65)"/>
    <d v="2020-05-10T00:00:00"/>
    <x v="2"/>
    <x v="1"/>
    <n v="10"/>
    <n v="2.08"/>
    <n v="3"/>
    <n v="9404.36"/>
    <n v="5.5"/>
    <x v="1"/>
  </r>
  <r>
    <x v="32"/>
    <s v="HR-01"/>
    <x v="0"/>
    <x v="0"/>
    <n v="45"/>
    <s v="Middle Age (32-50)"/>
    <d v="2021-03-28T00:00:00"/>
    <x v="0"/>
    <x v="0"/>
    <n v="28"/>
    <n v="2.67"/>
    <n v="9"/>
    <n v="5624.49"/>
    <n v="4.5999999999999996"/>
    <x v="0"/>
  </r>
  <r>
    <x v="33"/>
    <s v="IT-01"/>
    <x v="1"/>
    <x v="0"/>
    <n v="48"/>
    <s v="Middle Age (32-50)"/>
    <d v="2022-03-02T00:00:00"/>
    <x v="1"/>
    <x v="0"/>
    <n v="2"/>
    <n v="3.94"/>
    <n v="15"/>
    <n v="9839.67"/>
    <n v="3.7"/>
    <x v="0"/>
  </r>
  <r>
    <x v="34"/>
    <s v="MA-01"/>
    <x v="5"/>
    <x v="1"/>
    <n v="54"/>
    <s v="Old (51-65)"/>
    <d v="2020-08-23T00:00:00"/>
    <x v="2"/>
    <x v="11"/>
    <n v="23"/>
    <n v="4.33"/>
    <n v="9"/>
    <n v="9504.15"/>
    <n v="5.2"/>
    <x v="1"/>
  </r>
  <r>
    <x v="35"/>
    <s v="FI-01"/>
    <x v="3"/>
    <x v="0"/>
    <n v="57"/>
    <s v="Old (51-65)"/>
    <d v="2025-10-12T00:00:00"/>
    <x v="5"/>
    <x v="10"/>
    <n v="12"/>
    <n v="3.62"/>
    <n v="2"/>
    <n v="5361.07"/>
    <n v="0.1"/>
    <x v="2"/>
  </r>
  <r>
    <x v="36"/>
    <s v="HR-01"/>
    <x v="0"/>
    <x v="1"/>
    <n v="32"/>
    <s v="Middle Age (32-50)"/>
    <d v="2020-02-08T00:00:00"/>
    <x v="2"/>
    <x v="9"/>
    <n v="8"/>
    <n v="3.41"/>
    <n v="14"/>
    <n v="4969.1099999999997"/>
    <n v="5.7"/>
    <x v="1"/>
  </r>
  <r>
    <x v="37"/>
    <s v="FI-01"/>
    <x v="3"/>
    <x v="1"/>
    <n v="54"/>
    <s v="Old (51-65)"/>
    <d v="2024-09-05T00:00:00"/>
    <x v="4"/>
    <x v="7"/>
    <n v="5"/>
    <n v="4.91"/>
    <n v="5"/>
    <n v="11529.9"/>
    <n v="1.2"/>
    <x v="0"/>
  </r>
  <r>
    <x v="38"/>
    <s v="MA-01"/>
    <x v="5"/>
    <x v="1"/>
    <n v="25"/>
    <s v="Young (20-31)"/>
    <d v="2025-10-18T00:00:00"/>
    <x v="5"/>
    <x v="10"/>
    <n v="18"/>
    <n v="2.59"/>
    <n v="0"/>
    <n v="4809.07"/>
    <n v="0"/>
    <x v="2"/>
  </r>
  <r>
    <x v="39"/>
    <s v="MA-01"/>
    <x v="5"/>
    <x v="0"/>
    <n v="39"/>
    <s v="Middle Age (32-50)"/>
    <d v="2020-04-17T00:00:00"/>
    <x v="2"/>
    <x v="6"/>
    <n v="17"/>
    <n v="2.13"/>
    <n v="6"/>
    <n v="10125.98"/>
    <n v="5.5"/>
    <x v="1"/>
  </r>
  <r>
    <x v="40"/>
    <s v="IT-01"/>
    <x v="1"/>
    <x v="1"/>
    <n v="47"/>
    <s v="Middle Age (32-50)"/>
    <d v="2021-10-16T00:00:00"/>
    <x v="0"/>
    <x v="10"/>
    <n v="16"/>
    <n v="3.11"/>
    <n v="3"/>
    <n v="8901.1200000000008"/>
    <n v="4"/>
    <x v="0"/>
  </r>
  <r>
    <x v="41"/>
    <s v="MA-01"/>
    <x v="5"/>
    <x v="0"/>
    <n v="57"/>
    <s v="Old (51-65)"/>
    <d v="2022-11-03T00:00:00"/>
    <x v="1"/>
    <x v="3"/>
    <n v="3"/>
    <n v="4.1500000000000004"/>
    <n v="13"/>
    <n v="6468.29"/>
    <n v="3"/>
    <x v="0"/>
  </r>
  <r>
    <x v="42"/>
    <s v="IT-01"/>
    <x v="1"/>
    <x v="0"/>
    <n v="36"/>
    <s v="Middle Age (32-50)"/>
    <d v="2025-03-21T00:00:00"/>
    <x v="5"/>
    <x v="0"/>
    <n v="21"/>
    <n v="4"/>
    <n v="11"/>
    <n v="4409.9799999999996"/>
    <n v="0.6"/>
    <x v="2"/>
  </r>
  <r>
    <x v="43"/>
    <s v="IT-01"/>
    <x v="1"/>
    <x v="1"/>
    <n v="42"/>
    <s v="Middle Age (32-50)"/>
    <d v="2025-10-17T00:00:00"/>
    <x v="5"/>
    <x v="10"/>
    <n v="17"/>
    <n v="1.87"/>
    <n v="3"/>
    <n v="5805.84"/>
    <n v="0"/>
    <x v="2"/>
  </r>
  <r>
    <x v="44"/>
    <s v="HR-01"/>
    <x v="0"/>
    <x v="0"/>
    <n v="33"/>
    <s v="Middle Age (32-50)"/>
    <d v="2020-11-03T00:00:00"/>
    <x v="2"/>
    <x v="3"/>
    <n v="3"/>
    <n v="3.78"/>
    <n v="6"/>
    <n v="9014.23"/>
    <n v="5"/>
    <x v="0"/>
  </r>
  <r>
    <x v="45"/>
    <s v="FI-01"/>
    <x v="3"/>
    <x v="1"/>
    <n v="30"/>
    <s v="Young (20-31)"/>
    <d v="2022-10-04T00:00:00"/>
    <x v="1"/>
    <x v="10"/>
    <n v="4"/>
    <n v="3.81"/>
    <n v="15"/>
    <n v="4413.45"/>
    <n v="3.1"/>
    <x v="0"/>
  </r>
  <r>
    <x v="46"/>
    <s v="IT-01"/>
    <x v="1"/>
    <x v="1"/>
    <n v="55"/>
    <s v="Old (51-65)"/>
    <d v="2021-02-07T00:00:00"/>
    <x v="0"/>
    <x v="9"/>
    <n v="7"/>
    <n v="4.8099999999999996"/>
    <n v="8"/>
    <n v="4293.83"/>
    <n v="4.7"/>
    <x v="0"/>
  </r>
  <r>
    <x v="47"/>
    <s v="HR-01"/>
    <x v="0"/>
    <x v="1"/>
    <n v="45"/>
    <s v="Middle Age (32-50)"/>
    <d v="2021-09-29T00:00:00"/>
    <x v="0"/>
    <x v="7"/>
    <n v="29"/>
    <n v="3.23"/>
    <n v="5"/>
    <n v="7433.39"/>
    <n v="4.0999999999999996"/>
    <x v="0"/>
  </r>
  <r>
    <x v="48"/>
    <s v="SA-01"/>
    <x v="2"/>
    <x v="0"/>
    <n v="40"/>
    <s v="Middle Age (32-50)"/>
    <d v="2025-07-26T00:00:00"/>
    <x v="5"/>
    <x v="4"/>
    <n v="26"/>
    <n v="2.97"/>
    <n v="11"/>
    <n v="3223.63"/>
    <n v="0.3"/>
    <x v="2"/>
  </r>
  <r>
    <x v="49"/>
    <s v="MA-01"/>
    <x v="5"/>
    <x v="1"/>
    <n v="22"/>
    <s v="Young (20-31)"/>
    <d v="2020-04-13T00:00:00"/>
    <x v="2"/>
    <x v="6"/>
    <n v="13"/>
    <n v="4.5999999999999996"/>
    <n v="13"/>
    <n v="12899.11"/>
    <n v="5.6"/>
    <x v="1"/>
  </r>
  <r>
    <x v="50"/>
    <s v="IT-01"/>
    <x v="1"/>
    <x v="0"/>
    <n v="57"/>
    <s v="Old (51-65)"/>
    <d v="2022-05-09T00:00:00"/>
    <x v="1"/>
    <x v="1"/>
    <n v="9"/>
    <n v="4.6399999999999997"/>
    <n v="10"/>
    <n v="7365.99"/>
    <n v="3.5"/>
    <x v="0"/>
  </r>
  <r>
    <x v="51"/>
    <s v="SA-01"/>
    <x v="2"/>
    <x v="1"/>
    <n v="57"/>
    <s v="Old (51-65)"/>
    <d v="2025-03-29T00:00:00"/>
    <x v="5"/>
    <x v="0"/>
    <n v="29"/>
    <n v="4"/>
    <n v="11"/>
    <n v="3267.47"/>
    <n v="0.6"/>
    <x v="2"/>
  </r>
  <r>
    <x v="52"/>
    <s v="IT-01"/>
    <x v="1"/>
    <x v="1"/>
    <n v="53"/>
    <s v="Old (51-65)"/>
    <d v="2021-10-25T00:00:00"/>
    <x v="0"/>
    <x v="10"/>
    <n v="25"/>
    <n v="2.87"/>
    <n v="1"/>
    <n v="14052.96"/>
    <n v="4"/>
    <x v="0"/>
  </r>
  <r>
    <x v="53"/>
    <s v="MA-01"/>
    <x v="5"/>
    <x v="1"/>
    <n v="47"/>
    <s v="Middle Age (32-50)"/>
    <d v="2023-05-08T00:00:00"/>
    <x v="3"/>
    <x v="1"/>
    <n v="8"/>
    <n v="3.73"/>
    <n v="7"/>
    <n v="5563.07"/>
    <n v="2.5"/>
    <x v="0"/>
  </r>
  <r>
    <x v="54"/>
    <s v="FI-01"/>
    <x v="3"/>
    <x v="1"/>
    <n v="47"/>
    <s v="Middle Age (32-50)"/>
    <d v="2021-07-17T00:00:00"/>
    <x v="0"/>
    <x v="4"/>
    <n v="17"/>
    <n v="3.42"/>
    <n v="3"/>
    <n v="6800.55"/>
    <n v="4.3"/>
    <x v="0"/>
  </r>
  <r>
    <x v="55"/>
    <s v="SA-01"/>
    <x v="2"/>
    <x v="0"/>
    <n v="36"/>
    <s v="Middle Age (32-50)"/>
    <d v="2022-10-05T00:00:00"/>
    <x v="1"/>
    <x v="10"/>
    <n v="5"/>
    <n v="4.4400000000000004"/>
    <n v="6"/>
    <n v="7644.67"/>
    <n v="3.1"/>
    <x v="0"/>
  </r>
  <r>
    <x v="56"/>
    <s v="MA-01"/>
    <x v="5"/>
    <x v="1"/>
    <n v="34"/>
    <s v="Middle Age (32-50)"/>
    <d v="2022-09-05T00:00:00"/>
    <x v="1"/>
    <x v="7"/>
    <n v="5"/>
    <n v="1.53"/>
    <n v="3"/>
    <n v="5135.22"/>
    <n v="3.2"/>
    <x v="0"/>
  </r>
  <r>
    <x v="57"/>
    <s v="IT-01"/>
    <x v="1"/>
    <x v="0"/>
    <n v="30"/>
    <s v="Young (20-31)"/>
    <d v="2021-08-12T00:00:00"/>
    <x v="0"/>
    <x v="11"/>
    <n v="12"/>
    <n v="3.15"/>
    <n v="10"/>
    <n v="7891.14"/>
    <n v="4.2"/>
    <x v="0"/>
  </r>
  <r>
    <x v="58"/>
    <s v="OP-01"/>
    <x v="4"/>
    <x v="1"/>
    <n v="35"/>
    <s v="Middle Age (32-50)"/>
    <d v="2025-06-28T00:00:00"/>
    <x v="5"/>
    <x v="5"/>
    <n v="28"/>
    <n v="3.05"/>
    <n v="8"/>
    <n v="10739.72"/>
    <n v="0.3"/>
    <x v="2"/>
  </r>
  <r>
    <x v="59"/>
    <s v="MA-01"/>
    <x v="5"/>
    <x v="1"/>
    <n v="45"/>
    <s v="Middle Age (32-50)"/>
    <d v="2023-10-27T00:00:00"/>
    <x v="3"/>
    <x v="10"/>
    <n v="27"/>
    <n v="2.62"/>
    <n v="8"/>
    <n v="3192.36"/>
    <n v="2"/>
    <x v="0"/>
  </r>
  <r>
    <x v="60"/>
    <s v="FI-01"/>
    <x v="3"/>
    <x v="1"/>
    <n v="34"/>
    <s v="Middle Age (32-50)"/>
    <d v="2021-02-13T00:00:00"/>
    <x v="0"/>
    <x v="9"/>
    <n v="13"/>
    <n v="4.26"/>
    <n v="8"/>
    <n v="9751.27"/>
    <n v="4.7"/>
    <x v="0"/>
  </r>
  <r>
    <x v="61"/>
    <s v="HR-01"/>
    <x v="0"/>
    <x v="1"/>
    <n v="24"/>
    <s v="Young (20-31)"/>
    <d v="2023-04-16T00:00:00"/>
    <x v="3"/>
    <x v="6"/>
    <n v="16"/>
    <n v="4.84"/>
    <n v="2"/>
    <n v="6698.81"/>
    <n v="2.5"/>
    <x v="0"/>
  </r>
  <r>
    <x v="62"/>
    <s v="SA-01"/>
    <x v="2"/>
    <x v="0"/>
    <n v="31"/>
    <s v="Young (20-31)"/>
    <d v="2023-08-12T00:00:00"/>
    <x v="3"/>
    <x v="11"/>
    <n v="12"/>
    <n v="1.63"/>
    <n v="6"/>
    <n v="9019.91"/>
    <n v="2.2000000000000002"/>
    <x v="0"/>
  </r>
  <r>
    <x v="63"/>
    <s v="FI-01"/>
    <x v="3"/>
    <x v="1"/>
    <n v="24"/>
    <s v="Young (20-31)"/>
    <d v="2025-02-15T00:00:00"/>
    <x v="5"/>
    <x v="9"/>
    <n v="15"/>
    <n v="3.96"/>
    <n v="8"/>
    <n v="13198.99"/>
    <n v="0.7"/>
    <x v="2"/>
  </r>
  <r>
    <x v="64"/>
    <s v="FI-01"/>
    <x v="3"/>
    <x v="1"/>
    <n v="55"/>
    <s v="Old (51-65)"/>
    <d v="2020-06-10T00:00:00"/>
    <x v="2"/>
    <x v="5"/>
    <n v="10"/>
    <n v="4.76"/>
    <n v="8"/>
    <n v="4318.88"/>
    <n v="5.4"/>
    <x v="1"/>
  </r>
  <r>
    <x v="65"/>
    <s v="OP-01"/>
    <x v="4"/>
    <x v="1"/>
    <n v="45"/>
    <s v="Middle Age (32-50)"/>
    <d v="2022-02-22T00:00:00"/>
    <x v="1"/>
    <x v="9"/>
    <n v="22"/>
    <n v="2.34"/>
    <n v="3"/>
    <n v="13755.29"/>
    <n v="3.7"/>
    <x v="0"/>
  </r>
  <r>
    <x v="66"/>
    <s v="MA-01"/>
    <x v="5"/>
    <x v="1"/>
    <n v="30"/>
    <s v="Young (20-31)"/>
    <d v="2021-02-28T00:00:00"/>
    <x v="0"/>
    <x v="9"/>
    <n v="28"/>
    <n v="4.32"/>
    <n v="4"/>
    <n v="5270.92"/>
    <n v="4.7"/>
    <x v="0"/>
  </r>
  <r>
    <x v="67"/>
    <s v="HR-01"/>
    <x v="0"/>
    <x v="1"/>
    <n v="41"/>
    <s v="Middle Age (32-50)"/>
    <d v="2023-10-17T00:00:00"/>
    <x v="3"/>
    <x v="10"/>
    <n v="17"/>
    <n v="1.53"/>
    <n v="6"/>
    <n v="9147.23"/>
    <n v="2"/>
    <x v="0"/>
  </r>
  <r>
    <x v="68"/>
    <s v="IT-01"/>
    <x v="1"/>
    <x v="1"/>
    <n v="24"/>
    <s v="Young (20-31)"/>
    <d v="2021-11-26T00:00:00"/>
    <x v="0"/>
    <x v="3"/>
    <n v="26"/>
    <n v="2.94"/>
    <n v="3"/>
    <n v="11483.31"/>
    <n v="3.9"/>
    <x v="0"/>
  </r>
  <r>
    <x v="69"/>
    <s v="FI-01"/>
    <x v="3"/>
    <x v="0"/>
    <n v="25"/>
    <s v="Young (20-31)"/>
    <d v="2023-06-11T00:00:00"/>
    <x v="3"/>
    <x v="5"/>
    <n v="11"/>
    <n v="3.11"/>
    <n v="14"/>
    <n v="10690.68"/>
    <n v="2.4"/>
    <x v="0"/>
  </r>
  <r>
    <x v="70"/>
    <s v="MA-01"/>
    <x v="5"/>
    <x v="0"/>
    <n v="60"/>
    <s v="Old (51-65)"/>
    <d v="2024-10-07T00:00:00"/>
    <x v="4"/>
    <x v="10"/>
    <n v="7"/>
    <n v="3.07"/>
    <n v="1"/>
    <n v="9710.43"/>
    <n v="1.1000000000000001"/>
    <x v="0"/>
  </r>
  <r>
    <x v="71"/>
    <s v="FI-01"/>
    <x v="3"/>
    <x v="0"/>
    <n v="26"/>
    <s v="Young (20-31)"/>
    <d v="2022-08-25T00:00:00"/>
    <x v="1"/>
    <x v="11"/>
    <n v="25"/>
    <n v="1.54"/>
    <n v="9"/>
    <n v="13551.38"/>
    <n v="3.2"/>
    <x v="0"/>
  </r>
  <r>
    <x v="72"/>
    <s v="IT-01"/>
    <x v="1"/>
    <x v="1"/>
    <n v="52"/>
    <s v="Old (51-65)"/>
    <d v="2025-04-02T00:00:00"/>
    <x v="5"/>
    <x v="6"/>
    <n v="2"/>
    <n v="2.7"/>
    <n v="2"/>
    <n v="13125.76"/>
    <n v="0.6"/>
    <x v="2"/>
  </r>
  <r>
    <x v="73"/>
    <s v="FI-01"/>
    <x v="3"/>
    <x v="1"/>
    <n v="55"/>
    <s v="Old (51-65)"/>
    <d v="2020-06-25T00:00:00"/>
    <x v="2"/>
    <x v="5"/>
    <n v="25"/>
    <n v="2.23"/>
    <n v="3"/>
    <n v="14019.76"/>
    <n v="5.4"/>
    <x v="1"/>
  </r>
  <r>
    <x v="74"/>
    <s v="OP-01"/>
    <x v="4"/>
    <x v="1"/>
    <n v="33"/>
    <s v="Middle Age (32-50)"/>
    <d v="2024-09-12T00:00:00"/>
    <x v="4"/>
    <x v="7"/>
    <n v="12"/>
    <n v="4.3499999999999996"/>
    <n v="14"/>
    <n v="11740.23"/>
    <n v="1.1000000000000001"/>
    <x v="0"/>
  </r>
  <r>
    <x v="75"/>
    <s v="IT-01"/>
    <x v="1"/>
    <x v="0"/>
    <n v="40"/>
    <s v="Middle Age (32-50)"/>
    <d v="2024-09-15T00:00:00"/>
    <x v="4"/>
    <x v="7"/>
    <n v="15"/>
    <n v="4.71"/>
    <n v="7"/>
    <n v="14267.13"/>
    <n v="1.1000000000000001"/>
    <x v="0"/>
  </r>
  <r>
    <x v="76"/>
    <s v="SA-01"/>
    <x v="2"/>
    <x v="0"/>
    <n v="60"/>
    <s v="Old (51-65)"/>
    <d v="2022-06-26T00:00:00"/>
    <x v="1"/>
    <x v="5"/>
    <n v="26"/>
    <n v="3.75"/>
    <n v="12"/>
    <n v="8613.16"/>
    <n v="3.4"/>
    <x v="0"/>
  </r>
  <r>
    <x v="77"/>
    <s v="FI-01"/>
    <x v="3"/>
    <x v="0"/>
    <n v="46"/>
    <s v="Middle Age (32-50)"/>
    <d v="2025-02-28T00:00:00"/>
    <x v="5"/>
    <x v="9"/>
    <n v="28"/>
    <n v="3.38"/>
    <n v="0"/>
    <n v="3248.14"/>
    <n v="0.7"/>
    <x v="2"/>
  </r>
  <r>
    <x v="78"/>
    <s v="SA-01"/>
    <x v="2"/>
    <x v="0"/>
    <n v="60"/>
    <s v="Old (51-65)"/>
    <d v="2025-09-13T00:00:00"/>
    <x v="5"/>
    <x v="7"/>
    <n v="13"/>
    <n v="2.71"/>
    <n v="4"/>
    <n v="8633.7199999999993"/>
    <n v="0.1"/>
    <x v="2"/>
  </r>
  <r>
    <x v="79"/>
    <s v="HR-01"/>
    <x v="0"/>
    <x v="1"/>
    <n v="43"/>
    <s v="Middle Age (32-50)"/>
    <d v="2025-03-29T00:00:00"/>
    <x v="5"/>
    <x v="0"/>
    <n v="29"/>
    <n v="3.22"/>
    <n v="0"/>
    <n v="10761.78"/>
    <n v="0.6"/>
    <x v="2"/>
  </r>
  <r>
    <x v="80"/>
    <s v="HR-01"/>
    <x v="0"/>
    <x v="1"/>
    <n v="35"/>
    <s v="Middle Age (32-50)"/>
    <d v="2022-05-01T00:00:00"/>
    <x v="1"/>
    <x v="1"/>
    <n v="1"/>
    <n v="3.58"/>
    <n v="5"/>
    <n v="13432.36"/>
    <n v="3.5"/>
    <x v="0"/>
  </r>
  <r>
    <x v="81"/>
    <s v="OP-01"/>
    <x v="4"/>
    <x v="0"/>
    <n v="57"/>
    <s v="Old (51-65)"/>
    <d v="2022-02-06T00:00:00"/>
    <x v="1"/>
    <x v="9"/>
    <n v="6"/>
    <n v="4.1900000000000004"/>
    <n v="2"/>
    <n v="7965.27"/>
    <n v="3.7"/>
    <x v="0"/>
  </r>
  <r>
    <x v="82"/>
    <s v="SA-01"/>
    <x v="2"/>
    <x v="1"/>
    <n v="25"/>
    <s v="Young (20-31)"/>
    <d v="2025-01-01T00:00:00"/>
    <x v="5"/>
    <x v="2"/>
    <n v="1"/>
    <n v="1.76"/>
    <n v="4"/>
    <n v="12737"/>
    <n v="0.8"/>
    <x v="2"/>
  </r>
  <r>
    <x v="83"/>
    <s v="HR-01"/>
    <x v="0"/>
    <x v="0"/>
    <n v="57"/>
    <s v="Old (51-65)"/>
    <d v="2022-07-09T00:00:00"/>
    <x v="1"/>
    <x v="4"/>
    <n v="9"/>
    <n v="4.8600000000000003"/>
    <n v="15"/>
    <n v="8798.18"/>
    <n v="3.3"/>
    <x v="0"/>
  </r>
  <r>
    <x v="84"/>
    <s v="IT-01"/>
    <x v="1"/>
    <x v="1"/>
    <n v="32"/>
    <s v="Middle Age (32-50)"/>
    <d v="2022-03-17T00:00:00"/>
    <x v="1"/>
    <x v="0"/>
    <n v="17"/>
    <n v="2.09"/>
    <n v="6"/>
    <n v="13617.35"/>
    <n v="3.6"/>
    <x v="0"/>
  </r>
  <r>
    <x v="85"/>
    <s v="FI-01"/>
    <x v="3"/>
    <x v="1"/>
    <n v="27"/>
    <s v="Young (20-31)"/>
    <d v="2021-12-28T00:00:00"/>
    <x v="0"/>
    <x v="8"/>
    <n v="28"/>
    <n v="1.75"/>
    <n v="0"/>
    <n v="3417.34"/>
    <n v="3.8"/>
    <x v="0"/>
  </r>
  <r>
    <x v="86"/>
    <s v="IT-01"/>
    <x v="1"/>
    <x v="1"/>
    <n v="43"/>
    <s v="Middle Age (32-50)"/>
    <d v="2023-12-19T00:00:00"/>
    <x v="3"/>
    <x v="8"/>
    <n v="19"/>
    <n v="1.82"/>
    <n v="8"/>
    <n v="3002.18"/>
    <n v="1.9"/>
    <x v="0"/>
  </r>
  <r>
    <x v="87"/>
    <s v="IT-01"/>
    <x v="1"/>
    <x v="0"/>
    <n v="51"/>
    <s v="Old (51-65)"/>
    <d v="2022-03-13T00:00:00"/>
    <x v="1"/>
    <x v="0"/>
    <n v="13"/>
    <n v="1.88"/>
    <n v="9"/>
    <n v="13083.73"/>
    <n v="3.6"/>
    <x v="0"/>
  </r>
  <r>
    <x v="88"/>
    <s v="HR-01"/>
    <x v="0"/>
    <x v="0"/>
    <n v="47"/>
    <s v="Middle Age (32-50)"/>
    <d v="2021-12-15T00:00:00"/>
    <x v="0"/>
    <x v="8"/>
    <n v="15"/>
    <n v="4.47"/>
    <n v="7"/>
    <n v="8315.8799999999992"/>
    <n v="3.9"/>
    <x v="0"/>
  </r>
  <r>
    <x v="89"/>
    <s v="HR-01"/>
    <x v="0"/>
    <x v="0"/>
    <n v="38"/>
    <s v="Middle Age (32-50)"/>
    <d v="2020-10-28T00:00:00"/>
    <x v="2"/>
    <x v="10"/>
    <n v="28"/>
    <n v="4.16"/>
    <n v="9"/>
    <n v="6159.41"/>
    <n v="5"/>
    <x v="0"/>
  </r>
  <r>
    <x v="90"/>
    <s v="HR-01"/>
    <x v="0"/>
    <x v="1"/>
    <n v="57"/>
    <s v="Old (51-65)"/>
    <d v="2022-04-15T00:00:00"/>
    <x v="1"/>
    <x v="6"/>
    <n v="15"/>
    <n v="4.1500000000000004"/>
    <n v="6"/>
    <n v="12837.85"/>
    <n v="3.6"/>
    <x v="0"/>
  </r>
  <r>
    <x v="91"/>
    <s v="MA-01"/>
    <x v="5"/>
    <x v="1"/>
    <n v="57"/>
    <s v="Old (51-65)"/>
    <d v="2023-11-06T00:00:00"/>
    <x v="3"/>
    <x v="3"/>
    <n v="6"/>
    <n v="2.63"/>
    <n v="9"/>
    <n v="12181.09"/>
    <n v="2"/>
    <x v="0"/>
  </r>
  <r>
    <x v="92"/>
    <s v="OP-01"/>
    <x v="4"/>
    <x v="1"/>
    <n v="39"/>
    <s v="Middle Age (32-50)"/>
    <d v="2023-12-18T00:00:00"/>
    <x v="3"/>
    <x v="8"/>
    <n v="18"/>
    <n v="2.2400000000000002"/>
    <n v="0"/>
    <n v="11891.85"/>
    <n v="1.9"/>
    <x v="0"/>
  </r>
  <r>
    <x v="93"/>
    <s v="HR-01"/>
    <x v="0"/>
    <x v="1"/>
    <n v="41"/>
    <s v="Middle Age (32-50)"/>
    <d v="2022-07-01T00:00:00"/>
    <x v="1"/>
    <x v="4"/>
    <n v="1"/>
    <n v="1.7"/>
    <n v="6"/>
    <n v="11664.6"/>
    <n v="3.3"/>
    <x v="0"/>
  </r>
  <r>
    <x v="94"/>
    <s v="IT-01"/>
    <x v="1"/>
    <x v="1"/>
    <n v="40"/>
    <s v="Middle Age (32-50)"/>
    <d v="2022-03-12T00:00:00"/>
    <x v="1"/>
    <x v="0"/>
    <n v="12"/>
    <n v="2.36"/>
    <n v="12"/>
    <n v="10076.25"/>
    <n v="3.6"/>
    <x v="0"/>
  </r>
  <r>
    <x v="95"/>
    <s v="FI-01"/>
    <x v="3"/>
    <x v="0"/>
    <n v="26"/>
    <s v="Young (20-31)"/>
    <d v="2023-04-16T00:00:00"/>
    <x v="3"/>
    <x v="6"/>
    <n v="16"/>
    <n v="1.53"/>
    <n v="3"/>
    <n v="13573.33"/>
    <n v="2.5"/>
    <x v="0"/>
  </r>
  <r>
    <x v="96"/>
    <s v="SA-01"/>
    <x v="2"/>
    <x v="1"/>
    <n v="33"/>
    <s v="Middle Age (32-50)"/>
    <d v="2022-06-12T00:00:00"/>
    <x v="1"/>
    <x v="5"/>
    <n v="12"/>
    <n v="2.2400000000000002"/>
    <n v="5"/>
    <n v="5518.11"/>
    <n v="3.4"/>
    <x v="0"/>
  </r>
  <r>
    <x v="97"/>
    <s v="FI-01"/>
    <x v="3"/>
    <x v="1"/>
    <n v="60"/>
    <s v="Old (51-65)"/>
    <d v="2022-01-20T00:00:00"/>
    <x v="1"/>
    <x v="2"/>
    <n v="20"/>
    <n v="4.46"/>
    <n v="14"/>
    <n v="7670.34"/>
    <n v="3.8"/>
    <x v="0"/>
  </r>
  <r>
    <x v="98"/>
    <s v="IT-01"/>
    <x v="1"/>
    <x v="1"/>
    <n v="26"/>
    <s v="Young (20-31)"/>
    <d v="2025-09-24T00:00:00"/>
    <x v="5"/>
    <x v="7"/>
    <n v="24"/>
    <n v="2.0499999999999998"/>
    <n v="5"/>
    <n v="13279.35"/>
    <n v="0.1"/>
    <x v="2"/>
  </r>
  <r>
    <x v="99"/>
    <s v="OP-01"/>
    <x v="4"/>
    <x v="1"/>
    <n v="34"/>
    <s v="Middle Age (32-50)"/>
    <d v="2020-11-28T00:00:00"/>
    <x v="2"/>
    <x v="3"/>
    <n v="28"/>
    <n v="4.24"/>
    <n v="11"/>
    <n v="6771.92"/>
    <n v="4.9000000000000004"/>
    <x v="0"/>
  </r>
  <r>
    <x v="100"/>
    <s v="FI-01"/>
    <x v="3"/>
    <x v="1"/>
    <n v="40"/>
    <s v="Middle Age (32-50)"/>
    <d v="2023-04-19T00:00:00"/>
    <x v="3"/>
    <x v="6"/>
    <n v="19"/>
    <n v="3.38"/>
    <n v="13"/>
    <n v="10429.34"/>
    <n v="2.5"/>
    <x v="0"/>
  </r>
  <r>
    <x v="101"/>
    <s v="IT-01"/>
    <x v="1"/>
    <x v="1"/>
    <n v="55"/>
    <s v="Old (51-65)"/>
    <d v="2023-03-07T00:00:00"/>
    <x v="3"/>
    <x v="0"/>
    <n v="7"/>
    <n v="2.4700000000000002"/>
    <n v="13"/>
    <n v="3278.61"/>
    <n v="2.7"/>
    <x v="0"/>
  </r>
  <r>
    <x v="102"/>
    <s v="OP-01"/>
    <x v="4"/>
    <x v="1"/>
    <n v="43"/>
    <s v="Middle Age (32-50)"/>
    <d v="2023-08-17T00:00:00"/>
    <x v="3"/>
    <x v="11"/>
    <n v="17"/>
    <n v="3.48"/>
    <n v="2"/>
    <n v="14061.94"/>
    <n v="2.2000000000000002"/>
    <x v="0"/>
  </r>
  <r>
    <x v="103"/>
    <s v="HR-01"/>
    <x v="0"/>
    <x v="0"/>
    <n v="34"/>
    <s v="Middle Age (32-50)"/>
    <d v="2020-07-17T00:00:00"/>
    <x v="2"/>
    <x v="4"/>
    <n v="17"/>
    <n v="4.8899999999999997"/>
    <n v="7"/>
    <n v="14421.63"/>
    <n v="5.3"/>
    <x v="1"/>
  </r>
  <r>
    <x v="104"/>
    <s v="HR-01"/>
    <x v="0"/>
    <x v="1"/>
    <n v="60"/>
    <s v="Old (51-65)"/>
    <d v="2023-09-08T00:00:00"/>
    <x v="3"/>
    <x v="7"/>
    <n v="8"/>
    <n v="4.13"/>
    <n v="13"/>
    <n v="3204.32"/>
    <n v="2.2000000000000002"/>
    <x v="0"/>
  </r>
  <r>
    <x v="105"/>
    <s v="IT-01"/>
    <x v="1"/>
    <x v="0"/>
    <n v="47"/>
    <s v="Middle Age (32-50)"/>
    <d v="2020-02-18T00:00:00"/>
    <x v="2"/>
    <x v="9"/>
    <n v="18"/>
    <n v="4.9000000000000004"/>
    <n v="2"/>
    <n v="8688.1"/>
    <n v="5.7"/>
    <x v="1"/>
  </r>
  <r>
    <x v="106"/>
    <s v="MA-01"/>
    <x v="5"/>
    <x v="1"/>
    <n v="32"/>
    <s v="Middle Age (32-50)"/>
    <d v="2022-03-16T00:00:00"/>
    <x v="1"/>
    <x v="0"/>
    <n v="16"/>
    <n v="4.7300000000000004"/>
    <n v="1"/>
    <n v="14964.04"/>
    <n v="3.6"/>
    <x v="0"/>
  </r>
  <r>
    <x v="107"/>
    <s v="OP-01"/>
    <x v="4"/>
    <x v="0"/>
    <n v="43"/>
    <s v="Middle Age (32-50)"/>
    <d v="2020-02-20T00:00:00"/>
    <x v="2"/>
    <x v="9"/>
    <n v="20"/>
    <n v="3.9"/>
    <n v="6"/>
    <n v="7913.81"/>
    <n v="5.7"/>
    <x v="1"/>
  </r>
  <r>
    <x v="108"/>
    <s v="HR-01"/>
    <x v="0"/>
    <x v="1"/>
    <n v="22"/>
    <s v="Young (20-31)"/>
    <d v="2021-07-05T00:00:00"/>
    <x v="0"/>
    <x v="4"/>
    <n v="5"/>
    <n v="1.62"/>
    <n v="13"/>
    <n v="13571.01"/>
    <n v="4.3"/>
    <x v="0"/>
  </r>
  <r>
    <x v="109"/>
    <s v="HR-01"/>
    <x v="0"/>
    <x v="0"/>
    <n v="35"/>
    <s v="Middle Age (32-50)"/>
    <d v="2020-08-08T00:00:00"/>
    <x v="2"/>
    <x v="11"/>
    <n v="8"/>
    <n v="4.0199999999999996"/>
    <n v="11"/>
    <n v="5463.38"/>
    <n v="5.2"/>
    <x v="1"/>
  </r>
  <r>
    <x v="110"/>
    <s v="SA-01"/>
    <x v="2"/>
    <x v="1"/>
    <n v="45"/>
    <s v="Middle Age (32-50)"/>
    <d v="2023-01-03T00:00:00"/>
    <x v="3"/>
    <x v="2"/>
    <n v="3"/>
    <n v="1.97"/>
    <n v="7"/>
    <n v="5366.6"/>
    <n v="2.8"/>
    <x v="0"/>
  </r>
  <r>
    <x v="111"/>
    <s v="IT-01"/>
    <x v="1"/>
    <x v="1"/>
    <n v="44"/>
    <s v="Middle Age (32-50)"/>
    <d v="2022-07-30T00:00:00"/>
    <x v="1"/>
    <x v="4"/>
    <n v="30"/>
    <n v="4.08"/>
    <n v="2"/>
    <n v="12806.91"/>
    <n v="3.3"/>
    <x v="0"/>
  </r>
  <r>
    <x v="112"/>
    <s v="OP-01"/>
    <x v="4"/>
    <x v="0"/>
    <n v="40"/>
    <s v="Middle Age (32-50)"/>
    <d v="2022-06-24T00:00:00"/>
    <x v="1"/>
    <x v="5"/>
    <n v="24"/>
    <n v="3.08"/>
    <n v="14"/>
    <n v="14299.02"/>
    <n v="3.4"/>
    <x v="0"/>
  </r>
  <r>
    <x v="113"/>
    <s v="SA-01"/>
    <x v="2"/>
    <x v="1"/>
    <n v="38"/>
    <s v="Middle Age (32-50)"/>
    <d v="2020-02-27T00:00:00"/>
    <x v="2"/>
    <x v="9"/>
    <n v="27"/>
    <n v="2.89"/>
    <n v="1"/>
    <n v="14439.02"/>
    <n v="5.7"/>
    <x v="1"/>
  </r>
  <r>
    <x v="114"/>
    <s v="HR-01"/>
    <x v="0"/>
    <x v="1"/>
    <n v="56"/>
    <s v="Old (51-65)"/>
    <d v="2021-06-20T00:00:00"/>
    <x v="0"/>
    <x v="5"/>
    <n v="20"/>
    <n v="4.8600000000000003"/>
    <n v="7"/>
    <n v="6508.13"/>
    <n v="4.4000000000000004"/>
    <x v="0"/>
  </r>
  <r>
    <x v="115"/>
    <s v="SA-01"/>
    <x v="2"/>
    <x v="0"/>
    <n v="47"/>
    <s v="Middle Age (32-50)"/>
    <d v="2020-11-12T00:00:00"/>
    <x v="2"/>
    <x v="3"/>
    <n v="12"/>
    <n v="3.17"/>
    <n v="15"/>
    <n v="12085.97"/>
    <n v="5"/>
    <x v="0"/>
  </r>
  <r>
    <x v="116"/>
    <s v="OP-01"/>
    <x v="4"/>
    <x v="0"/>
    <n v="36"/>
    <s v="Middle Age (32-50)"/>
    <d v="2020-09-15T00:00:00"/>
    <x v="2"/>
    <x v="7"/>
    <n v="15"/>
    <n v="2.56"/>
    <n v="3"/>
    <n v="4706.3500000000004"/>
    <n v="5.0999999999999996"/>
    <x v="1"/>
  </r>
  <r>
    <x v="117"/>
    <s v="FI-01"/>
    <x v="3"/>
    <x v="0"/>
    <n v="37"/>
    <s v="Middle Age (32-50)"/>
    <d v="2023-07-06T00:00:00"/>
    <x v="3"/>
    <x v="4"/>
    <n v="6"/>
    <n v="4.2300000000000004"/>
    <n v="8"/>
    <n v="12192.46"/>
    <n v="2.2999999999999998"/>
    <x v="0"/>
  </r>
  <r>
    <x v="118"/>
    <s v="OP-01"/>
    <x v="4"/>
    <x v="0"/>
    <n v="46"/>
    <s v="Middle Age (32-50)"/>
    <d v="2023-02-25T00:00:00"/>
    <x v="3"/>
    <x v="9"/>
    <n v="25"/>
    <n v="2.5"/>
    <n v="8"/>
    <n v="10846.41"/>
    <n v="2.7"/>
    <x v="0"/>
  </r>
  <r>
    <x v="119"/>
    <s v="SA-01"/>
    <x v="2"/>
    <x v="0"/>
    <n v="26"/>
    <s v="Young (20-31)"/>
    <d v="2020-04-20T00:00:00"/>
    <x v="2"/>
    <x v="6"/>
    <n v="20"/>
    <n v="4.57"/>
    <n v="14"/>
    <n v="8053.84"/>
    <n v="5.5"/>
    <x v="1"/>
  </r>
  <r>
    <x v="120"/>
    <s v="IT-01"/>
    <x v="1"/>
    <x v="0"/>
    <n v="51"/>
    <s v="Old (51-65)"/>
    <d v="2023-08-15T00:00:00"/>
    <x v="3"/>
    <x v="11"/>
    <n v="15"/>
    <n v="3.23"/>
    <n v="11"/>
    <n v="11485.75"/>
    <n v="2.2000000000000002"/>
    <x v="0"/>
  </r>
  <r>
    <x v="121"/>
    <s v="OP-01"/>
    <x v="4"/>
    <x v="1"/>
    <n v="50"/>
    <s v="Middle Age (32-50)"/>
    <d v="2022-01-04T00:00:00"/>
    <x v="1"/>
    <x v="2"/>
    <n v="4"/>
    <n v="4.95"/>
    <n v="0"/>
    <n v="11716.94"/>
    <n v="3.8"/>
    <x v="0"/>
  </r>
  <r>
    <x v="122"/>
    <s v="IT-01"/>
    <x v="1"/>
    <x v="0"/>
    <n v="51"/>
    <s v="Old (51-65)"/>
    <d v="2024-04-29T00:00:00"/>
    <x v="4"/>
    <x v="6"/>
    <n v="29"/>
    <n v="2.68"/>
    <n v="1"/>
    <n v="13534.6"/>
    <n v="1.5"/>
    <x v="0"/>
  </r>
  <r>
    <x v="123"/>
    <s v="IT-01"/>
    <x v="1"/>
    <x v="1"/>
    <n v="33"/>
    <s v="Middle Age (32-50)"/>
    <d v="2023-07-19T00:00:00"/>
    <x v="3"/>
    <x v="4"/>
    <n v="19"/>
    <n v="2.08"/>
    <n v="15"/>
    <n v="13261.45"/>
    <n v="2.2999999999999998"/>
    <x v="0"/>
  </r>
  <r>
    <x v="124"/>
    <s v="MA-01"/>
    <x v="5"/>
    <x v="1"/>
    <n v="54"/>
    <s v="Old (51-65)"/>
    <d v="2021-05-06T00:00:00"/>
    <x v="0"/>
    <x v="1"/>
    <n v="6"/>
    <n v="4.03"/>
    <n v="9"/>
    <n v="3128.85"/>
    <n v="4.5"/>
    <x v="0"/>
  </r>
  <r>
    <x v="125"/>
    <s v="IT-01"/>
    <x v="1"/>
    <x v="0"/>
    <n v="54"/>
    <s v="Old (51-65)"/>
    <d v="2024-08-17T00:00:00"/>
    <x v="4"/>
    <x v="11"/>
    <n v="17"/>
    <n v="3.94"/>
    <n v="0"/>
    <n v="6462.09"/>
    <n v="1.2"/>
    <x v="0"/>
  </r>
  <r>
    <x v="126"/>
    <s v="MA-01"/>
    <x v="5"/>
    <x v="0"/>
    <n v="23"/>
    <s v="Young (20-31)"/>
    <d v="2024-07-26T00:00:00"/>
    <x v="4"/>
    <x v="4"/>
    <n v="26"/>
    <n v="1.58"/>
    <n v="1"/>
    <n v="9128.7999999999993"/>
    <n v="1.3"/>
    <x v="0"/>
  </r>
  <r>
    <x v="127"/>
    <s v="FI-01"/>
    <x v="3"/>
    <x v="1"/>
    <n v="51"/>
    <s v="Old (51-65)"/>
    <d v="2022-06-11T00:00:00"/>
    <x v="1"/>
    <x v="5"/>
    <n v="11"/>
    <n v="4.4000000000000004"/>
    <n v="5"/>
    <n v="9767.85"/>
    <n v="3.4"/>
    <x v="0"/>
  </r>
  <r>
    <x v="128"/>
    <s v="HR-01"/>
    <x v="0"/>
    <x v="0"/>
    <n v="49"/>
    <s v="Middle Age (32-50)"/>
    <d v="2023-12-15T00:00:00"/>
    <x v="3"/>
    <x v="8"/>
    <n v="15"/>
    <n v="3.49"/>
    <n v="1"/>
    <n v="7956.48"/>
    <n v="1.9"/>
    <x v="0"/>
  </r>
  <r>
    <x v="129"/>
    <s v="HR-01"/>
    <x v="0"/>
    <x v="1"/>
    <n v="31"/>
    <s v="Young (20-31)"/>
    <d v="2020-09-23T00:00:00"/>
    <x v="2"/>
    <x v="7"/>
    <n v="23"/>
    <n v="4.2699999999999996"/>
    <n v="13"/>
    <n v="4630.8900000000003"/>
    <n v="5.0999999999999996"/>
    <x v="1"/>
  </r>
  <r>
    <x v="130"/>
    <s v="OP-01"/>
    <x v="4"/>
    <x v="1"/>
    <n v="28"/>
    <s v="Young (20-31)"/>
    <d v="2021-11-22T00:00:00"/>
    <x v="0"/>
    <x v="3"/>
    <n v="22"/>
    <n v="3.67"/>
    <n v="9"/>
    <n v="4217.78"/>
    <n v="3.9"/>
    <x v="0"/>
  </r>
  <r>
    <x v="131"/>
    <s v="FI-01"/>
    <x v="3"/>
    <x v="1"/>
    <n v="26"/>
    <s v="Young (20-31)"/>
    <d v="2025-05-07T00:00:00"/>
    <x v="5"/>
    <x v="1"/>
    <n v="7"/>
    <n v="4.18"/>
    <n v="14"/>
    <n v="8344.8799999999992"/>
    <n v="0.5"/>
    <x v="2"/>
  </r>
  <r>
    <x v="132"/>
    <s v="MA-01"/>
    <x v="5"/>
    <x v="0"/>
    <n v="27"/>
    <s v="Young (20-31)"/>
    <d v="2024-11-15T00:00:00"/>
    <x v="4"/>
    <x v="3"/>
    <n v="15"/>
    <n v="3.03"/>
    <n v="14"/>
    <n v="8777.73"/>
    <n v="1"/>
    <x v="2"/>
  </r>
  <r>
    <x v="133"/>
    <s v="OP-01"/>
    <x v="4"/>
    <x v="0"/>
    <n v="46"/>
    <s v="Middle Age (32-50)"/>
    <d v="2025-07-14T00:00:00"/>
    <x v="5"/>
    <x v="4"/>
    <n v="14"/>
    <n v="4.12"/>
    <n v="13"/>
    <n v="13154.8"/>
    <n v="0.3"/>
    <x v="2"/>
  </r>
  <r>
    <x v="134"/>
    <s v="MA-01"/>
    <x v="5"/>
    <x v="0"/>
    <n v="33"/>
    <s v="Middle Age (32-50)"/>
    <d v="2023-03-20T00:00:00"/>
    <x v="3"/>
    <x v="0"/>
    <n v="20"/>
    <n v="1.96"/>
    <n v="1"/>
    <n v="11176.02"/>
    <n v="2.6"/>
    <x v="0"/>
  </r>
  <r>
    <x v="135"/>
    <s v="HR-01"/>
    <x v="0"/>
    <x v="0"/>
    <n v="60"/>
    <s v="Old (51-65)"/>
    <d v="2023-07-09T00:00:00"/>
    <x v="3"/>
    <x v="4"/>
    <n v="9"/>
    <n v="3.81"/>
    <n v="7"/>
    <n v="8698.41"/>
    <n v="2.2999999999999998"/>
    <x v="0"/>
  </r>
  <r>
    <x v="136"/>
    <s v="HR-01"/>
    <x v="0"/>
    <x v="0"/>
    <n v="58"/>
    <s v="Old (51-65)"/>
    <d v="2025-09-12T00:00:00"/>
    <x v="5"/>
    <x v="7"/>
    <n v="12"/>
    <n v="3.6"/>
    <n v="12"/>
    <n v="7376.43"/>
    <n v="0.1"/>
    <x v="2"/>
  </r>
  <r>
    <x v="137"/>
    <s v="OP-01"/>
    <x v="4"/>
    <x v="0"/>
    <n v="36"/>
    <s v="Middle Age (32-50)"/>
    <d v="2025-08-26T00:00:00"/>
    <x v="5"/>
    <x v="11"/>
    <n v="26"/>
    <n v="3.41"/>
    <n v="10"/>
    <n v="10805.6"/>
    <n v="0.2"/>
    <x v="2"/>
  </r>
  <r>
    <x v="138"/>
    <s v="FI-01"/>
    <x v="3"/>
    <x v="1"/>
    <n v="39"/>
    <s v="Middle Age (32-50)"/>
    <d v="2023-05-12T00:00:00"/>
    <x v="3"/>
    <x v="1"/>
    <n v="12"/>
    <n v="3.55"/>
    <n v="4"/>
    <n v="8562.5300000000007"/>
    <n v="2.5"/>
    <x v="0"/>
  </r>
  <r>
    <x v="139"/>
    <s v="IT-01"/>
    <x v="1"/>
    <x v="1"/>
    <n v="54"/>
    <s v="Old (51-65)"/>
    <d v="2023-08-20T00:00:00"/>
    <x v="3"/>
    <x v="11"/>
    <n v="20"/>
    <n v="2.15"/>
    <n v="12"/>
    <n v="10663.48"/>
    <n v="2.2000000000000002"/>
    <x v="0"/>
  </r>
  <r>
    <x v="140"/>
    <s v="SA-01"/>
    <x v="2"/>
    <x v="0"/>
    <n v="37"/>
    <s v="Middle Age (32-50)"/>
    <d v="2022-06-07T00:00:00"/>
    <x v="1"/>
    <x v="5"/>
    <n v="7"/>
    <n v="1.86"/>
    <n v="13"/>
    <n v="3603.92"/>
    <n v="3.4"/>
    <x v="0"/>
  </r>
  <r>
    <x v="141"/>
    <s v="OP-01"/>
    <x v="4"/>
    <x v="0"/>
    <n v="37"/>
    <s v="Middle Age (32-50)"/>
    <d v="2022-07-06T00:00:00"/>
    <x v="1"/>
    <x v="4"/>
    <n v="6"/>
    <n v="3.26"/>
    <n v="8"/>
    <n v="13688.81"/>
    <n v="3.3"/>
    <x v="0"/>
  </r>
  <r>
    <x v="142"/>
    <s v="HR-01"/>
    <x v="0"/>
    <x v="0"/>
    <n v="45"/>
    <s v="Middle Age (32-50)"/>
    <d v="2022-04-25T00:00:00"/>
    <x v="1"/>
    <x v="6"/>
    <n v="25"/>
    <n v="4.68"/>
    <n v="9"/>
    <n v="5306.58"/>
    <n v="3.5"/>
    <x v="0"/>
  </r>
  <r>
    <x v="143"/>
    <s v="MA-01"/>
    <x v="5"/>
    <x v="1"/>
    <n v="56"/>
    <s v="Old (51-65)"/>
    <d v="2021-10-03T00:00:00"/>
    <x v="0"/>
    <x v="10"/>
    <n v="3"/>
    <n v="4.28"/>
    <n v="12"/>
    <n v="4876.57"/>
    <n v="4.0999999999999996"/>
    <x v="0"/>
  </r>
  <r>
    <x v="144"/>
    <s v="OP-01"/>
    <x v="4"/>
    <x v="0"/>
    <n v="32"/>
    <s v="Middle Age (32-50)"/>
    <d v="2022-10-04T00:00:00"/>
    <x v="1"/>
    <x v="10"/>
    <n v="4"/>
    <n v="4.03"/>
    <n v="8"/>
    <n v="12941.15"/>
    <n v="3.1"/>
    <x v="0"/>
  </r>
  <r>
    <x v="145"/>
    <s v="OP-01"/>
    <x v="4"/>
    <x v="0"/>
    <n v="29"/>
    <s v="Young (20-31)"/>
    <d v="2024-11-02T00:00:00"/>
    <x v="4"/>
    <x v="3"/>
    <n v="2"/>
    <n v="4.7300000000000004"/>
    <n v="7"/>
    <n v="14476.24"/>
    <n v="1"/>
    <x v="2"/>
  </r>
  <r>
    <x v="146"/>
    <s v="OP-01"/>
    <x v="4"/>
    <x v="0"/>
    <n v="58"/>
    <s v="Old (51-65)"/>
    <d v="2022-06-30T00:00:00"/>
    <x v="1"/>
    <x v="5"/>
    <n v="30"/>
    <n v="2.79"/>
    <n v="11"/>
    <n v="8626.2900000000009"/>
    <n v="3.3"/>
    <x v="0"/>
  </r>
  <r>
    <x v="147"/>
    <s v="FI-01"/>
    <x v="3"/>
    <x v="1"/>
    <n v="52"/>
    <s v="Old (51-65)"/>
    <d v="2020-05-07T00:00:00"/>
    <x v="2"/>
    <x v="1"/>
    <n v="7"/>
    <n v="1.74"/>
    <n v="3"/>
    <n v="5769.38"/>
    <n v="5.5"/>
    <x v="1"/>
  </r>
  <r>
    <x v="148"/>
    <s v="MA-01"/>
    <x v="5"/>
    <x v="0"/>
    <n v="26"/>
    <s v="Young (20-31)"/>
    <d v="2022-09-10T00:00:00"/>
    <x v="1"/>
    <x v="7"/>
    <n v="10"/>
    <n v="3.89"/>
    <n v="2"/>
    <n v="9052.3700000000008"/>
    <n v="3.1"/>
    <x v="0"/>
  </r>
  <r>
    <x v="149"/>
    <s v="MA-01"/>
    <x v="5"/>
    <x v="1"/>
    <n v="24"/>
    <s v="Young (20-31)"/>
    <d v="2024-04-18T00:00:00"/>
    <x v="4"/>
    <x v="6"/>
    <n v="18"/>
    <n v="4.42"/>
    <n v="1"/>
    <n v="4202.7700000000004"/>
    <n v="1.5"/>
    <x v="0"/>
  </r>
  <r>
    <x v="150"/>
    <s v="HR-01"/>
    <x v="0"/>
    <x v="1"/>
    <n v="44"/>
    <s v="Middle Age (32-50)"/>
    <d v="2022-08-17T00:00:00"/>
    <x v="1"/>
    <x v="11"/>
    <n v="17"/>
    <n v="2.37"/>
    <n v="2"/>
    <n v="12577.6"/>
    <n v="3.2"/>
    <x v="0"/>
  </r>
  <r>
    <x v="151"/>
    <s v="FI-01"/>
    <x v="3"/>
    <x v="0"/>
    <n v="56"/>
    <s v="Old (51-65)"/>
    <d v="2022-11-29T00:00:00"/>
    <x v="1"/>
    <x v="3"/>
    <n v="29"/>
    <n v="2.81"/>
    <n v="1"/>
    <n v="9872.42"/>
    <n v="2.9"/>
    <x v="0"/>
  </r>
  <r>
    <x v="152"/>
    <s v="OP-01"/>
    <x v="4"/>
    <x v="0"/>
    <n v="24"/>
    <s v="Young (20-31)"/>
    <d v="2024-04-21T00:00:00"/>
    <x v="4"/>
    <x v="6"/>
    <n v="21"/>
    <n v="2.2599999999999998"/>
    <n v="7"/>
    <n v="11088.66"/>
    <n v="1.5"/>
    <x v="0"/>
  </r>
  <r>
    <x v="153"/>
    <s v="FI-01"/>
    <x v="3"/>
    <x v="0"/>
    <n v="45"/>
    <s v="Middle Age (32-50)"/>
    <d v="2020-02-25T00:00:00"/>
    <x v="2"/>
    <x v="9"/>
    <n v="25"/>
    <n v="3.66"/>
    <n v="3"/>
    <n v="12667.79"/>
    <n v="5.7"/>
    <x v="1"/>
  </r>
  <r>
    <x v="154"/>
    <s v="OP-01"/>
    <x v="4"/>
    <x v="0"/>
    <n v="42"/>
    <s v="Middle Age (32-50)"/>
    <d v="2021-12-12T00:00:00"/>
    <x v="0"/>
    <x v="8"/>
    <n v="12"/>
    <n v="3.11"/>
    <n v="5"/>
    <n v="6580.28"/>
    <n v="3.9"/>
    <x v="0"/>
  </r>
  <r>
    <x v="155"/>
    <s v="IT-01"/>
    <x v="1"/>
    <x v="1"/>
    <n v="43"/>
    <s v="Middle Age (32-50)"/>
    <d v="2024-06-29T00:00:00"/>
    <x v="4"/>
    <x v="5"/>
    <n v="29"/>
    <n v="1.73"/>
    <n v="12"/>
    <n v="13758.78"/>
    <n v="1.3"/>
    <x v="0"/>
  </r>
  <r>
    <x v="156"/>
    <s v="MA-01"/>
    <x v="5"/>
    <x v="1"/>
    <n v="32"/>
    <s v="Middle Age (32-50)"/>
    <d v="2022-11-29T00:00:00"/>
    <x v="1"/>
    <x v="3"/>
    <n v="29"/>
    <n v="2.42"/>
    <n v="3"/>
    <n v="12780.89"/>
    <n v="2.9"/>
    <x v="0"/>
  </r>
  <r>
    <x v="157"/>
    <s v="OP-01"/>
    <x v="4"/>
    <x v="1"/>
    <n v="28"/>
    <s v="Young (20-31)"/>
    <d v="2022-08-31T00:00:00"/>
    <x v="1"/>
    <x v="11"/>
    <n v="31"/>
    <n v="3.36"/>
    <n v="5"/>
    <n v="5399.61"/>
    <n v="3.2"/>
    <x v="0"/>
  </r>
  <r>
    <x v="158"/>
    <s v="FI-01"/>
    <x v="3"/>
    <x v="0"/>
    <n v="52"/>
    <s v="Old (51-65)"/>
    <d v="2020-09-29T00:00:00"/>
    <x v="2"/>
    <x v="7"/>
    <n v="29"/>
    <n v="3.09"/>
    <n v="13"/>
    <n v="12005.09"/>
    <n v="5.0999999999999996"/>
    <x v="1"/>
  </r>
  <r>
    <x v="159"/>
    <s v="SA-01"/>
    <x v="2"/>
    <x v="0"/>
    <n v="23"/>
    <s v="Young (20-31)"/>
    <d v="2020-05-29T00:00:00"/>
    <x v="2"/>
    <x v="1"/>
    <n v="29"/>
    <n v="2.37"/>
    <n v="14"/>
    <n v="11033.94"/>
    <n v="5.4"/>
    <x v="1"/>
  </r>
  <r>
    <x v="160"/>
    <s v="MA-01"/>
    <x v="5"/>
    <x v="0"/>
    <n v="59"/>
    <s v="Old (51-65)"/>
    <d v="2022-10-25T00:00:00"/>
    <x v="1"/>
    <x v="10"/>
    <n v="25"/>
    <n v="4.5199999999999996"/>
    <n v="14"/>
    <n v="13097.49"/>
    <n v="3"/>
    <x v="0"/>
  </r>
  <r>
    <x v="161"/>
    <s v="SA-01"/>
    <x v="2"/>
    <x v="0"/>
    <n v="55"/>
    <s v="Old (51-65)"/>
    <d v="2022-05-04T00:00:00"/>
    <x v="1"/>
    <x v="1"/>
    <n v="4"/>
    <n v="3.16"/>
    <n v="13"/>
    <n v="8707.1299999999992"/>
    <n v="3.5"/>
    <x v="0"/>
  </r>
  <r>
    <x v="162"/>
    <s v="MA-01"/>
    <x v="5"/>
    <x v="0"/>
    <n v="28"/>
    <s v="Young (20-31)"/>
    <d v="2022-12-05T00:00:00"/>
    <x v="1"/>
    <x v="8"/>
    <n v="5"/>
    <n v="3.24"/>
    <n v="15"/>
    <n v="5291.97"/>
    <n v="2.9"/>
    <x v="0"/>
  </r>
  <r>
    <x v="163"/>
    <s v="MA-01"/>
    <x v="5"/>
    <x v="0"/>
    <n v="25"/>
    <s v="Young (20-31)"/>
    <d v="2024-11-16T00:00:00"/>
    <x v="4"/>
    <x v="3"/>
    <n v="16"/>
    <n v="4.9400000000000004"/>
    <n v="8"/>
    <n v="8908.2999999999993"/>
    <n v="1"/>
    <x v="2"/>
  </r>
  <r>
    <x v="164"/>
    <s v="MA-01"/>
    <x v="5"/>
    <x v="1"/>
    <n v="25"/>
    <s v="Young (20-31)"/>
    <d v="2023-08-06T00:00:00"/>
    <x v="3"/>
    <x v="11"/>
    <n v="6"/>
    <n v="4.9800000000000004"/>
    <n v="7"/>
    <n v="5188.96"/>
    <n v="2.2000000000000002"/>
    <x v="0"/>
  </r>
  <r>
    <x v="165"/>
    <s v="SA-01"/>
    <x v="2"/>
    <x v="1"/>
    <n v="36"/>
    <s v="Middle Age (32-50)"/>
    <d v="2020-01-10T00:00:00"/>
    <x v="2"/>
    <x v="2"/>
    <n v="10"/>
    <n v="3.45"/>
    <n v="11"/>
    <n v="12220.75"/>
    <n v="5.8"/>
    <x v="1"/>
  </r>
  <r>
    <x v="166"/>
    <s v="IT-01"/>
    <x v="1"/>
    <x v="0"/>
    <n v="36"/>
    <s v="Middle Age (32-50)"/>
    <d v="2024-02-04T00:00:00"/>
    <x v="4"/>
    <x v="9"/>
    <n v="4"/>
    <n v="3.4"/>
    <n v="14"/>
    <n v="3000.36"/>
    <n v="1.7"/>
    <x v="0"/>
  </r>
  <r>
    <x v="167"/>
    <s v="SA-01"/>
    <x v="2"/>
    <x v="1"/>
    <n v="32"/>
    <s v="Middle Age (32-50)"/>
    <d v="2025-05-07T00:00:00"/>
    <x v="5"/>
    <x v="1"/>
    <n v="7"/>
    <n v="3.52"/>
    <n v="3"/>
    <n v="5490.28"/>
    <n v="0.5"/>
    <x v="2"/>
  </r>
  <r>
    <x v="168"/>
    <s v="MA-01"/>
    <x v="5"/>
    <x v="1"/>
    <n v="29"/>
    <s v="Young (20-31)"/>
    <d v="2024-04-08T00:00:00"/>
    <x v="4"/>
    <x v="6"/>
    <n v="8"/>
    <n v="4.33"/>
    <n v="9"/>
    <n v="11965.47"/>
    <n v="1.6"/>
    <x v="0"/>
  </r>
  <r>
    <x v="169"/>
    <s v="HR-01"/>
    <x v="0"/>
    <x v="1"/>
    <n v="28"/>
    <s v="Young (20-31)"/>
    <d v="2022-01-15T00:00:00"/>
    <x v="1"/>
    <x v="2"/>
    <n v="15"/>
    <n v="2.1800000000000002"/>
    <n v="8"/>
    <n v="11469.43"/>
    <n v="3.8"/>
    <x v="0"/>
  </r>
  <r>
    <x v="170"/>
    <s v="OP-01"/>
    <x v="4"/>
    <x v="1"/>
    <n v="47"/>
    <s v="Middle Age (32-50)"/>
    <d v="2024-12-07T00:00:00"/>
    <x v="4"/>
    <x v="8"/>
    <n v="7"/>
    <n v="3.48"/>
    <n v="2"/>
    <n v="4345.33"/>
    <n v="0.9"/>
    <x v="2"/>
  </r>
  <r>
    <x v="171"/>
    <s v="SA-01"/>
    <x v="2"/>
    <x v="1"/>
    <n v="50"/>
    <s v="Middle Age (32-50)"/>
    <d v="2022-06-06T00:00:00"/>
    <x v="1"/>
    <x v="5"/>
    <n v="6"/>
    <n v="1.85"/>
    <n v="14"/>
    <n v="12291.58"/>
    <n v="3.4"/>
    <x v="0"/>
  </r>
  <r>
    <x v="172"/>
    <s v="SA-01"/>
    <x v="2"/>
    <x v="0"/>
    <n v="49"/>
    <s v="Middle Age (32-50)"/>
    <d v="2025-06-27T00:00:00"/>
    <x v="5"/>
    <x v="5"/>
    <n v="27"/>
    <n v="3.91"/>
    <n v="3"/>
    <n v="14813.88"/>
    <n v="0.3"/>
    <x v="2"/>
  </r>
  <r>
    <x v="173"/>
    <s v="MA-01"/>
    <x v="5"/>
    <x v="0"/>
    <n v="31"/>
    <s v="Young (20-31)"/>
    <d v="2020-07-11T00:00:00"/>
    <x v="2"/>
    <x v="4"/>
    <n v="11"/>
    <n v="1.53"/>
    <n v="12"/>
    <n v="5281.52"/>
    <n v="5.3"/>
    <x v="1"/>
  </r>
  <r>
    <x v="174"/>
    <s v="SA-01"/>
    <x v="2"/>
    <x v="1"/>
    <n v="60"/>
    <s v="Old (51-65)"/>
    <d v="2024-06-01T00:00:00"/>
    <x v="4"/>
    <x v="5"/>
    <n v="1"/>
    <n v="1.51"/>
    <n v="11"/>
    <n v="12305.09"/>
    <n v="1.4"/>
    <x v="0"/>
  </r>
  <r>
    <x v="175"/>
    <s v="HR-01"/>
    <x v="0"/>
    <x v="0"/>
    <n v="24"/>
    <s v="Young (20-31)"/>
    <d v="2020-09-10T00:00:00"/>
    <x v="2"/>
    <x v="7"/>
    <n v="10"/>
    <n v="3.19"/>
    <n v="3"/>
    <n v="12274.07"/>
    <n v="5.0999999999999996"/>
    <x v="1"/>
  </r>
  <r>
    <x v="176"/>
    <s v="FI-01"/>
    <x v="3"/>
    <x v="1"/>
    <n v="42"/>
    <s v="Middle Age (32-50)"/>
    <d v="2024-10-30T00:00:00"/>
    <x v="4"/>
    <x v="10"/>
    <n v="30"/>
    <n v="2.71"/>
    <n v="2"/>
    <n v="11328.79"/>
    <n v="1"/>
    <x v="2"/>
  </r>
  <r>
    <x v="177"/>
    <s v="IT-01"/>
    <x v="1"/>
    <x v="1"/>
    <n v="29"/>
    <s v="Young (20-31)"/>
    <d v="2023-02-12T00:00:00"/>
    <x v="3"/>
    <x v="9"/>
    <n v="12"/>
    <n v="3.53"/>
    <n v="8"/>
    <n v="8448.76"/>
    <n v="2.7"/>
    <x v="0"/>
  </r>
  <r>
    <x v="178"/>
    <s v="OP-01"/>
    <x v="4"/>
    <x v="0"/>
    <n v="54"/>
    <s v="Old (51-65)"/>
    <d v="2022-09-06T00:00:00"/>
    <x v="1"/>
    <x v="7"/>
    <n v="6"/>
    <n v="2.67"/>
    <n v="8"/>
    <n v="12352.62"/>
    <n v="3.2"/>
    <x v="0"/>
  </r>
  <r>
    <x v="179"/>
    <s v="SA-01"/>
    <x v="2"/>
    <x v="1"/>
    <n v="31"/>
    <s v="Young (20-31)"/>
    <d v="2020-12-01T00:00:00"/>
    <x v="2"/>
    <x v="8"/>
    <n v="1"/>
    <n v="2.71"/>
    <n v="14"/>
    <n v="12089.16"/>
    <n v="4.9000000000000004"/>
    <x v="0"/>
  </r>
  <r>
    <x v="180"/>
    <s v="MA-01"/>
    <x v="5"/>
    <x v="0"/>
    <n v="52"/>
    <s v="Old (51-65)"/>
    <d v="2024-12-22T00:00:00"/>
    <x v="4"/>
    <x v="8"/>
    <n v="22"/>
    <n v="3.56"/>
    <n v="15"/>
    <n v="4787.25"/>
    <n v="0.9"/>
    <x v="2"/>
  </r>
  <r>
    <x v="181"/>
    <s v="FI-01"/>
    <x v="3"/>
    <x v="1"/>
    <n v="60"/>
    <s v="Old (51-65)"/>
    <d v="2024-04-08T00:00:00"/>
    <x v="4"/>
    <x v="6"/>
    <n v="8"/>
    <n v="2.25"/>
    <n v="3"/>
    <n v="13860.19"/>
    <n v="1.6"/>
    <x v="0"/>
  </r>
  <r>
    <x v="182"/>
    <s v="IT-01"/>
    <x v="1"/>
    <x v="0"/>
    <n v="54"/>
    <s v="Old (51-65)"/>
    <d v="2020-07-15T00:00:00"/>
    <x v="2"/>
    <x v="4"/>
    <n v="15"/>
    <n v="4.84"/>
    <n v="1"/>
    <n v="5385.1"/>
    <n v="5.3"/>
    <x v="1"/>
  </r>
  <r>
    <x v="183"/>
    <s v="FI-01"/>
    <x v="3"/>
    <x v="0"/>
    <n v="46"/>
    <s v="Middle Age (32-50)"/>
    <d v="2022-06-09T00:00:00"/>
    <x v="1"/>
    <x v="5"/>
    <n v="9"/>
    <n v="4.67"/>
    <n v="15"/>
    <n v="8648.01"/>
    <n v="3.4"/>
    <x v="0"/>
  </r>
  <r>
    <x v="184"/>
    <s v="SA-01"/>
    <x v="2"/>
    <x v="1"/>
    <n v="53"/>
    <s v="Old (51-65)"/>
    <d v="2021-01-17T00:00:00"/>
    <x v="0"/>
    <x v="2"/>
    <n v="17"/>
    <n v="4.72"/>
    <n v="3"/>
    <n v="3949.88"/>
    <n v="4.8"/>
    <x v="0"/>
  </r>
  <r>
    <x v="185"/>
    <s v="MA-01"/>
    <x v="5"/>
    <x v="0"/>
    <n v="58"/>
    <s v="Old (51-65)"/>
    <d v="2022-05-11T00:00:00"/>
    <x v="1"/>
    <x v="1"/>
    <n v="11"/>
    <n v="2.08"/>
    <n v="7"/>
    <n v="13242.56"/>
    <n v="3.5"/>
    <x v="0"/>
  </r>
  <r>
    <x v="186"/>
    <s v="HR-01"/>
    <x v="0"/>
    <x v="0"/>
    <n v="30"/>
    <s v="Young (20-31)"/>
    <d v="2020-03-09T00:00:00"/>
    <x v="2"/>
    <x v="0"/>
    <n v="9"/>
    <n v="4.6500000000000004"/>
    <n v="7"/>
    <n v="13802.34"/>
    <n v="5.7"/>
    <x v="1"/>
  </r>
  <r>
    <x v="187"/>
    <s v="HR-01"/>
    <x v="0"/>
    <x v="0"/>
    <n v="51"/>
    <s v="Old (51-65)"/>
    <d v="2020-03-01T00:00:00"/>
    <x v="2"/>
    <x v="0"/>
    <n v="1"/>
    <n v="4.34"/>
    <n v="8"/>
    <n v="13639.52"/>
    <n v="5.7"/>
    <x v="1"/>
  </r>
  <r>
    <x v="188"/>
    <s v="SA-01"/>
    <x v="2"/>
    <x v="0"/>
    <n v="41"/>
    <s v="Middle Age (32-50)"/>
    <d v="2020-02-24T00:00:00"/>
    <x v="2"/>
    <x v="9"/>
    <n v="24"/>
    <n v="2.52"/>
    <n v="13"/>
    <n v="11524.61"/>
    <n v="5.7"/>
    <x v="1"/>
  </r>
  <r>
    <x v="189"/>
    <s v="HR-01"/>
    <x v="0"/>
    <x v="1"/>
    <n v="44"/>
    <s v="Middle Age (32-50)"/>
    <d v="2021-12-16T00:00:00"/>
    <x v="0"/>
    <x v="8"/>
    <n v="16"/>
    <n v="4.43"/>
    <n v="12"/>
    <n v="5995.87"/>
    <n v="3.9"/>
    <x v="0"/>
  </r>
  <r>
    <x v="190"/>
    <s v="MA-01"/>
    <x v="5"/>
    <x v="1"/>
    <n v="42"/>
    <s v="Middle Age (32-50)"/>
    <d v="2022-10-02T00:00:00"/>
    <x v="1"/>
    <x v="10"/>
    <n v="2"/>
    <n v="3.56"/>
    <n v="11"/>
    <n v="3954.89"/>
    <n v="3.1"/>
    <x v="0"/>
  </r>
  <r>
    <x v="191"/>
    <s v="FI-01"/>
    <x v="3"/>
    <x v="0"/>
    <n v="52"/>
    <s v="Old (51-65)"/>
    <d v="2025-07-01T00:00:00"/>
    <x v="5"/>
    <x v="4"/>
    <n v="1"/>
    <n v="3.04"/>
    <n v="8"/>
    <n v="7207.39"/>
    <n v="0.3"/>
    <x v="2"/>
  </r>
  <r>
    <x v="192"/>
    <s v="HR-01"/>
    <x v="0"/>
    <x v="0"/>
    <n v="58"/>
    <s v="Old (51-65)"/>
    <d v="2025-07-23T00:00:00"/>
    <x v="5"/>
    <x v="4"/>
    <n v="23"/>
    <n v="3.36"/>
    <n v="9"/>
    <n v="5402.33"/>
    <n v="0.3"/>
    <x v="2"/>
  </r>
  <r>
    <x v="193"/>
    <s v="IT-01"/>
    <x v="1"/>
    <x v="0"/>
    <n v="25"/>
    <s v="Young (20-31)"/>
    <d v="2021-11-06T00:00:00"/>
    <x v="0"/>
    <x v="3"/>
    <n v="6"/>
    <n v="3.38"/>
    <n v="1"/>
    <n v="4923.2"/>
    <n v="4"/>
    <x v="0"/>
  </r>
  <r>
    <x v="194"/>
    <s v="MA-01"/>
    <x v="5"/>
    <x v="1"/>
    <n v="25"/>
    <s v="Young (20-31)"/>
    <d v="2021-09-10T00:00:00"/>
    <x v="0"/>
    <x v="7"/>
    <n v="10"/>
    <n v="2.7"/>
    <n v="0"/>
    <n v="13585.31"/>
    <n v="4.0999999999999996"/>
    <x v="0"/>
  </r>
  <r>
    <x v="195"/>
    <s v="OP-01"/>
    <x v="4"/>
    <x v="0"/>
    <n v="44"/>
    <s v="Middle Age (32-50)"/>
    <d v="2023-07-31T00:00:00"/>
    <x v="3"/>
    <x v="4"/>
    <n v="31"/>
    <n v="2.76"/>
    <n v="2"/>
    <n v="12624.25"/>
    <n v="2.2999999999999998"/>
    <x v="0"/>
  </r>
  <r>
    <x v="196"/>
    <s v="HR-01"/>
    <x v="0"/>
    <x v="1"/>
    <n v="44"/>
    <s v="Middle Age (32-50)"/>
    <d v="2020-07-01T00:00:00"/>
    <x v="2"/>
    <x v="4"/>
    <n v="1"/>
    <n v="3.71"/>
    <n v="7"/>
    <n v="14665.2"/>
    <n v="5.3"/>
    <x v="1"/>
  </r>
  <r>
    <x v="197"/>
    <s v="MA-01"/>
    <x v="5"/>
    <x v="1"/>
    <n v="34"/>
    <s v="Middle Age (32-50)"/>
    <d v="2025-05-02T00:00:00"/>
    <x v="5"/>
    <x v="1"/>
    <n v="2"/>
    <n v="4.76"/>
    <n v="15"/>
    <n v="10161.540000000001"/>
    <n v="0.5"/>
    <x v="2"/>
  </r>
  <r>
    <x v="198"/>
    <s v="OP-01"/>
    <x v="4"/>
    <x v="0"/>
    <n v="45"/>
    <s v="Middle Age (32-50)"/>
    <d v="2020-05-01T00:00:00"/>
    <x v="2"/>
    <x v="1"/>
    <n v="1"/>
    <n v="2.58"/>
    <n v="8"/>
    <n v="14051.44"/>
    <n v="5.5"/>
    <x v="1"/>
  </r>
  <r>
    <x v="199"/>
    <s v="OP-01"/>
    <x v="4"/>
    <x v="0"/>
    <n v="41"/>
    <s v="Middle Age (32-50)"/>
    <d v="2024-08-20T00:00:00"/>
    <x v="4"/>
    <x v="11"/>
    <n v="20"/>
    <n v="1.5"/>
    <n v="14"/>
    <n v="14343.32"/>
    <n v="1.2"/>
    <x v="0"/>
  </r>
  <r>
    <x v="200"/>
    <s v="IT-01"/>
    <x v="1"/>
    <x v="0"/>
    <n v="36"/>
    <s v="Middle Age (32-50)"/>
    <d v="2025-10-03T00:00:00"/>
    <x v="5"/>
    <x v="10"/>
    <n v="3"/>
    <n v="2.66"/>
    <n v="9"/>
    <n v="7395.82"/>
    <n v="0.1"/>
    <x v="2"/>
  </r>
  <r>
    <x v="201"/>
    <s v="OP-01"/>
    <x v="4"/>
    <x v="0"/>
    <n v="35"/>
    <s v="Middle Age (32-50)"/>
    <d v="2025-02-19T00:00:00"/>
    <x v="5"/>
    <x v="9"/>
    <n v="19"/>
    <n v="3.06"/>
    <n v="8"/>
    <n v="8867"/>
    <n v="0.7"/>
    <x v="2"/>
  </r>
  <r>
    <x v="202"/>
    <s v="SA-01"/>
    <x v="2"/>
    <x v="1"/>
    <n v="39"/>
    <s v="Middle Age (32-50)"/>
    <d v="2025-04-07T00:00:00"/>
    <x v="5"/>
    <x v="6"/>
    <n v="7"/>
    <n v="2.61"/>
    <n v="15"/>
    <n v="4135.38"/>
    <n v="0.6"/>
    <x v="2"/>
  </r>
  <r>
    <x v="203"/>
    <s v="FI-01"/>
    <x v="3"/>
    <x v="0"/>
    <n v="26"/>
    <s v="Young (20-31)"/>
    <d v="2020-08-27T00:00:00"/>
    <x v="2"/>
    <x v="11"/>
    <n v="27"/>
    <n v="3.59"/>
    <n v="11"/>
    <n v="4228.6499999999996"/>
    <n v="5.2"/>
    <x v="1"/>
  </r>
  <r>
    <x v="204"/>
    <s v="MA-01"/>
    <x v="5"/>
    <x v="0"/>
    <n v="40"/>
    <s v="Middle Age (32-50)"/>
    <d v="2021-03-26T00:00:00"/>
    <x v="0"/>
    <x v="0"/>
    <n v="26"/>
    <n v="4.2699999999999996"/>
    <n v="8"/>
    <n v="3322.05"/>
    <n v="4.5999999999999996"/>
    <x v="0"/>
  </r>
  <r>
    <x v="205"/>
    <s v="OP-01"/>
    <x v="4"/>
    <x v="0"/>
    <n v="56"/>
    <s v="Old (51-65)"/>
    <d v="2021-10-30T00:00:00"/>
    <x v="0"/>
    <x v="10"/>
    <n v="30"/>
    <n v="2.2999999999999998"/>
    <n v="7"/>
    <n v="10605.17"/>
    <n v="4"/>
    <x v="0"/>
  </r>
  <r>
    <x v="206"/>
    <s v="FI-01"/>
    <x v="3"/>
    <x v="1"/>
    <n v="51"/>
    <s v="Old (51-65)"/>
    <d v="2021-05-20T00:00:00"/>
    <x v="0"/>
    <x v="1"/>
    <n v="20"/>
    <n v="4.08"/>
    <n v="12"/>
    <n v="14591.95"/>
    <n v="4.5"/>
    <x v="0"/>
  </r>
  <r>
    <x v="207"/>
    <s v="MA-01"/>
    <x v="5"/>
    <x v="0"/>
    <n v="44"/>
    <s v="Middle Age (32-50)"/>
    <d v="2021-07-17T00:00:00"/>
    <x v="0"/>
    <x v="4"/>
    <n v="17"/>
    <n v="2.82"/>
    <n v="10"/>
    <n v="12819.57"/>
    <n v="4.3"/>
    <x v="0"/>
  </r>
  <r>
    <x v="208"/>
    <s v="MA-01"/>
    <x v="5"/>
    <x v="1"/>
    <n v="47"/>
    <s v="Middle Age (32-50)"/>
    <d v="2021-02-23T00:00:00"/>
    <x v="0"/>
    <x v="9"/>
    <n v="23"/>
    <n v="3.58"/>
    <n v="5"/>
    <n v="11915.86"/>
    <n v="4.7"/>
    <x v="0"/>
  </r>
  <r>
    <x v="209"/>
    <s v="SA-01"/>
    <x v="2"/>
    <x v="1"/>
    <n v="24"/>
    <s v="Young (20-31)"/>
    <d v="2020-11-04T00:00:00"/>
    <x v="2"/>
    <x v="3"/>
    <n v="4"/>
    <n v="3.33"/>
    <n v="11"/>
    <n v="4639.3"/>
    <n v="5"/>
    <x v="0"/>
  </r>
  <r>
    <x v="210"/>
    <s v="IT-01"/>
    <x v="1"/>
    <x v="0"/>
    <n v="47"/>
    <s v="Middle Age (32-50)"/>
    <d v="2021-06-30T00:00:00"/>
    <x v="0"/>
    <x v="5"/>
    <n v="30"/>
    <n v="4.67"/>
    <n v="6"/>
    <n v="7618.82"/>
    <n v="4.3"/>
    <x v="0"/>
  </r>
  <r>
    <x v="211"/>
    <s v="SA-01"/>
    <x v="2"/>
    <x v="0"/>
    <n v="33"/>
    <s v="Middle Age (32-50)"/>
    <d v="2022-04-14T00:00:00"/>
    <x v="1"/>
    <x v="6"/>
    <n v="14"/>
    <n v="4.9800000000000004"/>
    <n v="9"/>
    <n v="5213.25"/>
    <n v="3.6"/>
    <x v="0"/>
  </r>
  <r>
    <x v="212"/>
    <s v="MA-01"/>
    <x v="5"/>
    <x v="1"/>
    <n v="36"/>
    <s v="Middle Age (32-50)"/>
    <d v="2025-07-03T00:00:00"/>
    <x v="5"/>
    <x v="4"/>
    <n v="3"/>
    <n v="3.79"/>
    <n v="12"/>
    <n v="13385.69"/>
    <n v="0.3"/>
    <x v="2"/>
  </r>
  <r>
    <x v="213"/>
    <s v="SA-01"/>
    <x v="2"/>
    <x v="1"/>
    <n v="40"/>
    <s v="Middle Age (32-50)"/>
    <d v="2022-03-29T00:00:00"/>
    <x v="1"/>
    <x v="0"/>
    <n v="29"/>
    <n v="2.93"/>
    <n v="2"/>
    <n v="13817.76"/>
    <n v="3.6"/>
    <x v="0"/>
  </r>
  <r>
    <x v="214"/>
    <s v="OP-01"/>
    <x v="4"/>
    <x v="1"/>
    <n v="41"/>
    <s v="Middle Age (32-50)"/>
    <d v="2021-03-14T00:00:00"/>
    <x v="0"/>
    <x v="0"/>
    <n v="14"/>
    <n v="1.96"/>
    <n v="4"/>
    <n v="8479.5499999999993"/>
    <n v="4.5999999999999996"/>
    <x v="0"/>
  </r>
  <r>
    <x v="215"/>
    <s v="SA-01"/>
    <x v="2"/>
    <x v="0"/>
    <n v="60"/>
    <s v="Old (51-65)"/>
    <d v="2023-07-12T00:00:00"/>
    <x v="3"/>
    <x v="4"/>
    <n v="12"/>
    <n v="2.35"/>
    <n v="15"/>
    <n v="14557.19"/>
    <n v="2.2999999999999998"/>
    <x v="0"/>
  </r>
  <r>
    <x v="216"/>
    <s v="MA-01"/>
    <x v="5"/>
    <x v="0"/>
    <n v="34"/>
    <s v="Middle Age (32-50)"/>
    <d v="2025-03-18T00:00:00"/>
    <x v="5"/>
    <x v="0"/>
    <n v="18"/>
    <n v="2.89"/>
    <n v="14"/>
    <n v="13790"/>
    <n v="0.6"/>
    <x v="2"/>
  </r>
  <r>
    <x v="217"/>
    <s v="IT-01"/>
    <x v="1"/>
    <x v="1"/>
    <n v="53"/>
    <s v="Old (51-65)"/>
    <d v="2024-05-14T00:00:00"/>
    <x v="4"/>
    <x v="1"/>
    <n v="14"/>
    <n v="3.94"/>
    <n v="1"/>
    <n v="11747.1"/>
    <n v="1.5"/>
    <x v="0"/>
  </r>
  <r>
    <x v="218"/>
    <s v="SA-01"/>
    <x v="2"/>
    <x v="0"/>
    <n v="55"/>
    <s v="Old (51-65)"/>
    <d v="2022-09-23T00:00:00"/>
    <x v="1"/>
    <x v="7"/>
    <n v="23"/>
    <n v="1.85"/>
    <n v="11"/>
    <n v="14121.55"/>
    <n v="3.1"/>
    <x v="0"/>
  </r>
  <r>
    <x v="219"/>
    <s v="FI-01"/>
    <x v="3"/>
    <x v="1"/>
    <n v="31"/>
    <s v="Young (20-31)"/>
    <d v="2021-06-12T00:00:00"/>
    <x v="0"/>
    <x v="5"/>
    <n v="12"/>
    <n v="4.78"/>
    <n v="11"/>
    <n v="5123.8500000000004"/>
    <n v="4.4000000000000004"/>
    <x v="0"/>
  </r>
  <r>
    <x v="220"/>
    <s v="MA-01"/>
    <x v="5"/>
    <x v="1"/>
    <n v="57"/>
    <s v="Old (51-65)"/>
    <d v="2022-01-02T00:00:00"/>
    <x v="1"/>
    <x v="2"/>
    <n v="2"/>
    <n v="4.58"/>
    <n v="2"/>
    <n v="5315.76"/>
    <n v="3.8"/>
    <x v="0"/>
  </r>
  <r>
    <x v="221"/>
    <s v="SA-01"/>
    <x v="2"/>
    <x v="1"/>
    <n v="37"/>
    <s v="Middle Age (32-50)"/>
    <d v="2020-08-28T00:00:00"/>
    <x v="2"/>
    <x v="11"/>
    <n v="28"/>
    <n v="2.64"/>
    <n v="3"/>
    <n v="9297.02"/>
    <n v="5.2"/>
    <x v="1"/>
  </r>
  <r>
    <x v="222"/>
    <s v="FI-01"/>
    <x v="3"/>
    <x v="1"/>
    <n v="32"/>
    <s v="Middle Age (32-50)"/>
    <d v="2020-03-10T00:00:00"/>
    <x v="2"/>
    <x v="0"/>
    <n v="10"/>
    <n v="3.76"/>
    <n v="4"/>
    <n v="5879.01"/>
    <n v="5.6"/>
    <x v="1"/>
  </r>
  <r>
    <x v="223"/>
    <s v="MA-01"/>
    <x v="5"/>
    <x v="0"/>
    <n v="56"/>
    <s v="Old (51-65)"/>
    <d v="2023-04-22T00:00:00"/>
    <x v="3"/>
    <x v="6"/>
    <n v="22"/>
    <n v="2.85"/>
    <n v="9"/>
    <n v="8792.92"/>
    <n v="2.5"/>
    <x v="0"/>
  </r>
  <r>
    <x v="224"/>
    <s v="OP-01"/>
    <x v="4"/>
    <x v="1"/>
    <n v="22"/>
    <s v="Young (20-31)"/>
    <d v="2021-07-10T00:00:00"/>
    <x v="0"/>
    <x v="4"/>
    <n v="10"/>
    <n v="4.34"/>
    <n v="0"/>
    <n v="5800.68"/>
    <n v="4.3"/>
    <x v="0"/>
  </r>
  <r>
    <x v="225"/>
    <s v="HR-01"/>
    <x v="0"/>
    <x v="0"/>
    <n v="60"/>
    <s v="Old (51-65)"/>
    <d v="2024-11-10T00:00:00"/>
    <x v="4"/>
    <x v="3"/>
    <n v="10"/>
    <n v="4.93"/>
    <n v="6"/>
    <n v="10524.55"/>
    <n v="1"/>
    <x v="2"/>
  </r>
  <r>
    <x v="226"/>
    <s v="SA-01"/>
    <x v="2"/>
    <x v="1"/>
    <n v="52"/>
    <s v="Old (51-65)"/>
    <d v="2023-03-06T00:00:00"/>
    <x v="3"/>
    <x v="0"/>
    <n v="6"/>
    <n v="3.01"/>
    <n v="1"/>
    <n v="10146.75"/>
    <n v="2.7"/>
    <x v="0"/>
  </r>
  <r>
    <x v="227"/>
    <s v="SA-01"/>
    <x v="2"/>
    <x v="0"/>
    <n v="28"/>
    <s v="Young (20-31)"/>
    <d v="2020-06-27T00:00:00"/>
    <x v="2"/>
    <x v="5"/>
    <n v="27"/>
    <n v="4.05"/>
    <n v="3"/>
    <n v="10764.76"/>
    <n v="5.4"/>
    <x v="1"/>
  </r>
  <r>
    <x v="228"/>
    <s v="SA-01"/>
    <x v="2"/>
    <x v="1"/>
    <n v="37"/>
    <s v="Middle Age (32-50)"/>
    <d v="2022-01-12T00:00:00"/>
    <x v="1"/>
    <x v="2"/>
    <n v="12"/>
    <n v="2.59"/>
    <n v="11"/>
    <n v="6595.42"/>
    <n v="3.8"/>
    <x v="0"/>
  </r>
  <r>
    <x v="229"/>
    <s v="OP-01"/>
    <x v="4"/>
    <x v="1"/>
    <n v="52"/>
    <s v="Old (51-65)"/>
    <d v="2021-01-13T00:00:00"/>
    <x v="0"/>
    <x v="2"/>
    <n v="13"/>
    <n v="3.87"/>
    <n v="15"/>
    <n v="7197.69"/>
    <n v="4.8"/>
    <x v="0"/>
  </r>
  <r>
    <x v="230"/>
    <s v="OP-01"/>
    <x v="4"/>
    <x v="1"/>
    <n v="46"/>
    <s v="Middle Age (32-50)"/>
    <d v="2020-12-25T00:00:00"/>
    <x v="2"/>
    <x v="8"/>
    <n v="25"/>
    <n v="1.9"/>
    <n v="2"/>
    <n v="11519"/>
    <n v="4.9000000000000004"/>
    <x v="0"/>
  </r>
  <r>
    <x v="231"/>
    <s v="HR-01"/>
    <x v="0"/>
    <x v="0"/>
    <n v="30"/>
    <s v="Young (20-31)"/>
    <d v="2022-10-23T00:00:00"/>
    <x v="1"/>
    <x v="10"/>
    <n v="23"/>
    <n v="3.38"/>
    <n v="0"/>
    <n v="9325.17"/>
    <n v="3"/>
    <x v="0"/>
  </r>
  <r>
    <x v="232"/>
    <s v="OP-01"/>
    <x v="4"/>
    <x v="1"/>
    <n v="36"/>
    <s v="Middle Age (32-50)"/>
    <d v="2023-03-29T00:00:00"/>
    <x v="3"/>
    <x v="0"/>
    <n v="29"/>
    <n v="4.75"/>
    <n v="14"/>
    <n v="9567.24"/>
    <n v="2.6"/>
    <x v="0"/>
  </r>
  <r>
    <x v="233"/>
    <s v="IT-01"/>
    <x v="1"/>
    <x v="1"/>
    <n v="40"/>
    <s v="Middle Age (32-50)"/>
    <d v="2025-06-04T00:00:00"/>
    <x v="5"/>
    <x v="5"/>
    <n v="4"/>
    <n v="2.36"/>
    <n v="2"/>
    <n v="4955.17"/>
    <n v="0.4"/>
    <x v="2"/>
  </r>
  <r>
    <x v="234"/>
    <s v="FI-01"/>
    <x v="3"/>
    <x v="0"/>
    <n v="39"/>
    <s v="Middle Age (32-50)"/>
    <d v="2022-12-31T00:00:00"/>
    <x v="1"/>
    <x v="8"/>
    <n v="31"/>
    <n v="1.57"/>
    <n v="13"/>
    <n v="9667.5400000000009"/>
    <n v="2.8"/>
    <x v="0"/>
  </r>
  <r>
    <x v="235"/>
    <s v="MA-01"/>
    <x v="5"/>
    <x v="0"/>
    <n v="54"/>
    <s v="Old (51-65)"/>
    <d v="2025-05-31T00:00:00"/>
    <x v="5"/>
    <x v="1"/>
    <n v="31"/>
    <n v="3.61"/>
    <n v="7"/>
    <n v="9763.59"/>
    <n v="0.4"/>
    <x v="2"/>
  </r>
  <r>
    <x v="236"/>
    <s v="FI-01"/>
    <x v="3"/>
    <x v="1"/>
    <n v="55"/>
    <s v="Old (51-65)"/>
    <d v="2021-06-26T00:00:00"/>
    <x v="0"/>
    <x v="5"/>
    <n v="26"/>
    <n v="4.68"/>
    <n v="4"/>
    <n v="12063.61"/>
    <n v="4.4000000000000004"/>
    <x v="0"/>
  </r>
  <r>
    <x v="237"/>
    <s v="OP-01"/>
    <x v="4"/>
    <x v="1"/>
    <n v="47"/>
    <s v="Middle Age (32-50)"/>
    <d v="2025-03-05T00:00:00"/>
    <x v="5"/>
    <x v="0"/>
    <n v="5"/>
    <n v="3.67"/>
    <n v="1"/>
    <n v="12523.51"/>
    <n v="0.7"/>
    <x v="2"/>
  </r>
  <r>
    <x v="238"/>
    <s v="MA-01"/>
    <x v="5"/>
    <x v="0"/>
    <n v="43"/>
    <s v="Middle Age (32-50)"/>
    <d v="2021-05-06T00:00:00"/>
    <x v="0"/>
    <x v="1"/>
    <n v="6"/>
    <n v="2.4900000000000002"/>
    <n v="11"/>
    <n v="13977.18"/>
    <n v="4.5"/>
    <x v="0"/>
  </r>
  <r>
    <x v="239"/>
    <s v="IT-01"/>
    <x v="1"/>
    <x v="0"/>
    <n v="56"/>
    <s v="Old (51-65)"/>
    <d v="2021-06-07T00:00:00"/>
    <x v="0"/>
    <x v="5"/>
    <n v="7"/>
    <n v="1.5"/>
    <n v="4"/>
    <n v="4853.84"/>
    <n v="4.4000000000000004"/>
    <x v="0"/>
  </r>
  <r>
    <x v="240"/>
    <s v="HR-01"/>
    <x v="0"/>
    <x v="1"/>
    <n v="23"/>
    <s v="Young (20-31)"/>
    <d v="2022-09-17T00:00:00"/>
    <x v="1"/>
    <x v="7"/>
    <n v="17"/>
    <n v="4.0199999999999996"/>
    <n v="0"/>
    <n v="8803.57"/>
    <n v="3.1"/>
    <x v="0"/>
  </r>
  <r>
    <x v="241"/>
    <s v="MA-01"/>
    <x v="5"/>
    <x v="1"/>
    <n v="34"/>
    <s v="Middle Age (32-50)"/>
    <d v="2025-10-15T00:00:00"/>
    <x v="5"/>
    <x v="10"/>
    <n v="15"/>
    <n v="2.23"/>
    <n v="5"/>
    <n v="3751.49"/>
    <n v="0"/>
    <x v="2"/>
  </r>
  <r>
    <x v="242"/>
    <s v="FI-01"/>
    <x v="3"/>
    <x v="0"/>
    <n v="38"/>
    <s v="Middle Age (32-50)"/>
    <d v="2024-01-11T00:00:00"/>
    <x v="4"/>
    <x v="2"/>
    <n v="11"/>
    <n v="3.31"/>
    <n v="13"/>
    <n v="3720.69"/>
    <n v="1.8"/>
    <x v="0"/>
  </r>
  <r>
    <x v="243"/>
    <s v="OP-01"/>
    <x v="4"/>
    <x v="0"/>
    <n v="33"/>
    <s v="Middle Age (32-50)"/>
    <d v="2025-09-06T00:00:00"/>
    <x v="5"/>
    <x v="7"/>
    <n v="6"/>
    <n v="2.29"/>
    <n v="9"/>
    <n v="5283.68"/>
    <n v="0.2"/>
    <x v="2"/>
  </r>
  <r>
    <x v="244"/>
    <s v="IT-01"/>
    <x v="1"/>
    <x v="0"/>
    <n v="34"/>
    <s v="Middle Age (32-50)"/>
    <d v="2024-11-19T00:00:00"/>
    <x v="4"/>
    <x v="3"/>
    <n v="19"/>
    <n v="3.29"/>
    <n v="12"/>
    <n v="12678.44"/>
    <n v="1"/>
    <x v="2"/>
  </r>
  <r>
    <x v="245"/>
    <s v="HR-01"/>
    <x v="0"/>
    <x v="1"/>
    <n v="49"/>
    <s v="Middle Age (32-50)"/>
    <d v="2022-03-08T00:00:00"/>
    <x v="1"/>
    <x v="0"/>
    <n v="8"/>
    <n v="3.4"/>
    <n v="3"/>
    <n v="5977.15"/>
    <n v="3.7"/>
    <x v="0"/>
  </r>
  <r>
    <x v="246"/>
    <s v="HR-01"/>
    <x v="0"/>
    <x v="1"/>
    <n v="59"/>
    <s v="Old (51-65)"/>
    <d v="2022-05-17T00:00:00"/>
    <x v="1"/>
    <x v="1"/>
    <n v="17"/>
    <n v="4.04"/>
    <n v="11"/>
    <n v="10823.15"/>
    <n v="3.5"/>
    <x v="0"/>
  </r>
  <r>
    <x v="247"/>
    <s v="IT-01"/>
    <x v="1"/>
    <x v="0"/>
    <n v="25"/>
    <s v="Young (20-31)"/>
    <d v="2024-06-11T00:00:00"/>
    <x v="4"/>
    <x v="5"/>
    <n v="11"/>
    <n v="3.88"/>
    <n v="3"/>
    <n v="6454.46"/>
    <n v="1.4"/>
    <x v="0"/>
  </r>
  <r>
    <x v="248"/>
    <s v="HR-01"/>
    <x v="0"/>
    <x v="1"/>
    <n v="53"/>
    <s v="Old (51-65)"/>
    <d v="2020-07-03T00:00:00"/>
    <x v="2"/>
    <x v="4"/>
    <n v="3"/>
    <n v="1.58"/>
    <n v="15"/>
    <n v="8964.0400000000009"/>
    <n v="5.3"/>
    <x v="1"/>
  </r>
  <r>
    <x v="249"/>
    <s v="SA-01"/>
    <x v="2"/>
    <x v="0"/>
    <n v="38"/>
    <s v="Middle Age (32-50)"/>
    <d v="2022-01-10T00:00:00"/>
    <x v="1"/>
    <x v="2"/>
    <n v="10"/>
    <n v="3.27"/>
    <n v="1"/>
    <n v="13110.49"/>
    <n v="3.8"/>
    <x v="0"/>
  </r>
  <r>
    <x v="250"/>
    <s v="HR-01"/>
    <x v="0"/>
    <x v="1"/>
    <n v="41"/>
    <s v="Middle Age (32-50)"/>
    <d v="2022-08-14T00:00:00"/>
    <x v="1"/>
    <x v="11"/>
    <n v="14"/>
    <n v="2.73"/>
    <n v="14"/>
    <n v="12248.26"/>
    <n v="3.2"/>
    <x v="0"/>
  </r>
  <r>
    <x v="251"/>
    <s v="SA-01"/>
    <x v="2"/>
    <x v="1"/>
    <n v="22"/>
    <s v="Young (20-31)"/>
    <d v="2022-12-29T00:00:00"/>
    <x v="1"/>
    <x v="8"/>
    <n v="29"/>
    <n v="4.3600000000000003"/>
    <n v="14"/>
    <n v="6419.51"/>
    <n v="2.8"/>
    <x v="0"/>
  </r>
  <r>
    <x v="252"/>
    <s v="OP-01"/>
    <x v="4"/>
    <x v="1"/>
    <n v="50"/>
    <s v="Middle Age (32-50)"/>
    <d v="2022-06-30T00:00:00"/>
    <x v="1"/>
    <x v="5"/>
    <n v="30"/>
    <n v="4.9400000000000004"/>
    <n v="15"/>
    <n v="8119.56"/>
    <n v="3.3"/>
    <x v="0"/>
  </r>
  <r>
    <x v="253"/>
    <s v="FI-01"/>
    <x v="3"/>
    <x v="1"/>
    <n v="39"/>
    <s v="Middle Age (32-50)"/>
    <d v="2020-03-28T00:00:00"/>
    <x v="2"/>
    <x v="0"/>
    <n v="28"/>
    <n v="4.46"/>
    <n v="13"/>
    <n v="6660.39"/>
    <n v="5.6"/>
    <x v="1"/>
  </r>
  <r>
    <x v="254"/>
    <s v="OP-01"/>
    <x v="4"/>
    <x v="0"/>
    <n v="56"/>
    <s v="Old (51-65)"/>
    <d v="2024-05-30T00:00:00"/>
    <x v="4"/>
    <x v="1"/>
    <n v="30"/>
    <n v="1.69"/>
    <n v="6"/>
    <n v="3267.93"/>
    <n v="1.4"/>
    <x v="0"/>
  </r>
  <r>
    <x v="255"/>
    <s v="IT-01"/>
    <x v="1"/>
    <x v="1"/>
    <n v="27"/>
    <s v="Young (20-31)"/>
    <d v="2025-06-13T00:00:00"/>
    <x v="5"/>
    <x v="5"/>
    <n v="13"/>
    <n v="3.65"/>
    <n v="6"/>
    <n v="6226.08"/>
    <n v="0.4"/>
    <x v="2"/>
  </r>
  <r>
    <x v="256"/>
    <s v="FI-01"/>
    <x v="3"/>
    <x v="1"/>
    <n v="25"/>
    <s v="Young (20-31)"/>
    <d v="2021-08-02T00:00:00"/>
    <x v="0"/>
    <x v="11"/>
    <n v="2"/>
    <n v="4.37"/>
    <n v="4"/>
    <n v="10887.11"/>
    <n v="4.3"/>
    <x v="0"/>
  </r>
  <r>
    <x v="257"/>
    <s v="IT-01"/>
    <x v="1"/>
    <x v="1"/>
    <n v="57"/>
    <s v="Old (51-65)"/>
    <d v="2021-01-02T00:00:00"/>
    <x v="0"/>
    <x v="2"/>
    <n v="2"/>
    <n v="3.98"/>
    <n v="12"/>
    <n v="12723.83"/>
    <n v="4.8"/>
    <x v="0"/>
  </r>
  <r>
    <x v="258"/>
    <s v="FI-01"/>
    <x v="3"/>
    <x v="1"/>
    <n v="31"/>
    <s v="Young (20-31)"/>
    <d v="2020-03-02T00:00:00"/>
    <x v="2"/>
    <x v="0"/>
    <n v="2"/>
    <n v="4.04"/>
    <n v="11"/>
    <n v="8334.41"/>
    <n v="5.7"/>
    <x v="1"/>
  </r>
  <r>
    <x v="259"/>
    <s v="FI-01"/>
    <x v="3"/>
    <x v="0"/>
    <n v="37"/>
    <s v="Middle Age (32-50)"/>
    <d v="2024-04-24T00:00:00"/>
    <x v="4"/>
    <x v="6"/>
    <n v="24"/>
    <n v="4.24"/>
    <n v="2"/>
    <n v="14437.4"/>
    <n v="1.5"/>
    <x v="0"/>
  </r>
  <r>
    <x v="260"/>
    <s v="MA-01"/>
    <x v="5"/>
    <x v="1"/>
    <n v="54"/>
    <s v="Old (51-65)"/>
    <d v="2020-05-24T00:00:00"/>
    <x v="2"/>
    <x v="1"/>
    <n v="24"/>
    <n v="3.83"/>
    <n v="6"/>
    <n v="7016.19"/>
    <n v="5.4"/>
    <x v="1"/>
  </r>
  <r>
    <x v="261"/>
    <s v="FI-01"/>
    <x v="3"/>
    <x v="0"/>
    <n v="48"/>
    <s v="Middle Age (32-50)"/>
    <d v="2021-11-06T00:00:00"/>
    <x v="0"/>
    <x v="3"/>
    <n v="6"/>
    <n v="1.55"/>
    <n v="6"/>
    <n v="14176.28"/>
    <n v="4"/>
    <x v="0"/>
  </r>
  <r>
    <x v="262"/>
    <s v="FI-01"/>
    <x v="3"/>
    <x v="1"/>
    <n v="38"/>
    <s v="Middle Age (32-50)"/>
    <d v="2022-08-11T00:00:00"/>
    <x v="1"/>
    <x v="11"/>
    <n v="11"/>
    <n v="2.79"/>
    <n v="10"/>
    <n v="10613.92"/>
    <n v="3.2"/>
    <x v="0"/>
  </r>
  <r>
    <x v="263"/>
    <s v="SA-01"/>
    <x v="2"/>
    <x v="0"/>
    <n v="26"/>
    <s v="Young (20-31)"/>
    <d v="2022-06-03T00:00:00"/>
    <x v="1"/>
    <x v="5"/>
    <n v="3"/>
    <n v="2.9"/>
    <n v="13"/>
    <n v="4465.41"/>
    <n v="3.4"/>
    <x v="0"/>
  </r>
  <r>
    <x v="264"/>
    <s v="MA-01"/>
    <x v="5"/>
    <x v="1"/>
    <n v="57"/>
    <s v="Old (51-65)"/>
    <d v="2020-11-04T00:00:00"/>
    <x v="2"/>
    <x v="3"/>
    <n v="4"/>
    <n v="2.75"/>
    <n v="15"/>
    <n v="6995.11"/>
    <n v="5"/>
    <x v="0"/>
  </r>
  <r>
    <x v="265"/>
    <s v="IT-01"/>
    <x v="1"/>
    <x v="0"/>
    <n v="52"/>
    <s v="Old (51-65)"/>
    <d v="2024-07-19T00:00:00"/>
    <x v="4"/>
    <x v="4"/>
    <n v="19"/>
    <n v="4.99"/>
    <n v="3"/>
    <n v="12703.77"/>
    <n v="1.3"/>
    <x v="0"/>
  </r>
  <r>
    <x v="266"/>
    <s v="MA-01"/>
    <x v="5"/>
    <x v="0"/>
    <n v="30"/>
    <s v="Young (20-31)"/>
    <d v="2022-01-11T00:00:00"/>
    <x v="1"/>
    <x v="2"/>
    <n v="11"/>
    <n v="2.21"/>
    <n v="13"/>
    <n v="10842.31"/>
    <n v="3.8"/>
    <x v="0"/>
  </r>
  <r>
    <x v="267"/>
    <s v="HR-01"/>
    <x v="0"/>
    <x v="1"/>
    <n v="49"/>
    <s v="Middle Age (32-50)"/>
    <d v="2020-10-28T00:00:00"/>
    <x v="2"/>
    <x v="10"/>
    <n v="28"/>
    <n v="3.86"/>
    <n v="14"/>
    <n v="6950.21"/>
    <n v="5"/>
    <x v="0"/>
  </r>
  <r>
    <x v="268"/>
    <s v="SA-01"/>
    <x v="2"/>
    <x v="1"/>
    <n v="48"/>
    <s v="Middle Age (32-50)"/>
    <d v="2022-08-15T00:00:00"/>
    <x v="1"/>
    <x v="11"/>
    <n v="15"/>
    <n v="4.13"/>
    <n v="8"/>
    <n v="10686.7"/>
    <n v="3.2"/>
    <x v="0"/>
  </r>
  <r>
    <x v="269"/>
    <s v="OP-01"/>
    <x v="4"/>
    <x v="0"/>
    <n v="60"/>
    <s v="Old (51-65)"/>
    <d v="2024-07-06T00:00:00"/>
    <x v="4"/>
    <x v="4"/>
    <n v="6"/>
    <n v="3.32"/>
    <n v="3"/>
    <n v="6599.78"/>
    <n v="1.3"/>
    <x v="0"/>
  </r>
  <r>
    <x v="270"/>
    <s v="MA-01"/>
    <x v="5"/>
    <x v="1"/>
    <n v="34"/>
    <s v="Middle Age (32-50)"/>
    <d v="2021-05-01T00:00:00"/>
    <x v="0"/>
    <x v="1"/>
    <n v="1"/>
    <n v="2.74"/>
    <n v="11"/>
    <n v="9343.18"/>
    <n v="4.5"/>
    <x v="0"/>
  </r>
  <r>
    <x v="271"/>
    <s v="FI-01"/>
    <x v="3"/>
    <x v="0"/>
    <n v="47"/>
    <s v="Middle Age (32-50)"/>
    <d v="2022-08-02T00:00:00"/>
    <x v="1"/>
    <x v="11"/>
    <n v="2"/>
    <n v="2.48"/>
    <n v="8"/>
    <n v="4403.33"/>
    <n v="3.3"/>
    <x v="0"/>
  </r>
  <r>
    <x v="272"/>
    <s v="FI-01"/>
    <x v="3"/>
    <x v="0"/>
    <n v="54"/>
    <s v="Old (51-65)"/>
    <d v="2020-09-08T00:00:00"/>
    <x v="2"/>
    <x v="7"/>
    <n v="8"/>
    <n v="3.09"/>
    <n v="2"/>
    <n v="9748.98"/>
    <n v="5.2"/>
    <x v="1"/>
  </r>
  <r>
    <x v="273"/>
    <s v="OP-01"/>
    <x v="4"/>
    <x v="1"/>
    <n v="41"/>
    <s v="Middle Age (32-50)"/>
    <d v="2023-10-03T00:00:00"/>
    <x v="3"/>
    <x v="10"/>
    <n v="3"/>
    <n v="2.4300000000000002"/>
    <n v="14"/>
    <n v="7391.36"/>
    <n v="2.1"/>
    <x v="0"/>
  </r>
  <r>
    <x v="274"/>
    <s v="IT-01"/>
    <x v="1"/>
    <x v="0"/>
    <n v="32"/>
    <s v="Middle Age (32-50)"/>
    <d v="2022-02-26T00:00:00"/>
    <x v="1"/>
    <x v="9"/>
    <n v="26"/>
    <n v="4.26"/>
    <n v="11"/>
    <n v="6931.08"/>
    <n v="3.7"/>
    <x v="0"/>
  </r>
  <r>
    <x v="275"/>
    <s v="OP-01"/>
    <x v="4"/>
    <x v="1"/>
    <n v="40"/>
    <s v="Middle Age (32-50)"/>
    <d v="2020-08-25T00:00:00"/>
    <x v="2"/>
    <x v="11"/>
    <n v="25"/>
    <n v="3.54"/>
    <n v="12"/>
    <n v="4677.6400000000003"/>
    <n v="5.2"/>
    <x v="1"/>
  </r>
  <r>
    <x v="276"/>
    <s v="FI-01"/>
    <x v="3"/>
    <x v="0"/>
    <n v="30"/>
    <s v="Young (20-31)"/>
    <d v="2022-10-15T00:00:00"/>
    <x v="1"/>
    <x v="10"/>
    <n v="15"/>
    <n v="1.87"/>
    <n v="13"/>
    <n v="12397.64"/>
    <n v="3"/>
    <x v="0"/>
  </r>
  <r>
    <x v="277"/>
    <s v="MA-01"/>
    <x v="5"/>
    <x v="0"/>
    <n v="39"/>
    <s v="Middle Age (32-50)"/>
    <d v="2022-09-08T00:00:00"/>
    <x v="1"/>
    <x v="7"/>
    <n v="8"/>
    <n v="2.31"/>
    <n v="0"/>
    <n v="5090.54"/>
    <n v="3.2"/>
    <x v="0"/>
  </r>
  <r>
    <x v="278"/>
    <s v="MA-01"/>
    <x v="5"/>
    <x v="0"/>
    <n v="38"/>
    <s v="Middle Age (32-50)"/>
    <d v="2020-11-11T00:00:00"/>
    <x v="2"/>
    <x v="3"/>
    <n v="11"/>
    <n v="3.5"/>
    <n v="10"/>
    <n v="12628.62"/>
    <n v="5"/>
    <x v="0"/>
  </r>
  <r>
    <x v="279"/>
    <s v="MA-01"/>
    <x v="5"/>
    <x v="1"/>
    <n v="59"/>
    <s v="Old (51-65)"/>
    <d v="2024-10-07T00:00:00"/>
    <x v="4"/>
    <x v="10"/>
    <n v="7"/>
    <n v="3.24"/>
    <n v="1"/>
    <n v="6428.96"/>
    <n v="1.1000000000000001"/>
    <x v="0"/>
  </r>
  <r>
    <x v="280"/>
    <s v="MA-01"/>
    <x v="5"/>
    <x v="0"/>
    <n v="35"/>
    <s v="Middle Age (32-50)"/>
    <d v="2024-01-25T00:00:00"/>
    <x v="4"/>
    <x v="2"/>
    <n v="25"/>
    <n v="3.26"/>
    <n v="11"/>
    <n v="3315.71"/>
    <n v="1.8"/>
    <x v="0"/>
  </r>
  <r>
    <x v="281"/>
    <s v="SA-01"/>
    <x v="2"/>
    <x v="0"/>
    <n v="60"/>
    <s v="Old (51-65)"/>
    <d v="2024-12-30T00:00:00"/>
    <x v="4"/>
    <x v="8"/>
    <n v="30"/>
    <n v="3.81"/>
    <n v="0"/>
    <n v="13489.77"/>
    <n v="0.8"/>
    <x v="2"/>
  </r>
  <r>
    <x v="282"/>
    <s v="MA-01"/>
    <x v="5"/>
    <x v="0"/>
    <n v="52"/>
    <s v="Old (51-65)"/>
    <d v="2020-12-19T00:00:00"/>
    <x v="2"/>
    <x v="8"/>
    <n v="19"/>
    <n v="1.53"/>
    <n v="14"/>
    <n v="4139.43"/>
    <n v="4.9000000000000004"/>
    <x v="0"/>
  </r>
  <r>
    <x v="283"/>
    <s v="IT-01"/>
    <x v="1"/>
    <x v="1"/>
    <n v="49"/>
    <s v="Middle Age (32-50)"/>
    <d v="2023-01-22T00:00:00"/>
    <x v="3"/>
    <x v="2"/>
    <n v="22"/>
    <n v="3.61"/>
    <n v="3"/>
    <n v="13644.1"/>
    <n v="2.8"/>
    <x v="0"/>
  </r>
  <r>
    <x v="284"/>
    <s v="IT-01"/>
    <x v="1"/>
    <x v="1"/>
    <n v="59"/>
    <s v="Old (51-65)"/>
    <d v="2023-06-03T00:00:00"/>
    <x v="3"/>
    <x v="5"/>
    <n v="3"/>
    <n v="4.67"/>
    <n v="10"/>
    <n v="11532.07"/>
    <n v="2.4"/>
    <x v="0"/>
  </r>
  <r>
    <x v="285"/>
    <s v="MA-01"/>
    <x v="5"/>
    <x v="0"/>
    <n v="49"/>
    <s v="Middle Age (32-50)"/>
    <d v="2022-11-24T00:00:00"/>
    <x v="1"/>
    <x v="3"/>
    <n v="24"/>
    <n v="3.9"/>
    <n v="13"/>
    <n v="7514.31"/>
    <n v="2.9"/>
    <x v="0"/>
  </r>
  <r>
    <x v="286"/>
    <s v="IT-01"/>
    <x v="1"/>
    <x v="0"/>
    <n v="42"/>
    <s v="Middle Age (32-50)"/>
    <d v="2025-10-01T00:00:00"/>
    <x v="5"/>
    <x v="10"/>
    <n v="1"/>
    <n v="3.85"/>
    <n v="6"/>
    <n v="6329.96"/>
    <n v="0.1"/>
    <x v="2"/>
  </r>
  <r>
    <x v="287"/>
    <s v="FI-01"/>
    <x v="3"/>
    <x v="0"/>
    <n v="34"/>
    <s v="Middle Age (32-50)"/>
    <d v="2020-11-21T00:00:00"/>
    <x v="2"/>
    <x v="3"/>
    <n v="21"/>
    <n v="1.67"/>
    <n v="11"/>
    <n v="13473.52"/>
    <n v="4.9000000000000004"/>
    <x v="0"/>
  </r>
  <r>
    <x v="288"/>
    <s v="FI-01"/>
    <x v="3"/>
    <x v="1"/>
    <n v="56"/>
    <s v="Old (51-65)"/>
    <d v="2020-02-11T00:00:00"/>
    <x v="2"/>
    <x v="9"/>
    <n v="11"/>
    <n v="2.11"/>
    <n v="0"/>
    <n v="5868.16"/>
    <n v="5.7"/>
    <x v="1"/>
  </r>
  <r>
    <x v="289"/>
    <s v="SA-01"/>
    <x v="2"/>
    <x v="1"/>
    <n v="35"/>
    <s v="Middle Age (32-50)"/>
    <d v="2023-01-07T00:00:00"/>
    <x v="3"/>
    <x v="2"/>
    <n v="7"/>
    <n v="2.58"/>
    <n v="13"/>
    <n v="14707.36"/>
    <n v="2.8"/>
    <x v="0"/>
  </r>
  <r>
    <x v="290"/>
    <s v="IT-01"/>
    <x v="1"/>
    <x v="0"/>
    <n v="59"/>
    <s v="Old (51-65)"/>
    <d v="2025-08-18T00:00:00"/>
    <x v="5"/>
    <x v="11"/>
    <n v="18"/>
    <n v="4.17"/>
    <n v="3"/>
    <n v="14604.37"/>
    <n v="0.2"/>
    <x v="2"/>
  </r>
  <r>
    <x v="291"/>
    <s v="IT-01"/>
    <x v="1"/>
    <x v="1"/>
    <n v="33"/>
    <s v="Middle Age (32-50)"/>
    <d v="2023-07-29T00:00:00"/>
    <x v="3"/>
    <x v="4"/>
    <n v="29"/>
    <n v="3.99"/>
    <n v="0"/>
    <n v="9825.83"/>
    <n v="2.2999999999999998"/>
    <x v="0"/>
  </r>
  <r>
    <x v="292"/>
    <s v="IT-01"/>
    <x v="1"/>
    <x v="1"/>
    <n v="60"/>
    <s v="Old (51-65)"/>
    <d v="2020-04-16T00:00:00"/>
    <x v="2"/>
    <x v="6"/>
    <n v="16"/>
    <n v="2.64"/>
    <n v="12"/>
    <n v="7328.31"/>
    <n v="5.5"/>
    <x v="1"/>
  </r>
  <r>
    <x v="293"/>
    <s v="MA-01"/>
    <x v="5"/>
    <x v="1"/>
    <n v="56"/>
    <s v="Old (51-65)"/>
    <d v="2020-05-14T00:00:00"/>
    <x v="2"/>
    <x v="1"/>
    <n v="14"/>
    <n v="3.11"/>
    <n v="2"/>
    <n v="4294.87"/>
    <n v="5.5"/>
    <x v="1"/>
  </r>
  <r>
    <x v="294"/>
    <s v="HR-01"/>
    <x v="0"/>
    <x v="1"/>
    <n v="24"/>
    <s v="Young (20-31)"/>
    <d v="2023-03-01T00:00:00"/>
    <x v="3"/>
    <x v="0"/>
    <n v="1"/>
    <n v="2.46"/>
    <n v="12"/>
    <n v="3151.79"/>
    <n v="2.7"/>
    <x v="0"/>
  </r>
  <r>
    <x v="295"/>
    <s v="IT-01"/>
    <x v="1"/>
    <x v="0"/>
    <n v="55"/>
    <s v="Old (51-65)"/>
    <d v="2022-04-07T00:00:00"/>
    <x v="1"/>
    <x v="6"/>
    <n v="7"/>
    <n v="3.37"/>
    <n v="3"/>
    <n v="13976.07"/>
    <n v="3.6"/>
    <x v="0"/>
  </r>
  <r>
    <x v="296"/>
    <s v="IT-01"/>
    <x v="1"/>
    <x v="0"/>
    <n v="24"/>
    <s v="Young (20-31)"/>
    <d v="2021-10-10T00:00:00"/>
    <x v="0"/>
    <x v="10"/>
    <n v="10"/>
    <n v="3.91"/>
    <n v="13"/>
    <n v="3149.95"/>
    <n v="4.0999999999999996"/>
    <x v="0"/>
  </r>
  <r>
    <x v="297"/>
    <s v="SA-01"/>
    <x v="2"/>
    <x v="0"/>
    <n v="45"/>
    <s v="Middle Age (32-50)"/>
    <d v="2025-09-04T00:00:00"/>
    <x v="5"/>
    <x v="7"/>
    <n v="4"/>
    <n v="3.78"/>
    <n v="0"/>
    <n v="12672.74"/>
    <n v="0.2"/>
    <x v="2"/>
  </r>
  <r>
    <x v="298"/>
    <s v="HR-01"/>
    <x v="0"/>
    <x v="0"/>
    <n v="56"/>
    <s v="Old (51-65)"/>
    <d v="2022-11-29T00:00:00"/>
    <x v="1"/>
    <x v="3"/>
    <n v="29"/>
    <n v="4.1500000000000004"/>
    <n v="9"/>
    <n v="7871.94"/>
    <n v="2.9"/>
    <x v="0"/>
  </r>
  <r>
    <x v="299"/>
    <s v="IT-01"/>
    <x v="1"/>
    <x v="0"/>
    <n v="34"/>
    <s v="Middle Age (32-50)"/>
    <d v="2020-08-14T00:00:00"/>
    <x v="2"/>
    <x v="11"/>
    <n v="14"/>
    <n v="2.46"/>
    <n v="4"/>
    <n v="6655.59"/>
    <n v="5.2"/>
    <x v="1"/>
  </r>
  <r>
    <x v="300"/>
    <s v="IT-01"/>
    <x v="1"/>
    <x v="1"/>
    <n v="49"/>
    <s v="Middle Age (32-50)"/>
    <d v="2020-09-05T00:00:00"/>
    <x v="2"/>
    <x v="7"/>
    <n v="5"/>
    <n v="4.42"/>
    <n v="5"/>
    <n v="8083.32"/>
    <n v="5.2"/>
    <x v="1"/>
  </r>
  <r>
    <x v="301"/>
    <s v="IT-01"/>
    <x v="1"/>
    <x v="1"/>
    <n v="44"/>
    <s v="Middle Age (32-50)"/>
    <d v="2024-04-03T00:00:00"/>
    <x v="4"/>
    <x v="6"/>
    <n v="3"/>
    <n v="3.46"/>
    <n v="12"/>
    <n v="3343.47"/>
    <n v="1.6"/>
    <x v="0"/>
  </r>
  <r>
    <x v="302"/>
    <s v="IT-01"/>
    <x v="1"/>
    <x v="1"/>
    <n v="27"/>
    <s v="Young (20-31)"/>
    <d v="2024-08-20T00:00:00"/>
    <x v="4"/>
    <x v="11"/>
    <n v="20"/>
    <n v="1.51"/>
    <n v="2"/>
    <n v="13322.79"/>
    <n v="1.2"/>
    <x v="0"/>
  </r>
  <r>
    <x v="303"/>
    <s v="OP-01"/>
    <x v="4"/>
    <x v="1"/>
    <n v="52"/>
    <s v="Old (51-65)"/>
    <d v="2020-05-13T00:00:00"/>
    <x v="2"/>
    <x v="1"/>
    <n v="13"/>
    <n v="3.25"/>
    <n v="5"/>
    <n v="5004.3599999999997"/>
    <n v="5.5"/>
    <x v="1"/>
  </r>
  <r>
    <x v="304"/>
    <s v="IT-01"/>
    <x v="1"/>
    <x v="1"/>
    <n v="46"/>
    <s v="Middle Age (32-50)"/>
    <d v="2023-11-19T00:00:00"/>
    <x v="3"/>
    <x v="3"/>
    <n v="19"/>
    <n v="1.85"/>
    <n v="6"/>
    <n v="14093.17"/>
    <n v="2"/>
    <x v="0"/>
  </r>
  <r>
    <x v="305"/>
    <s v="OP-01"/>
    <x v="4"/>
    <x v="0"/>
    <n v="23"/>
    <s v="Young (20-31)"/>
    <d v="2021-08-06T00:00:00"/>
    <x v="0"/>
    <x v="11"/>
    <n v="6"/>
    <n v="3.7"/>
    <n v="5"/>
    <n v="11343.5"/>
    <n v="4.2"/>
    <x v="0"/>
  </r>
  <r>
    <x v="306"/>
    <s v="OP-01"/>
    <x v="4"/>
    <x v="1"/>
    <n v="54"/>
    <s v="Old (51-65)"/>
    <d v="2022-09-02T00:00:00"/>
    <x v="1"/>
    <x v="7"/>
    <n v="2"/>
    <n v="3.06"/>
    <n v="13"/>
    <n v="14936.96"/>
    <n v="3.2"/>
    <x v="0"/>
  </r>
  <r>
    <x v="307"/>
    <s v="IT-01"/>
    <x v="1"/>
    <x v="1"/>
    <n v="53"/>
    <s v="Old (51-65)"/>
    <d v="2024-01-17T00:00:00"/>
    <x v="4"/>
    <x v="2"/>
    <n v="17"/>
    <n v="2.33"/>
    <n v="2"/>
    <n v="13766.88"/>
    <n v="1.8"/>
    <x v="0"/>
  </r>
  <r>
    <x v="308"/>
    <s v="SA-01"/>
    <x v="2"/>
    <x v="0"/>
    <n v="51"/>
    <s v="Old (51-65)"/>
    <d v="2021-10-31T00:00:00"/>
    <x v="0"/>
    <x v="10"/>
    <n v="31"/>
    <n v="1.98"/>
    <n v="13"/>
    <n v="4446.55"/>
    <n v="4"/>
    <x v="0"/>
  </r>
  <r>
    <x v="309"/>
    <s v="HR-01"/>
    <x v="0"/>
    <x v="1"/>
    <n v="42"/>
    <s v="Middle Age (32-50)"/>
    <d v="2025-04-18T00:00:00"/>
    <x v="5"/>
    <x v="6"/>
    <n v="18"/>
    <n v="4.74"/>
    <n v="11"/>
    <n v="3491.61"/>
    <n v="0.5"/>
    <x v="2"/>
  </r>
  <r>
    <x v="310"/>
    <s v="OP-01"/>
    <x v="4"/>
    <x v="1"/>
    <n v="45"/>
    <s v="Middle Age (32-50)"/>
    <d v="2022-09-19T00:00:00"/>
    <x v="1"/>
    <x v="7"/>
    <n v="19"/>
    <n v="2.2599999999999998"/>
    <n v="7"/>
    <n v="10812.27"/>
    <n v="3.1"/>
    <x v="0"/>
  </r>
  <r>
    <x v="311"/>
    <s v="MA-01"/>
    <x v="5"/>
    <x v="0"/>
    <n v="55"/>
    <s v="Old (51-65)"/>
    <d v="2025-03-15T00:00:00"/>
    <x v="5"/>
    <x v="0"/>
    <n v="15"/>
    <n v="2.72"/>
    <n v="6"/>
    <n v="13872.58"/>
    <n v="0.6"/>
    <x v="2"/>
  </r>
  <r>
    <x v="312"/>
    <s v="MA-01"/>
    <x v="5"/>
    <x v="0"/>
    <n v="43"/>
    <s v="Middle Age (32-50)"/>
    <d v="2021-08-18T00:00:00"/>
    <x v="0"/>
    <x v="11"/>
    <n v="18"/>
    <n v="4.78"/>
    <n v="7"/>
    <n v="9389.4599999999991"/>
    <n v="4.2"/>
    <x v="0"/>
  </r>
  <r>
    <x v="313"/>
    <s v="IT-01"/>
    <x v="1"/>
    <x v="0"/>
    <n v="37"/>
    <s v="Middle Age (32-50)"/>
    <d v="2021-05-01T00:00:00"/>
    <x v="0"/>
    <x v="1"/>
    <n v="1"/>
    <n v="3"/>
    <n v="6"/>
    <n v="14649.85"/>
    <n v="4.5"/>
    <x v="0"/>
  </r>
  <r>
    <x v="314"/>
    <s v="SA-01"/>
    <x v="2"/>
    <x v="0"/>
    <n v="48"/>
    <s v="Middle Age (32-50)"/>
    <d v="2020-12-22T00:00:00"/>
    <x v="2"/>
    <x v="8"/>
    <n v="22"/>
    <n v="3.97"/>
    <n v="14"/>
    <n v="7138.36"/>
    <n v="4.9000000000000004"/>
    <x v="0"/>
  </r>
  <r>
    <x v="315"/>
    <s v="SA-01"/>
    <x v="2"/>
    <x v="0"/>
    <n v="47"/>
    <s v="Middle Age (32-50)"/>
    <d v="2025-01-18T00:00:00"/>
    <x v="5"/>
    <x v="2"/>
    <n v="18"/>
    <n v="4.32"/>
    <n v="7"/>
    <n v="4626.32"/>
    <n v="0.8"/>
    <x v="2"/>
  </r>
  <r>
    <x v="316"/>
    <s v="FI-01"/>
    <x v="3"/>
    <x v="0"/>
    <n v="34"/>
    <s v="Middle Age (32-50)"/>
    <d v="2022-11-09T00:00:00"/>
    <x v="1"/>
    <x v="3"/>
    <n v="9"/>
    <n v="2.75"/>
    <n v="13"/>
    <n v="14437.55"/>
    <n v="3"/>
    <x v="0"/>
  </r>
  <r>
    <x v="317"/>
    <s v="FI-01"/>
    <x v="3"/>
    <x v="0"/>
    <n v="59"/>
    <s v="Old (51-65)"/>
    <d v="2020-04-22T00:00:00"/>
    <x v="2"/>
    <x v="6"/>
    <n v="22"/>
    <n v="1.73"/>
    <n v="4"/>
    <n v="5294.77"/>
    <n v="5.5"/>
    <x v="1"/>
  </r>
  <r>
    <x v="318"/>
    <s v="FI-01"/>
    <x v="3"/>
    <x v="0"/>
    <n v="40"/>
    <s v="Middle Age (32-50)"/>
    <d v="2024-12-12T00:00:00"/>
    <x v="4"/>
    <x v="8"/>
    <n v="12"/>
    <n v="4.37"/>
    <n v="5"/>
    <n v="9401.58"/>
    <n v="0.9"/>
    <x v="2"/>
  </r>
  <r>
    <x v="319"/>
    <s v="HR-01"/>
    <x v="0"/>
    <x v="1"/>
    <n v="27"/>
    <s v="Young (20-31)"/>
    <d v="2022-08-15T00:00:00"/>
    <x v="1"/>
    <x v="11"/>
    <n v="15"/>
    <n v="1.73"/>
    <n v="0"/>
    <n v="10123.01"/>
    <n v="3.2"/>
    <x v="0"/>
  </r>
  <r>
    <x v="320"/>
    <s v="MA-01"/>
    <x v="5"/>
    <x v="1"/>
    <n v="37"/>
    <s v="Middle Age (32-50)"/>
    <d v="2025-06-22T00:00:00"/>
    <x v="5"/>
    <x v="5"/>
    <n v="22"/>
    <n v="2.5099999999999998"/>
    <n v="1"/>
    <n v="12460.68"/>
    <n v="0.4"/>
    <x v="2"/>
  </r>
  <r>
    <x v="321"/>
    <s v="MA-01"/>
    <x v="5"/>
    <x v="1"/>
    <n v="32"/>
    <s v="Middle Age (32-50)"/>
    <d v="2025-02-20T00:00:00"/>
    <x v="5"/>
    <x v="9"/>
    <n v="20"/>
    <n v="1.71"/>
    <n v="4"/>
    <n v="5591.86"/>
    <n v="0.7"/>
    <x v="2"/>
  </r>
  <r>
    <x v="322"/>
    <s v="IT-01"/>
    <x v="1"/>
    <x v="0"/>
    <n v="60"/>
    <s v="Old (51-65)"/>
    <d v="2024-09-18T00:00:00"/>
    <x v="4"/>
    <x v="7"/>
    <n v="18"/>
    <n v="3.25"/>
    <n v="0"/>
    <n v="10741.88"/>
    <n v="1.1000000000000001"/>
    <x v="0"/>
  </r>
  <r>
    <x v="323"/>
    <s v="MA-01"/>
    <x v="5"/>
    <x v="0"/>
    <n v="56"/>
    <s v="Old (51-65)"/>
    <d v="2024-05-10T00:00:00"/>
    <x v="4"/>
    <x v="1"/>
    <n v="10"/>
    <n v="3.44"/>
    <n v="10"/>
    <n v="13703.82"/>
    <n v="1.5"/>
    <x v="0"/>
  </r>
  <r>
    <x v="324"/>
    <s v="IT-01"/>
    <x v="1"/>
    <x v="0"/>
    <n v="54"/>
    <s v="Old (51-65)"/>
    <d v="2024-02-06T00:00:00"/>
    <x v="4"/>
    <x v="9"/>
    <n v="6"/>
    <n v="4.37"/>
    <n v="14"/>
    <n v="13112.37"/>
    <n v="1.7"/>
    <x v="0"/>
  </r>
  <r>
    <x v="325"/>
    <s v="OP-01"/>
    <x v="4"/>
    <x v="0"/>
    <n v="39"/>
    <s v="Middle Age (32-50)"/>
    <d v="2020-03-05T00:00:00"/>
    <x v="2"/>
    <x v="0"/>
    <n v="5"/>
    <n v="1.97"/>
    <n v="10"/>
    <n v="6258.49"/>
    <n v="5.7"/>
    <x v="1"/>
  </r>
  <r>
    <x v="326"/>
    <s v="FI-01"/>
    <x v="3"/>
    <x v="1"/>
    <n v="22"/>
    <s v="Young (20-31)"/>
    <d v="2024-10-13T00:00:00"/>
    <x v="4"/>
    <x v="10"/>
    <n v="13"/>
    <n v="4.12"/>
    <n v="5"/>
    <n v="12669.51"/>
    <n v="1.1000000000000001"/>
    <x v="0"/>
  </r>
  <r>
    <x v="327"/>
    <s v="IT-01"/>
    <x v="1"/>
    <x v="0"/>
    <n v="58"/>
    <s v="Old (51-65)"/>
    <d v="2020-12-20T00:00:00"/>
    <x v="2"/>
    <x v="8"/>
    <n v="20"/>
    <n v="3.23"/>
    <n v="3"/>
    <n v="8276.4500000000007"/>
    <n v="4.9000000000000004"/>
    <x v="0"/>
  </r>
  <r>
    <x v="328"/>
    <s v="IT-01"/>
    <x v="1"/>
    <x v="1"/>
    <n v="56"/>
    <s v="Old (51-65)"/>
    <d v="2021-06-13T00:00:00"/>
    <x v="0"/>
    <x v="5"/>
    <n v="13"/>
    <n v="4.68"/>
    <n v="0"/>
    <n v="12316.86"/>
    <n v="4.4000000000000004"/>
    <x v="0"/>
  </r>
  <r>
    <x v="329"/>
    <s v="OP-01"/>
    <x v="4"/>
    <x v="1"/>
    <n v="50"/>
    <s v="Middle Age (32-50)"/>
    <d v="2022-04-09T00:00:00"/>
    <x v="1"/>
    <x v="6"/>
    <n v="9"/>
    <n v="5"/>
    <n v="14"/>
    <n v="7350.31"/>
    <n v="3.6"/>
    <x v="0"/>
  </r>
  <r>
    <x v="330"/>
    <s v="OP-01"/>
    <x v="4"/>
    <x v="1"/>
    <n v="40"/>
    <s v="Middle Age (32-50)"/>
    <d v="2022-02-20T00:00:00"/>
    <x v="1"/>
    <x v="9"/>
    <n v="20"/>
    <n v="4.9000000000000004"/>
    <n v="13"/>
    <n v="14590.63"/>
    <n v="3.7"/>
    <x v="0"/>
  </r>
  <r>
    <x v="331"/>
    <s v="SA-01"/>
    <x v="2"/>
    <x v="1"/>
    <n v="40"/>
    <s v="Middle Age (32-50)"/>
    <d v="2020-01-18T00:00:00"/>
    <x v="2"/>
    <x v="2"/>
    <n v="18"/>
    <n v="3.96"/>
    <n v="12"/>
    <n v="11463.75"/>
    <n v="5.8"/>
    <x v="1"/>
  </r>
  <r>
    <x v="332"/>
    <s v="SA-01"/>
    <x v="2"/>
    <x v="1"/>
    <n v="38"/>
    <s v="Middle Age (32-50)"/>
    <d v="2024-09-14T00:00:00"/>
    <x v="4"/>
    <x v="7"/>
    <n v="14"/>
    <n v="4.66"/>
    <n v="4"/>
    <n v="6795.45"/>
    <n v="1.1000000000000001"/>
    <x v="0"/>
  </r>
  <r>
    <x v="333"/>
    <s v="OP-01"/>
    <x v="4"/>
    <x v="0"/>
    <n v="27"/>
    <s v="Young (20-31)"/>
    <d v="2021-12-10T00:00:00"/>
    <x v="0"/>
    <x v="8"/>
    <n v="10"/>
    <n v="2.34"/>
    <n v="6"/>
    <n v="10730.69"/>
    <n v="3.9"/>
    <x v="0"/>
  </r>
  <r>
    <x v="334"/>
    <s v="IT-01"/>
    <x v="1"/>
    <x v="0"/>
    <n v="33"/>
    <s v="Middle Age (32-50)"/>
    <d v="2021-07-27T00:00:00"/>
    <x v="0"/>
    <x v="4"/>
    <n v="27"/>
    <n v="2.06"/>
    <n v="14"/>
    <n v="4660.32"/>
    <n v="4.3"/>
    <x v="0"/>
  </r>
  <r>
    <x v="335"/>
    <s v="SA-01"/>
    <x v="2"/>
    <x v="1"/>
    <n v="39"/>
    <s v="Middle Age (32-50)"/>
    <d v="2025-08-25T00:00:00"/>
    <x v="5"/>
    <x v="11"/>
    <n v="25"/>
    <n v="3.17"/>
    <n v="12"/>
    <n v="7912.29"/>
    <n v="0.2"/>
    <x v="2"/>
  </r>
  <r>
    <x v="336"/>
    <s v="SA-01"/>
    <x v="2"/>
    <x v="0"/>
    <n v="49"/>
    <s v="Middle Age (32-50)"/>
    <d v="2024-01-05T00:00:00"/>
    <x v="4"/>
    <x v="2"/>
    <n v="5"/>
    <n v="1.83"/>
    <n v="13"/>
    <n v="11129.02"/>
    <n v="1.8"/>
    <x v="0"/>
  </r>
  <r>
    <x v="337"/>
    <s v="FI-01"/>
    <x v="3"/>
    <x v="0"/>
    <n v="26"/>
    <s v="Young (20-31)"/>
    <d v="2024-04-24T00:00:00"/>
    <x v="4"/>
    <x v="6"/>
    <n v="24"/>
    <n v="4.33"/>
    <n v="9"/>
    <n v="3854.37"/>
    <n v="1.5"/>
    <x v="0"/>
  </r>
  <r>
    <x v="338"/>
    <s v="HR-01"/>
    <x v="0"/>
    <x v="0"/>
    <n v="52"/>
    <s v="Old (51-65)"/>
    <d v="2023-09-12T00:00:00"/>
    <x v="3"/>
    <x v="7"/>
    <n v="12"/>
    <n v="2.83"/>
    <n v="7"/>
    <n v="4010.74"/>
    <n v="2.1"/>
    <x v="0"/>
  </r>
  <r>
    <x v="339"/>
    <s v="IT-01"/>
    <x v="1"/>
    <x v="1"/>
    <n v="35"/>
    <s v="Middle Age (32-50)"/>
    <d v="2024-03-09T00:00:00"/>
    <x v="4"/>
    <x v="0"/>
    <n v="9"/>
    <n v="2.8"/>
    <n v="11"/>
    <n v="13589.37"/>
    <n v="1.6"/>
    <x v="0"/>
  </r>
  <r>
    <x v="340"/>
    <s v="HR-01"/>
    <x v="0"/>
    <x v="1"/>
    <n v="57"/>
    <s v="Old (51-65)"/>
    <d v="2020-01-19T00:00:00"/>
    <x v="2"/>
    <x v="2"/>
    <n v="19"/>
    <n v="2.3199999999999998"/>
    <n v="13"/>
    <n v="13330.23"/>
    <n v="5.8"/>
    <x v="1"/>
  </r>
  <r>
    <x v="341"/>
    <s v="FI-01"/>
    <x v="3"/>
    <x v="1"/>
    <n v="46"/>
    <s v="Middle Age (32-50)"/>
    <d v="2020-11-01T00:00:00"/>
    <x v="2"/>
    <x v="3"/>
    <n v="1"/>
    <n v="3.52"/>
    <n v="4"/>
    <n v="14351.43"/>
    <n v="5"/>
    <x v="0"/>
  </r>
  <r>
    <x v="342"/>
    <s v="SA-01"/>
    <x v="2"/>
    <x v="0"/>
    <n v="59"/>
    <s v="Old (51-65)"/>
    <d v="2021-03-21T00:00:00"/>
    <x v="0"/>
    <x v="0"/>
    <n v="21"/>
    <n v="4.0199999999999996"/>
    <n v="7"/>
    <n v="14456.44"/>
    <n v="4.5999999999999996"/>
    <x v="0"/>
  </r>
  <r>
    <x v="343"/>
    <s v="FI-01"/>
    <x v="3"/>
    <x v="1"/>
    <n v="26"/>
    <s v="Young (20-31)"/>
    <d v="2025-05-17T00:00:00"/>
    <x v="5"/>
    <x v="1"/>
    <n v="17"/>
    <n v="1.84"/>
    <n v="10"/>
    <n v="5436.32"/>
    <n v="0.5"/>
    <x v="2"/>
  </r>
  <r>
    <x v="344"/>
    <s v="SA-01"/>
    <x v="2"/>
    <x v="1"/>
    <n v="36"/>
    <s v="Middle Age (32-50)"/>
    <d v="2024-12-06T00:00:00"/>
    <x v="4"/>
    <x v="8"/>
    <n v="6"/>
    <n v="4.54"/>
    <n v="2"/>
    <n v="10302.19"/>
    <n v="0.9"/>
    <x v="2"/>
  </r>
  <r>
    <x v="345"/>
    <s v="IT-01"/>
    <x v="1"/>
    <x v="1"/>
    <n v="34"/>
    <s v="Middle Age (32-50)"/>
    <d v="2020-11-04T00:00:00"/>
    <x v="2"/>
    <x v="3"/>
    <n v="4"/>
    <n v="2.3199999999999998"/>
    <n v="10"/>
    <n v="14329.1"/>
    <n v="5"/>
    <x v="0"/>
  </r>
  <r>
    <x v="346"/>
    <s v="HR-01"/>
    <x v="0"/>
    <x v="0"/>
    <n v="58"/>
    <s v="Old (51-65)"/>
    <d v="2024-09-10T00:00:00"/>
    <x v="4"/>
    <x v="7"/>
    <n v="10"/>
    <n v="4.12"/>
    <n v="14"/>
    <n v="5225.2299999999996"/>
    <n v="1.1000000000000001"/>
    <x v="0"/>
  </r>
  <r>
    <x v="347"/>
    <s v="HR-01"/>
    <x v="0"/>
    <x v="0"/>
    <n v="29"/>
    <s v="Young (20-31)"/>
    <d v="2025-06-18T00:00:00"/>
    <x v="5"/>
    <x v="5"/>
    <n v="18"/>
    <n v="1.74"/>
    <n v="11"/>
    <n v="11452.81"/>
    <n v="0.4"/>
    <x v="2"/>
  </r>
  <r>
    <x v="348"/>
    <s v="FI-01"/>
    <x v="3"/>
    <x v="0"/>
    <n v="54"/>
    <s v="Old (51-65)"/>
    <d v="2024-11-29T00:00:00"/>
    <x v="4"/>
    <x v="3"/>
    <n v="29"/>
    <n v="2.67"/>
    <n v="11"/>
    <n v="3282.24"/>
    <n v="0.9"/>
    <x v="2"/>
  </r>
  <r>
    <x v="349"/>
    <s v="FI-01"/>
    <x v="3"/>
    <x v="0"/>
    <n v="39"/>
    <s v="Middle Age (32-50)"/>
    <d v="2020-07-27T00:00:00"/>
    <x v="2"/>
    <x v="4"/>
    <n v="27"/>
    <n v="3.51"/>
    <n v="8"/>
    <n v="3005.11"/>
    <n v="5.3"/>
    <x v="1"/>
  </r>
  <r>
    <x v="350"/>
    <s v="SA-01"/>
    <x v="2"/>
    <x v="1"/>
    <n v="22"/>
    <s v="Young (20-31)"/>
    <d v="2024-01-14T00:00:00"/>
    <x v="4"/>
    <x v="2"/>
    <n v="14"/>
    <n v="4.91"/>
    <n v="7"/>
    <n v="8150.16"/>
    <n v="1.8"/>
    <x v="0"/>
  </r>
  <r>
    <x v="351"/>
    <s v="IT-01"/>
    <x v="1"/>
    <x v="1"/>
    <n v="50"/>
    <s v="Middle Age (32-50)"/>
    <d v="2024-10-28T00:00:00"/>
    <x v="4"/>
    <x v="10"/>
    <n v="28"/>
    <n v="4.8"/>
    <n v="0"/>
    <n v="14813.76"/>
    <n v="1"/>
    <x v="2"/>
  </r>
  <r>
    <x v="352"/>
    <s v="MA-01"/>
    <x v="5"/>
    <x v="0"/>
    <n v="37"/>
    <s v="Middle Age (32-50)"/>
    <d v="2020-03-09T00:00:00"/>
    <x v="2"/>
    <x v="0"/>
    <n v="9"/>
    <n v="4.22"/>
    <n v="5"/>
    <n v="13167.22"/>
    <n v="5.7"/>
    <x v="1"/>
  </r>
  <r>
    <x v="353"/>
    <s v="FI-01"/>
    <x v="3"/>
    <x v="1"/>
    <n v="49"/>
    <s v="Middle Age (32-50)"/>
    <d v="2020-08-20T00:00:00"/>
    <x v="2"/>
    <x v="11"/>
    <n v="20"/>
    <n v="3.26"/>
    <n v="6"/>
    <n v="11210.06"/>
    <n v="5.2"/>
    <x v="1"/>
  </r>
  <r>
    <x v="354"/>
    <s v="SA-01"/>
    <x v="2"/>
    <x v="1"/>
    <n v="23"/>
    <s v="Young (20-31)"/>
    <d v="2021-05-16T00:00:00"/>
    <x v="0"/>
    <x v="1"/>
    <n v="16"/>
    <n v="4.03"/>
    <n v="6"/>
    <n v="12277.82"/>
    <n v="4.5"/>
    <x v="0"/>
  </r>
  <r>
    <x v="355"/>
    <s v="FI-01"/>
    <x v="3"/>
    <x v="0"/>
    <n v="34"/>
    <s v="Middle Age (32-50)"/>
    <d v="2021-01-25T00:00:00"/>
    <x v="0"/>
    <x v="2"/>
    <n v="25"/>
    <n v="1.79"/>
    <n v="8"/>
    <n v="3267.29"/>
    <n v="4.8"/>
    <x v="0"/>
  </r>
  <r>
    <x v="356"/>
    <s v="HR-01"/>
    <x v="0"/>
    <x v="1"/>
    <n v="35"/>
    <s v="Middle Age (32-50)"/>
    <d v="2020-08-27T00:00:00"/>
    <x v="2"/>
    <x v="11"/>
    <n v="27"/>
    <n v="3.3"/>
    <n v="7"/>
    <n v="5714.23"/>
    <n v="5.2"/>
    <x v="1"/>
  </r>
  <r>
    <x v="357"/>
    <s v="FI-01"/>
    <x v="3"/>
    <x v="1"/>
    <n v="38"/>
    <s v="Middle Age (32-50)"/>
    <d v="2023-05-11T00:00:00"/>
    <x v="3"/>
    <x v="1"/>
    <n v="11"/>
    <n v="3.96"/>
    <n v="7"/>
    <n v="13613.85"/>
    <n v="2.5"/>
    <x v="0"/>
  </r>
  <r>
    <x v="358"/>
    <s v="FI-01"/>
    <x v="3"/>
    <x v="0"/>
    <n v="49"/>
    <s v="Middle Age (32-50)"/>
    <d v="2023-07-07T00:00:00"/>
    <x v="3"/>
    <x v="4"/>
    <n v="7"/>
    <n v="2.0699999999999998"/>
    <n v="2"/>
    <n v="3034.91"/>
    <n v="2.2999999999999998"/>
    <x v="0"/>
  </r>
  <r>
    <x v="359"/>
    <s v="MA-01"/>
    <x v="5"/>
    <x v="1"/>
    <n v="57"/>
    <s v="Old (51-65)"/>
    <d v="2024-06-01T00:00:00"/>
    <x v="4"/>
    <x v="5"/>
    <n v="1"/>
    <n v="3.5"/>
    <n v="0"/>
    <n v="12234.87"/>
    <n v="1.4"/>
    <x v="0"/>
  </r>
  <r>
    <x v="360"/>
    <s v="MA-01"/>
    <x v="5"/>
    <x v="1"/>
    <n v="43"/>
    <s v="Middle Age (32-50)"/>
    <d v="2024-04-27T00:00:00"/>
    <x v="4"/>
    <x v="6"/>
    <n v="27"/>
    <n v="2.5499999999999998"/>
    <n v="5"/>
    <n v="14100.91"/>
    <n v="1.5"/>
    <x v="0"/>
  </r>
  <r>
    <x v="361"/>
    <s v="FI-01"/>
    <x v="3"/>
    <x v="1"/>
    <n v="25"/>
    <s v="Young (20-31)"/>
    <d v="2022-04-09T00:00:00"/>
    <x v="1"/>
    <x v="6"/>
    <n v="9"/>
    <n v="3.77"/>
    <n v="7"/>
    <n v="8890.9599999999991"/>
    <n v="3.6"/>
    <x v="0"/>
  </r>
  <r>
    <x v="362"/>
    <s v="SA-01"/>
    <x v="2"/>
    <x v="1"/>
    <n v="53"/>
    <s v="Old (51-65)"/>
    <d v="2022-07-16T00:00:00"/>
    <x v="1"/>
    <x v="4"/>
    <n v="16"/>
    <n v="3.38"/>
    <n v="13"/>
    <n v="12754.69"/>
    <n v="3.3"/>
    <x v="0"/>
  </r>
  <r>
    <x v="363"/>
    <s v="SA-01"/>
    <x v="2"/>
    <x v="0"/>
    <n v="49"/>
    <s v="Middle Age (32-50)"/>
    <d v="2022-09-19T00:00:00"/>
    <x v="1"/>
    <x v="7"/>
    <n v="19"/>
    <n v="3.3"/>
    <n v="13"/>
    <n v="3088.36"/>
    <n v="3.1"/>
    <x v="0"/>
  </r>
  <r>
    <x v="364"/>
    <s v="MA-01"/>
    <x v="5"/>
    <x v="0"/>
    <n v="50"/>
    <s v="Middle Age (32-50)"/>
    <d v="2023-01-30T00:00:00"/>
    <x v="3"/>
    <x v="2"/>
    <n v="30"/>
    <n v="2.72"/>
    <n v="11"/>
    <n v="9819.4500000000007"/>
    <n v="2.8"/>
    <x v="0"/>
  </r>
  <r>
    <x v="365"/>
    <s v="HR-01"/>
    <x v="0"/>
    <x v="1"/>
    <n v="56"/>
    <s v="Old (51-65)"/>
    <d v="2020-09-01T00:00:00"/>
    <x v="2"/>
    <x v="7"/>
    <n v="1"/>
    <n v="2.2599999999999998"/>
    <n v="14"/>
    <n v="5462.45"/>
    <n v="5.2"/>
    <x v="1"/>
  </r>
  <r>
    <x v="366"/>
    <s v="SA-01"/>
    <x v="2"/>
    <x v="1"/>
    <n v="55"/>
    <s v="Old (51-65)"/>
    <d v="2024-03-09T00:00:00"/>
    <x v="4"/>
    <x v="0"/>
    <n v="9"/>
    <n v="1.67"/>
    <n v="12"/>
    <n v="4135.55"/>
    <n v="1.6"/>
    <x v="0"/>
  </r>
  <r>
    <x v="367"/>
    <s v="IT-01"/>
    <x v="1"/>
    <x v="1"/>
    <n v="24"/>
    <s v="Young (20-31)"/>
    <d v="2023-08-17T00:00:00"/>
    <x v="3"/>
    <x v="11"/>
    <n v="17"/>
    <n v="3.72"/>
    <n v="9"/>
    <n v="10648.67"/>
    <n v="2.2000000000000002"/>
    <x v="0"/>
  </r>
  <r>
    <x v="368"/>
    <s v="SA-01"/>
    <x v="2"/>
    <x v="0"/>
    <n v="24"/>
    <s v="Young (20-31)"/>
    <d v="2025-07-17T00:00:00"/>
    <x v="5"/>
    <x v="4"/>
    <n v="17"/>
    <n v="2.78"/>
    <n v="2"/>
    <n v="13038.38"/>
    <n v="0.3"/>
    <x v="2"/>
  </r>
  <r>
    <x v="369"/>
    <s v="IT-01"/>
    <x v="1"/>
    <x v="1"/>
    <n v="31"/>
    <s v="Young (20-31)"/>
    <d v="2024-07-01T00:00:00"/>
    <x v="4"/>
    <x v="4"/>
    <n v="1"/>
    <n v="3.41"/>
    <n v="3"/>
    <n v="12302.55"/>
    <n v="1.3"/>
    <x v="0"/>
  </r>
  <r>
    <x v="370"/>
    <s v="MA-01"/>
    <x v="5"/>
    <x v="1"/>
    <n v="37"/>
    <s v="Middle Age (32-50)"/>
    <d v="2022-04-08T00:00:00"/>
    <x v="1"/>
    <x v="6"/>
    <n v="8"/>
    <n v="2.73"/>
    <n v="7"/>
    <n v="13681.59"/>
    <n v="3.6"/>
    <x v="0"/>
  </r>
  <r>
    <x v="371"/>
    <s v="MA-01"/>
    <x v="5"/>
    <x v="1"/>
    <n v="60"/>
    <s v="Old (51-65)"/>
    <d v="2022-12-08T00:00:00"/>
    <x v="1"/>
    <x v="8"/>
    <n v="8"/>
    <n v="4.46"/>
    <n v="15"/>
    <n v="12387.42"/>
    <n v="2.9"/>
    <x v="0"/>
  </r>
  <r>
    <x v="372"/>
    <s v="FI-01"/>
    <x v="3"/>
    <x v="1"/>
    <n v="46"/>
    <s v="Middle Age (32-50)"/>
    <d v="2020-04-13T00:00:00"/>
    <x v="2"/>
    <x v="6"/>
    <n v="13"/>
    <n v="3.62"/>
    <n v="8"/>
    <n v="7512.49"/>
    <n v="5.6"/>
    <x v="1"/>
  </r>
  <r>
    <x v="373"/>
    <s v="MA-01"/>
    <x v="5"/>
    <x v="1"/>
    <n v="44"/>
    <s v="Middle Age (32-50)"/>
    <d v="2022-05-07T00:00:00"/>
    <x v="1"/>
    <x v="1"/>
    <n v="7"/>
    <n v="2.31"/>
    <n v="8"/>
    <n v="7295.78"/>
    <n v="3.5"/>
    <x v="0"/>
  </r>
  <r>
    <x v="374"/>
    <s v="SA-01"/>
    <x v="2"/>
    <x v="1"/>
    <n v="26"/>
    <s v="Young (20-31)"/>
    <d v="2022-04-10T00:00:00"/>
    <x v="1"/>
    <x v="6"/>
    <n v="10"/>
    <n v="4.47"/>
    <n v="1"/>
    <n v="3661.88"/>
    <n v="3.6"/>
    <x v="0"/>
  </r>
  <r>
    <x v="375"/>
    <s v="MA-01"/>
    <x v="5"/>
    <x v="0"/>
    <n v="47"/>
    <s v="Middle Age (32-50)"/>
    <d v="2024-08-14T00:00:00"/>
    <x v="4"/>
    <x v="11"/>
    <n v="14"/>
    <n v="3.78"/>
    <n v="9"/>
    <n v="3770.43"/>
    <n v="1.2"/>
    <x v="0"/>
  </r>
  <r>
    <x v="376"/>
    <s v="HR-01"/>
    <x v="0"/>
    <x v="1"/>
    <n v="48"/>
    <s v="Middle Age (32-50)"/>
    <d v="2024-11-29T00:00:00"/>
    <x v="4"/>
    <x v="3"/>
    <n v="29"/>
    <n v="3.11"/>
    <n v="1"/>
    <n v="5133.6400000000003"/>
    <n v="0.9"/>
    <x v="2"/>
  </r>
  <r>
    <x v="377"/>
    <s v="IT-01"/>
    <x v="1"/>
    <x v="1"/>
    <n v="46"/>
    <s v="Middle Age (32-50)"/>
    <d v="2023-02-17T00:00:00"/>
    <x v="3"/>
    <x v="9"/>
    <n v="17"/>
    <n v="4.5599999999999996"/>
    <n v="4"/>
    <n v="9744.07"/>
    <n v="2.7"/>
    <x v="0"/>
  </r>
  <r>
    <x v="378"/>
    <s v="OP-01"/>
    <x v="4"/>
    <x v="1"/>
    <n v="24"/>
    <s v="Young (20-31)"/>
    <d v="2023-03-21T00:00:00"/>
    <x v="3"/>
    <x v="0"/>
    <n v="21"/>
    <n v="1.8"/>
    <n v="15"/>
    <n v="11440.44"/>
    <n v="2.6"/>
    <x v="0"/>
  </r>
  <r>
    <x v="379"/>
    <s v="IT-01"/>
    <x v="1"/>
    <x v="1"/>
    <n v="35"/>
    <s v="Middle Age (32-50)"/>
    <d v="2023-10-11T00:00:00"/>
    <x v="3"/>
    <x v="10"/>
    <n v="11"/>
    <n v="3.43"/>
    <n v="14"/>
    <n v="11489.26"/>
    <n v="2.1"/>
    <x v="0"/>
  </r>
  <r>
    <x v="380"/>
    <s v="MA-01"/>
    <x v="5"/>
    <x v="1"/>
    <n v="29"/>
    <s v="Young (20-31)"/>
    <d v="2022-08-24T00:00:00"/>
    <x v="1"/>
    <x v="11"/>
    <n v="24"/>
    <n v="4.5599999999999996"/>
    <n v="13"/>
    <n v="14287.93"/>
    <n v="3.2"/>
    <x v="0"/>
  </r>
  <r>
    <x v="381"/>
    <s v="HR-01"/>
    <x v="0"/>
    <x v="1"/>
    <n v="30"/>
    <s v="Young (20-31)"/>
    <d v="2024-08-13T00:00:00"/>
    <x v="4"/>
    <x v="11"/>
    <n v="13"/>
    <n v="1.93"/>
    <n v="6"/>
    <n v="8891.02"/>
    <n v="1.2"/>
    <x v="0"/>
  </r>
  <r>
    <x v="382"/>
    <s v="MA-01"/>
    <x v="5"/>
    <x v="1"/>
    <n v="57"/>
    <s v="Old (51-65)"/>
    <d v="2020-03-21T00:00:00"/>
    <x v="2"/>
    <x v="0"/>
    <n v="21"/>
    <n v="2.2400000000000002"/>
    <n v="1"/>
    <n v="6873.5"/>
    <n v="5.6"/>
    <x v="1"/>
  </r>
  <r>
    <x v="383"/>
    <s v="HR-01"/>
    <x v="0"/>
    <x v="1"/>
    <n v="51"/>
    <s v="Old (51-65)"/>
    <d v="2023-01-23T00:00:00"/>
    <x v="3"/>
    <x v="2"/>
    <n v="23"/>
    <n v="2.89"/>
    <n v="2"/>
    <n v="10824.83"/>
    <n v="2.8"/>
    <x v="0"/>
  </r>
  <r>
    <x v="384"/>
    <s v="OP-01"/>
    <x v="4"/>
    <x v="0"/>
    <n v="43"/>
    <s v="Middle Age (32-50)"/>
    <d v="2025-08-16T00:00:00"/>
    <x v="5"/>
    <x v="11"/>
    <n v="16"/>
    <n v="3.37"/>
    <n v="13"/>
    <n v="11581.33"/>
    <n v="0.2"/>
    <x v="2"/>
  </r>
  <r>
    <x v="385"/>
    <s v="HR-01"/>
    <x v="0"/>
    <x v="1"/>
    <n v="46"/>
    <s v="Middle Age (32-50)"/>
    <d v="2021-01-16T00:00:00"/>
    <x v="0"/>
    <x v="2"/>
    <n v="16"/>
    <n v="2.72"/>
    <n v="5"/>
    <n v="4290.38"/>
    <n v="4.8"/>
    <x v="0"/>
  </r>
  <r>
    <x v="386"/>
    <s v="FI-01"/>
    <x v="3"/>
    <x v="0"/>
    <n v="23"/>
    <s v="Young (20-31)"/>
    <d v="2022-03-08T00:00:00"/>
    <x v="1"/>
    <x v="0"/>
    <n v="8"/>
    <n v="1.98"/>
    <n v="5"/>
    <n v="6616.3"/>
    <n v="3.7"/>
    <x v="0"/>
  </r>
  <r>
    <x v="387"/>
    <s v="FI-01"/>
    <x v="3"/>
    <x v="0"/>
    <n v="48"/>
    <s v="Middle Age (32-50)"/>
    <d v="2024-07-03T00:00:00"/>
    <x v="4"/>
    <x v="4"/>
    <n v="3"/>
    <n v="1.84"/>
    <n v="15"/>
    <n v="7534.03"/>
    <n v="1.3"/>
    <x v="0"/>
  </r>
  <r>
    <x v="388"/>
    <s v="SA-01"/>
    <x v="2"/>
    <x v="0"/>
    <n v="25"/>
    <s v="Young (20-31)"/>
    <d v="2025-08-21T00:00:00"/>
    <x v="5"/>
    <x v="11"/>
    <n v="21"/>
    <n v="3.08"/>
    <n v="10"/>
    <n v="10245.209999999999"/>
    <n v="0.2"/>
    <x v="2"/>
  </r>
  <r>
    <x v="389"/>
    <s v="OP-01"/>
    <x v="4"/>
    <x v="0"/>
    <n v="44"/>
    <s v="Middle Age (32-50)"/>
    <d v="2025-01-07T00:00:00"/>
    <x v="5"/>
    <x v="2"/>
    <n v="7"/>
    <n v="4.24"/>
    <n v="4"/>
    <n v="3538.45"/>
    <n v="0.8"/>
    <x v="2"/>
  </r>
  <r>
    <x v="390"/>
    <s v="MA-01"/>
    <x v="5"/>
    <x v="1"/>
    <n v="35"/>
    <s v="Middle Age (32-50)"/>
    <d v="2025-07-19T00:00:00"/>
    <x v="5"/>
    <x v="4"/>
    <n v="19"/>
    <n v="2.75"/>
    <n v="7"/>
    <n v="10780.79"/>
    <n v="0.3"/>
    <x v="2"/>
  </r>
  <r>
    <x v="391"/>
    <s v="SA-01"/>
    <x v="2"/>
    <x v="0"/>
    <n v="25"/>
    <s v="Young (20-31)"/>
    <d v="2023-09-19T00:00:00"/>
    <x v="3"/>
    <x v="7"/>
    <n v="19"/>
    <n v="4.67"/>
    <n v="11"/>
    <n v="8362.8799999999992"/>
    <n v="2.1"/>
    <x v="0"/>
  </r>
  <r>
    <x v="392"/>
    <s v="SA-01"/>
    <x v="2"/>
    <x v="1"/>
    <n v="24"/>
    <s v="Young (20-31)"/>
    <d v="2021-07-04T00:00:00"/>
    <x v="0"/>
    <x v="4"/>
    <n v="4"/>
    <n v="1.55"/>
    <n v="8"/>
    <n v="5870.01"/>
    <n v="4.3"/>
    <x v="0"/>
  </r>
  <r>
    <x v="393"/>
    <s v="HR-01"/>
    <x v="0"/>
    <x v="0"/>
    <n v="39"/>
    <s v="Middle Age (32-50)"/>
    <d v="2024-10-27T00:00:00"/>
    <x v="4"/>
    <x v="10"/>
    <n v="27"/>
    <n v="1.7"/>
    <n v="4"/>
    <n v="13857.86"/>
    <n v="1"/>
    <x v="2"/>
  </r>
  <r>
    <x v="394"/>
    <s v="MA-01"/>
    <x v="5"/>
    <x v="0"/>
    <n v="25"/>
    <s v="Young (20-31)"/>
    <d v="2020-10-16T00:00:00"/>
    <x v="2"/>
    <x v="10"/>
    <n v="16"/>
    <n v="4.38"/>
    <n v="12"/>
    <n v="5932.77"/>
    <n v="5"/>
    <x v="0"/>
  </r>
  <r>
    <x v="395"/>
    <s v="IT-01"/>
    <x v="1"/>
    <x v="1"/>
    <n v="28"/>
    <s v="Young (20-31)"/>
    <d v="2022-01-20T00:00:00"/>
    <x v="1"/>
    <x v="2"/>
    <n v="20"/>
    <n v="2.4300000000000002"/>
    <n v="9"/>
    <n v="10296.1"/>
    <n v="3.8"/>
    <x v="0"/>
  </r>
  <r>
    <x v="396"/>
    <s v="MA-01"/>
    <x v="5"/>
    <x v="0"/>
    <n v="58"/>
    <s v="Old (51-65)"/>
    <d v="2023-08-05T00:00:00"/>
    <x v="3"/>
    <x v="11"/>
    <n v="5"/>
    <n v="2.46"/>
    <n v="8"/>
    <n v="14056.07"/>
    <n v="2.2000000000000002"/>
    <x v="0"/>
  </r>
  <r>
    <x v="397"/>
    <s v="IT-01"/>
    <x v="1"/>
    <x v="1"/>
    <n v="48"/>
    <s v="Middle Age (32-50)"/>
    <d v="2020-08-05T00:00:00"/>
    <x v="2"/>
    <x v="11"/>
    <n v="5"/>
    <n v="4.5"/>
    <n v="0"/>
    <n v="11707.86"/>
    <n v="5.2"/>
    <x v="1"/>
  </r>
  <r>
    <x v="398"/>
    <s v="FI-01"/>
    <x v="3"/>
    <x v="1"/>
    <n v="36"/>
    <s v="Middle Age (32-50)"/>
    <d v="2020-12-19T00:00:00"/>
    <x v="2"/>
    <x v="8"/>
    <n v="19"/>
    <n v="3.56"/>
    <n v="5"/>
    <n v="13209.31"/>
    <n v="4.9000000000000004"/>
    <x v="0"/>
  </r>
  <r>
    <x v="399"/>
    <s v="HR-01"/>
    <x v="0"/>
    <x v="1"/>
    <n v="36"/>
    <s v="Middle Age (32-50)"/>
    <d v="2024-04-18T00:00:00"/>
    <x v="4"/>
    <x v="6"/>
    <n v="18"/>
    <n v="2.1800000000000002"/>
    <n v="1"/>
    <n v="10131.790000000001"/>
    <n v="1.5"/>
    <x v="0"/>
  </r>
  <r>
    <x v="400"/>
    <s v="FI-01"/>
    <x v="3"/>
    <x v="1"/>
    <n v="31"/>
    <s v="Young (20-31)"/>
    <d v="2025-09-17T00:00:00"/>
    <x v="5"/>
    <x v="7"/>
    <n v="17"/>
    <n v="3.51"/>
    <n v="6"/>
    <n v="10125.15"/>
    <n v="0.1"/>
    <x v="2"/>
  </r>
  <r>
    <x v="401"/>
    <s v="MA-01"/>
    <x v="5"/>
    <x v="0"/>
    <n v="55"/>
    <s v="Old (51-65)"/>
    <d v="2021-03-31T00:00:00"/>
    <x v="0"/>
    <x v="0"/>
    <n v="31"/>
    <n v="1.9"/>
    <n v="8"/>
    <n v="8730.08"/>
    <n v="4.5999999999999996"/>
    <x v="0"/>
  </r>
  <r>
    <x v="402"/>
    <s v="OP-01"/>
    <x v="4"/>
    <x v="1"/>
    <n v="60"/>
    <s v="Old (51-65)"/>
    <d v="2021-12-06T00:00:00"/>
    <x v="0"/>
    <x v="8"/>
    <n v="6"/>
    <n v="3.07"/>
    <n v="14"/>
    <n v="7104.25"/>
    <n v="3.9"/>
    <x v="0"/>
  </r>
  <r>
    <x v="403"/>
    <s v="HR-01"/>
    <x v="0"/>
    <x v="0"/>
    <n v="49"/>
    <s v="Middle Age (32-50)"/>
    <d v="2024-12-12T00:00:00"/>
    <x v="4"/>
    <x v="8"/>
    <n v="12"/>
    <n v="4.22"/>
    <n v="14"/>
    <n v="9014.2900000000009"/>
    <n v="0.9"/>
    <x v="2"/>
  </r>
  <r>
    <x v="404"/>
    <s v="HR-01"/>
    <x v="0"/>
    <x v="0"/>
    <n v="41"/>
    <s v="Middle Age (32-50)"/>
    <d v="2024-08-17T00:00:00"/>
    <x v="4"/>
    <x v="11"/>
    <n v="17"/>
    <n v="4.99"/>
    <n v="1"/>
    <n v="14498.3"/>
    <n v="1.2"/>
    <x v="0"/>
  </r>
  <r>
    <x v="405"/>
    <s v="HR-01"/>
    <x v="0"/>
    <x v="0"/>
    <n v="55"/>
    <s v="Old (51-65)"/>
    <d v="2022-01-10T00:00:00"/>
    <x v="1"/>
    <x v="2"/>
    <n v="10"/>
    <n v="3.5"/>
    <n v="4"/>
    <n v="6435.5"/>
    <n v="3.8"/>
    <x v="0"/>
  </r>
  <r>
    <x v="406"/>
    <s v="OP-01"/>
    <x v="4"/>
    <x v="0"/>
    <n v="23"/>
    <s v="Young (20-31)"/>
    <d v="2021-01-25T00:00:00"/>
    <x v="0"/>
    <x v="2"/>
    <n v="25"/>
    <n v="2.83"/>
    <n v="3"/>
    <n v="3996.79"/>
    <n v="4.8"/>
    <x v="0"/>
  </r>
  <r>
    <x v="407"/>
    <s v="FI-01"/>
    <x v="3"/>
    <x v="0"/>
    <n v="22"/>
    <s v="Young (20-31)"/>
    <d v="2020-11-21T00:00:00"/>
    <x v="2"/>
    <x v="3"/>
    <n v="21"/>
    <n v="3.3"/>
    <n v="15"/>
    <n v="13087.86"/>
    <n v="4.9000000000000004"/>
    <x v="0"/>
  </r>
  <r>
    <x v="408"/>
    <s v="MA-01"/>
    <x v="5"/>
    <x v="1"/>
    <n v="58"/>
    <s v="Old (51-65)"/>
    <d v="2024-07-03T00:00:00"/>
    <x v="4"/>
    <x v="4"/>
    <n v="3"/>
    <n v="1.87"/>
    <n v="4"/>
    <n v="12008.86"/>
    <n v="1.3"/>
    <x v="0"/>
  </r>
  <r>
    <x v="409"/>
    <s v="HR-01"/>
    <x v="0"/>
    <x v="0"/>
    <n v="23"/>
    <s v="Young (20-31)"/>
    <d v="2022-08-11T00:00:00"/>
    <x v="1"/>
    <x v="11"/>
    <n v="11"/>
    <n v="1.71"/>
    <n v="6"/>
    <n v="8879.3799999999992"/>
    <n v="3.2"/>
    <x v="0"/>
  </r>
  <r>
    <x v="410"/>
    <s v="OP-01"/>
    <x v="4"/>
    <x v="1"/>
    <n v="24"/>
    <s v="Young (20-31)"/>
    <d v="2022-09-11T00:00:00"/>
    <x v="1"/>
    <x v="7"/>
    <n v="11"/>
    <n v="4.58"/>
    <n v="1"/>
    <n v="13410.29"/>
    <n v="3.1"/>
    <x v="0"/>
  </r>
  <r>
    <x v="411"/>
    <s v="FI-01"/>
    <x v="3"/>
    <x v="1"/>
    <n v="59"/>
    <s v="Old (51-65)"/>
    <d v="2021-10-10T00:00:00"/>
    <x v="0"/>
    <x v="10"/>
    <n v="10"/>
    <n v="1.66"/>
    <n v="6"/>
    <n v="11467.41"/>
    <n v="4.0999999999999996"/>
    <x v="0"/>
  </r>
  <r>
    <x v="412"/>
    <s v="IT-01"/>
    <x v="1"/>
    <x v="1"/>
    <n v="31"/>
    <s v="Young (20-31)"/>
    <d v="2020-05-29T00:00:00"/>
    <x v="2"/>
    <x v="1"/>
    <n v="29"/>
    <n v="4.4400000000000004"/>
    <n v="11"/>
    <n v="11320.47"/>
    <n v="5.4"/>
    <x v="1"/>
  </r>
  <r>
    <x v="413"/>
    <s v="IT-01"/>
    <x v="1"/>
    <x v="0"/>
    <n v="27"/>
    <s v="Young (20-31)"/>
    <d v="2024-01-17T00:00:00"/>
    <x v="4"/>
    <x v="2"/>
    <n v="17"/>
    <n v="4.0999999999999996"/>
    <n v="7"/>
    <n v="5562.42"/>
    <n v="1.8"/>
    <x v="0"/>
  </r>
  <r>
    <x v="414"/>
    <s v="IT-01"/>
    <x v="1"/>
    <x v="1"/>
    <n v="41"/>
    <s v="Middle Age (32-50)"/>
    <d v="2020-02-08T00:00:00"/>
    <x v="2"/>
    <x v="9"/>
    <n v="8"/>
    <n v="2.1"/>
    <n v="14"/>
    <n v="4559.68"/>
    <n v="5.7"/>
    <x v="1"/>
  </r>
  <r>
    <x v="415"/>
    <s v="FI-01"/>
    <x v="3"/>
    <x v="0"/>
    <n v="37"/>
    <s v="Middle Age (32-50)"/>
    <d v="2021-12-28T00:00:00"/>
    <x v="0"/>
    <x v="8"/>
    <n v="28"/>
    <n v="3.21"/>
    <n v="0"/>
    <n v="8617.94"/>
    <n v="3.8"/>
    <x v="0"/>
  </r>
  <r>
    <x v="416"/>
    <s v="FI-01"/>
    <x v="3"/>
    <x v="0"/>
    <n v="53"/>
    <s v="Old (51-65)"/>
    <d v="2020-05-10T00:00:00"/>
    <x v="2"/>
    <x v="1"/>
    <n v="10"/>
    <n v="3.56"/>
    <n v="7"/>
    <n v="5344.37"/>
    <n v="5.5"/>
    <x v="1"/>
  </r>
  <r>
    <x v="417"/>
    <s v="SA-01"/>
    <x v="2"/>
    <x v="0"/>
    <n v="56"/>
    <s v="Old (51-65)"/>
    <d v="2024-10-30T00:00:00"/>
    <x v="4"/>
    <x v="10"/>
    <n v="30"/>
    <n v="2.82"/>
    <n v="12"/>
    <n v="3641.47"/>
    <n v="1"/>
    <x v="2"/>
  </r>
  <r>
    <x v="418"/>
    <s v="OP-01"/>
    <x v="4"/>
    <x v="0"/>
    <n v="28"/>
    <s v="Young (20-31)"/>
    <d v="2023-08-12T00:00:00"/>
    <x v="3"/>
    <x v="11"/>
    <n v="12"/>
    <n v="3.15"/>
    <n v="5"/>
    <n v="10318.11"/>
    <n v="2.2000000000000002"/>
    <x v="0"/>
  </r>
  <r>
    <x v="419"/>
    <s v="MA-01"/>
    <x v="5"/>
    <x v="0"/>
    <n v="48"/>
    <s v="Middle Age (32-50)"/>
    <d v="2022-04-08T00:00:00"/>
    <x v="1"/>
    <x v="6"/>
    <n v="8"/>
    <n v="4.16"/>
    <n v="13"/>
    <n v="13428.08"/>
    <n v="3.6"/>
    <x v="0"/>
  </r>
  <r>
    <x v="420"/>
    <s v="HR-01"/>
    <x v="0"/>
    <x v="1"/>
    <n v="43"/>
    <s v="Middle Age (32-50)"/>
    <d v="2022-04-07T00:00:00"/>
    <x v="1"/>
    <x v="6"/>
    <n v="7"/>
    <n v="4.33"/>
    <n v="4"/>
    <n v="3360.9"/>
    <n v="3.6"/>
    <x v="0"/>
  </r>
  <r>
    <x v="421"/>
    <s v="HR-01"/>
    <x v="0"/>
    <x v="0"/>
    <n v="53"/>
    <s v="Old (51-65)"/>
    <d v="2021-01-25T00:00:00"/>
    <x v="0"/>
    <x v="2"/>
    <n v="25"/>
    <n v="2.0099999999999998"/>
    <n v="9"/>
    <n v="6968.45"/>
    <n v="4.8"/>
    <x v="0"/>
  </r>
  <r>
    <x v="422"/>
    <s v="IT-01"/>
    <x v="1"/>
    <x v="1"/>
    <n v="58"/>
    <s v="Old (51-65)"/>
    <d v="2024-06-11T00:00:00"/>
    <x v="4"/>
    <x v="5"/>
    <n v="11"/>
    <n v="3.67"/>
    <n v="8"/>
    <n v="4478.41"/>
    <n v="1.4"/>
    <x v="0"/>
  </r>
  <r>
    <x v="423"/>
    <s v="HR-01"/>
    <x v="0"/>
    <x v="0"/>
    <n v="43"/>
    <s v="Middle Age (32-50)"/>
    <d v="2025-10-18T00:00:00"/>
    <x v="5"/>
    <x v="10"/>
    <n v="18"/>
    <n v="1.56"/>
    <n v="12"/>
    <n v="14365.76"/>
    <n v="0"/>
    <x v="2"/>
  </r>
  <r>
    <x v="424"/>
    <s v="IT-01"/>
    <x v="1"/>
    <x v="0"/>
    <n v="26"/>
    <s v="Young (20-31)"/>
    <d v="2022-07-06T00:00:00"/>
    <x v="1"/>
    <x v="4"/>
    <n v="6"/>
    <n v="2.4500000000000002"/>
    <n v="6"/>
    <n v="4276.25"/>
    <n v="3.3"/>
    <x v="0"/>
  </r>
  <r>
    <x v="425"/>
    <s v="SA-01"/>
    <x v="2"/>
    <x v="1"/>
    <n v="59"/>
    <s v="Old (51-65)"/>
    <d v="2021-09-26T00:00:00"/>
    <x v="0"/>
    <x v="7"/>
    <n v="26"/>
    <n v="1.84"/>
    <n v="15"/>
    <n v="5591.66"/>
    <n v="4.0999999999999996"/>
    <x v="0"/>
  </r>
  <r>
    <x v="426"/>
    <s v="OP-01"/>
    <x v="4"/>
    <x v="1"/>
    <n v="39"/>
    <s v="Middle Age (32-50)"/>
    <d v="2020-02-24T00:00:00"/>
    <x v="2"/>
    <x v="9"/>
    <n v="24"/>
    <n v="3.72"/>
    <n v="7"/>
    <n v="10678.77"/>
    <n v="5.7"/>
    <x v="1"/>
  </r>
  <r>
    <x v="427"/>
    <s v="FI-01"/>
    <x v="3"/>
    <x v="0"/>
    <n v="56"/>
    <s v="Old (51-65)"/>
    <d v="2025-09-12T00:00:00"/>
    <x v="5"/>
    <x v="7"/>
    <n v="12"/>
    <n v="4.97"/>
    <n v="1"/>
    <n v="4589.2"/>
    <n v="0.1"/>
    <x v="2"/>
  </r>
  <r>
    <x v="428"/>
    <s v="HR-01"/>
    <x v="0"/>
    <x v="1"/>
    <n v="45"/>
    <s v="Middle Age (32-50)"/>
    <d v="2024-08-13T00:00:00"/>
    <x v="4"/>
    <x v="11"/>
    <n v="13"/>
    <n v="1.91"/>
    <n v="15"/>
    <n v="12550.32"/>
    <n v="1.2"/>
    <x v="0"/>
  </r>
  <r>
    <x v="429"/>
    <s v="IT-01"/>
    <x v="1"/>
    <x v="1"/>
    <n v="49"/>
    <s v="Middle Age (32-50)"/>
    <d v="2021-12-10T00:00:00"/>
    <x v="0"/>
    <x v="8"/>
    <n v="10"/>
    <n v="2.48"/>
    <n v="7"/>
    <n v="3820.26"/>
    <n v="3.9"/>
    <x v="0"/>
  </r>
  <r>
    <x v="430"/>
    <s v="IT-01"/>
    <x v="1"/>
    <x v="1"/>
    <n v="57"/>
    <s v="Old (51-65)"/>
    <d v="2024-04-29T00:00:00"/>
    <x v="4"/>
    <x v="6"/>
    <n v="29"/>
    <n v="4.54"/>
    <n v="14"/>
    <n v="9258.69"/>
    <n v="1.5"/>
    <x v="0"/>
  </r>
  <r>
    <x v="431"/>
    <s v="HR-01"/>
    <x v="0"/>
    <x v="1"/>
    <n v="36"/>
    <s v="Middle Age (32-50)"/>
    <d v="2020-05-14T00:00:00"/>
    <x v="2"/>
    <x v="1"/>
    <n v="14"/>
    <n v="2.2599999999999998"/>
    <n v="10"/>
    <n v="13414.72"/>
    <n v="5.5"/>
    <x v="1"/>
  </r>
  <r>
    <x v="432"/>
    <s v="HR-01"/>
    <x v="0"/>
    <x v="1"/>
    <n v="48"/>
    <s v="Middle Age (32-50)"/>
    <d v="2024-10-30T00:00:00"/>
    <x v="4"/>
    <x v="10"/>
    <n v="30"/>
    <n v="1.67"/>
    <n v="7"/>
    <n v="5895"/>
    <n v="1"/>
    <x v="2"/>
  </r>
  <r>
    <x v="433"/>
    <s v="MA-01"/>
    <x v="5"/>
    <x v="0"/>
    <n v="53"/>
    <s v="Old (51-65)"/>
    <d v="2020-05-14T00:00:00"/>
    <x v="2"/>
    <x v="1"/>
    <n v="14"/>
    <n v="3.66"/>
    <n v="3"/>
    <n v="9147.9500000000007"/>
    <n v="5.5"/>
    <x v="1"/>
  </r>
  <r>
    <x v="434"/>
    <s v="IT-01"/>
    <x v="1"/>
    <x v="1"/>
    <n v="59"/>
    <s v="Old (51-65)"/>
    <d v="2022-05-06T00:00:00"/>
    <x v="1"/>
    <x v="1"/>
    <n v="6"/>
    <n v="3.57"/>
    <n v="8"/>
    <n v="8694.42"/>
    <n v="3.5"/>
    <x v="0"/>
  </r>
  <r>
    <x v="435"/>
    <s v="HR-01"/>
    <x v="0"/>
    <x v="0"/>
    <n v="31"/>
    <s v="Young (20-31)"/>
    <d v="2020-07-27T00:00:00"/>
    <x v="2"/>
    <x v="4"/>
    <n v="27"/>
    <n v="4.12"/>
    <n v="10"/>
    <n v="8922.85"/>
    <n v="5.3"/>
    <x v="1"/>
  </r>
  <r>
    <x v="436"/>
    <s v="SA-01"/>
    <x v="2"/>
    <x v="1"/>
    <n v="45"/>
    <s v="Middle Age (32-50)"/>
    <d v="2024-08-14T00:00:00"/>
    <x v="4"/>
    <x v="11"/>
    <n v="14"/>
    <n v="4.0599999999999996"/>
    <n v="6"/>
    <n v="9724.56"/>
    <n v="1.2"/>
    <x v="0"/>
  </r>
  <r>
    <x v="437"/>
    <s v="OP-01"/>
    <x v="4"/>
    <x v="0"/>
    <n v="35"/>
    <s v="Middle Age (32-50)"/>
    <d v="2023-03-29T00:00:00"/>
    <x v="3"/>
    <x v="0"/>
    <n v="29"/>
    <n v="3.25"/>
    <n v="6"/>
    <n v="8345.36"/>
    <n v="2.6"/>
    <x v="0"/>
  </r>
  <r>
    <x v="438"/>
    <s v="OP-01"/>
    <x v="4"/>
    <x v="0"/>
    <n v="27"/>
    <s v="Young (20-31)"/>
    <d v="2022-09-02T00:00:00"/>
    <x v="1"/>
    <x v="7"/>
    <n v="2"/>
    <n v="4.03"/>
    <n v="10"/>
    <n v="8963.52"/>
    <n v="3.2"/>
    <x v="0"/>
  </r>
  <r>
    <x v="439"/>
    <s v="FI-01"/>
    <x v="3"/>
    <x v="1"/>
    <n v="24"/>
    <s v="Young (20-31)"/>
    <d v="2023-04-22T00:00:00"/>
    <x v="3"/>
    <x v="6"/>
    <n v="22"/>
    <n v="1.83"/>
    <n v="3"/>
    <n v="6517.64"/>
    <n v="2.5"/>
    <x v="0"/>
  </r>
  <r>
    <x v="440"/>
    <s v="SA-01"/>
    <x v="2"/>
    <x v="1"/>
    <n v="40"/>
    <s v="Middle Age (32-50)"/>
    <d v="2022-06-11T00:00:00"/>
    <x v="1"/>
    <x v="5"/>
    <n v="11"/>
    <n v="4.08"/>
    <n v="1"/>
    <n v="11847.96"/>
    <n v="3.4"/>
    <x v="0"/>
  </r>
  <r>
    <x v="441"/>
    <s v="OP-01"/>
    <x v="4"/>
    <x v="1"/>
    <n v="49"/>
    <s v="Middle Age (32-50)"/>
    <d v="2022-08-17T00:00:00"/>
    <x v="1"/>
    <x v="11"/>
    <n v="17"/>
    <n v="4.59"/>
    <n v="9"/>
    <n v="8641.09"/>
    <n v="3.2"/>
    <x v="0"/>
  </r>
  <r>
    <x v="442"/>
    <s v="HR-01"/>
    <x v="0"/>
    <x v="0"/>
    <n v="22"/>
    <s v="Young (20-31)"/>
    <d v="2022-07-30T00:00:00"/>
    <x v="1"/>
    <x v="4"/>
    <n v="30"/>
    <n v="2.15"/>
    <n v="13"/>
    <n v="14129.44"/>
    <n v="3.3"/>
    <x v="0"/>
  </r>
  <r>
    <x v="443"/>
    <s v="FI-01"/>
    <x v="3"/>
    <x v="1"/>
    <n v="58"/>
    <s v="Old (51-65)"/>
    <d v="2021-03-31T00:00:00"/>
    <x v="0"/>
    <x v="0"/>
    <n v="31"/>
    <n v="4.2300000000000004"/>
    <n v="15"/>
    <n v="5127.7299999999996"/>
    <n v="4.5999999999999996"/>
    <x v="0"/>
  </r>
  <r>
    <x v="444"/>
    <s v="MA-01"/>
    <x v="5"/>
    <x v="1"/>
    <n v="47"/>
    <s v="Middle Age (32-50)"/>
    <d v="2025-02-15T00:00:00"/>
    <x v="5"/>
    <x v="9"/>
    <n v="15"/>
    <n v="4.13"/>
    <n v="4"/>
    <n v="4013.25"/>
    <n v="0.7"/>
    <x v="2"/>
  </r>
  <r>
    <x v="445"/>
    <s v="SA-01"/>
    <x v="2"/>
    <x v="0"/>
    <n v="49"/>
    <s v="Middle Age (32-50)"/>
    <d v="2020-09-29T00:00:00"/>
    <x v="2"/>
    <x v="7"/>
    <n v="29"/>
    <n v="2.71"/>
    <n v="15"/>
    <n v="4236.7700000000004"/>
    <n v="5.0999999999999996"/>
    <x v="1"/>
  </r>
  <r>
    <x v="446"/>
    <s v="SA-01"/>
    <x v="2"/>
    <x v="1"/>
    <n v="24"/>
    <s v="Young (20-31)"/>
    <d v="2021-10-31T00:00:00"/>
    <x v="0"/>
    <x v="10"/>
    <n v="31"/>
    <n v="1.53"/>
    <n v="10"/>
    <n v="3649.24"/>
    <n v="4"/>
    <x v="0"/>
  </r>
  <r>
    <x v="447"/>
    <s v="HR-01"/>
    <x v="0"/>
    <x v="0"/>
    <n v="41"/>
    <s v="Middle Age (32-50)"/>
    <d v="2020-12-01T00:00:00"/>
    <x v="2"/>
    <x v="8"/>
    <n v="1"/>
    <n v="3.74"/>
    <n v="0"/>
    <n v="6692.22"/>
    <n v="4.9000000000000004"/>
    <x v="0"/>
  </r>
  <r>
    <x v="448"/>
    <s v="SA-01"/>
    <x v="2"/>
    <x v="0"/>
    <n v="47"/>
    <s v="Middle Age (32-50)"/>
    <d v="2024-12-12T00:00:00"/>
    <x v="4"/>
    <x v="8"/>
    <n v="12"/>
    <n v="2.95"/>
    <n v="1"/>
    <n v="14327.04"/>
    <n v="0.9"/>
    <x v="2"/>
  </r>
  <r>
    <x v="449"/>
    <s v="FI-01"/>
    <x v="3"/>
    <x v="0"/>
    <n v="37"/>
    <s v="Middle Age (32-50)"/>
    <d v="2021-10-31T00:00:00"/>
    <x v="0"/>
    <x v="10"/>
    <n v="31"/>
    <n v="4.8499999999999996"/>
    <n v="11"/>
    <n v="6376.64"/>
    <n v="4"/>
    <x v="0"/>
  </r>
  <r>
    <x v="450"/>
    <s v="MA-01"/>
    <x v="5"/>
    <x v="1"/>
    <n v="25"/>
    <s v="Young (20-31)"/>
    <d v="2024-06-11T00:00:00"/>
    <x v="4"/>
    <x v="5"/>
    <n v="11"/>
    <n v="4.4800000000000004"/>
    <n v="10"/>
    <n v="10307.5"/>
    <n v="1.4"/>
    <x v="0"/>
  </r>
  <r>
    <x v="451"/>
    <s v="FI-01"/>
    <x v="3"/>
    <x v="1"/>
    <n v="39"/>
    <s v="Middle Age (32-50)"/>
    <d v="2025-08-21T00:00:00"/>
    <x v="5"/>
    <x v="11"/>
    <n v="21"/>
    <n v="2.8"/>
    <n v="7"/>
    <n v="9636.77"/>
    <n v="0.2"/>
    <x v="2"/>
  </r>
  <r>
    <x v="452"/>
    <s v="SA-01"/>
    <x v="2"/>
    <x v="0"/>
    <n v="39"/>
    <s v="Middle Age (32-50)"/>
    <d v="2025-09-17T00:00:00"/>
    <x v="5"/>
    <x v="7"/>
    <n v="17"/>
    <n v="2.91"/>
    <n v="5"/>
    <n v="14869.83"/>
    <n v="0.1"/>
    <x v="2"/>
  </r>
  <r>
    <x v="453"/>
    <s v="OP-01"/>
    <x v="4"/>
    <x v="1"/>
    <n v="31"/>
    <s v="Young (20-31)"/>
    <d v="2020-04-22T00:00:00"/>
    <x v="2"/>
    <x v="6"/>
    <n v="22"/>
    <n v="3.69"/>
    <n v="15"/>
    <n v="10181.040000000001"/>
    <n v="5.5"/>
    <x v="1"/>
  </r>
  <r>
    <x v="454"/>
    <s v="IT-01"/>
    <x v="1"/>
    <x v="0"/>
    <n v="47"/>
    <s v="Middle Age (32-50)"/>
    <d v="2020-07-17T00:00:00"/>
    <x v="2"/>
    <x v="4"/>
    <n v="17"/>
    <n v="4.63"/>
    <n v="14"/>
    <n v="4556.0200000000004"/>
    <n v="5.3"/>
    <x v="1"/>
  </r>
  <r>
    <x v="455"/>
    <s v="IT-01"/>
    <x v="1"/>
    <x v="0"/>
    <n v="48"/>
    <s v="Middle Age (32-50)"/>
    <d v="2024-06-03T00:00:00"/>
    <x v="4"/>
    <x v="5"/>
    <n v="3"/>
    <n v="4.16"/>
    <n v="11"/>
    <n v="6269.71"/>
    <n v="1.4"/>
    <x v="0"/>
  </r>
  <r>
    <x v="456"/>
    <s v="FI-01"/>
    <x v="3"/>
    <x v="0"/>
    <n v="28"/>
    <s v="Young (20-31)"/>
    <d v="2023-01-22T00:00:00"/>
    <x v="3"/>
    <x v="2"/>
    <n v="22"/>
    <n v="4.88"/>
    <n v="1"/>
    <n v="7880.45"/>
    <n v="2.8"/>
    <x v="0"/>
  </r>
  <r>
    <x v="457"/>
    <s v="FI-01"/>
    <x v="3"/>
    <x v="1"/>
    <n v="50"/>
    <s v="Middle Age (32-50)"/>
    <d v="2025-09-13T00:00:00"/>
    <x v="5"/>
    <x v="7"/>
    <n v="13"/>
    <n v="3.2"/>
    <n v="11"/>
    <n v="5890.93"/>
    <n v="0.1"/>
    <x v="2"/>
  </r>
  <r>
    <x v="458"/>
    <s v="IT-01"/>
    <x v="1"/>
    <x v="0"/>
    <n v="58"/>
    <s v="Old (51-65)"/>
    <d v="2023-08-06T00:00:00"/>
    <x v="3"/>
    <x v="11"/>
    <n v="6"/>
    <n v="4.6100000000000003"/>
    <n v="7"/>
    <n v="9795.31"/>
    <n v="2.2000000000000002"/>
    <x v="0"/>
  </r>
  <r>
    <x v="459"/>
    <s v="FI-01"/>
    <x v="3"/>
    <x v="0"/>
    <n v="32"/>
    <s v="Middle Age (32-50)"/>
    <d v="2022-01-12T00:00:00"/>
    <x v="1"/>
    <x v="2"/>
    <n v="12"/>
    <n v="3.02"/>
    <n v="2"/>
    <n v="11271.14"/>
    <n v="3.8"/>
    <x v="0"/>
  </r>
  <r>
    <x v="460"/>
    <s v="OP-01"/>
    <x v="4"/>
    <x v="0"/>
    <n v="22"/>
    <s v="Young (20-31)"/>
    <d v="2020-07-11T00:00:00"/>
    <x v="2"/>
    <x v="4"/>
    <n v="11"/>
    <n v="3.94"/>
    <n v="10"/>
    <n v="7704.8"/>
    <n v="5.3"/>
    <x v="1"/>
  </r>
  <r>
    <x v="461"/>
    <s v="HR-01"/>
    <x v="0"/>
    <x v="1"/>
    <n v="42"/>
    <s v="Middle Age (32-50)"/>
    <d v="2022-04-09T00:00:00"/>
    <x v="1"/>
    <x v="6"/>
    <n v="9"/>
    <n v="3.34"/>
    <n v="8"/>
    <n v="11324.62"/>
    <n v="3.6"/>
    <x v="0"/>
  </r>
  <r>
    <x v="462"/>
    <s v="IT-01"/>
    <x v="1"/>
    <x v="0"/>
    <n v="58"/>
    <s v="Old (51-65)"/>
    <d v="2024-08-13T00:00:00"/>
    <x v="4"/>
    <x v="11"/>
    <n v="13"/>
    <n v="1.97"/>
    <n v="15"/>
    <n v="3329.47"/>
    <n v="1.2"/>
    <x v="0"/>
  </r>
  <r>
    <x v="463"/>
    <s v="IT-01"/>
    <x v="1"/>
    <x v="0"/>
    <n v="34"/>
    <s v="Middle Age (32-50)"/>
    <d v="2023-01-07T00:00:00"/>
    <x v="3"/>
    <x v="2"/>
    <n v="7"/>
    <n v="2"/>
    <n v="2"/>
    <n v="8209.15"/>
    <n v="2.8"/>
    <x v="0"/>
  </r>
  <r>
    <x v="464"/>
    <s v="IT-01"/>
    <x v="1"/>
    <x v="1"/>
    <n v="33"/>
    <s v="Middle Age (32-50)"/>
    <d v="2024-08-20T00:00:00"/>
    <x v="4"/>
    <x v="11"/>
    <n v="20"/>
    <n v="2.56"/>
    <n v="12"/>
    <n v="5530.71"/>
    <n v="1.2"/>
    <x v="0"/>
  </r>
  <r>
    <x v="465"/>
    <s v="MA-01"/>
    <x v="5"/>
    <x v="0"/>
    <n v="24"/>
    <s v="Young (20-31)"/>
    <d v="2022-01-11T00:00:00"/>
    <x v="1"/>
    <x v="2"/>
    <n v="11"/>
    <n v="2.82"/>
    <n v="6"/>
    <n v="11226.19"/>
    <n v="3.8"/>
    <x v="0"/>
  </r>
  <r>
    <x v="466"/>
    <s v="SA-01"/>
    <x v="2"/>
    <x v="1"/>
    <n v="37"/>
    <s v="Middle Age (32-50)"/>
    <d v="2020-02-11T00:00:00"/>
    <x v="2"/>
    <x v="9"/>
    <n v="11"/>
    <n v="5"/>
    <n v="5"/>
    <n v="11330.32"/>
    <n v="5.7"/>
    <x v="1"/>
  </r>
  <r>
    <x v="467"/>
    <s v="IT-01"/>
    <x v="1"/>
    <x v="1"/>
    <n v="26"/>
    <s v="Young (20-31)"/>
    <d v="2020-04-17T00:00:00"/>
    <x v="2"/>
    <x v="6"/>
    <n v="17"/>
    <n v="1.84"/>
    <n v="3"/>
    <n v="5550.49"/>
    <n v="5.5"/>
    <x v="1"/>
  </r>
  <r>
    <x v="468"/>
    <s v="SA-01"/>
    <x v="2"/>
    <x v="0"/>
    <n v="34"/>
    <s v="Middle Age (32-50)"/>
    <d v="2022-01-11T00:00:00"/>
    <x v="1"/>
    <x v="2"/>
    <n v="11"/>
    <n v="3.35"/>
    <n v="11"/>
    <n v="13924.24"/>
    <n v="3.8"/>
    <x v="0"/>
  </r>
  <r>
    <x v="469"/>
    <s v="IT-01"/>
    <x v="1"/>
    <x v="1"/>
    <n v="43"/>
    <s v="Middle Age (32-50)"/>
    <d v="2022-01-02T00:00:00"/>
    <x v="1"/>
    <x v="2"/>
    <n v="2"/>
    <n v="2.15"/>
    <n v="14"/>
    <n v="10467.030000000001"/>
    <n v="3.8"/>
    <x v="0"/>
  </r>
  <r>
    <x v="470"/>
    <s v="MA-01"/>
    <x v="5"/>
    <x v="0"/>
    <n v="31"/>
    <s v="Young (20-31)"/>
    <d v="2021-03-31T00:00:00"/>
    <x v="0"/>
    <x v="0"/>
    <n v="31"/>
    <n v="1.57"/>
    <n v="1"/>
    <n v="8846.41"/>
    <n v="4.5999999999999996"/>
    <x v="0"/>
  </r>
  <r>
    <x v="471"/>
    <s v="MA-01"/>
    <x v="5"/>
    <x v="0"/>
    <n v="32"/>
    <s v="Middle Age (32-50)"/>
    <d v="2023-06-23T00:00:00"/>
    <x v="3"/>
    <x v="5"/>
    <n v="23"/>
    <n v="2.91"/>
    <n v="11"/>
    <n v="9189.0400000000009"/>
    <n v="2.4"/>
    <x v="0"/>
  </r>
  <r>
    <x v="472"/>
    <s v="HR-01"/>
    <x v="0"/>
    <x v="0"/>
    <n v="36"/>
    <s v="Middle Age (32-50)"/>
    <d v="2025-06-04T00:00:00"/>
    <x v="5"/>
    <x v="5"/>
    <n v="4"/>
    <n v="4.79"/>
    <n v="5"/>
    <n v="13034.09"/>
    <n v="0.4"/>
    <x v="2"/>
  </r>
  <r>
    <x v="473"/>
    <s v="FI-01"/>
    <x v="3"/>
    <x v="0"/>
    <n v="44"/>
    <s v="Middle Age (32-50)"/>
    <d v="2024-09-14T00:00:00"/>
    <x v="4"/>
    <x v="7"/>
    <n v="14"/>
    <n v="2.76"/>
    <n v="7"/>
    <n v="9848.68"/>
    <n v="1.1000000000000001"/>
    <x v="0"/>
  </r>
  <r>
    <x v="474"/>
    <s v="MA-01"/>
    <x v="5"/>
    <x v="1"/>
    <n v="53"/>
    <s v="Old (51-65)"/>
    <d v="2025-06-22T00:00:00"/>
    <x v="5"/>
    <x v="5"/>
    <n v="22"/>
    <n v="1.8"/>
    <n v="6"/>
    <n v="4431.1899999999996"/>
    <n v="0.4"/>
    <x v="2"/>
  </r>
  <r>
    <x v="475"/>
    <s v="MA-01"/>
    <x v="5"/>
    <x v="1"/>
    <n v="40"/>
    <s v="Middle Age (32-50)"/>
    <d v="2023-10-17T00:00:00"/>
    <x v="3"/>
    <x v="10"/>
    <n v="17"/>
    <n v="4.8600000000000003"/>
    <n v="4"/>
    <n v="7059.4"/>
    <n v="2"/>
    <x v="0"/>
  </r>
  <r>
    <x v="476"/>
    <s v="IT-01"/>
    <x v="1"/>
    <x v="0"/>
    <n v="30"/>
    <s v="Young (20-31)"/>
    <d v="2025-09-27T00:00:00"/>
    <x v="5"/>
    <x v="7"/>
    <n v="27"/>
    <n v="3.25"/>
    <n v="3"/>
    <n v="11229.45"/>
    <n v="0.1"/>
    <x v="2"/>
  </r>
  <r>
    <x v="477"/>
    <s v="OP-01"/>
    <x v="4"/>
    <x v="0"/>
    <n v="31"/>
    <s v="Young (20-31)"/>
    <d v="2022-04-08T00:00:00"/>
    <x v="1"/>
    <x v="6"/>
    <n v="8"/>
    <n v="1.94"/>
    <n v="2"/>
    <n v="3314.6"/>
    <n v="3.6"/>
    <x v="0"/>
  </r>
  <r>
    <x v="478"/>
    <s v="IT-01"/>
    <x v="1"/>
    <x v="0"/>
    <n v="47"/>
    <s v="Middle Age (32-50)"/>
    <d v="2024-04-18T00:00:00"/>
    <x v="4"/>
    <x v="6"/>
    <n v="18"/>
    <n v="1.72"/>
    <n v="5"/>
    <n v="10888.05"/>
    <n v="1.5"/>
    <x v="0"/>
  </r>
  <r>
    <x v="479"/>
    <s v="HR-01"/>
    <x v="0"/>
    <x v="0"/>
    <n v="44"/>
    <s v="Middle Age (32-50)"/>
    <d v="2024-02-06T00:00:00"/>
    <x v="4"/>
    <x v="9"/>
    <n v="6"/>
    <n v="2.23"/>
    <n v="6"/>
    <n v="5388.61"/>
    <n v="1.7"/>
    <x v="0"/>
  </r>
  <r>
    <x v="480"/>
    <s v="MA-01"/>
    <x v="5"/>
    <x v="0"/>
    <n v="31"/>
    <s v="Young (20-31)"/>
    <d v="2025-09-12T00:00:00"/>
    <x v="5"/>
    <x v="7"/>
    <n v="12"/>
    <n v="2.06"/>
    <n v="3"/>
    <n v="9720.24"/>
    <n v="0.1"/>
    <x v="2"/>
  </r>
  <r>
    <x v="481"/>
    <s v="FI-01"/>
    <x v="3"/>
    <x v="0"/>
    <n v="55"/>
    <s v="Old (51-65)"/>
    <d v="2020-01-19T00:00:00"/>
    <x v="2"/>
    <x v="2"/>
    <n v="19"/>
    <n v="3.54"/>
    <n v="13"/>
    <n v="10990.58"/>
    <n v="5.8"/>
    <x v="1"/>
  </r>
  <r>
    <x v="482"/>
    <s v="IT-01"/>
    <x v="1"/>
    <x v="1"/>
    <n v="45"/>
    <s v="Middle Age (32-50)"/>
    <d v="2021-12-10T00:00:00"/>
    <x v="0"/>
    <x v="8"/>
    <n v="10"/>
    <n v="4.6100000000000003"/>
    <n v="8"/>
    <n v="5681.76"/>
    <n v="3.9"/>
    <x v="0"/>
  </r>
  <r>
    <x v="483"/>
    <s v="FI-01"/>
    <x v="3"/>
    <x v="1"/>
    <n v="50"/>
    <s v="Middle Age (32-50)"/>
    <d v="2021-12-28T00:00:00"/>
    <x v="0"/>
    <x v="8"/>
    <n v="28"/>
    <n v="2.2400000000000002"/>
    <n v="13"/>
    <n v="9383.58"/>
    <n v="3.8"/>
    <x v="0"/>
  </r>
  <r>
    <x v="484"/>
    <s v="OP-01"/>
    <x v="4"/>
    <x v="1"/>
    <n v="46"/>
    <s v="Middle Age (32-50)"/>
    <d v="2023-06-23T00:00:00"/>
    <x v="3"/>
    <x v="5"/>
    <n v="23"/>
    <n v="3.67"/>
    <n v="7"/>
    <n v="14180.64"/>
    <n v="2.4"/>
    <x v="0"/>
  </r>
  <r>
    <x v="485"/>
    <s v="IT-01"/>
    <x v="1"/>
    <x v="1"/>
    <n v="60"/>
    <s v="Old (51-65)"/>
    <d v="2023-07-12T00:00:00"/>
    <x v="3"/>
    <x v="4"/>
    <n v="12"/>
    <n v="4.2699999999999996"/>
    <n v="5"/>
    <n v="11041.85"/>
    <n v="2.2999999999999998"/>
    <x v="0"/>
  </r>
  <r>
    <x v="486"/>
    <s v="FI-01"/>
    <x v="3"/>
    <x v="0"/>
    <n v="31"/>
    <s v="Young (20-31)"/>
    <d v="2024-08-20T00:00:00"/>
    <x v="4"/>
    <x v="11"/>
    <n v="20"/>
    <n v="3.46"/>
    <n v="5"/>
    <n v="6907.05"/>
    <n v="1.2"/>
    <x v="0"/>
  </r>
  <r>
    <x v="487"/>
    <s v="MA-01"/>
    <x v="5"/>
    <x v="0"/>
    <n v="57"/>
    <s v="Old (51-65)"/>
    <d v="2022-11-09T00:00:00"/>
    <x v="1"/>
    <x v="3"/>
    <n v="9"/>
    <n v="4.71"/>
    <n v="4"/>
    <n v="11537.44"/>
    <n v="3"/>
    <x v="0"/>
  </r>
  <r>
    <x v="488"/>
    <s v="SA-01"/>
    <x v="2"/>
    <x v="1"/>
    <n v="40"/>
    <s v="Middle Age (32-50)"/>
    <d v="2025-08-18T00:00:00"/>
    <x v="5"/>
    <x v="11"/>
    <n v="18"/>
    <n v="2.97"/>
    <n v="5"/>
    <n v="7421.5"/>
    <n v="0.2"/>
    <x v="2"/>
  </r>
  <r>
    <x v="489"/>
    <s v="HR-01"/>
    <x v="0"/>
    <x v="1"/>
    <n v="39"/>
    <s v="Middle Age (32-50)"/>
    <d v="2020-02-24T00:00:00"/>
    <x v="2"/>
    <x v="9"/>
    <n v="24"/>
    <n v="1.58"/>
    <n v="12"/>
    <n v="10212.56"/>
    <n v="5.7"/>
    <x v="1"/>
  </r>
  <r>
    <x v="490"/>
    <s v="IT-01"/>
    <x v="1"/>
    <x v="0"/>
    <n v="46"/>
    <s v="Middle Age (32-50)"/>
    <d v="2023-07-09T00:00:00"/>
    <x v="3"/>
    <x v="4"/>
    <n v="9"/>
    <n v="4.46"/>
    <n v="13"/>
    <n v="9706.0400000000009"/>
    <n v="2.2999999999999998"/>
    <x v="0"/>
  </r>
  <r>
    <x v="491"/>
    <s v="SA-01"/>
    <x v="2"/>
    <x v="0"/>
    <n v="26"/>
    <s v="Young (20-31)"/>
    <d v="2024-09-10T00:00:00"/>
    <x v="4"/>
    <x v="7"/>
    <n v="10"/>
    <n v="4.03"/>
    <n v="8"/>
    <n v="3039.42"/>
    <n v="1.1000000000000001"/>
    <x v="0"/>
  </r>
  <r>
    <x v="492"/>
    <s v="IT-01"/>
    <x v="1"/>
    <x v="1"/>
    <n v="43"/>
    <s v="Middle Age (32-50)"/>
    <d v="2024-06-11T00:00:00"/>
    <x v="4"/>
    <x v="5"/>
    <n v="11"/>
    <n v="4.1100000000000003"/>
    <n v="3"/>
    <n v="14313.88"/>
    <n v="1.4"/>
    <x v="0"/>
  </r>
  <r>
    <x v="493"/>
    <s v="OP-01"/>
    <x v="4"/>
    <x v="0"/>
    <n v="59"/>
    <s v="Old (51-65)"/>
    <d v="2025-09-27T00:00:00"/>
    <x v="5"/>
    <x v="7"/>
    <n v="27"/>
    <n v="2.85"/>
    <n v="3"/>
    <n v="7124.93"/>
    <n v="0.1"/>
    <x v="2"/>
  </r>
  <r>
    <x v="494"/>
    <s v="HR-01"/>
    <x v="0"/>
    <x v="1"/>
    <n v="47"/>
    <s v="Middle Age (32-50)"/>
    <d v="2021-01-25T00:00:00"/>
    <x v="0"/>
    <x v="2"/>
    <n v="25"/>
    <n v="3.89"/>
    <n v="6"/>
    <n v="5063.4799999999996"/>
    <n v="4.8"/>
    <x v="0"/>
  </r>
  <r>
    <x v="495"/>
    <s v="HR-01"/>
    <x v="0"/>
    <x v="1"/>
    <n v="25"/>
    <s v="Young (20-31)"/>
    <d v="2022-06-03T00:00:00"/>
    <x v="1"/>
    <x v="5"/>
    <n v="3"/>
    <n v="2.97"/>
    <n v="7"/>
    <n v="12316.44"/>
    <n v="3.4"/>
    <x v="0"/>
  </r>
  <r>
    <x v="496"/>
    <s v="FI-01"/>
    <x v="3"/>
    <x v="1"/>
    <n v="28"/>
    <s v="Young (20-31)"/>
    <d v="2020-01-10T00:00:00"/>
    <x v="2"/>
    <x v="2"/>
    <n v="10"/>
    <n v="4.09"/>
    <n v="10"/>
    <n v="12116.69"/>
    <n v="5.8"/>
    <x v="1"/>
  </r>
  <r>
    <x v="497"/>
    <s v="SA-01"/>
    <x v="2"/>
    <x v="1"/>
    <n v="41"/>
    <s v="Middle Age (32-50)"/>
    <d v="2022-02-22T00:00:00"/>
    <x v="1"/>
    <x v="9"/>
    <n v="22"/>
    <n v="1.86"/>
    <n v="8"/>
    <n v="7408.54"/>
    <n v="3.7"/>
    <x v="0"/>
  </r>
  <r>
    <x v="498"/>
    <s v="IT-01"/>
    <x v="1"/>
    <x v="0"/>
    <n v="58"/>
    <s v="Old (51-65)"/>
    <d v="2020-08-23T00:00:00"/>
    <x v="2"/>
    <x v="11"/>
    <n v="23"/>
    <n v="2.23"/>
    <n v="10"/>
    <n v="14519.66"/>
    <n v="5.2"/>
    <x v="1"/>
  </r>
  <r>
    <x v="499"/>
    <s v="MA-01"/>
    <x v="5"/>
    <x v="1"/>
    <n v="60"/>
    <s v="Old (51-65)"/>
    <d v="2023-03-06T00:00:00"/>
    <x v="3"/>
    <x v="0"/>
    <n v="6"/>
    <n v="3.84"/>
    <n v="10"/>
    <n v="8727.91"/>
    <n v="2.7"/>
    <x v="0"/>
  </r>
  <r>
    <x v="500"/>
    <s v="FI-01"/>
    <x v="3"/>
    <x v="1"/>
    <n v="60"/>
    <s v="Old (51-65)"/>
    <d v="2020-07-15T00:00:00"/>
    <x v="2"/>
    <x v="4"/>
    <n v="15"/>
    <n v="2.8"/>
    <n v="7"/>
    <n v="13817.85"/>
    <n v="5.3"/>
    <x v="1"/>
  </r>
  <r>
    <x v="501"/>
    <s v="SA-01"/>
    <x v="2"/>
    <x v="0"/>
    <n v="30"/>
    <s v="Young (20-31)"/>
    <d v="2025-08-21T00:00:00"/>
    <x v="5"/>
    <x v="11"/>
    <n v="21"/>
    <n v="2.72"/>
    <n v="6"/>
    <n v="9589.2800000000007"/>
    <n v="0.2"/>
    <x v="2"/>
  </r>
  <r>
    <x v="502"/>
    <s v="HR-01"/>
    <x v="0"/>
    <x v="0"/>
    <n v="51"/>
    <s v="Old (51-65)"/>
    <d v="2024-07-12T00:00:00"/>
    <x v="4"/>
    <x v="4"/>
    <n v="12"/>
    <n v="2.4700000000000002"/>
    <n v="6"/>
    <n v="6094.25"/>
    <n v="1.3"/>
    <x v="0"/>
  </r>
  <r>
    <x v="503"/>
    <s v="HR-01"/>
    <x v="0"/>
    <x v="0"/>
    <n v="55"/>
    <s v="Old (51-65)"/>
    <d v="2021-10-20T00:00:00"/>
    <x v="0"/>
    <x v="10"/>
    <n v="20"/>
    <n v="2.4300000000000002"/>
    <n v="15"/>
    <n v="11707.18"/>
    <n v="4"/>
    <x v="0"/>
  </r>
  <r>
    <x v="504"/>
    <s v="SA-01"/>
    <x v="2"/>
    <x v="1"/>
    <n v="47"/>
    <s v="Middle Age (32-50)"/>
    <d v="2024-02-04T00:00:00"/>
    <x v="4"/>
    <x v="9"/>
    <n v="4"/>
    <n v="2.17"/>
    <n v="7"/>
    <n v="4684.63"/>
    <n v="1.7"/>
    <x v="0"/>
  </r>
  <r>
    <x v="505"/>
    <s v="MA-01"/>
    <x v="5"/>
    <x v="0"/>
    <n v="22"/>
    <s v="Young (20-31)"/>
    <d v="2024-12-22T00:00:00"/>
    <x v="4"/>
    <x v="8"/>
    <n v="22"/>
    <n v="4.1399999999999997"/>
    <n v="7"/>
    <n v="3019.83"/>
    <n v="0.9"/>
    <x v="2"/>
  </r>
  <r>
    <x v="506"/>
    <s v="MA-01"/>
    <x v="5"/>
    <x v="1"/>
    <n v="36"/>
    <s v="Middle Age (32-50)"/>
    <d v="2024-06-11T00:00:00"/>
    <x v="4"/>
    <x v="5"/>
    <n v="11"/>
    <n v="2.04"/>
    <n v="1"/>
    <n v="12321.54"/>
    <n v="1.4"/>
    <x v="0"/>
  </r>
  <r>
    <x v="507"/>
    <s v="HR-01"/>
    <x v="0"/>
    <x v="1"/>
    <n v="28"/>
    <s v="Young (20-31)"/>
    <d v="2021-09-26T00:00:00"/>
    <x v="0"/>
    <x v="7"/>
    <n v="26"/>
    <n v="2.0699999999999998"/>
    <n v="7"/>
    <n v="12584.82"/>
    <n v="4.0999999999999996"/>
    <x v="0"/>
  </r>
  <r>
    <x v="508"/>
    <s v="SA-01"/>
    <x v="2"/>
    <x v="1"/>
    <n v="48"/>
    <s v="Middle Age (32-50)"/>
    <d v="2021-03-28T00:00:00"/>
    <x v="0"/>
    <x v="0"/>
    <n v="28"/>
    <n v="2.4300000000000002"/>
    <n v="3"/>
    <n v="3298.73"/>
    <n v="4.5999999999999996"/>
    <x v="0"/>
  </r>
  <r>
    <x v="509"/>
    <s v="MA-01"/>
    <x v="5"/>
    <x v="1"/>
    <n v="40"/>
    <s v="Middle Age (32-50)"/>
    <d v="2021-12-10T00:00:00"/>
    <x v="0"/>
    <x v="8"/>
    <n v="10"/>
    <n v="3.37"/>
    <n v="8"/>
    <n v="10077.450000000001"/>
    <n v="3.9"/>
    <x v="0"/>
  </r>
  <r>
    <x v="510"/>
    <s v="FI-01"/>
    <x v="3"/>
    <x v="0"/>
    <n v="32"/>
    <s v="Middle Age (32-50)"/>
    <d v="2025-06-18T00:00:00"/>
    <x v="5"/>
    <x v="5"/>
    <n v="18"/>
    <n v="1.87"/>
    <n v="10"/>
    <n v="3551.61"/>
    <n v="0.4"/>
    <x v="2"/>
  </r>
  <r>
    <x v="511"/>
    <s v="IT-01"/>
    <x v="1"/>
    <x v="0"/>
    <n v="29"/>
    <s v="Young (20-31)"/>
    <d v="2024-01-25T00:00:00"/>
    <x v="4"/>
    <x v="2"/>
    <n v="25"/>
    <n v="3.79"/>
    <n v="3"/>
    <n v="14513.44"/>
    <n v="1.8"/>
    <x v="0"/>
  </r>
  <r>
    <x v="512"/>
    <s v="IT-01"/>
    <x v="1"/>
    <x v="0"/>
    <n v="22"/>
    <s v="Young (20-31)"/>
    <d v="2022-02-26T00:00:00"/>
    <x v="1"/>
    <x v="9"/>
    <n v="26"/>
    <n v="4.4000000000000004"/>
    <n v="14"/>
    <n v="12938.03"/>
    <n v="3.7"/>
    <x v="0"/>
  </r>
  <r>
    <x v="513"/>
    <s v="HR-01"/>
    <x v="0"/>
    <x v="1"/>
    <n v="58"/>
    <s v="Old (51-65)"/>
    <d v="2025-06-04T00:00:00"/>
    <x v="5"/>
    <x v="5"/>
    <n v="4"/>
    <n v="2.0299999999999998"/>
    <n v="14"/>
    <n v="11555.84"/>
    <n v="0.4"/>
    <x v="2"/>
  </r>
  <r>
    <x v="514"/>
    <s v="OP-01"/>
    <x v="4"/>
    <x v="0"/>
    <n v="38"/>
    <s v="Middle Age (32-50)"/>
    <d v="2021-01-01T00:00:00"/>
    <x v="0"/>
    <x v="2"/>
    <n v="1"/>
    <n v="3.21"/>
    <n v="13"/>
    <n v="14141.42"/>
    <n v="4.8"/>
    <x v="0"/>
  </r>
  <r>
    <x v="515"/>
    <s v="FI-01"/>
    <x v="3"/>
    <x v="1"/>
    <n v="47"/>
    <s v="Middle Age (32-50)"/>
    <d v="2022-07-30T00:00:00"/>
    <x v="1"/>
    <x v="4"/>
    <n v="30"/>
    <n v="3.28"/>
    <n v="2"/>
    <n v="11011.18"/>
    <n v="3.3"/>
    <x v="0"/>
  </r>
  <r>
    <x v="516"/>
    <s v="IT-01"/>
    <x v="1"/>
    <x v="1"/>
    <n v="37"/>
    <s v="Middle Age (32-50)"/>
    <d v="2024-11-02T00:00:00"/>
    <x v="4"/>
    <x v="3"/>
    <n v="2"/>
    <n v="2.79"/>
    <n v="10"/>
    <n v="6241"/>
    <n v="1"/>
    <x v="2"/>
  </r>
  <r>
    <x v="517"/>
    <s v="SA-01"/>
    <x v="2"/>
    <x v="0"/>
    <n v="54"/>
    <s v="Old (51-65)"/>
    <d v="2022-08-17T00:00:00"/>
    <x v="1"/>
    <x v="11"/>
    <n v="17"/>
    <n v="2.33"/>
    <n v="13"/>
    <n v="6095.77"/>
    <n v="3.2"/>
    <x v="0"/>
  </r>
  <r>
    <x v="518"/>
    <s v="SA-01"/>
    <x v="2"/>
    <x v="0"/>
    <n v="44"/>
    <s v="Middle Age (32-50)"/>
    <d v="2020-07-03T00:00:00"/>
    <x v="2"/>
    <x v="4"/>
    <n v="3"/>
    <n v="4.8"/>
    <n v="14"/>
    <n v="12867.98"/>
    <n v="5.3"/>
    <x v="1"/>
  </r>
  <r>
    <x v="519"/>
    <s v="HR-01"/>
    <x v="0"/>
    <x v="0"/>
    <n v="40"/>
    <s v="Middle Age (32-50)"/>
    <d v="2024-09-12T00:00:00"/>
    <x v="4"/>
    <x v="7"/>
    <n v="12"/>
    <n v="2.72"/>
    <n v="7"/>
    <n v="6032.28"/>
    <n v="1.1000000000000001"/>
    <x v="0"/>
  </r>
  <r>
    <x v="520"/>
    <s v="FI-01"/>
    <x v="3"/>
    <x v="0"/>
    <n v="35"/>
    <s v="Middle Age (32-50)"/>
    <d v="2022-08-11T00:00:00"/>
    <x v="1"/>
    <x v="11"/>
    <n v="11"/>
    <n v="2.97"/>
    <n v="0"/>
    <n v="4430.54"/>
    <n v="3.2"/>
    <x v="0"/>
  </r>
  <r>
    <x v="521"/>
    <s v="OP-01"/>
    <x v="4"/>
    <x v="1"/>
    <n v="28"/>
    <s v="Young (20-31)"/>
    <d v="2023-08-20T00:00:00"/>
    <x v="3"/>
    <x v="11"/>
    <n v="20"/>
    <n v="2.93"/>
    <n v="3"/>
    <n v="13692.3"/>
    <n v="2.2000000000000002"/>
    <x v="0"/>
  </r>
  <r>
    <x v="522"/>
    <s v="SA-01"/>
    <x v="2"/>
    <x v="1"/>
    <n v="60"/>
    <s v="Old (51-65)"/>
    <d v="2025-08-21T00:00:00"/>
    <x v="5"/>
    <x v="11"/>
    <n v="21"/>
    <n v="2.06"/>
    <n v="7"/>
    <n v="13829.52"/>
    <n v="0.2"/>
    <x v="2"/>
  </r>
  <r>
    <x v="523"/>
    <s v="HR-01"/>
    <x v="0"/>
    <x v="1"/>
    <n v="47"/>
    <s v="Middle Age (32-50)"/>
    <d v="2023-07-31T00:00:00"/>
    <x v="3"/>
    <x v="4"/>
    <n v="31"/>
    <n v="2.25"/>
    <n v="12"/>
    <n v="7739.54"/>
    <n v="2.2999999999999998"/>
    <x v="0"/>
  </r>
  <r>
    <x v="524"/>
    <s v="HR-01"/>
    <x v="0"/>
    <x v="1"/>
    <n v="44"/>
    <s v="Middle Age (32-50)"/>
    <d v="2020-06-25T00:00:00"/>
    <x v="2"/>
    <x v="5"/>
    <n v="25"/>
    <n v="3.45"/>
    <n v="1"/>
    <n v="14997.15"/>
    <n v="5.4"/>
    <x v="1"/>
  </r>
  <r>
    <x v="525"/>
    <s v="IT-01"/>
    <x v="1"/>
    <x v="1"/>
    <n v="46"/>
    <s v="Middle Age (32-50)"/>
    <d v="2023-02-17T00:00:00"/>
    <x v="3"/>
    <x v="9"/>
    <n v="17"/>
    <n v="4.6399999999999997"/>
    <n v="3"/>
    <n v="11685.19"/>
    <n v="2.7"/>
    <x v="0"/>
  </r>
  <r>
    <x v="526"/>
    <s v="MA-01"/>
    <x v="5"/>
    <x v="0"/>
    <n v="25"/>
    <s v="Young (20-31)"/>
    <d v="2023-09-12T00:00:00"/>
    <x v="3"/>
    <x v="7"/>
    <n v="12"/>
    <n v="2"/>
    <n v="15"/>
    <n v="6904.37"/>
    <n v="2.1"/>
    <x v="0"/>
  </r>
  <r>
    <x v="527"/>
    <s v="FI-01"/>
    <x v="3"/>
    <x v="1"/>
    <n v="42"/>
    <s v="Middle Age (32-50)"/>
    <d v="2021-08-06T00:00:00"/>
    <x v="0"/>
    <x v="11"/>
    <n v="6"/>
    <n v="4.76"/>
    <n v="2"/>
    <n v="12978.79"/>
    <n v="4.2"/>
    <x v="0"/>
  </r>
  <r>
    <x v="528"/>
    <s v="IT-01"/>
    <x v="1"/>
    <x v="0"/>
    <n v="49"/>
    <s v="Middle Age (32-50)"/>
    <d v="2024-11-10T00:00:00"/>
    <x v="4"/>
    <x v="3"/>
    <n v="10"/>
    <n v="4.8600000000000003"/>
    <n v="5"/>
    <n v="6265.43"/>
    <n v="1"/>
    <x v="2"/>
  </r>
  <r>
    <x v="529"/>
    <s v="IT-01"/>
    <x v="1"/>
    <x v="1"/>
    <n v="53"/>
    <s v="Old (51-65)"/>
    <d v="2022-05-09T00:00:00"/>
    <x v="1"/>
    <x v="1"/>
    <n v="9"/>
    <n v="1.68"/>
    <n v="2"/>
    <n v="13132.39"/>
    <n v="3.5"/>
    <x v="0"/>
  </r>
  <r>
    <x v="530"/>
    <s v="FI-01"/>
    <x v="3"/>
    <x v="1"/>
    <n v="48"/>
    <s v="Middle Age (32-50)"/>
    <d v="2021-01-01T00:00:00"/>
    <x v="0"/>
    <x v="2"/>
    <n v="1"/>
    <n v="2.63"/>
    <n v="9"/>
    <n v="8213.7199999999993"/>
    <n v="4.8"/>
    <x v="0"/>
  </r>
  <r>
    <x v="531"/>
    <s v="MA-01"/>
    <x v="5"/>
    <x v="0"/>
    <n v="27"/>
    <s v="Young (20-31)"/>
    <d v="2021-12-15T00:00:00"/>
    <x v="0"/>
    <x v="8"/>
    <n v="15"/>
    <n v="3.94"/>
    <n v="10"/>
    <n v="5619.28"/>
    <n v="3.9"/>
    <x v="0"/>
  </r>
  <r>
    <x v="532"/>
    <s v="IT-01"/>
    <x v="1"/>
    <x v="0"/>
    <n v="39"/>
    <s v="Middle Age (32-50)"/>
    <d v="2023-04-19T00:00:00"/>
    <x v="3"/>
    <x v="6"/>
    <n v="19"/>
    <n v="2.27"/>
    <n v="0"/>
    <n v="7985.9"/>
    <n v="2.5"/>
    <x v="0"/>
  </r>
  <r>
    <x v="533"/>
    <s v="SA-01"/>
    <x v="2"/>
    <x v="1"/>
    <n v="44"/>
    <s v="Middle Age (32-50)"/>
    <d v="2025-05-07T00:00:00"/>
    <x v="5"/>
    <x v="1"/>
    <n v="7"/>
    <n v="4.5599999999999996"/>
    <n v="7"/>
    <n v="4620.83"/>
    <n v="0.5"/>
    <x v="2"/>
  </r>
  <r>
    <x v="534"/>
    <s v="FI-01"/>
    <x v="3"/>
    <x v="1"/>
    <n v="52"/>
    <s v="Old (51-65)"/>
    <d v="2021-02-13T00:00:00"/>
    <x v="0"/>
    <x v="9"/>
    <n v="13"/>
    <n v="2.58"/>
    <n v="9"/>
    <n v="6079.42"/>
    <n v="4.7"/>
    <x v="0"/>
  </r>
  <r>
    <x v="535"/>
    <s v="OP-01"/>
    <x v="4"/>
    <x v="1"/>
    <n v="56"/>
    <s v="Old (51-65)"/>
    <d v="2022-05-07T00:00:00"/>
    <x v="1"/>
    <x v="1"/>
    <n v="7"/>
    <n v="2.5099999999999998"/>
    <n v="3"/>
    <n v="6297.2"/>
    <n v="3.5"/>
    <x v="0"/>
  </r>
  <r>
    <x v="536"/>
    <s v="IT-01"/>
    <x v="1"/>
    <x v="0"/>
    <n v="38"/>
    <s v="Middle Age (32-50)"/>
    <d v="2024-12-30T00:00:00"/>
    <x v="4"/>
    <x v="8"/>
    <n v="30"/>
    <n v="1.55"/>
    <n v="5"/>
    <n v="14714.41"/>
    <n v="0.8"/>
    <x v="2"/>
  </r>
  <r>
    <x v="537"/>
    <s v="OP-01"/>
    <x v="4"/>
    <x v="1"/>
    <n v="22"/>
    <s v="Young (20-31)"/>
    <d v="2020-02-08T00:00:00"/>
    <x v="2"/>
    <x v="9"/>
    <n v="8"/>
    <n v="4.01"/>
    <n v="4"/>
    <n v="7636"/>
    <n v="5.7"/>
    <x v="1"/>
  </r>
  <r>
    <x v="538"/>
    <s v="SA-01"/>
    <x v="2"/>
    <x v="0"/>
    <n v="56"/>
    <s v="Old (51-65)"/>
    <d v="2024-04-08T00:00:00"/>
    <x v="4"/>
    <x v="6"/>
    <n v="8"/>
    <n v="4"/>
    <n v="10"/>
    <n v="6749.34"/>
    <n v="1.6"/>
    <x v="0"/>
  </r>
  <r>
    <x v="539"/>
    <s v="HR-01"/>
    <x v="0"/>
    <x v="0"/>
    <n v="55"/>
    <s v="Old (51-65)"/>
    <d v="2024-09-15T00:00:00"/>
    <x v="4"/>
    <x v="7"/>
    <n v="15"/>
    <n v="2.35"/>
    <n v="15"/>
    <n v="11071.95"/>
    <n v="1.1000000000000001"/>
    <x v="0"/>
  </r>
  <r>
    <x v="540"/>
    <s v="FI-01"/>
    <x v="3"/>
    <x v="0"/>
    <n v="60"/>
    <s v="Old (51-65)"/>
    <d v="2025-07-23T00:00:00"/>
    <x v="5"/>
    <x v="4"/>
    <n v="23"/>
    <n v="3.21"/>
    <n v="0"/>
    <n v="14012.99"/>
    <n v="0.3"/>
    <x v="2"/>
  </r>
  <r>
    <x v="541"/>
    <s v="OP-01"/>
    <x v="4"/>
    <x v="1"/>
    <n v="56"/>
    <s v="Old (51-65)"/>
    <d v="2020-04-22T00:00:00"/>
    <x v="2"/>
    <x v="6"/>
    <n v="22"/>
    <n v="4.3099999999999996"/>
    <n v="15"/>
    <n v="3170.8"/>
    <n v="5.5"/>
    <x v="1"/>
  </r>
  <r>
    <x v="542"/>
    <s v="OP-01"/>
    <x v="4"/>
    <x v="1"/>
    <n v="49"/>
    <s v="Middle Age (32-50)"/>
    <d v="2024-01-11T00:00:00"/>
    <x v="4"/>
    <x v="2"/>
    <n v="11"/>
    <n v="3.43"/>
    <n v="9"/>
    <n v="6699.23"/>
    <n v="1.8"/>
    <x v="0"/>
  </r>
  <r>
    <x v="543"/>
    <s v="HR-01"/>
    <x v="0"/>
    <x v="1"/>
    <n v="38"/>
    <s v="Middle Age (32-50)"/>
    <d v="2025-04-07T00:00:00"/>
    <x v="5"/>
    <x v="6"/>
    <n v="7"/>
    <n v="3.47"/>
    <n v="7"/>
    <n v="9439.77"/>
    <n v="0.6"/>
    <x v="2"/>
  </r>
  <r>
    <x v="544"/>
    <s v="IT-01"/>
    <x v="1"/>
    <x v="1"/>
    <n v="45"/>
    <s v="Middle Age (32-50)"/>
    <d v="2021-01-01T00:00:00"/>
    <x v="0"/>
    <x v="2"/>
    <n v="1"/>
    <n v="1.81"/>
    <n v="15"/>
    <n v="12974.78"/>
    <n v="4.8"/>
    <x v="0"/>
  </r>
  <r>
    <x v="545"/>
    <s v="FI-01"/>
    <x v="3"/>
    <x v="1"/>
    <n v="58"/>
    <s v="Old (51-65)"/>
    <d v="2022-10-15T00:00:00"/>
    <x v="1"/>
    <x v="10"/>
    <n v="15"/>
    <n v="2.17"/>
    <n v="1"/>
    <n v="10070.35"/>
    <n v="3"/>
    <x v="0"/>
  </r>
  <r>
    <x v="546"/>
    <s v="FI-01"/>
    <x v="3"/>
    <x v="1"/>
    <n v="36"/>
    <s v="Middle Age (32-50)"/>
    <d v="2023-12-19T00:00:00"/>
    <x v="3"/>
    <x v="8"/>
    <n v="19"/>
    <n v="2.76"/>
    <n v="14"/>
    <n v="13221.98"/>
    <n v="1.9"/>
    <x v="0"/>
  </r>
  <r>
    <x v="547"/>
    <s v="HR-01"/>
    <x v="0"/>
    <x v="1"/>
    <n v="28"/>
    <s v="Young (20-31)"/>
    <d v="2021-06-20T00:00:00"/>
    <x v="0"/>
    <x v="5"/>
    <n v="20"/>
    <n v="2.0299999999999998"/>
    <n v="1"/>
    <n v="3803.81"/>
    <n v="4.4000000000000004"/>
    <x v="0"/>
  </r>
  <r>
    <x v="548"/>
    <s v="HR-01"/>
    <x v="0"/>
    <x v="0"/>
    <n v="48"/>
    <s v="Middle Age (32-50)"/>
    <d v="2024-04-08T00:00:00"/>
    <x v="4"/>
    <x v="6"/>
    <n v="8"/>
    <n v="2.79"/>
    <n v="3"/>
    <n v="10339.790000000001"/>
    <n v="1.6"/>
    <x v="0"/>
  </r>
  <r>
    <x v="549"/>
    <s v="OP-01"/>
    <x v="4"/>
    <x v="0"/>
    <n v="34"/>
    <s v="Middle Age (32-50)"/>
    <d v="2022-01-02T00:00:00"/>
    <x v="1"/>
    <x v="2"/>
    <n v="2"/>
    <n v="3.04"/>
    <n v="11"/>
    <n v="8081.78"/>
    <n v="3.8"/>
    <x v="0"/>
  </r>
  <r>
    <x v="550"/>
    <s v="IT-01"/>
    <x v="1"/>
    <x v="1"/>
    <n v="26"/>
    <s v="Young (20-31)"/>
    <d v="2022-12-29T00:00:00"/>
    <x v="1"/>
    <x v="8"/>
    <n v="29"/>
    <n v="4"/>
    <n v="13"/>
    <n v="11166.18"/>
    <n v="2.8"/>
    <x v="0"/>
  </r>
  <r>
    <x v="551"/>
    <s v="OP-01"/>
    <x v="4"/>
    <x v="0"/>
    <n v="28"/>
    <s v="Young (20-31)"/>
    <d v="2020-12-25T00:00:00"/>
    <x v="2"/>
    <x v="8"/>
    <n v="25"/>
    <n v="1.75"/>
    <n v="8"/>
    <n v="5664.25"/>
    <n v="4.9000000000000004"/>
    <x v="0"/>
  </r>
  <r>
    <x v="552"/>
    <s v="FI-01"/>
    <x v="3"/>
    <x v="0"/>
    <n v="44"/>
    <s v="Middle Age (32-50)"/>
    <d v="2023-01-23T00:00:00"/>
    <x v="3"/>
    <x v="2"/>
    <n v="23"/>
    <n v="4.16"/>
    <n v="2"/>
    <n v="7947.31"/>
    <n v="2.8"/>
    <x v="0"/>
  </r>
  <r>
    <x v="553"/>
    <s v="OP-01"/>
    <x v="4"/>
    <x v="1"/>
    <n v="53"/>
    <s v="Old (51-65)"/>
    <d v="2020-02-24T00:00:00"/>
    <x v="2"/>
    <x v="9"/>
    <n v="24"/>
    <n v="1.78"/>
    <n v="7"/>
    <n v="7420.55"/>
    <n v="5.7"/>
    <x v="1"/>
  </r>
  <r>
    <x v="554"/>
    <s v="SA-01"/>
    <x v="2"/>
    <x v="1"/>
    <n v="36"/>
    <s v="Middle Age (32-50)"/>
    <d v="2021-05-01T00:00:00"/>
    <x v="0"/>
    <x v="1"/>
    <n v="1"/>
    <n v="3.15"/>
    <n v="4"/>
    <n v="12134.8"/>
    <n v="4.5"/>
    <x v="0"/>
  </r>
  <r>
    <x v="555"/>
    <s v="OP-01"/>
    <x v="4"/>
    <x v="1"/>
    <n v="46"/>
    <s v="Middle Age (32-50)"/>
    <d v="2020-06-25T00:00:00"/>
    <x v="2"/>
    <x v="5"/>
    <n v="25"/>
    <n v="3.95"/>
    <n v="10"/>
    <n v="14118.25"/>
    <n v="5.4"/>
    <x v="1"/>
  </r>
  <r>
    <x v="556"/>
    <s v="OP-01"/>
    <x v="4"/>
    <x v="0"/>
    <n v="45"/>
    <s v="Middle Age (32-50)"/>
    <d v="2020-04-22T00:00:00"/>
    <x v="2"/>
    <x v="6"/>
    <n v="22"/>
    <n v="1.8"/>
    <n v="4"/>
    <n v="11743.77"/>
    <n v="5.5"/>
    <x v="1"/>
  </r>
  <r>
    <x v="557"/>
    <s v="IT-01"/>
    <x v="1"/>
    <x v="1"/>
    <n v="30"/>
    <s v="Young (20-31)"/>
    <d v="2020-11-28T00:00:00"/>
    <x v="2"/>
    <x v="3"/>
    <n v="28"/>
    <n v="3.1"/>
    <n v="13"/>
    <n v="6747.71"/>
    <n v="4.9000000000000004"/>
    <x v="0"/>
  </r>
  <r>
    <x v="558"/>
    <s v="HR-01"/>
    <x v="0"/>
    <x v="0"/>
    <n v="30"/>
    <s v="Young (20-31)"/>
    <d v="2021-03-28T00:00:00"/>
    <x v="0"/>
    <x v="0"/>
    <n v="28"/>
    <n v="3.95"/>
    <n v="10"/>
    <n v="3814.46"/>
    <n v="4.5999999999999996"/>
    <x v="0"/>
  </r>
  <r>
    <x v="559"/>
    <s v="FI-01"/>
    <x v="3"/>
    <x v="0"/>
    <n v="52"/>
    <s v="Old (51-65)"/>
    <d v="2025-03-15T00:00:00"/>
    <x v="5"/>
    <x v="0"/>
    <n v="15"/>
    <n v="4.99"/>
    <n v="4"/>
    <n v="8142.15"/>
    <n v="0.6"/>
    <x v="2"/>
  </r>
  <r>
    <x v="560"/>
    <s v="FI-01"/>
    <x v="3"/>
    <x v="0"/>
    <n v="49"/>
    <s v="Middle Age (32-50)"/>
    <d v="2024-04-08T00:00:00"/>
    <x v="4"/>
    <x v="6"/>
    <n v="8"/>
    <n v="3.29"/>
    <n v="6"/>
    <n v="3083.88"/>
    <n v="1.6"/>
    <x v="0"/>
  </r>
  <r>
    <x v="561"/>
    <s v="SA-01"/>
    <x v="2"/>
    <x v="0"/>
    <n v="38"/>
    <s v="Middle Age (32-50)"/>
    <d v="2024-06-03T00:00:00"/>
    <x v="4"/>
    <x v="5"/>
    <n v="3"/>
    <n v="2.5"/>
    <n v="9"/>
    <n v="9531.08"/>
    <n v="1.4"/>
    <x v="0"/>
  </r>
  <r>
    <x v="562"/>
    <s v="FI-01"/>
    <x v="3"/>
    <x v="0"/>
    <n v="31"/>
    <s v="Young (20-31)"/>
    <d v="2020-10-16T00:00:00"/>
    <x v="2"/>
    <x v="10"/>
    <n v="16"/>
    <n v="3.21"/>
    <n v="5"/>
    <n v="7290.92"/>
    <n v="5"/>
    <x v="0"/>
  </r>
  <r>
    <x v="563"/>
    <s v="MA-01"/>
    <x v="5"/>
    <x v="1"/>
    <n v="23"/>
    <s v="Young (20-31)"/>
    <d v="2020-03-09T00:00:00"/>
    <x v="2"/>
    <x v="0"/>
    <n v="9"/>
    <n v="3.73"/>
    <n v="15"/>
    <n v="12757.02"/>
    <n v="5.7"/>
    <x v="1"/>
  </r>
  <r>
    <x v="564"/>
    <s v="FI-01"/>
    <x v="3"/>
    <x v="0"/>
    <n v="30"/>
    <s v="Young (20-31)"/>
    <d v="2022-09-02T00:00:00"/>
    <x v="1"/>
    <x v="7"/>
    <n v="2"/>
    <n v="3.1"/>
    <n v="3"/>
    <n v="9860.06"/>
    <n v="3.2"/>
    <x v="0"/>
  </r>
  <r>
    <x v="565"/>
    <s v="FI-01"/>
    <x v="3"/>
    <x v="1"/>
    <n v="27"/>
    <s v="Young (20-31)"/>
    <d v="2021-01-01T00:00:00"/>
    <x v="0"/>
    <x v="2"/>
    <n v="1"/>
    <n v="1.85"/>
    <n v="8"/>
    <n v="4221.32"/>
    <n v="4.8"/>
    <x v="0"/>
  </r>
  <r>
    <x v="566"/>
    <s v="SA-01"/>
    <x v="2"/>
    <x v="1"/>
    <n v="59"/>
    <s v="Old (51-65)"/>
    <d v="2023-03-29T00:00:00"/>
    <x v="3"/>
    <x v="0"/>
    <n v="29"/>
    <n v="2.7"/>
    <n v="4"/>
    <n v="14667.06"/>
    <n v="2.6"/>
    <x v="0"/>
  </r>
  <r>
    <x v="567"/>
    <s v="MA-01"/>
    <x v="5"/>
    <x v="0"/>
    <n v="37"/>
    <s v="Middle Age (32-50)"/>
    <d v="2023-08-05T00:00:00"/>
    <x v="3"/>
    <x v="11"/>
    <n v="5"/>
    <n v="3.12"/>
    <n v="10"/>
    <n v="13577.8"/>
    <n v="2.2000000000000002"/>
    <x v="0"/>
  </r>
  <r>
    <x v="568"/>
    <s v="MA-01"/>
    <x v="5"/>
    <x v="0"/>
    <n v="45"/>
    <s v="Middle Age (32-50)"/>
    <d v="2020-11-12T00:00:00"/>
    <x v="2"/>
    <x v="3"/>
    <n v="12"/>
    <n v="3.35"/>
    <n v="7"/>
    <n v="5252.61"/>
    <n v="5"/>
    <x v="0"/>
  </r>
  <r>
    <x v="569"/>
    <s v="OP-01"/>
    <x v="4"/>
    <x v="0"/>
    <n v="40"/>
    <s v="Middle Age (32-50)"/>
    <d v="2024-05-10T00:00:00"/>
    <x v="4"/>
    <x v="1"/>
    <n v="10"/>
    <n v="3.83"/>
    <n v="2"/>
    <n v="5212.2299999999996"/>
    <n v="1.5"/>
    <x v="0"/>
  </r>
  <r>
    <x v="570"/>
    <s v="MA-01"/>
    <x v="5"/>
    <x v="1"/>
    <n v="26"/>
    <s v="Young (20-31)"/>
    <d v="2024-01-17T00:00:00"/>
    <x v="4"/>
    <x v="2"/>
    <n v="17"/>
    <n v="4.9000000000000004"/>
    <n v="9"/>
    <n v="14346.96"/>
    <n v="1.8"/>
    <x v="0"/>
  </r>
  <r>
    <x v="571"/>
    <s v="OP-01"/>
    <x v="4"/>
    <x v="0"/>
    <n v="38"/>
    <s v="Middle Age (32-50)"/>
    <d v="2025-06-13T00:00:00"/>
    <x v="5"/>
    <x v="5"/>
    <n v="13"/>
    <n v="4.7699999999999996"/>
    <n v="14"/>
    <n v="14245.65"/>
    <n v="0.4"/>
    <x v="2"/>
  </r>
  <r>
    <x v="572"/>
    <s v="HR-01"/>
    <x v="0"/>
    <x v="1"/>
    <n v="51"/>
    <s v="Old (51-65)"/>
    <d v="2024-10-27T00:00:00"/>
    <x v="4"/>
    <x v="10"/>
    <n v="27"/>
    <n v="4.8099999999999996"/>
    <n v="9"/>
    <n v="8229.5300000000007"/>
    <n v="1"/>
    <x v="2"/>
  </r>
  <r>
    <x v="573"/>
    <s v="IT-01"/>
    <x v="1"/>
    <x v="0"/>
    <n v="31"/>
    <s v="Young (20-31)"/>
    <d v="2022-03-16T00:00:00"/>
    <x v="1"/>
    <x v="0"/>
    <n v="16"/>
    <n v="3.73"/>
    <n v="6"/>
    <n v="10318.52"/>
    <n v="3.6"/>
    <x v="0"/>
  </r>
  <r>
    <x v="574"/>
    <s v="SA-01"/>
    <x v="2"/>
    <x v="0"/>
    <n v="22"/>
    <s v="Young (20-31)"/>
    <d v="2025-10-15T00:00:00"/>
    <x v="5"/>
    <x v="10"/>
    <n v="15"/>
    <n v="2.2999999999999998"/>
    <n v="12"/>
    <n v="6471.34"/>
    <n v="0"/>
    <x v="2"/>
  </r>
  <r>
    <x v="575"/>
    <s v="HR-01"/>
    <x v="0"/>
    <x v="0"/>
    <n v="27"/>
    <s v="Young (20-31)"/>
    <d v="2023-07-07T00:00:00"/>
    <x v="3"/>
    <x v="4"/>
    <n v="7"/>
    <n v="2.5299999999999998"/>
    <n v="5"/>
    <n v="6261.51"/>
    <n v="2.2999999999999998"/>
    <x v="0"/>
  </r>
  <r>
    <x v="576"/>
    <s v="SA-01"/>
    <x v="2"/>
    <x v="0"/>
    <n v="31"/>
    <s v="Young (20-31)"/>
    <d v="2022-12-29T00:00:00"/>
    <x v="1"/>
    <x v="8"/>
    <n v="29"/>
    <n v="3.13"/>
    <n v="4"/>
    <n v="6928.4"/>
    <n v="2.8"/>
    <x v="0"/>
  </r>
  <r>
    <x v="577"/>
    <s v="SA-01"/>
    <x v="2"/>
    <x v="1"/>
    <n v="28"/>
    <s v="Young (20-31)"/>
    <d v="2022-03-16T00:00:00"/>
    <x v="1"/>
    <x v="0"/>
    <n v="16"/>
    <n v="2.2599999999999998"/>
    <n v="4"/>
    <n v="3788.53"/>
    <n v="3.6"/>
    <x v="0"/>
  </r>
  <r>
    <x v="578"/>
    <s v="MA-01"/>
    <x v="5"/>
    <x v="0"/>
    <n v="53"/>
    <s v="Old (51-65)"/>
    <d v="2022-08-24T00:00:00"/>
    <x v="1"/>
    <x v="11"/>
    <n v="24"/>
    <n v="4.7"/>
    <n v="13"/>
    <n v="13525.93"/>
    <n v="3.2"/>
    <x v="0"/>
  </r>
  <r>
    <x v="579"/>
    <s v="FI-01"/>
    <x v="3"/>
    <x v="0"/>
    <n v="46"/>
    <s v="Middle Age (32-50)"/>
    <d v="2024-09-14T00:00:00"/>
    <x v="4"/>
    <x v="7"/>
    <n v="14"/>
    <n v="1.86"/>
    <n v="9"/>
    <n v="8303.92"/>
    <n v="1.1000000000000001"/>
    <x v="0"/>
  </r>
  <r>
    <x v="580"/>
    <s v="MA-01"/>
    <x v="5"/>
    <x v="1"/>
    <n v="45"/>
    <s v="Middle Age (32-50)"/>
    <d v="2023-07-06T00:00:00"/>
    <x v="3"/>
    <x v="4"/>
    <n v="6"/>
    <n v="1.98"/>
    <n v="14"/>
    <n v="14729.94"/>
    <n v="2.2999999999999998"/>
    <x v="0"/>
  </r>
  <r>
    <x v="581"/>
    <s v="MA-01"/>
    <x v="5"/>
    <x v="0"/>
    <n v="35"/>
    <s v="Middle Age (32-50)"/>
    <d v="2020-08-20T00:00:00"/>
    <x v="2"/>
    <x v="11"/>
    <n v="20"/>
    <n v="1.75"/>
    <n v="7"/>
    <n v="6021.85"/>
    <n v="5.2"/>
    <x v="1"/>
  </r>
  <r>
    <x v="582"/>
    <s v="MA-01"/>
    <x v="5"/>
    <x v="0"/>
    <n v="59"/>
    <s v="Old (51-65)"/>
    <d v="2022-06-07T00:00:00"/>
    <x v="1"/>
    <x v="5"/>
    <n v="7"/>
    <n v="4.33"/>
    <n v="6"/>
    <n v="14982.56"/>
    <n v="3.4"/>
    <x v="0"/>
  </r>
  <r>
    <x v="583"/>
    <s v="OP-01"/>
    <x v="4"/>
    <x v="1"/>
    <n v="40"/>
    <s v="Middle Age (32-50)"/>
    <d v="2020-08-25T00:00:00"/>
    <x v="2"/>
    <x v="11"/>
    <n v="25"/>
    <n v="3.74"/>
    <n v="4"/>
    <n v="3767.42"/>
    <n v="5.2"/>
    <x v="1"/>
  </r>
  <r>
    <x v="584"/>
    <s v="OP-01"/>
    <x v="4"/>
    <x v="0"/>
    <n v="47"/>
    <s v="Middle Age (32-50)"/>
    <d v="2022-05-11T00:00:00"/>
    <x v="1"/>
    <x v="1"/>
    <n v="11"/>
    <n v="3"/>
    <n v="8"/>
    <n v="7111.15"/>
    <n v="3.5"/>
    <x v="0"/>
  </r>
  <r>
    <x v="585"/>
    <s v="IT-01"/>
    <x v="1"/>
    <x v="1"/>
    <n v="59"/>
    <s v="Old (51-65)"/>
    <d v="2020-03-09T00:00:00"/>
    <x v="2"/>
    <x v="0"/>
    <n v="9"/>
    <n v="4.57"/>
    <n v="12"/>
    <n v="11020.4"/>
    <n v="5.7"/>
    <x v="1"/>
  </r>
  <r>
    <x v="586"/>
    <s v="SA-01"/>
    <x v="2"/>
    <x v="1"/>
    <n v="59"/>
    <s v="Old (51-65)"/>
    <d v="2022-10-05T00:00:00"/>
    <x v="1"/>
    <x v="10"/>
    <n v="5"/>
    <n v="4.46"/>
    <n v="15"/>
    <n v="5946.73"/>
    <n v="3.1"/>
    <x v="0"/>
  </r>
  <r>
    <x v="587"/>
    <s v="OP-01"/>
    <x v="4"/>
    <x v="1"/>
    <n v="58"/>
    <s v="Old (51-65)"/>
    <d v="2021-02-07T00:00:00"/>
    <x v="0"/>
    <x v="9"/>
    <n v="7"/>
    <n v="4.12"/>
    <n v="5"/>
    <n v="5823.65"/>
    <n v="4.7"/>
    <x v="0"/>
  </r>
  <r>
    <x v="588"/>
    <s v="IT-01"/>
    <x v="1"/>
    <x v="0"/>
    <n v="22"/>
    <s v="Young (20-31)"/>
    <d v="2023-11-19T00:00:00"/>
    <x v="3"/>
    <x v="3"/>
    <n v="19"/>
    <n v="1.97"/>
    <n v="12"/>
    <n v="13066.78"/>
    <n v="2"/>
    <x v="0"/>
  </r>
  <r>
    <x v="589"/>
    <s v="SA-01"/>
    <x v="2"/>
    <x v="1"/>
    <n v="38"/>
    <s v="Middle Age (32-50)"/>
    <d v="2025-06-18T00:00:00"/>
    <x v="5"/>
    <x v="5"/>
    <n v="18"/>
    <n v="3.99"/>
    <n v="6"/>
    <n v="11653.84"/>
    <n v="0.4"/>
    <x v="2"/>
  </r>
  <r>
    <x v="590"/>
    <s v="MA-01"/>
    <x v="5"/>
    <x v="1"/>
    <n v="25"/>
    <s v="Young (20-31)"/>
    <d v="2020-09-23T00:00:00"/>
    <x v="2"/>
    <x v="7"/>
    <n v="23"/>
    <n v="3.7"/>
    <n v="3"/>
    <n v="7238.36"/>
    <n v="5.0999999999999996"/>
    <x v="1"/>
  </r>
  <r>
    <x v="591"/>
    <s v="FI-01"/>
    <x v="3"/>
    <x v="0"/>
    <n v="29"/>
    <s v="Young (20-31)"/>
    <d v="2021-09-10T00:00:00"/>
    <x v="0"/>
    <x v="7"/>
    <n v="10"/>
    <n v="4.29"/>
    <n v="14"/>
    <n v="10999.81"/>
    <n v="4.0999999999999996"/>
    <x v="0"/>
  </r>
  <r>
    <x v="592"/>
    <s v="OP-01"/>
    <x v="4"/>
    <x v="1"/>
    <n v="53"/>
    <s v="Old (51-65)"/>
    <d v="2023-10-03T00:00:00"/>
    <x v="3"/>
    <x v="10"/>
    <n v="3"/>
    <n v="3.32"/>
    <n v="1"/>
    <n v="10139.91"/>
    <n v="2.1"/>
    <x v="0"/>
  </r>
  <r>
    <x v="593"/>
    <s v="IT-01"/>
    <x v="1"/>
    <x v="0"/>
    <n v="47"/>
    <s v="Middle Age (32-50)"/>
    <d v="2023-03-06T00:00:00"/>
    <x v="3"/>
    <x v="0"/>
    <n v="6"/>
    <n v="4.91"/>
    <n v="0"/>
    <n v="7864.94"/>
    <n v="2.7"/>
    <x v="0"/>
  </r>
  <r>
    <x v="594"/>
    <s v="IT-01"/>
    <x v="1"/>
    <x v="0"/>
    <n v="45"/>
    <s v="Middle Age (32-50)"/>
    <d v="2020-08-25T00:00:00"/>
    <x v="2"/>
    <x v="11"/>
    <n v="25"/>
    <n v="3.8"/>
    <n v="5"/>
    <n v="13957.28"/>
    <n v="5.2"/>
    <x v="1"/>
  </r>
  <r>
    <x v="595"/>
    <s v="OP-01"/>
    <x v="4"/>
    <x v="0"/>
    <n v="50"/>
    <s v="Middle Age (32-50)"/>
    <d v="2022-09-11T00:00:00"/>
    <x v="1"/>
    <x v="7"/>
    <n v="11"/>
    <n v="3.23"/>
    <n v="13"/>
    <n v="14324.22"/>
    <n v="3.1"/>
    <x v="0"/>
  </r>
  <r>
    <x v="596"/>
    <s v="OP-01"/>
    <x v="4"/>
    <x v="1"/>
    <n v="37"/>
    <s v="Middle Age (32-50)"/>
    <d v="2022-06-06T00:00:00"/>
    <x v="1"/>
    <x v="5"/>
    <n v="6"/>
    <n v="3.39"/>
    <n v="12"/>
    <n v="14519.66"/>
    <n v="3.4"/>
    <x v="0"/>
  </r>
  <r>
    <x v="597"/>
    <s v="FI-01"/>
    <x v="3"/>
    <x v="1"/>
    <n v="25"/>
    <s v="Young (20-31)"/>
    <d v="2025-05-02T00:00:00"/>
    <x v="5"/>
    <x v="1"/>
    <n v="2"/>
    <n v="4.1100000000000003"/>
    <n v="10"/>
    <n v="10979.59"/>
    <n v="0.5"/>
    <x v="2"/>
  </r>
  <r>
    <x v="598"/>
    <s v="IT-01"/>
    <x v="1"/>
    <x v="0"/>
    <n v="44"/>
    <s v="Middle Age (32-50)"/>
    <d v="2025-07-26T00:00:00"/>
    <x v="5"/>
    <x v="4"/>
    <n v="26"/>
    <n v="2.57"/>
    <n v="0"/>
    <n v="7052.11"/>
    <n v="0.3"/>
    <x v="2"/>
  </r>
  <r>
    <x v="599"/>
    <s v="SA-01"/>
    <x v="2"/>
    <x v="0"/>
    <n v="40"/>
    <s v="Middle Age (32-50)"/>
    <d v="2021-03-29T00:00:00"/>
    <x v="0"/>
    <x v="0"/>
    <n v="29"/>
    <n v="1.81"/>
    <n v="14"/>
    <n v="14347.46"/>
    <n v="4.5999999999999996"/>
    <x v="0"/>
  </r>
  <r>
    <x v="600"/>
    <s v="MA-01"/>
    <x v="5"/>
    <x v="1"/>
    <n v="50"/>
    <s v="Middle Age (32-50)"/>
    <d v="2025-04-07T00:00:00"/>
    <x v="5"/>
    <x v="6"/>
    <n v="7"/>
    <n v="2.59"/>
    <n v="4"/>
    <n v="11950.94"/>
    <n v="0.6"/>
    <x v="2"/>
  </r>
  <r>
    <x v="601"/>
    <s v="SA-01"/>
    <x v="2"/>
    <x v="1"/>
    <n v="35"/>
    <s v="Middle Age (32-50)"/>
    <d v="2021-06-07T00:00:00"/>
    <x v="0"/>
    <x v="5"/>
    <n v="7"/>
    <n v="3.58"/>
    <n v="11"/>
    <n v="13252.17"/>
    <n v="4.4000000000000004"/>
    <x v="0"/>
  </r>
  <r>
    <x v="602"/>
    <s v="IT-01"/>
    <x v="1"/>
    <x v="0"/>
    <n v="26"/>
    <s v="Young (20-31)"/>
    <d v="2023-12-15T00:00:00"/>
    <x v="3"/>
    <x v="8"/>
    <n v="15"/>
    <n v="4.96"/>
    <n v="6"/>
    <n v="13587.24"/>
    <n v="1.9"/>
    <x v="0"/>
  </r>
  <r>
    <x v="603"/>
    <s v="FI-01"/>
    <x v="3"/>
    <x v="0"/>
    <n v="57"/>
    <s v="Old (51-65)"/>
    <d v="2022-11-09T00:00:00"/>
    <x v="1"/>
    <x v="3"/>
    <n v="9"/>
    <n v="4.16"/>
    <n v="11"/>
    <n v="13978.46"/>
    <n v="3"/>
    <x v="0"/>
  </r>
  <r>
    <x v="604"/>
    <s v="IT-01"/>
    <x v="1"/>
    <x v="1"/>
    <n v="28"/>
    <s v="Young (20-31)"/>
    <d v="2022-08-11T00:00:00"/>
    <x v="1"/>
    <x v="11"/>
    <n v="11"/>
    <n v="3.61"/>
    <n v="6"/>
    <n v="6780.74"/>
    <n v="3.2"/>
    <x v="0"/>
  </r>
  <r>
    <x v="605"/>
    <s v="IT-01"/>
    <x v="1"/>
    <x v="0"/>
    <n v="55"/>
    <s v="Old (51-65)"/>
    <d v="2020-07-11T00:00:00"/>
    <x v="2"/>
    <x v="4"/>
    <n v="11"/>
    <n v="3.26"/>
    <n v="9"/>
    <n v="6310.72"/>
    <n v="5.3"/>
    <x v="1"/>
  </r>
  <r>
    <x v="606"/>
    <s v="IT-01"/>
    <x v="1"/>
    <x v="1"/>
    <n v="32"/>
    <s v="Middle Age (32-50)"/>
    <d v="2021-01-02T00:00:00"/>
    <x v="0"/>
    <x v="2"/>
    <n v="2"/>
    <n v="4.92"/>
    <n v="7"/>
    <n v="14465.84"/>
    <n v="4.8"/>
    <x v="0"/>
  </r>
  <r>
    <x v="607"/>
    <s v="SA-01"/>
    <x v="2"/>
    <x v="0"/>
    <n v="42"/>
    <s v="Middle Age (32-50)"/>
    <d v="2020-02-27T00:00:00"/>
    <x v="2"/>
    <x v="9"/>
    <n v="27"/>
    <n v="3.26"/>
    <n v="8"/>
    <n v="14932.02"/>
    <n v="5.7"/>
    <x v="1"/>
  </r>
  <r>
    <x v="608"/>
    <s v="IT-01"/>
    <x v="1"/>
    <x v="1"/>
    <n v="55"/>
    <s v="Old (51-65)"/>
    <d v="2021-03-14T00:00:00"/>
    <x v="0"/>
    <x v="0"/>
    <n v="14"/>
    <n v="4.67"/>
    <n v="7"/>
    <n v="11180.04"/>
    <n v="4.5999999999999996"/>
    <x v="0"/>
  </r>
  <r>
    <x v="609"/>
    <s v="SA-01"/>
    <x v="2"/>
    <x v="0"/>
    <n v="57"/>
    <s v="Old (51-65)"/>
    <d v="2022-02-22T00:00:00"/>
    <x v="1"/>
    <x v="9"/>
    <n v="22"/>
    <n v="2.71"/>
    <n v="14"/>
    <n v="10182.1"/>
    <n v="3.7"/>
    <x v="0"/>
  </r>
  <r>
    <x v="610"/>
    <s v="OP-01"/>
    <x v="4"/>
    <x v="0"/>
    <n v="53"/>
    <s v="Old (51-65)"/>
    <d v="2022-09-06T00:00:00"/>
    <x v="1"/>
    <x v="7"/>
    <n v="6"/>
    <n v="1.97"/>
    <n v="15"/>
    <n v="14479.52"/>
    <n v="3.2"/>
    <x v="0"/>
  </r>
  <r>
    <x v="611"/>
    <s v="FI-01"/>
    <x v="3"/>
    <x v="1"/>
    <n v="57"/>
    <s v="Old (51-65)"/>
    <d v="2022-08-31T00:00:00"/>
    <x v="1"/>
    <x v="11"/>
    <n v="31"/>
    <n v="4.71"/>
    <n v="10"/>
    <n v="10852.93"/>
    <n v="3.2"/>
    <x v="0"/>
  </r>
  <r>
    <x v="612"/>
    <s v="SA-01"/>
    <x v="2"/>
    <x v="0"/>
    <n v="46"/>
    <s v="Middle Age (32-50)"/>
    <d v="2020-10-28T00:00:00"/>
    <x v="2"/>
    <x v="10"/>
    <n v="28"/>
    <n v="3.46"/>
    <n v="12"/>
    <n v="12802.77"/>
    <n v="5"/>
    <x v="0"/>
  </r>
  <r>
    <x v="613"/>
    <s v="MA-01"/>
    <x v="5"/>
    <x v="0"/>
    <n v="41"/>
    <s v="Middle Age (32-50)"/>
    <d v="2024-11-06T00:00:00"/>
    <x v="4"/>
    <x v="3"/>
    <n v="6"/>
    <n v="2.77"/>
    <n v="7"/>
    <n v="3554.96"/>
    <n v="1"/>
    <x v="2"/>
  </r>
  <r>
    <x v="614"/>
    <s v="MA-01"/>
    <x v="5"/>
    <x v="0"/>
    <n v="58"/>
    <s v="Old (51-65)"/>
    <d v="2024-05-10T00:00:00"/>
    <x v="4"/>
    <x v="1"/>
    <n v="10"/>
    <n v="4.16"/>
    <n v="15"/>
    <n v="9764.11"/>
    <n v="1.5"/>
    <x v="0"/>
  </r>
  <r>
    <x v="615"/>
    <s v="MA-01"/>
    <x v="5"/>
    <x v="1"/>
    <n v="57"/>
    <s v="Old (51-65)"/>
    <d v="2020-11-28T00:00:00"/>
    <x v="2"/>
    <x v="3"/>
    <n v="28"/>
    <n v="2.73"/>
    <n v="11"/>
    <n v="4813.46"/>
    <n v="4.9000000000000004"/>
    <x v="0"/>
  </r>
  <r>
    <x v="616"/>
    <s v="OP-01"/>
    <x v="4"/>
    <x v="0"/>
    <n v="33"/>
    <s v="Middle Age (32-50)"/>
    <d v="2020-03-01T00:00:00"/>
    <x v="2"/>
    <x v="0"/>
    <n v="1"/>
    <n v="3.17"/>
    <n v="13"/>
    <n v="7222.77"/>
    <n v="5.7"/>
    <x v="1"/>
  </r>
  <r>
    <x v="617"/>
    <s v="SA-01"/>
    <x v="2"/>
    <x v="1"/>
    <n v="33"/>
    <s v="Middle Age (32-50)"/>
    <d v="2025-02-28T00:00:00"/>
    <x v="5"/>
    <x v="9"/>
    <n v="28"/>
    <n v="1.67"/>
    <n v="9"/>
    <n v="11281.59"/>
    <n v="0.7"/>
    <x v="2"/>
  </r>
  <r>
    <x v="618"/>
    <s v="HR-01"/>
    <x v="0"/>
    <x v="1"/>
    <n v="55"/>
    <s v="Old (51-65)"/>
    <d v="2023-01-30T00:00:00"/>
    <x v="3"/>
    <x v="2"/>
    <n v="30"/>
    <n v="3.29"/>
    <n v="2"/>
    <n v="5961.76"/>
    <n v="2.8"/>
    <x v="0"/>
  </r>
  <r>
    <x v="619"/>
    <s v="MA-01"/>
    <x v="5"/>
    <x v="1"/>
    <n v="31"/>
    <s v="Young (20-31)"/>
    <d v="2021-05-03T00:00:00"/>
    <x v="0"/>
    <x v="1"/>
    <n v="3"/>
    <n v="4.45"/>
    <n v="11"/>
    <n v="5230.04"/>
    <n v="4.5"/>
    <x v="0"/>
  </r>
  <r>
    <x v="620"/>
    <s v="SA-01"/>
    <x v="2"/>
    <x v="1"/>
    <n v="34"/>
    <s v="Middle Age (32-50)"/>
    <d v="2025-03-15T00:00:00"/>
    <x v="5"/>
    <x v="0"/>
    <n v="15"/>
    <n v="1.8"/>
    <n v="0"/>
    <n v="8566.2999999999993"/>
    <n v="0.6"/>
    <x v="2"/>
  </r>
  <r>
    <x v="621"/>
    <s v="FI-01"/>
    <x v="3"/>
    <x v="0"/>
    <n v="27"/>
    <s v="Young (20-31)"/>
    <d v="2022-01-11T00:00:00"/>
    <x v="1"/>
    <x v="2"/>
    <n v="11"/>
    <n v="2.5"/>
    <n v="9"/>
    <n v="12978.33"/>
    <n v="3.8"/>
    <x v="0"/>
  </r>
  <r>
    <x v="622"/>
    <s v="IT-01"/>
    <x v="1"/>
    <x v="1"/>
    <n v="42"/>
    <s v="Middle Age (32-50)"/>
    <d v="2023-04-19T00:00:00"/>
    <x v="3"/>
    <x v="6"/>
    <n v="19"/>
    <n v="1.67"/>
    <n v="10"/>
    <n v="14669.47"/>
    <n v="2.5"/>
    <x v="0"/>
  </r>
  <r>
    <x v="623"/>
    <s v="FI-01"/>
    <x v="3"/>
    <x v="1"/>
    <n v="48"/>
    <s v="Middle Age (32-50)"/>
    <d v="2020-08-28T00:00:00"/>
    <x v="2"/>
    <x v="11"/>
    <n v="28"/>
    <n v="3.2"/>
    <n v="1"/>
    <n v="3301.35"/>
    <n v="5.2"/>
    <x v="1"/>
  </r>
  <r>
    <x v="624"/>
    <s v="MA-01"/>
    <x v="5"/>
    <x v="1"/>
    <n v="59"/>
    <s v="Old (51-65)"/>
    <d v="2021-09-10T00:00:00"/>
    <x v="0"/>
    <x v="7"/>
    <n v="10"/>
    <n v="4.91"/>
    <n v="8"/>
    <n v="5628.37"/>
    <n v="4.0999999999999996"/>
    <x v="0"/>
  </r>
  <r>
    <x v="625"/>
    <s v="IT-01"/>
    <x v="1"/>
    <x v="1"/>
    <n v="34"/>
    <s v="Middle Age (32-50)"/>
    <d v="2020-04-17T00:00:00"/>
    <x v="2"/>
    <x v="6"/>
    <n v="17"/>
    <n v="2.31"/>
    <n v="4"/>
    <n v="11073"/>
    <n v="5.5"/>
    <x v="1"/>
  </r>
  <r>
    <x v="626"/>
    <s v="FI-01"/>
    <x v="3"/>
    <x v="1"/>
    <n v="58"/>
    <s v="Old (51-65)"/>
    <d v="2022-05-11T00:00:00"/>
    <x v="1"/>
    <x v="1"/>
    <n v="11"/>
    <n v="3.08"/>
    <n v="12"/>
    <n v="13654.52"/>
    <n v="3.5"/>
    <x v="0"/>
  </r>
  <r>
    <x v="627"/>
    <s v="HR-01"/>
    <x v="0"/>
    <x v="0"/>
    <n v="55"/>
    <s v="Old (51-65)"/>
    <d v="2023-10-11T00:00:00"/>
    <x v="3"/>
    <x v="10"/>
    <n v="11"/>
    <n v="1.74"/>
    <n v="1"/>
    <n v="8974.1"/>
    <n v="2.1"/>
    <x v="0"/>
  </r>
  <r>
    <x v="628"/>
    <s v="MA-01"/>
    <x v="5"/>
    <x v="0"/>
    <n v="28"/>
    <s v="Young (20-31)"/>
    <d v="2023-09-12T00:00:00"/>
    <x v="3"/>
    <x v="7"/>
    <n v="12"/>
    <n v="2.81"/>
    <n v="10"/>
    <n v="4383.5200000000004"/>
    <n v="2.1"/>
    <x v="0"/>
  </r>
  <r>
    <x v="629"/>
    <s v="OP-01"/>
    <x v="4"/>
    <x v="0"/>
    <n v="32"/>
    <s v="Middle Age (32-50)"/>
    <d v="2021-01-16T00:00:00"/>
    <x v="0"/>
    <x v="2"/>
    <n v="16"/>
    <n v="4.72"/>
    <n v="2"/>
    <n v="12525.93"/>
    <n v="4.8"/>
    <x v="0"/>
  </r>
  <r>
    <x v="630"/>
    <s v="IT-01"/>
    <x v="1"/>
    <x v="0"/>
    <n v="47"/>
    <s v="Middle Age (32-50)"/>
    <d v="2020-02-20T00:00:00"/>
    <x v="2"/>
    <x v="9"/>
    <n v="20"/>
    <n v="4.1900000000000004"/>
    <n v="8"/>
    <n v="14607.07"/>
    <n v="5.7"/>
    <x v="1"/>
  </r>
  <r>
    <x v="631"/>
    <s v="MA-01"/>
    <x v="5"/>
    <x v="1"/>
    <n v="26"/>
    <s v="Young (20-31)"/>
    <d v="2025-05-17T00:00:00"/>
    <x v="5"/>
    <x v="1"/>
    <n v="17"/>
    <n v="4.1100000000000003"/>
    <n v="9"/>
    <n v="9274.4699999999993"/>
    <n v="0.5"/>
    <x v="2"/>
  </r>
  <r>
    <x v="632"/>
    <s v="FI-01"/>
    <x v="3"/>
    <x v="1"/>
    <n v="31"/>
    <s v="Young (20-31)"/>
    <d v="2022-06-11T00:00:00"/>
    <x v="1"/>
    <x v="5"/>
    <n v="11"/>
    <n v="1.78"/>
    <n v="12"/>
    <n v="9946.8799999999992"/>
    <n v="3.4"/>
    <x v="0"/>
  </r>
  <r>
    <x v="633"/>
    <s v="SA-01"/>
    <x v="2"/>
    <x v="1"/>
    <n v="60"/>
    <s v="Old (51-65)"/>
    <d v="2024-04-08T00:00:00"/>
    <x v="4"/>
    <x v="6"/>
    <n v="8"/>
    <n v="1.98"/>
    <n v="11"/>
    <n v="6951.85"/>
    <n v="1.6"/>
    <x v="0"/>
  </r>
  <r>
    <x v="634"/>
    <s v="OP-01"/>
    <x v="4"/>
    <x v="0"/>
    <n v="33"/>
    <s v="Middle Age (32-50)"/>
    <d v="2021-03-06T00:00:00"/>
    <x v="0"/>
    <x v="0"/>
    <n v="6"/>
    <n v="2.56"/>
    <n v="2"/>
    <n v="10882.55"/>
    <n v="4.7"/>
    <x v="0"/>
  </r>
  <r>
    <x v="635"/>
    <s v="HR-01"/>
    <x v="0"/>
    <x v="0"/>
    <n v="26"/>
    <s v="Young (20-31)"/>
    <d v="2021-05-20T00:00:00"/>
    <x v="0"/>
    <x v="1"/>
    <n v="20"/>
    <n v="2.58"/>
    <n v="9"/>
    <n v="5057.05"/>
    <n v="4.5"/>
    <x v="0"/>
  </r>
  <r>
    <x v="636"/>
    <s v="HR-01"/>
    <x v="0"/>
    <x v="0"/>
    <n v="52"/>
    <s v="Old (51-65)"/>
    <d v="2020-07-03T00:00:00"/>
    <x v="2"/>
    <x v="4"/>
    <n v="3"/>
    <n v="3.09"/>
    <n v="5"/>
    <n v="14332.62"/>
    <n v="5.3"/>
    <x v="1"/>
  </r>
  <r>
    <x v="637"/>
    <s v="IT-01"/>
    <x v="1"/>
    <x v="0"/>
    <n v="28"/>
    <s v="Young (20-31)"/>
    <d v="2021-08-12T00:00:00"/>
    <x v="0"/>
    <x v="11"/>
    <n v="12"/>
    <n v="4.4800000000000004"/>
    <n v="11"/>
    <n v="7860.06"/>
    <n v="4.2"/>
    <x v="0"/>
  </r>
  <r>
    <x v="638"/>
    <s v="FI-01"/>
    <x v="3"/>
    <x v="1"/>
    <n v="54"/>
    <s v="Old (51-65)"/>
    <d v="2022-05-07T00:00:00"/>
    <x v="1"/>
    <x v="1"/>
    <n v="7"/>
    <n v="2.31"/>
    <n v="13"/>
    <n v="14528.91"/>
    <n v="3.5"/>
    <x v="0"/>
  </r>
  <r>
    <x v="639"/>
    <s v="SA-01"/>
    <x v="2"/>
    <x v="0"/>
    <n v="51"/>
    <s v="Old (51-65)"/>
    <d v="2023-03-01T00:00:00"/>
    <x v="3"/>
    <x v="0"/>
    <n v="1"/>
    <n v="4.8499999999999996"/>
    <n v="9"/>
    <n v="12185.93"/>
    <n v="2.7"/>
    <x v="0"/>
  </r>
  <r>
    <x v="640"/>
    <s v="FI-01"/>
    <x v="3"/>
    <x v="0"/>
    <n v="56"/>
    <s v="Old (51-65)"/>
    <d v="2023-11-19T00:00:00"/>
    <x v="3"/>
    <x v="3"/>
    <n v="19"/>
    <n v="2.27"/>
    <n v="13"/>
    <n v="8328.61"/>
    <n v="2"/>
    <x v="0"/>
  </r>
  <r>
    <x v="641"/>
    <s v="FI-01"/>
    <x v="3"/>
    <x v="0"/>
    <n v="43"/>
    <s v="Middle Age (32-50)"/>
    <d v="2024-11-15T00:00:00"/>
    <x v="4"/>
    <x v="3"/>
    <n v="15"/>
    <n v="1.91"/>
    <n v="13"/>
    <n v="14224.3"/>
    <n v="1"/>
    <x v="2"/>
  </r>
  <r>
    <x v="642"/>
    <s v="MA-01"/>
    <x v="5"/>
    <x v="0"/>
    <n v="32"/>
    <s v="Middle Age (32-50)"/>
    <d v="2025-01-01T00:00:00"/>
    <x v="5"/>
    <x v="2"/>
    <n v="1"/>
    <n v="2.8"/>
    <n v="14"/>
    <n v="3469.43"/>
    <n v="0.8"/>
    <x v="2"/>
  </r>
  <r>
    <x v="643"/>
    <s v="MA-01"/>
    <x v="5"/>
    <x v="0"/>
    <n v="34"/>
    <s v="Middle Age (32-50)"/>
    <d v="2024-04-27T00:00:00"/>
    <x v="4"/>
    <x v="6"/>
    <n v="27"/>
    <n v="3.72"/>
    <n v="2"/>
    <n v="3126.13"/>
    <n v="1.5"/>
    <x v="0"/>
  </r>
  <r>
    <x v="644"/>
    <s v="FI-01"/>
    <x v="3"/>
    <x v="0"/>
    <n v="45"/>
    <s v="Middle Age (32-50)"/>
    <d v="2023-05-12T00:00:00"/>
    <x v="3"/>
    <x v="1"/>
    <n v="12"/>
    <n v="4.08"/>
    <n v="5"/>
    <n v="10368.31"/>
    <n v="2.5"/>
    <x v="0"/>
  </r>
  <r>
    <x v="645"/>
    <s v="SA-01"/>
    <x v="2"/>
    <x v="0"/>
    <n v="40"/>
    <s v="Middle Age (32-50)"/>
    <d v="2021-06-12T00:00:00"/>
    <x v="0"/>
    <x v="5"/>
    <n v="12"/>
    <n v="5"/>
    <n v="3"/>
    <n v="8389.69"/>
    <n v="4.4000000000000004"/>
    <x v="0"/>
  </r>
  <r>
    <x v="646"/>
    <s v="FI-01"/>
    <x v="3"/>
    <x v="1"/>
    <n v="35"/>
    <s v="Middle Age (32-50)"/>
    <d v="2020-03-28T00:00:00"/>
    <x v="2"/>
    <x v="0"/>
    <n v="28"/>
    <n v="4.09"/>
    <n v="13"/>
    <n v="12696.44"/>
    <n v="5.6"/>
    <x v="1"/>
  </r>
  <r>
    <x v="647"/>
    <s v="HR-01"/>
    <x v="0"/>
    <x v="1"/>
    <n v="27"/>
    <s v="Young (20-31)"/>
    <d v="2020-01-10T00:00:00"/>
    <x v="2"/>
    <x v="2"/>
    <n v="10"/>
    <n v="3.19"/>
    <n v="9"/>
    <n v="10912.38"/>
    <n v="5.8"/>
    <x v="1"/>
  </r>
  <r>
    <x v="648"/>
    <s v="FI-01"/>
    <x v="3"/>
    <x v="0"/>
    <n v="43"/>
    <s v="Middle Age (32-50)"/>
    <d v="2020-05-14T00:00:00"/>
    <x v="2"/>
    <x v="1"/>
    <n v="14"/>
    <n v="3.26"/>
    <n v="6"/>
    <n v="5480.13"/>
    <n v="5.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66C171-DED4-47CA-AEB9-07962480FBEB}" name="Top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6:B137" firstHeaderRow="1" firstDataRow="1" firstDataCol="1"/>
  <pivotFields count="15">
    <pivotField axis="axisRow" showAll="0" measureFilter="1" sortType="ascending">
      <items count="5001">
        <item m="1" x="649"/>
        <item m="1" x="651"/>
        <item m="1" x="652"/>
        <item m="1" x="653"/>
        <item m="1" x="650"/>
        <item x="0"/>
        <item x="1"/>
        <item x="2"/>
        <item x="3"/>
        <item x="4"/>
        <item x="6"/>
        <item m="1" x="654"/>
        <item m="1" x="655"/>
        <item m="1" x="656"/>
        <item x="5"/>
        <item m="1" x="657"/>
        <item m="1" x="658"/>
        <item m="1" x="659"/>
        <item m="1" x="660"/>
        <item m="1" x="661"/>
        <item m="1" x="662"/>
        <item m="1" x="663"/>
        <item m="1" x="664"/>
        <item m="1" x="665"/>
        <item m="1" x="666"/>
        <item m="1" x="667"/>
        <item x="7"/>
        <item x="8"/>
        <item m="1" x="668"/>
        <item m="1" x="669"/>
        <item x="9"/>
        <item m="1" x="670"/>
        <item m="1" x="671"/>
        <item x="10"/>
        <item m="1" x="672"/>
        <item m="1" x="673"/>
        <item m="1" x="674"/>
        <item x="11"/>
        <item m="1" x="675"/>
        <item m="1" x="676"/>
        <item m="1" x="677"/>
        <item m="1" x="678"/>
        <item m="1" x="679"/>
        <item x="12"/>
        <item m="1" x="680"/>
        <item x="13"/>
        <item m="1" x="681"/>
        <item m="1" x="682"/>
        <item x="14"/>
        <item m="1" x="683"/>
        <item m="1" x="684"/>
        <item m="1" x="685"/>
        <item m="1" x="686"/>
        <item x="15"/>
        <item m="1" x="687"/>
        <item m="1" x="688"/>
        <item m="1" x="689"/>
        <item x="16"/>
        <item m="1" x="690"/>
        <item m="1" x="691"/>
        <item m="1" x="692"/>
        <item m="1" x="693"/>
        <item m="1" x="694"/>
        <item x="17"/>
        <item m="1" x="695"/>
        <item x="18"/>
        <item x="19"/>
        <item x="20"/>
        <item x="21"/>
        <item m="1" x="696"/>
        <item m="1" x="697"/>
        <item m="1" x="698"/>
        <item x="22"/>
        <item m="1" x="699"/>
        <item m="1" x="700"/>
        <item m="1" x="701"/>
        <item m="1" x="702"/>
        <item m="1" x="703"/>
        <item m="1" x="704"/>
        <item m="1" x="705"/>
        <item m="1" x="706"/>
        <item x="23"/>
        <item x="24"/>
        <item m="1" x="707"/>
        <item x="25"/>
        <item m="1" x="708"/>
        <item m="1" x="709"/>
        <item x="26"/>
        <item x="27"/>
        <item m="1" x="710"/>
        <item x="28"/>
        <item x="29"/>
        <item m="1" x="711"/>
        <item m="1" x="712"/>
        <item x="30"/>
        <item x="31"/>
        <item x="32"/>
        <item x="33"/>
        <item x="34"/>
        <item m="1" x="713"/>
        <item m="1" x="714"/>
        <item x="35"/>
        <item m="1" x="715"/>
        <item m="1" x="716"/>
        <item m="1" x="717"/>
        <item m="1" x="718"/>
        <item m="1" x="719"/>
        <item x="36"/>
        <item x="37"/>
        <item m="1" x="720"/>
        <item m="1" x="721"/>
        <item x="38"/>
        <item x="39"/>
        <item x="40"/>
        <item m="1" x="722"/>
        <item x="41"/>
        <item x="42"/>
        <item m="1" x="723"/>
        <item x="43"/>
        <item m="1" x="724"/>
        <item x="44"/>
        <item x="45"/>
        <item x="46"/>
        <item m="1" x="725"/>
        <item x="47"/>
        <item m="1" x="726"/>
        <item m="1" x="727"/>
        <item x="48"/>
        <item m="1" x="728"/>
        <item m="1" x="729"/>
        <item x="49"/>
        <item m="1" x="730"/>
        <item x="50"/>
        <item x="51"/>
        <item m="1" x="731"/>
        <item m="1" x="732"/>
        <item m="1" x="733"/>
        <item m="1" x="734"/>
        <item m="1" x="735"/>
        <item x="52"/>
        <item x="53"/>
        <item m="1" x="736"/>
        <item m="1" x="737"/>
        <item x="54"/>
        <item m="1" x="738"/>
        <item m="1" x="739"/>
        <item m="1" x="740"/>
        <item x="55"/>
        <item m="1" x="741"/>
        <item x="56"/>
        <item m="1" x="742"/>
        <item x="57"/>
        <item m="1" x="743"/>
        <item x="58"/>
        <item m="1" x="744"/>
        <item m="1" x="745"/>
        <item m="1" x="746"/>
        <item m="1" x="747"/>
        <item m="1" x="748"/>
        <item m="1" x="749"/>
        <item m="1" x="750"/>
        <item m="1" x="751"/>
        <item m="1" x="752"/>
        <item m="1" x="753"/>
        <item m="1" x="754"/>
        <item x="59"/>
        <item m="1" x="755"/>
        <item m="1" x="756"/>
        <item m="1" x="757"/>
        <item x="60"/>
        <item m="1" x="758"/>
        <item x="61"/>
        <item m="1" x="759"/>
        <item m="1" x="760"/>
        <item m="1" x="761"/>
        <item m="1" x="762"/>
        <item m="1" x="763"/>
        <item m="1" x="764"/>
        <item m="1" x="765"/>
        <item x="62"/>
        <item x="63"/>
        <item x="64"/>
        <item m="1" x="766"/>
        <item x="65"/>
        <item m="1" x="767"/>
        <item m="1" x="768"/>
        <item m="1" x="769"/>
        <item m="1" x="770"/>
        <item x="66"/>
        <item x="67"/>
        <item x="68"/>
        <item m="1" x="771"/>
        <item m="1" x="772"/>
        <item m="1" x="773"/>
        <item m="1" x="774"/>
        <item m="1" x="775"/>
        <item m="1" x="776"/>
        <item x="69"/>
        <item x="70"/>
        <item m="1" x="777"/>
        <item x="71"/>
        <item m="1" x="778"/>
        <item m="1" x="779"/>
        <item x="72"/>
        <item x="73"/>
        <item m="1" x="780"/>
        <item x="74"/>
        <item m="1" x="781"/>
        <item m="1" x="782"/>
        <item m="1" x="783"/>
        <item x="75"/>
        <item m="1" x="784"/>
        <item x="76"/>
        <item m="1" x="785"/>
        <item x="77"/>
        <item m="1" x="786"/>
        <item m="1" x="787"/>
        <item m="1" x="788"/>
        <item m="1" x="789"/>
        <item x="78"/>
        <item m="1" x="790"/>
        <item m="1" x="791"/>
        <item m="1" x="792"/>
        <item m="1" x="793"/>
        <item x="79"/>
        <item m="1" x="794"/>
        <item x="80"/>
        <item x="81"/>
        <item m="1" x="795"/>
        <item m="1" x="796"/>
        <item m="1" x="797"/>
        <item m="1" x="798"/>
        <item m="1" x="799"/>
        <item m="1" x="800"/>
        <item m="1" x="801"/>
        <item m="1" x="802"/>
        <item m="1" x="803"/>
        <item m="1" x="804"/>
        <item x="82"/>
        <item x="83"/>
        <item x="84"/>
        <item m="1" x="805"/>
        <item x="85"/>
        <item m="1" x="806"/>
        <item m="1" x="807"/>
        <item x="86"/>
        <item m="1" x="808"/>
        <item m="1" x="809"/>
        <item x="87"/>
        <item m="1" x="810"/>
        <item x="88"/>
        <item x="89"/>
        <item x="90"/>
        <item m="1" x="811"/>
        <item m="1" x="812"/>
        <item m="1" x="813"/>
        <item m="1" x="814"/>
        <item m="1" x="815"/>
        <item x="91"/>
        <item m="1" x="816"/>
        <item m="1" x="817"/>
        <item m="1" x="818"/>
        <item m="1" x="819"/>
        <item m="1" x="820"/>
        <item x="92"/>
        <item m="1" x="821"/>
        <item m="1" x="822"/>
        <item m="1" x="823"/>
        <item m="1" x="824"/>
        <item m="1" x="825"/>
        <item x="93"/>
        <item x="94"/>
        <item x="95"/>
        <item m="1" x="826"/>
        <item x="96"/>
        <item m="1" x="827"/>
        <item x="97"/>
        <item m="1" x="828"/>
        <item m="1" x="829"/>
        <item x="98"/>
        <item m="1" x="830"/>
        <item m="1" x="831"/>
        <item m="1" x="832"/>
        <item x="99"/>
        <item m="1" x="833"/>
        <item m="1" x="834"/>
        <item x="100"/>
        <item m="1" x="835"/>
        <item m="1" x="836"/>
        <item x="101"/>
        <item x="102"/>
        <item m="1" x="837"/>
        <item x="103"/>
        <item m="1" x="838"/>
        <item x="104"/>
        <item m="1" x="839"/>
        <item m="1" x="840"/>
        <item m="1" x="841"/>
        <item x="105"/>
        <item m="1" x="842"/>
        <item m="1" x="843"/>
        <item m="1" x="844"/>
        <item x="106"/>
        <item m="1" x="845"/>
        <item m="1" x="846"/>
        <item m="1" x="847"/>
        <item m="1" x="848"/>
        <item m="1" x="849"/>
        <item m="1" x="850"/>
        <item m="1" x="851"/>
        <item m="1" x="852"/>
        <item m="1" x="853"/>
        <item m="1" x="854"/>
        <item x="107"/>
        <item x="108"/>
        <item m="1" x="855"/>
        <item x="109"/>
        <item m="1" x="856"/>
        <item x="110"/>
        <item m="1" x="857"/>
        <item x="111"/>
        <item m="1" x="858"/>
        <item x="112"/>
        <item m="1" x="859"/>
        <item x="113"/>
        <item x="114"/>
        <item m="1" x="860"/>
        <item m="1" x="861"/>
        <item m="1" x="862"/>
        <item m="1" x="863"/>
        <item x="115"/>
        <item m="1" x="864"/>
        <item m="1" x="865"/>
        <item m="1" x="866"/>
        <item m="1" x="867"/>
        <item m="1" x="868"/>
        <item m="1" x="869"/>
        <item m="1" x="870"/>
        <item x="116"/>
        <item m="1" x="871"/>
        <item m="1" x="872"/>
        <item x="117"/>
        <item m="1" x="873"/>
        <item m="1" x="874"/>
        <item m="1" x="875"/>
        <item m="1" x="876"/>
        <item m="1" x="877"/>
        <item x="118"/>
        <item m="1" x="878"/>
        <item m="1" x="879"/>
        <item m="1" x="880"/>
        <item m="1" x="881"/>
        <item x="119"/>
        <item m="1" x="882"/>
        <item m="1" x="883"/>
        <item m="1" x="884"/>
        <item m="1" x="885"/>
        <item m="1" x="886"/>
        <item m="1" x="887"/>
        <item m="1" x="888"/>
        <item x="120"/>
        <item m="1" x="889"/>
        <item m="1" x="890"/>
        <item x="121"/>
        <item m="1" x="891"/>
        <item m="1" x="892"/>
        <item x="122"/>
        <item m="1" x="893"/>
        <item x="123"/>
        <item m="1" x="894"/>
        <item m="1" x="895"/>
        <item m="1" x="896"/>
        <item x="124"/>
        <item m="1" x="897"/>
        <item m="1" x="898"/>
        <item x="125"/>
        <item m="1" x="899"/>
        <item m="1" x="900"/>
        <item m="1" x="901"/>
        <item m="1" x="902"/>
        <item m="1" x="903"/>
        <item m="1" x="904"/>
        <item m="1" x="905"/>
        <item x="126"/>
        <item m="1" x="906"/>
        <item m="1" x="907"/>
        <item m="1" x="908"/>
        <item m="1" x="909"/>
        <item x="127"/>
        <item m="1" x="910"/>
        <item m="1" x="911"/>
        <item x="128"/>
        <item m="1" x="912"/>
        <item m="1" x="913"/>
        <item x="129"/>
        <item m="1" x="914"/>
        <item x="130"/>
        <item m="1" x="915"/>
        <item x="131"/>
        <item m="1" x="916"/>
        <item m="1" x="917"/>
        <item x="132"/>
        <item m="1" x="918"/>
        <item x="133"/>
        <item m="1" x="919"/>
        <item x="134"/>
        <item m="1" x="920"/>
        <item m="1" x="921"/>
        <item m="1" x="922"/>
        <item m="1" x="923"/>
        <item m="1" x="924"/>
        <item m="1" x="925"/>
        <item m="1" x="926"/>
        <item m="1" x="927"/>
        <item m="1" x="928"/>
        <item x="135"/>
        <item x="136"/>
        <item x="137"/>
        <item x="138"/>
        <item m="1" x="929"/>
        <item x="139"/>
        <item m="1" x="930"/>
        <item x="140"/>
        <item m="1" x="931"/>
        <item m="1" x="932"/>
        <item m="1" x="933"/>
        <item m="1" x="934"/>
        <item x="141"/>
        <item m="1" x="935"/>
        <item x="142"/>
        <item x="143"/>
        <item m="1" x="936"/>
        <item m="1" x="937"/>
        <item m="1" x="938"/>
        <item x="144"/>
        <item m="1" x="939"/>
        <item x="145"/>
        <item x="146"/>
        <item x="147"/>
        <item x="148"/>
        <item m="1" x="940"/>
        <item x="149"/>
        <item m="1" x="941"/>
        <item m="1" x="942"/>
        <item x="150"/>
        <item x="151"/>
        <item m="1" x="943"/>
        <item x="152"/>
        <item m="1" x="944"/>
        <item m="1" x="945"/>
        <item m="1" x="946"/>
        <item x="153"/>
        <item m="1" x="947"/>
        <item m="1" x="948"/>
        <item x="154"/>
        <item m="1" x="949"/>
        <item m="1" x="950"/>
        <item m="1" x="951"/>
        <item m="1" x="952"/>
        <item x="155"/>
        <item x="156"/>
        <item m="1" x="953"/>
        <item m="1" x="954"/>
        <item x="157"/>
        <item x="158"/>
        <item m="1" x="955"/>
        <item m="1" x="956"/>
        <item m="1" x="957"/>
        <item m="1" x="958"/>
        <item m="1" x="959"/>
        <item x="159"/>
        <item x="160"/>
        <item m="1" x="960"/>
        <item m="1" x="961"/>
        <item x="161"/>
        <item m="1" x="962"/>
        <item m="1" x="963"/>
        <item m="1" x="964"/>
        <item m="1" x="965"/>
        <item m="1" x="966"/>
        <item x="162"/>
        <item m="1" x="967"/>
        <item m="1" x="968"/>
        <item x="163"/>
        <item m="1" x="969"/>
        <item x="164"/>
        <item m="1" x="970"/>
        <item x="165"/>
        <item x="166"/>
        <item x="167"/>
        <item x="168"/>
        <item m="1" x="971"/>
        <item x="169"/>
        <item m="1" x="972"/>
        <item m="1" x="973"/>
        <item x="170"/>
        <item m="1" x="974"/>
        <item m="1" x="975"/>
        <item x="171"/>
        <item x="172"/>
        <item m="1" x="976"/>
        <item x="173"/>
        <item m="1" x="977"/>
        <item x="174"/>
        <item x="175"/>
        <item x="176"/>
        <item x="177"/>
        <item m="1" x="978"/>
        <item m="1" x="979"/>
        <item m="1" x="980"/>
        <item m="1" x="981"/>
        <item m="1" x="982"/>
        <item x="178"/>
        <item x="179"/>
        <item m="1" x="983"/>
        <item x="180"/>
        <item m="1" x="984"/>
        <item m="1" x="985"/>
        <item m="1" x="986"/>
        <item m="1" x="987"/>
        <item m="1" x="988"/>
        <item x="181"/>
        <item x="182"/>
        <item m="1" x="989"/>
        <item m="1" x="990"/>
        <item m="1" x="991"/>
        <item m="1" x="992"/>
        <item x="183"/>
        <item x="184"/>
        <item m="1" x="993"/>
        <item x="185"/>
        <item x="186"/>
        <item m="1" x="994"/>
        <item x="187"/>
        <item x="188"/>
        <item m="1" x="995"/>
        <item m="1" x="996"/>
        <item m="1" x="997"/>
        <item m="1" x="998"/>
        <item m="1" x="999"/>
        <item m="1" x="1000"/>
        <item x="189"/>
        <item m="1" x="1001"/>
        <item m="1" x="1002"/>
        <item m="1" x="1003"/>
        <item m="1" x="1004"/>
        <item m="1" x="1005"/>
        <item x="190"/>
        <item x="191"/>
        <item m="1" x="1006"/>
        <item m="1" x="1007"/>
        <item x="192"/>
        <item m="1" x="1008"/>
        <item m="1" x="1009"/>
        <item m="1" x="1010"/>
        <item x="193"/>
        <item m="1" x="1011"/>
        <item x="194"/>
        <item m="1" x="1012"/>
        <item x="195"/>
        <item m="1" x="1013"/>
        <item m="1" x="1014"/>
        <item m="1" x="1015"/>
        <item m="1" x="1016"/>
        <item m="1" x="1017"/>
        <item m="1" x="1018"/>
        <item x="196"/>
        <item m="1" x="1019"/>
        <item m="1" x="1020"/>
        <item m="1" x="1021"/>
        <item x="197"/>
        <item m="1" x="1022"/>
        <item m="1" x="1023"/>
        <item m="1" x="1024"/>
        <item m="1" x="1025"/>
        <item x="198"/>
        <item x="199"/>
        <item m="1" x="1026"/>
        <item m="1" x="1027"/>
        <item m="1" x="1028"/>
        <item x="200"/>
        <item m="1" x="1029"/>
        <item m="1" x="1030"/>
        <item m="1" x="1031"/>
        <item x="201"/>
        <item x="202"/>
        <item x="203"/>
        <item m="1" x="1032"/>
        <item m="1" x="1033"/>
        <item x="204"/>
        <item m="1" x="1034"/>
        <item x="205"/>
        <item m="1" x="1035"/>
        <item m="1" x="1036"/>
        <item x="206"/>
        <item m="1" x="1037"/>
        <item m="1" x="1038"/>
        <item m="1" x="1039"/>
        <item m="1" x="1040"/>
        <item m="1" x="1041"/>
        <item m="1" x="1042"/>
        <item m="1" x="1043"/>
        <item x="207"/>
        <item m="1" x="1044"/>
        <item x="208"/>
        <item m="1" x="1045"/>
        <item m="1" x="1046"/>
        <item x="209"/>
        <item m="1" x="1047"/>
        <item m="1" x="1048"/>
        <item m="1" x="1049"/>
        <item m="1" x="1050"/>
        <item m="1" x="1051"/>
        <item m="1" x="1052"/>
        <item m="1" x="1053"/>
        <item x="210"/>
        <item x="211"/>
        <item m="1" x="1054"/>
        <item x="212"/>
        <item x="213"/>
        <item m="1" x="1055"/>
        <item m="1" x="1056"/>
        <item x="214"/>
        <item x="215"/>
        <item m="1" x="1057"/>
        <item m="1" x="1058"/>
        <item x="216"/>
        <item m="1" x="1059"/>
        <item m="1" x="1060"/>
        <item m="1" x="1061"/>
        <item m="1" x="1062"/>
        <item m="1" x="1063"/>
        <item m="1" x="1064"/>
        <item x="217"/>
        <item m="1" x="1065"/>
        <item x="218"/>
        <item x="219"/>
        <item x="220"/>
        <item m="1" x="1066"/>
        <item x="221"/>
        <item m="1" x="1067"/>
        <item m="1" x="1068"/>
        <item x="222"/>
        <item m="1" x="1069"/>
        <item m="1" x="1070"/>
        <item m="1" x="1071"/>
        <item m="1" x="1072"/>
        <item x="223"/>
        <item x="224"/>
        <item x="225"/>
        <item m="1" x="1073"/>
        <item x="226"/>
        <item m="1" x="1074"/>
        <item x="227"/>
        <item m="1" x="1075"/>
        <item m="1" x="1076"/>
        <item m="1" x="1077"/>
        <item m="1" x="1078"/>
        <item m="1" x="1079"/>
        <item x="228"/>
        <item m="1" x="1080"/>
        <item x="229"/>
        <item x="230"/>
        <item m="1" x="1081"/>
        <item m="1" x="1082"/>
        <item x="231"/>
        <item m="1" x="1083"/>
        <item m="1" x="1084"/>
        <item m="1" x="1085"/>
        <item x="232"/>
        <item m="1" x="1086"/>
        <item m="1" x="1087"/>
        <item m="1" x="1088"/>
        <item m="1" x="1089"/>
        <item m="1" x="1090"/>
        <item m="1" x="1091"/>
        <item x="233"/>
        <item m="1" x="1092"/>
        <item m="1" x="1093"/>
        <item x="234"/>
        <item m="1" x="1094"/>
        <item m="1" x="1095"/>
        <item m="1" x="1096"/>
        <item m="1" x="1097"/>
        <item x="235"/>
        <item x="236"/>
        <item x="237"/>
        <item x="238"/>
        <item m="1" x="1098"/>
        <item x="239"/>
        <item m="1" x="1099"/>
        <item x="240"/>
        <item m="1" x="1100"/>
        <item x="241"/>
        <item x="242"/>
        <item x="243"/>
        <item m="1" x="1101"/>
        <item x="244"/>
        <item m="1" x="1102"/>
        <item x="245"/>
        <item m="1" x="1103"/>
        <item m="1" x="1104"/>
        <item x="246"/>
        <item x="247"/>
        <item m="1" x="1105"/>
        <item m="1" x="1106"/>
        <item m="1" x="1107"/>
        <item m="1" x="1108"/>
        <item x="248"/>
        <item m="1" x="1109"/>
        <item m="1" x="1110"/>
        <item m="1" x="1111"/>
        <item m="1" x="1112"/>
        <item m="1" x="1113"/>
        <item x="249"/>
        <item m="1" x="1114"/>
        <item m="1" x="1115"/>
        <item m="1" x="1116"/>
        <item x="250"/>
        <item m="1" x="1117"/>
        <item x="251"/>
        <item m="1" x="1118"/>
        <item m="1" x="1119"/>
        <item x="252"/>
        <item x="253"/>
        <item m="1" x="1120"/>
        <item x="254"/>
        <item x="255"/>
        <item m="1" x="1121"/>
        <item m="1" x="1122"/>
        <item x="256"/>
        <item m="1" x="1123"/>
        <item x="257"/>
        <item x="258"/>
        <item m="1" x="1124"/>
        <item m="1" x="1125"/>
        <item m="1" x="1126"/>
        <item x="259"/>
        <item m="1" x="1127"/>
        <item x="260"/>
        <item x="261"/>
        <item m="1" x="1128"/>
        <item x="262"/>
        <item m="1" x="1129"/>
        <item x="263"/>
        <item m="1" x="1130"/>
        <item x="264"/>
        <item m="1" x="1131"/>
        <item m="1" x="1132"/>
        <item m="1" x="1133"/>
        <item x="265"/>
        <item x="266"/>
        <item m="1" x="1134"/>
        <item m="1" x="1135"/>
        <item m="1" x="1136"/>
        <item x="267"/>
        <item m="1" x="1137"/>
        <item m="1" x="1138"/>
        <item m="1" x="1139"/>
        <item m="1" x="1140"/>
        <item m="1" x="1141"/>
        <item m="1" x="1142"/>
        <item m="1" x="1143"/>
        <item m="1" x="1144"/>
        <item m="1" x="1145"/>
        <item m="1" x="1146"/>
        <item x="268"/>
        <item x="269"/>
        <item m="1" x="1147"/>
        <item m="1" x="1148"/>
        <item m="1" x="1149"/>
        <item x="270"/>
        <item m="1" x="1150"/>
        <item m="1" x="1151"/>
        <item m="1" x="1152"/>
        <item m="1" x="1153"/>
        <item m="1" x="1154"/>
        <item x="271"/>
        <item m="1" x="1155"/>
        <item m="1" x="1156"/>
        <item x="272"/>
        <item x="273"/>
        <item m="1" x="1157"/>
        <item m="1" x="1158"/>
        <item x="274"/>
        <item m="1" x="1159"/>
        <item x="275"/>
        <item m="1" x="1160"/>
        <item x="276"/>
        <item m="1" x="1161"/>
        <item m="1" x="1162"/>
        <item x="277"/>
        <item x="278"/>
        <item x="279"/>
        <item m="1" x="1163"/>
        <item m="1" x="1164"/>
        <item x="280"/>
        <item m="1" x="1165"/>
        <item x="281"/>
        <item x="282"/>
        <item x="283"/>
        <item m="1" x="1166"/>
        <item m="1" x="1167"/>
        <item m="1" x="1168"/>
        <item m="1" x="1169"/>
        <item m="1" x="1170"/>
        <item x="284"/>
        <item m="1" x="1171"/>
        <item m="1" x="1172"/>
        <item m="1" x="1173"/>
        <item x="285"/>
        <item x="286"/>
        <item m="1" x="1174"/>
        <item m="1" x="1175"/>
        <item m="1" x="1176"/>
        <item x="287"/>
        <item m="1" x="1177"/>
        <item m="1" x="1178"/>
        <item x="288"/>
        <item m="1" x="1179"/>
        <item m="1" x="1180"/>
        <item x="289"/>
        <item x="290"/>
        <item x="291"/>
        <item x="292"/>
        <item m="1" x="1181"/>
        <item m="1" x="1182"/>
        <item x="293"/>
        <item m="1" x="1183"/>
        <item m="1" x="1184"/>
        <item x="294"/>
        <item m="1" x="1185"/>
        <item x="295"/>
        <item x="296"/>
        <item x="297"/>
        <item m="1" x="1186"/>
        <item m="1" x="1187"/>
        <item x="298"/>
        <item m="1" x="1188"/>
        <item x="299"/>
        <item x="300"/>
        <item m="1" x="1189"/>
        <item m="1" x="1190"/>
        <item x="301"/>
        <item x="302"/>
        <item m="1" x="1191"/>
        <item x="303"/>
        <item m="1" x="1192"/>
        <item m="1" x="1193"/>
        <item x="304"/>
        <item x="305"/>
        <item m="1" x="1194"/>
        <item x="306"/>
        <item x="307"/>
        <item m="1" x="1195"/>
        <item m="1" x="1196"/>
        <item x="308"/>
        <item x="309"/>
        <item m="1" x="1197"/>
        <item x="310"/>
        <item m="1" x="1198"/>
        <item m="1" x="1199"/>
        <item x="311"/>
        <item m="1" x="1200"/>
        <item m="1" x="1201"/>
        <item m="1" x="1202"/>
        <item x="312"/>
        <item x="313"/>
        <item m="1" x="1203"/>
        <item x="314"/>
        <item m="1" x="1204"/>
        <item m="1" x="1205"/>
        <item m="1" x="1206"/>
        <item x="315"/>
        <item m="1" x="1207"/>
        <item m="1" x="1208"/>
        <item m="1" x="1209"/>
        <item m="1" x="1210"/>
        <item m="1" x="1211"/>
        <item m="1" x="1212"/>
        <item m="1" x="1213"/>
        <item m="1" x="1214"/>
        <item m="1" x="1215"/>
        <item m="1" x="1216"/>
        <item m="1" x="1217"/>
        <item m="1" x="1218"/>
        <item m="1" x="1219"/>
        <item m="1" x="1220"/>
        <item m="1" x="1221"/>
        <item m="1" x="1222"/>
        <item x="316"/>
        <item m="1" x="1223"/>
        <item m="1" x="1224"/>
        <item x="317"/>
        <item m="1" x="1225"/>
        <item m="1" x="1226"/>
        <item m="1" x="1227"/>
        <item m="1" x="1228"/>
        <item m="1" x="1229"/>
        <item x="318"/>
        <item m="1" x="1230"/>
        <item m="1" x="1231"/>
        <item m="1" x="1232"/>
        <item m="1" x="1233"/>
        <item m="1" x="1234"/>
        <item m="1" x="1235"/>
        <item m="1" x="1236"/>
        <item m="1" x="1237"/>
        <item x="319"/>
        <item x="320"/>
        <item x="321"/>
        <item x="322"/>
        <item m="1" x="1238"/>
        <item x="323"/>
        <item x="324"/>
        <item m="1" x="1239"/>
        <item m="1" x="1240"/>
        <item x="325"/>
        <item x="326"/>
        <item m="1" x="1241"/>
        <item m="1" x="1242"/>
        <item m="1" x="1243"/>
        <item x="327"/>
        <item x="328"/>
        <item m="1" x="1244"/>
        <item x="329"/>
        <item x="330"/>
        <item x="331"/>
        <item x="332"/>
        <item m="1" x="1245"/>
        <item x="333"/>
        <item m="1" x="1246"/>
        <item x="334"/>
        <item x="335"/>
        <item m="1" x="1247"/>
        <item x="336"/>
        <item m="1" x="1248"/>
        <item m="1" x="1249"/>
        <item m="1" x="1250"/>
        <item m="1" x="1251"/>
        <item x="337"/>
        <item m="1" x="1252"/>
        <item m="1" x="1253"/>
        <item x="338"/>
        <item m="1" x="1254"/>
        <item m="1" x="1255"/>
        <item m="1" x="1256"/>
        <item x="339"/>
        <item x="340"/>
        <item x="341"/>
        <item x="342"/>
        <item x="343"/>
        <item x="344"/>
        <item x="345"/>
        <item m="1" x="1257"/>
        <item x="346"/>
        <item m="1" x="1258"/>
        <item x="347"/>
        <item x="348"/>
        <item m="1" x="1259"/>
        <item m="1" x="1260"/>
        <item m="1" x="1261"/>
        <item x="349"/>
        <item x="350"/>
        <item x="351"/>
        <item m="1" x="1262"/>
        <item x="352"/>
        <item m="1" x="1263"/>
        <item m="1" x="1264"/>
        <item x="353"/>
        <item m="1" x="1265"/>
        <item m="1" x="1266"/>
        <item x="354"/>
        <item m="1" x="1267"/>
        <item x="355"/>
        <item x="356"/>
        <item m="1" x="1268"/>
        <item m="1" x="1269"/>
        <item x="357"/>
        <item m="1" x="1270"/>
        <item m="1" x="1271"/>
        <item m="1" x="1272"/>
        <item m="1" x="1273"/>
        <item m="1" x="1274"/>
        <item x="358"/>
        <item m="1" x="1275"/>
        <item x="359"/>
        <item x="360"/>
        <item m="1" x="1276"/>
        <item m="1" x="1277"/>
        <item x="361"/>
        <item x="362"/>
        <item x="363"/>
        <item m="1" x="1278"/>
        <item m="1" x="1279"/>
        <item x="364"/>
        <item m="1" x="1280"/>
        <item x="365"/>
        <item x="366"/>
        <item m="1" x="1281"/>
        <item m="1" x="1282"/>
        <item x="367"/>
        <item x="368"/>
        <item m="1" x="1283"/>
        <item x="369"/>
        <item x="370"/>
        <item m="1" x="1284"/>
        <item m="1" x="1285"/>
        <item x="371"/>
        <item m="1" x="1286"/>
        <item m="1" x="1287"/>
        <item x="372"/>
        <item x="373"/>
        <item x="374"/>
        <item m="1" x="1288"/>
        <item x="375"/>
        <item x="376"/>
        <item x="377"/>
        <item x="378"/>
        <item m="1" x="1289"/>
        <item m="1" x="1290"/>
        <item m="1" x="1291"/>
        <item x="379"/>
        <item m="1" x="1292"/>
        <item x="380"/>
        <item m="1" x="1293"/>
        <item m="1" x="1294"/>
        <item m="1" x="1295"/>
        <item x="381"/>
        <item m="1" x="1296"/>
        <item m="1" x="1297"/>
        <item m="1" x="1298"/>
        <item m="1" x="1299"/>
        <item m="1" x="1300"/>
        <item m="1" x="1301"/>
        <item m="1" x="1302"/>
        <item x="382"/>
        <item m="1" x="1303"/>
        <item m="1" x="1304"/>
        <item m="1" x="1305"/>
        <item x="383"/>
        <item m="1" x="1306"/>
        <item m="1" x="1307"/>
        <item x="384"/>
        <item m="1" x="1308"/>
        <item x="385"/>
        <item m="1" x="1309"/>
        <item m="1" x="1310"/>
        <item x="386"/>
        <item x="387"/>
        <item m="1" x="1311"/>
        <item m="1" x="1312"/>
        <item x="388"/>
        <item m="1" x="1313"/>
        <item x="389"/>
        <item x="390"/>
        <item m="1" x="1314"/>
        <item m="1" x="1315"/>
        <item m="1" x="1316"/>
        <item m="1" x="1317"/>
        <item x="391"/>
        <item x="392"/>
        <item x="393"/>
        <item x="394"/>
        <item x="395"/>
        <item m="1" x="1318"/>
        <item x="396"/>
        <item x="397"/>
        <item m="1" x="1319"/>
        <item m="1" x="1320"/>
        <item m="1" x="1321"/>
        <item m="1" x="1322"/>
        <item m="1" x="1323"/>
        <item m="1" x="1324"/>
        <item m="1" x="1325"/>
        <item x="398"/>
        <item m="1" x="1326"/>
        <item m="1" x="1327"/>
        <item m="1" x="1328"/>
        <item m="1" x="1329"/>
        <item x="399"/>
        <item x="400"/>
        <item m="1" x="1330"/>
        <item m="1" x="1331"/>
        <item x="401"/>
        <item x="402"/>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x="403"/>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x="404"/>
        <item m="1" x="1416"/>
        <item m="1" x="1417"/>
        <item m="1" x="1418"/>
        <item m="1" x="1419"/>
        <item m="1" x="1420"/>
        <item m="1" x="1421"/>
        <item m="1" x="1422"/>
        <item m="1" x="1423"/>
        <item m="1" x="1424"/>
        <item m="1" x="1425"/>
        <item m="1" x="1426"/>
        <item m="1" x="1427"/>
        <item m="1" x="1428"/>
        <item m="1" x="1429"/>
        <item m="1" x="1430"/>
        <item m="1" x="1431"/>
        <item x="405"/>
        <item m="1" x="1432"/>
        <item m="1" x="1433"/>
        <item m="1" x="1434"/>
        <item m="1" x="1435"/>
        <item m="1" x="1436"/>
        <item m="1" x="1437"/>
        <item x="406"/>
        <item x="407"/>
        <item m="1" x="1438"/>
        <item m="1" x="1439"/>
        <item m="1" x="1440"/>
        <item m="1" x="1441"/>
        <item m="1" x="1442"/>
        <item m="1" x="1443"/>
        <item m="1" x="1444"/>
        <item m="1" x="1445"/>
        <item m="1" x="1446"/>
        <item m="1" x="1447"/>
        <item m="1" x="1448"/>
        <item m="1" x="1449"/>
        <item m="1" x="1450"/>
        <item m="1" x="1451"/>
        <item m="1" x="1452"/>
        <item m="1" x="1453"/>
        <item m="1" x="1454"/>
        <item m="1" x="1455"/>
        <item m="1" x="1456"/>
        <item x="408"/>
        <item m="1" x="1457"/>
        <item m="1" x="1458"/>
        <item m="1" x="1459"/>
        <item m="1" x="1460"/>
        <item m="1" x="1461"/>
        <item x="409"/>
        <item m="1" x="1462"/>
        <item m="1" x="1463"/>
        <item m="1" x="1464"/>
        <item m="1" x="1465"/>
        <item x="410"/>
        <item m="1" x="1466"/>
        <item m="1" x="1467"/>
        <item m="1" x="1468"/>
        <item m="1" x="1469"/>
        <item m="1" x="1470"/>
        <item m="1" x="1471"/>
        <item m="1" x="1472"/>
        <item x="411"/>
        <item m="1" x="1473"/>
        <item m="1" x="1474"/>
        <item m="1" x="1475"/>
        <item m="1" x="1476"/>
        <item m="1" x="1477"/>
        <item m="1" x="1478"/>
        <item x="412"/>
        <item m="1" x="1479"/>
        <item x="413"/>
        <item m="1" x="1480"/>
        <item m="1" x="1481"/>
        <item m="1" x="1482"/>
        <item m="1" x="1483"/>
        <item m="1" x="1484"/>
        <item m="1" x="1485"/>
        <item m="1" x="1486"/>
        <item m="1" x="1487"/>
        <item m="1" x="1488"/>
        <item m="1" x="1489"/>
        <item x="414"/>
        <item m="1" x="1490"/>
        <item m="1" x="1491"/>
        <item m="1" x="1492"/>
        <item m="1" x="1493"/>
        <item m="1" x="1494"/>
        <item m="1" x="1495"/>
        <item m="1" x="1496"/>
        <item m="1" x="1497"/>
        <item m="1" x="1498"/>
        <item m="1" x="1499"/>
        <item m="1" x="1500"/>
        <item m="1" x="1501"/>
        <item m="1" x="1502"/>
        <item m="1" x="1503"/>
        <item m="1" x="1504"/>
        <item x="415"/>
        <item m="1" x="1505"/>
        <item m="1" x="1506"/>
        <item m="1" x="1507"/>
        <item m="1" x="1508"/>
        <item m="1" x="1509"/>
        <item m="1" x="1510"/>
        <item x="416"/>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x="417"/>
        <item m="1" x="1567"/>
        <item m="1" x="1568"/>
        <item m="1" x="1569"/>
        <item m="1" x="1570"/>
        <item m="1" x="1571"/>
        <item m="1" x="1572"/>
        <item m="1" x="1573"/>
        <item m="1" x="1574"/>
        <item m="1" x="1575"/>
        <item m="1" x="1576"/>
        <item m="1" x="1577"/>
        <item m="1" x="1578"/>
        <item m="1" x="1579"/>
        <item m="1" x="1580"/>
        <item m="1" x="1581"/>
        <item m="1" x="1582"/>
        <item m="1" x="1583"/>
        <item x="418"/>
        <item m="1" x="1584"/>
        <item m="1" x="1585"/>
        <item m="1" x="1586"/>
        <item m="1" x="1587"/>
        <item m="1" x="1588"/>
        <item m="1" x="1589"/>
        <item m="1" x="1590"/>
        <item m="1" x="1591"/>
        <item m="1" x="1592"/>
        <item m="1" x="1593"/>
        <item m="1" x="1594"/>
        <item m="1" x="1595"/>
        <item m="1" x="1596"/>
        <item m="1" x="1597"/>
        <item m="1" x="1598"/>
        <item m="1" x="1599"/>
        <item x="41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x="420"/>
        <item m="1" x="1620"/>
        <item m="1" x="1621"/>
        <item m="1" x="1622"/>
        <item m="1" x="1623"/>
        <item m="1" x="1624"/>
        <item m="1" x="1625"/>
        <item m="1" x="1626"/>
        <item m="1" x="1627"/>
        <item m="1" x="1628"/>
        <item x="421"/>
        <item m="1" x="1629"/>
        <item m="1" x="1630"/>
        <item m="1" x="1631"/>
        <item m="1" x="1632"/>
        <item m="1" x="1633"/>
        <item m="1" x="1634"/>
        <item m="1" x="1635"/>
        <item m="1" x="1636"/>
        <item m="1" x="1637"/>
        <item m="1" x="1638"/>
        <item m="1" x="1639"/>
        <item m="1" x="1640"/>
        <item m="1" x="1641"/>
        <item m="1" x="1642"/>
        <item m="1" x="1643"/>
        <item x="422"/>
        <item m="1" x="1644"/>
        <item m="1" x="1645"/>
        <item m="1" x="1646"/>
        <item m="1" x="1647"/>
        <item m="1" x="1648"/>
        <item m="1" x="1649"/>
        <item m="1" x="1650"/>
        <item m="1" x="1651"/>
        <item m="1" x="1652"/>
        <item m="1" x="1653"/>
        <item m="1" x="1654"/>
        <item m="1" x="1655"/>
        <item m="1" x="1656"/>
        <item m="1" x="1657"/>
        <item x="423"/>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x="424"/>
        <item m="1" x="1685"/>
        <item m="1" x="1686"/>
        <item m="1" x="1687"/>
        <item m="1" x="1688"/>
        <item m="1" x="1689"/>
        <item m="1" x="1690"/>
        <item m="1" x="1691"/>
        <item m="1" x="1692"/>
        <item m="1" x="1693"/>
        <item m="1" x="1694"/>
        <item m="1" x="1695"/>
        <item m="1" x="1696"/>
        <item m="1" x="1697"/>
        <item m="1" x="1698"/>
        <item x="425"/>
        <item m="1" x="1699"/>
        <item m="1" x="1700"/>
        <item m="1" x="1701"/>
        <item m="1" x="1702"/>
        <item m="1" x="1703"/>
        <item m="1" x="1704"/>
        <item m="1" x="1705"/>
        <item m="1" x="1706"/>
        <item m="1" x="1707"/>
        <item m="1" x="1708"/>
        <item m="1" x="1709"/>
        <item x="426"/>
        <item m="1" x="1710"/>
        <item m="1" x="1711"/>
        <item m="1" x="1712"/>
        <item m="1" x="1713"/>
        <item m="1" x="1714"/>
        <item m="1" x="1715"/>
        <item m="1" x="1716"/>
        <item m="1" x="1717"/>
        <item m="1" x="1718"/>
        <item m="1" x="1719"/>
        <item m="1" x="1720"/>
        <item m="1" x="1721"/>
        <item m="1" x="1722"/>
        <item x="427"/>
        <item m="1" x="1723"/>
        <item m="1" x="1724"/>
        <item m="1" x="1725"/>
        <item m="1" x="1726"/>
        <item m="1" x="1727"/>
        <item m="1" x="1728"/>
        <item m="1" x="1729"/>
        <item m="1" x="1730"/>
        <item m="1" x="1731"/>
        <item m="1" x="1732"/>
        <item m="1" x="1733"/>
        <item m="1" x="1734"/>
        <item x="428"/>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x="429"/>
        <item m="1" x="1771"/>
        <item m="1" x="1772"/>
        <item m="1" x="1773"/>
        <item m="1" x="1774"/>
        <item m="1" x="1775"/>
        <item m="1" x="1776"/>
        <item m="1" x="1777"/>
        <item m="1" x="1778"/>
        <item m="1" x="1779"/>
        <item m="1" x="1780"/>
        <item m="1" x="1781"/>
        <item m="1" x="1782"/>
        <item m="1" x="1783"/>
        <item m="1" x="1784"/>
        <item m="1" x="1785"/>
        <item m="1" x="1786"/>
        <item m="1" x="1787"/>
        <item m="1" x="1788"/>
        <item m="1" x="1789"/>
        <item x="430"/>
        <item m="1" x="1790"/>
        <item m="1" x="1791"/>
        <item x="431"/>
        <item m="1" x="1792"/>
        <item m="1" x="1793"/>
        <item m="1" x="1794"/>
        <item m="1" x="1795"/>
        <item m="1" x="1796"/>
        <item m="1" x="1797"/>
        <item m="1" x="1798"/>
        <item m="1" x="1799"/>
        <item m="1" x="1800"/>
        <item m="1" x="1801"/>
        <item m="1" x="1802"/>
        <item m="1" x="1803"/>
        <item m="1" x="1804"/>
        <item m="1" x="1805"/>
        <item m="1" x="1806"/>
        <item x="432"/>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x="433"/>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x="434"/>
        <item m="1" x="1879"/>
        <item m="1" x="1880"/>
        <item m="1" x="1881"/>
        <item x="435"/>
        <item m="1" x="1882"/>
        <item m="1" x="1883"/>
        <item m="1" x="1884"/>
        <item x="436"/>
        <item m="1" x="1885"/>
        <item m="1" x="1886"/>
        <item m="1" x="1887"/>
        <item m="1" x="1888"/>
        <item m="1" x="1889"/>
        <item m="1" x="1890"/>
        <item x="437"/>
        <item m="1" x="1891"/>
        <item m="1" x="1892"/>
        <item m="1" x="1893"/>
        <item m="1" x="1894"/>
        <item m="1" x="1895"/>
        <item m="1" x="1896"/>
        <item m="1" x="1897"/>
        <item m="1" x="1898"/>
        <item m="1" x="1899"/>
        <item x="438"/>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x="439"/>
        <item m="1" x="1939"/>
        <item m="1" x="1940"/>
        <item m="1" x="1941"/>
        <item x="440"/>
        <item m="1" x="1942"/>
        <item m="1" x="1943"/>
        <item m="1" x="1944"/>
        <item m="1" x="1945"/>
        <item m="1" x="1946"/>
        <item m="1" x="1947"/>
        <item m="1" x="1948"/>
        <item m="1" x="1949"/>
        <item m="1" x="1950"/>
        <item m="1" x="1951"/>
        <item m="1" x="1952"/>
        <item m="1" x="1953"/>
        <item m="1" x="1954"/>
        <item m="1" x="1955"/>
        <item m="1" x="1956"/>
        <item m="1" x="1957"/>
        <item x="441"/>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x="442"/>
        <item m="1" x="1983"/>
        <item m="1" x="1984"/>
        <item m="1" x="1985"/>
        <item m="1" x="1986"/>
        <item m="1" x="1987"/>
        <item m="1" x="1988"/>
        <item m="1" x="1989"/>
        <item m="1" x="1990"/>
        <item m="1" x="1991"/>
        <item m="1" x="1992"/>
        <item m="1" x="1993"/>
        <item x="443"/>
        <item x="444"/>
        <item m="1" x="1994"/>
        <item m="1" x="1995"/>
        <item m="1" x="1996"/>
        <item m="1" x="1997"/>
        <item m="1" x="1998"/>
        <item m="1" x="1999"/>
        <item m="1" x="2000"/>
        <item m="1" x="2001"/>
        <item m="1" x="2002"/>
        <item m="1" x="2003"/>
        <item m="1" x="2004"/>
        <item m="1" x="2005"/>
        <item m="1" x="2006"/>
        <item m="1" x="2007"/>
        <item m="1" x="2008"/>
        <item x="445"/>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x="446"/>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x="447"/>
        <item m="1" x="2053"/>
        <item m="1" x="2054"/>
        <item m="1" x="2055"/>
        <item m="1" x="2056"/>
        <item m="1" x="2057"/>
        <item m="1" x="2058"/>
        <item m="1" x="2059"/>
        <item m="1" x="2060"/>
        <item m="1" x="2061"/>
        <item m="1" x="2062"/>
        <item m="1" x="2063"/>
        <item m="1" x="2064"/>
        <item m="1" x="2065"/>
        <item m="1" x="2066"/>
        <item m="1" x="2067"/>
        <item m="1" x="2068"/>
        <item m="1" x="2069"/>
        <item x="448"/>
        <item m="1" x="2070"/>
        <item m="1" x="2071"/>
        <item m="1" x="2072"/>
        <item x="449"/>
        <item x="450"/>
        <item m="1" x="2073"/>
        <item m="1" x="2074"/>
        <item m="1" x="2075"/>
        <item m="1" x="2076"/>
        <item m="1" x="2077"/>
        <item m="1" x="2078"/>
        <item m="1" x="2079"/>
        <item x="451"/>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x="452"/>
        <item m="1" x="2144"/>
        <item m="1" x="2145"/>
        <item m="1" x="2146"/>
        <item m="1" x="2147"/>
        <item m="1" x="2148"/>
        <item m="1" x="2149"/>
        <item m="1" x="2150"/>
        <item x="453"/>
        <item m="1" x="2151"/>
        <item m="1" x="2152"/>
        <item m="1" x="2153"/>
        <item m="1" x="2154"/>
        <item m="1" x="2155"/>
        <item m="1" x="2156"/>
        <item m="1" x="2157"/>
        <item m="1" x="2158"/>
        <item x="454"/>
        <item m="1" x="2159"/>
        <item m="1" x="2160"/>
        <item m="1" x="2161"/>
        <item m="1" x="2162"/>
        <item m="1" x="2163"/>
        <item x="455"/>
        <item m="1" x="2164"/>
        <item m="1" x="2165"/>
        <item m="1" x="2166"/>
        <item m="1" x="2167"/>
        <item m="1" x="2168"/>
        <item m="1" x="2169"/>
        <item m="1" x="2170"/>
        <item m="1" x="2171"/>
        <item m="1" x="2172"/>
        <item m="1" x="2173"/>
        <item m="1" x="2174"/>
        <item m="1" x="2175"/>
        <item m="1" x="2176"/>
        <item m="1" x="2177"/>
        <item m="1" x="2178"/>
        <item m="1" x="2179"/>
        <item m="1" x="2180"/>
        <item m="1" x="2181"/>
        <item x="456"/>
        <item m="1" x="2182"/>
        <item m="1" x="2183"/>
        <item m="1" x="2184"/>
        <item m="1" x="2185"/>
        <item m="1" x="2186"/>
        <item m="1" x="2187"/>
        <item m="1" x="2188"/>
        <item m="1" x="2189"/>
        <item m="1" x="2190"/>
        <item m="1" x="2191"/>
        <item m="1" x="2192"/>
        <item m="1" x="2193"/>
        <item m="1" x="2194"/>
        <item m="1" x="2195"/>
        <item m="1" x="2196"/>
        <item m="1" x="2197"/>
        <item m="1" x="2198"/>
        <item x="457"/>
        <item m="1" x="2199"/>
        <item m="1" x="2200"/>
        <item m="1" x="2201"/>
        <item x="458"/>
        <item m="1" x="2202"/>
        <item m="1" x="2203"/>
        <item x="459"/>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x="460"/>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x="461"/>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x="462"/>
        <item m="1" x="2327"/>
        <item x="463"/>
        <item m="1" x="2328"/>
        <item m="1" x="2329"/>
        <item m="1" x="2330"/>
        <item m="1" x="2331"/>
        <item m="1" x="2332"/>
        <item m="1" x="2333"/>
        <item m="1" x="2334"/>
        <item m="1" x="2335"/>
        <item m="1" x="2336"/>
        <item m="1" x="2337"/>
        <item m="1" x="2338"/>
        <item x="464"/>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x="465"/>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x="466"/>
        <item m="1" x="2390"/>
        <item m="1" x="2391"/>
        <item m="1" x="2392"/>
        <item m="1" x="2393"/>
        <item m="1" x="2394"/>
        <item m="1" x="2395"/>
        <item m="1" x="2396"/>
        <item m="1" x="2397"/>
        <item x="467"/>
        <item m="1" x="2398"/>
        <item m="1" x="2399"/>
        <item m="1" x="2400"/>
        <item m="1" x="2401"/>
        <item m="1" x="2402"/>
        <item m="1" x="2403"/>
        <item m="1" x="2404"/>
        <item m="1" x="2405"/>
        <item m="1" x="2406"/>
        <item m="1" x="2407"/>
        <item m="1" x="2408"/>
        <item m="1" x="2409"/>
        <item m="1" x="2410"/>
        <item m="1" x="2411"/>
        <item x="468"/>
        <item m="1" x="2412"/>
        <item m="1" x="2413"/>
        <item m="1" x="2414"/>
        <item m="1" x="2415"/>
        <item m="1" x="2416"/>
        <item m="1" x="2417"/>
        <item m="1" x="2418"/>
        <item m="1" x="2419"/>
        <item m="1" x="2420"/>
        <item x="469"/>
        <item m="1" x="2421"/>
        <item m="1" x="2422"/>
        <item m="1" x="2423"/>
        <item m="1" x="2424"/>
        <item m="1" x="2425"/>
        <item m="1" x="2426"/>
        <item m="1" x="2427"/>
        <item m="1" x="2428"/>
        <item m="1" x="2429"/>
        <item m="1" x="2430"/>
        <item m="1" x="2431"/>
        <item m="1" x="2432"/>
        <item m="1" x="2433"/>
        <item m="1" x="2434"/>
        <item m="1" x="2435"/>
        <item m="1" x="2436"/>
        <item x="470"/>
        <item m="1" x="2437"/>
        <item m="1" x="2438"/>
        <item m="1" x="2439"/>
        <item x="471"/>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x="472"/>
        <item m="1" x="2471"/>
        <item m="1" x="2472"/>
        <item x="473"/>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x="474"/>
        <item m="1" x="2514"/>
        <item m="1" x="2515"/>
        <item x="47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x="476"/>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x="477"/>
        <item m="1" x="2570"/>
        <item x="478"/>
        <item m="1" x="2571"/>
        <item m="1" x="2572"/>
        <item m="1" x="2573"/>
        <item m="1" x="2574"/>
        <item m="1" x="2575"/>
        <item m="1" x="2576"/>
        <item x="479"/>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x="480"/>
        <item m="1" x="2601"/>
        <item m="1" x="2602"/>
        <item m="1" x="2603"/>
        <item m="1" x="2604"/>
        <item m="1" x="2605"/>
        <item x="481"/>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x="482"/>
        <item m="1" x="2631"/>
        <item m="1" x="2632"/>
        <item m="1" x="2633"/>
        <item x="483"/>
        <item m="1" x="2634"/>
        <item m="1" x="2635"/>
        <item m="1" x="2636"/>
        <item m="1" x="2637"/>
        <item m="1" x="2638"/>
        <item m="1" x="2639"/>
        <item m="1" x="2640"/>
        <item m="1" x="2641"/>
        <item m="1" x="2642"/>
        <item m="1" x="2643"/>
        <item m="1" x="2644"/>
        <item m="1" x="2645"/>
        <item x="484"/>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x="485"/>
        <item m="1" x="2669"/>
        <item m="1" x="2670"/>
        <item x="486"/>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x="487"/>
        <item m="1" x="2695"/>
        <item m="1" x="2696"/>
        <item m="1" x="2697"/>
        <item m="1" x="2698"/>
        <item m="1" x="2699"/>
        <item x="488"/>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x="489"/>
        <item m="1" x="2721"/>
        <item m="1" x="2722"/>
        <item m="1" x="2723"/>
        <item m="1" x="2724"/>
        <item m="1" x="2725"/>
        <item m="1" x="2726"/>
        <item m="1" x="2727"/>
        <item m="1" x="2728"/>
        <item m="1" x="2729"/>
        <item m="1" x="2730"/>
        <item m="1" x="2731"/>
        <item m="1" x="2732"/>
        <item m="1" x="2733"/>
        <item x="490"/>
        <item m="1" x="2734"/>
        <item m="1" x="2735"/>
        <item m="1" x="2736"/>
        <item m="1" x="2737"/>
        <item m="1" x="2738"/>
        <item m="1" x="2739"/>
        <item m="1" x="2740"/>
        <item m="1" x="2741"/>
        <item x="49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x="492"/>
        <item m="1" x="2770"/>
        <item m="1" x="2771"/>
        <item m="1" x="2772"/>
        <item m="1" x="2773"/>
        <item x="493"/>
        <item m="1" x="2774"/>
        <item m="1" x="2775"/>
        <item m="1" x="2776"/>
        <item m="1" x="2777"/>
        <item x="494"/>
        <item m="1" x="2778"/>
        <item m="1" x="2779"/>
        <item m="1" x="2780"/>
        <item m="1" x="2781"/>
        <item m="1" x="2782"/>
        <item x="495"/>
        <item m="1" x="2783"/>
        <item m="1" x="2784"/>
        <item m="1" x="2785"/>
        <item m="1" x="2786"/>
        <item m="1" x="2787"/>
        <item m="1" x="2788"/>
        <item m="1" x="2789"/>
        <item m="1" x="2790"/>
        <item m="1" x="2791"/>
        <item m="1" x="2792"/>
        <item m="1" x="2793"/>
        <item m="1" x="2794"/>
        <item m="1" x="2795"/>
        <item m="1" x="2796"/>
        <item x="496"/>
        <item m="1" x="2797"/>
        <item m="1" x="2798"/>
        <item m="1" x="2799"/>
        <item m="1" x="2800"/>
        <item m="1" x="2801"/>
        <item m="1" x="2802"/>
        <item m="1" x="2803"/>
        <item m="1" x="2804"/>
        <item m="1" x="2805"/>
        <item x="497"/>
        <item m="1" x="2806"/>
        <item m="1" x="2807"/>
        <item m="1" x="2808"/>
        <item m="1" x="2809"/>
        <item m="1" x="2810"/>
        <item m="1" x="2811"/>
        <item m="1" x="2812"/>
        <item m="1" x="2813"/>
        <item m="1" x="2814"/>
        <item m="1" x="2815"/>
        <item m="1" x="2816"/>
        <item m="1" x="2817"/>
        <item m="1" x="2818"/>
        <item m="1" x="2819"/>
        <item x="498"/>
        <item m="1" x="2820"/>
        <item x="499"/>
        <item m="1" x="2821"/>
        <item m="1" x="2822"/>
        <item m="1" x="2823"/>
        <item m="1" x="2824"/>
        <item m="1" x="2825"/>
        <item m="1" x="2826"/>
        <item m="1" x="2827"/>
        <item m="1" x="2828"/>
        <item m="1" x="2829"/>
        <item m="1" x="2830"/>
        <item m="1" x="2831"/>
        <item m="1" x="2832"/>
        <item m="1" x="2833"/>
        <item m="1" x="2834"/>
        <item m="1" x="2835"/>
        <item m="1" x="2836"/>
        <item m="1" x="2837"/>
        <item m="1" x="2838"/>
        <item m="1" x="2839"/>
        <item x="500"/>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x="501"/>
        <item m="1" x="2880"/>
        <item m="1" x="2881"/>
        <item m="1" x="2882"/>
        <item m="1" x="2883"/>
        <item m="1" x="2884"/>
        <item x="502"/>
        <item m="1" x="2885"/>
        <item m="1" x="2886"/>
        <item m="1" x="2887"/>
        <item m="1" x="2888"/>
        <item m="1" x="2889"/>
        <item m="1" x="2890"/>
        <item m="1" x="2891"/>
        <item m="1" x="2892"/>
        <item x="503"/>
        <item m="1" x="2893"/>
        <item m="1" x="2894"/>
        <item x="504"/>
        <item m="1" x="2895"/>
        <item m="1" x="2896"/>
        <item x="505"/>
        <item m="1" x="2897"/>
        <item m="1" x="2898"/>
        <item x="506"/>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x="507"/>
        <item m="1" x="2927"/>
        <item m="1" x="2928"/>
        <item m="1" x="2929"/>
        <item m="1" x="2930"/>
        <item m="1" x="2931"/>
        <item m="1" x="2932"/>
        <item m="1" x="2933"/>
        <item m="1" x="2934"/>
        <item m="1" x="2935"/>
        <item m="1" x="2936"/>
        <item m="1" x="2937"/>
        <item m="1" x="2938"/>
        <item x="508"/>
        <item m="1" x="2939"/>
        <item m="1" x="2940"/>
        <item m="1" x="2941"/>
        <item m="1" x="2942"/>
        <item m="1" x="2943"/>
        <item x="509"/>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x="510"/>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x="511"/>
        <item m="1" x="3044"/>
        <item m="1" x="3045"/>
        <item m="1" x="3046"/>
        <item m="1" x="3047"/>
        <item m="1" x="3048"/>
        <item m="1" x="3049"/>
        <item m="1" x="3050"/>
        <item m="1" x="3051"/>
        <item m="1" x="3052"/>
        <item m="1" x="3053"/>
        <item m="1" x="3054"/>
        <item m="1" x="3055"/>
        <item m="1" x="3056"/>
        <item m="1" x="3057"/>
        <item m="1" x="3058"/>
        <item m="1" x="3059"/>
        <item m="1" x="3060"/>
        <item x="512"/>
        <item x="513"/>
        <item m="1" x="3061"/>
        <item m="1" x="3062"/>
        <item m="1" x="3063"/>
        <item m="1" x="3064"/>
        <item m="1" x="3065"/>
        <item m="1" x="3066"/>
        <item x="514"/>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x="515"/>
        <item m="1" x="3104"/>
        <item m="1" x="3105"/>
        <item m="1" x="3106"/>
        <item m="1" x="3107"/>
        <item m="1" x="3108"/>
        <item m="1" x="3109"/>
        <item m="1" x="3110"/>
        <item m="1" x="3111"/>
        <item m="1" x="3112"/>
        <item m="1" x="3113"/>
        <item m="1" x="3114"/>
        <item x="516"/>
        <item m="1" x="3115"/>
        <item m="1" x="3116"/>
        <item x="517"/>
        <item m="1" x="3117"/>
        <item m="1" x="3118"/>
        <item m="1" x="3119"/>
        <item m="1" x="3120"/>
        <item m="1" x="3121"/>
        <item m="1" x="3122"/>
        <item m="1" x="3123"/>
        <item m="1" x="3124"/>
        <item m="1" x="3125"/>
        <item m="1" x="3126"/>
        <item m="1" x="3127"/>
        <item m="1" x="3128"/>
        <item m="1" x="3129"/>
        <item m="1" x="3130"/>
        <item m="1" x="3131"/>
        <item m="1" x="3132"/>
        <item x="518"/>
        <item m="1" x="3133"/>
        <item m="1" x="3134"/>
        <item m="1" x="3135"/>
        <item m="1" x="3136"/>
        <item m="1" x="3137"/>
        <item m="1" x="3138"/>
        <item m="1" x="3139"/>
        <item m="1" x="3140"/>
        <item m="1" x="3141"/>
        <item m="1" x="3142"/>
        <item m="1" x="3143"/>
        <item m="1" x="3144"/>
        <item m="1" x="3145"/>
        <item m="1" x="3146"/>
        <item m="1" x="3147"/>
        <item m="1" x="3148"/>
        <item m="1" x="3149"/>
        <item m="1" x="3150"/>
        <item x="519"/>
        <item m="1" x="3151"/>
        <item m="1" x="3152"/>
        <item m="1" x="3153"/>
        <item m="1" x="3154"/>
        <item x="520"/>
        <item m="1" x="3155"/>
        <item m="1" x="3156"/>
        <item m="1" x="3157"/>
        <item m="1" x="3158"/>
        <item m="1" x="3159"/>
        <item m="1" x="3160"/>
        <item m="1" x="3161"/>
        <item m="1" x="3162"/>
        <item m="1" x="3163"/>
        <item m="1" x="3164"/>
        <item m="1" x="3165"/>
        <item m="1" x="3166"/>
        <item m="1" x="3167"/>
        <item m="1" x="3168"/>
        <item m="1" x="3169"/>
        <item m="1" x="3170"/>
        <item m="1" x="3171"/>
        <item m="1" x="3172"/>
        <item x="521"/>
        <item m="1" x="3173"/>
        <item m="1" x="3174"/>
        <item m="1" x="3175"/>
        <item m="1" x="3176"/>
        <item m="1" x="3177"/>
        <item m="1" x="3178"/>
        <item m="1" x="3179"/>
        <item x="522"/>
        <item m="1" x="3180"/>
        <item m="1" x="3181"/>
        <item x="523"/>
        <item m="1" x="3182"/>
        <item m="1" x="3183"/>
        <item m="1" x="3184"/>
        <item x="524"/>
        <item m="1" x="3185"/>
        <item m="1" x="3186"/>
        <item m="1" x="3187"/>
        <item m="1" x="3188"/>
        <item m="1" x="3189"/>
        <item m="1" x="3190"/>
        <item m="1" x="3191"/>
        <item m="1" x="3192"/>
        <item m="1" x="3193"/>
        <item x="525"/>
        <item m="1" x="3194"/>
        <item m="1" x="3195"/>
        <item m="1" x="3196"/>
        <item m="1" x="3197"/>
        <item m="1" x="3198"/>
        <item m="1" x="3199"/>
        <item m="1" x="3200"/>
        <item m="1" x="3201"/>
        <item m="1" x="3202"/>
        <item m="1" x="3203"/>
        <item m="1" x="3204"/>
        <item m="1" x="3205"/>
        <item m="1" x="3206"/>
        <item m="1" x="3207"/>
        <item m="1" x="3208"/>
        <item x="526"/>
        <item m="1" x="3209"/>
        <item m="1" x="3210"/>
        <item m="1" x="3211"/>
        <item m="1" x="3212"/>
        <item m="1" x="3213"/>
        <item x="527"/>
        <item m="1" x="3214"/>
        <item m="1" x="3215"/>
        <item m="1" x="3216"/>
        <item m="1" x="3217"/>
        <item m="1" x="3218"/>
        <item m="1" x="3219"/>
        <item m="1" x="3220"/>
        <item m="1" x="3221"/>
        <item m="1" x="3222"/>
        <item m="1" x="3223"/>
        <item m="1" x="3224"/>
        <item m="1" x="3225"/>
        <item m="1" x="3226"/>
        <item m="1" x="3227"/>
        <item m="1" x="3228"/>
        <item m="1" x="3229"/>
        <item x="528"/>
        <item m="1" x="3230"/>
        <item m="1" x="3231"/>
        <item x="529"/>
        <item m="1" x="3232"/>
        <item m="1" x="3233"/>
        <item m="1" x="3234"/>
        <item m="1" x="3235"/>
        <item m="1" x="3236"/>
        <item m="1" x="3237"/>
        <item m="1" x="3238"/>
        <item m="1" x="3239"/>
        <item x="530"/>
        <item m="1" x="3240"/>
        <item m="1" x="3241"/>
        <item m="1" x="3242"/>
        <item m="1" x="3243"/>
        <item m="1" x="3244"/>
        <item m="1" x="3245"/>
        <item m="1" x="3246"/>
        <item m="1" x="3247"/>
        <item m="1" x="3248"/>
        <item m="1" x="3249"/>
        <item m="1" x="3250"/>
        <item x="531"/>
        <item m="1" x="3251"/>
        <item x="532"/>
        <item m="1" x="3252"/>
        <item m="1" x="3253"/>
        <item x="533"/>
        <item m="1" x="3254"/>
        <item m="1" x="3255"/>
        <item m="1" x="3256"/>
        <item m="1" x="3257"/>
        <item m="1" x="3258"/>
        <item x="534"/>
        <item m="1" x="3259"/>
        <item m="1" x="3260"/>
        <item m="1" x="3261"/>
        <item m="1" x="3262"/>
        <item m="1" x="3263"/>
        <item m="1" x="3264"/>
        <item m="1" x="3265"/>
        <item m="1" x="3266"/>
        <item m="1" x="3267"/>
        <item m="1" x="3268"/>
        <item m="1" x="3269"/>
        <item x="535"/>
        <item m="1" x="3270"/>
        <item m="1" x="3271"/>
        <item m="1" x="3272"/>
        <item m="1" x="3273"/>
        <item m="1" x="3274"/>
        <item m="1" x="3275"/>
        <item m="1" x="3276"/>
        <item m="1" x="3277"/>
        <item m="1" x="3278"/>
        <item m="1" x="3279"/>
        <item m="1" x="3280"/>
        <item m="1" x="3281"/>
        <item m="1" x="3282"/>
        <item m="1" x="3283"/>
        <item m="1" x="3284"/>
        <item x="536"/>
        <item m="1" x="3285"/>
        <item m="1" x="3286"/>
        <item m="1" x="3287"/>
        <item m="1" x="3288"/>
        <item m="1" x="3289"/>
        <item m="1" x="3290"/>
        <item m="1" x="3291"/>
        <item m="1" x="3292"/>
        <item m="1" x="3293"/>
        <item m="1" x="3294"/>
        <item m="1" x="3295"/>
        <item m="1" x="3296"/>
        <item m="1" x="3297"/>
        <item m="1" x="3298"/>
        <item m="1" x="3299"/>
        <item m="1" x="3300"/>
        <item m="1" x="3301"/>
        <item m="1" x="3302"/>
        <item m="1" x="3303"/>
        <item x="537"/>
        <item m="1" x="3304"/>
        <item m="1" x="3305"/>
        <item m="1" x="3306"/>
        <item m="1" x="3307"/>
        <item m="1" x="3308"/>
        <item x="538"/>
        <item m="1" x="3309"/>
        <item m="1" x="3310"/>
        <item m="1" x="3311"/>
        <item m="1" x="3312"/>
        <item m="1" x="3313"/>
        <item m="1" x="3314"/>
        <item m="1" x="3315"/>
        <item m="1" x="3316"/>
        <item m="1" x="3317"/>
        <item m="1" x="3318"/>
        <item m="1" x="3319"/>
        <item m="1" x="3320"/>
        <item m="1" x="3321"/>
        <item m="1" x="3322"/>
        <item m="1" x="3323"/>
        <item m="1" x="3324"/>
        <item x="539"/>
        <item m="1" x="3325"/>
        <item m="1" x="3326"/>
        <item m="1" x="3327"/>
        <item m="1" x="3328"/>
        <item m="1" x="3329"/>
        <item m="1" x="3330"/>
        <item m="1" x="3331"/>
        <item m="1" x="3332"/>
        <item m="1" x="3333"/>
        <item m="1" x="3334"/>
        <item m="1" x="3335"/>
        <item m="1" x="3336"/>
        <item x="540"/>
        <item m="1" x="3337"/>
        <item x="541"/>
        <item m="1" x="3338"/>
        <item m="1" x="3339"/>
        <item m="1" x="3340"/>
        <item m="1" x="3341"/>
        <item m="1" x="3342"/>
        <item m="1" x="3343"/>
        <item m="1" x="3344"/>
        <item m="1" x="3345"/>
        <item m="1" x="3346"/>
        <item m="1" x="3347"/>
        <item m="1" x="3348"/>
        <item m="1" x="3349"/>
        <item m="1" x="3350"/>
        <item m="1" x="3351"/>
        <item m="1" x="3352"/>
        <item m="1" x="3353"/>
        <item x="542"/>
        <item x="543"/>
        <item m="1" x="3354"/>
        <item m="1" x="3355"/>
        <item m="1" x="3356"/>
        <item m="1" x="3357"/>
        <item m="1" x="3358"/>
        <item m="1" x="3359"/>
        <item m="1" x="3360"/>
        <item m="1" x="3361"/>
        <item m="1" x="3362"/>
        <item x="544"/>
        <item m="1" x="3363"/>
        <item m="1" x="3364"/>
        <item m="1" x="3365"/>
        <item m="1" x="3366"/>
        <item m="1" x="3367"/>
        <item x="545"/>
        <item m="1" x="3368"/>
        <item m="1" x="3369"/>
        <item m="1" x="3370"/>
        <item m="1" x="3371"/>
        <item m="1" x="3372"/>
        <item m="1" x="3373"/>
        <item m="1" x="3374"/>
        <item m="1" x="3375"/>
        <item m="1" x="3376"/>
        <item m="1" x="3377"/>
        <item m="1" x="3378"/>
        <item m="1" x="3379"/>
        <item m="1" x="3380"/>
        <item m="1" x="3381"/>
        <item m="1" x="3382"/>
        <item m="1" x="3383"/>
        <item m="1" x="3384"/>
        <item m="1" x="3385"/>
        <item x="546"/>
        <item m="1" x="3386"/>
        <item x="547"/>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x="54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x="549"/>
        <item m="1" x="3450"/>
        <item m="1" x="3451"/>
        <item m="1" x="3452"/>
        <item m="1" x="3453"/>
        <item m="1" x="3454"/>
        <item m="1" x="3455"/>
        <item m="1" x="3456"/>
        <item m="1" x="3457"/>
        <item m="1" x="3458"/>
        <item x="550"/>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x="551"/>
        <item m="1" x="3498"/>
        <item m="1" x="3499"/>
        <item m="1" x="3500"/>
        <item m="1" x="3501"/>
        <item m="1" x="3502"/>
        <item x="552"/>
        <item m="1" x="3503"/>
        <item m="1" x="3504"/>
        <item m="1" x="3505"/>
        <item m="1" x="3506"/>
        <item m="1" x="3507"/>
        <item m="1" x="3508"/>
        <item m="1" x="3509"/>
        <item m="1" x="3510"/>
        <item m="1" x="3511"/>
        <item m="1" x="3512"/>
        <item m="1" x="3513"/>
        <item m="1" x="3514"/>
        <item m="1" x="3515"/>
        <item m="1" x="3516"/>
        <item m="1" x="3517"/>
        <item x="553"/>
        <item m="1" x="3518"/>
        <item m="1" x="3519"/>
        <item m="1" x="3520"/>
        <item x="554"/>
        <item m="1" x="3521"/>
        <item m="1" x="3522"/>
        <item m="1" x="3523"/>
        <item m="1" x="3524"/>
        <item m="1" x="3525"/>
        <item m="1" x="3526"/>
        <item m="1" x="3527"/>
        <item m="1" x="3528"/>
        <item m="1" x="3529"/>
        <item m="1" x="3530"/>
        <item m="1" x="3531"/>
        <item m="1" x="3532"/>
        <item m="1" x="3533"/>
        <item m="1" x="3534"/>
        <item m="1" x="3535"/>
        <item m="1" x="3536"/>
        <item m="1" x="3537"/>
        <item m="1" x="3538"/>
        <item x="555"/>
        <item m="1" x="3539"/>
        <item m="1" x="3540"/>
        <item m="1" x="3541"/>
        <item m="1" x="3542"/>
        <item m="1" x="3543"/>
        <item m="1" x="3544"/>
        <item m="1" x="3545"/>
        <item m="1" x="3546"/>
        <item m="1" x="3547"/>
        <item m="1" x="3548"/>
        <item m="1" x="3549"/>
        <item m="1" x="3550"/>
        <item m="1" x="3551"/>
        <item m="1" x="3552"/>
        <item m="1" x="3553"/>
        <item m="1" x="3554"/>
        <item x="556"/>
        <item m="1" x="3555"/>
        <item m="1" x="3556"/>
        <item m="1" x="3557"/>
        <item m="1" x="3558"/>
        <item m="1" x="3559"/>
        <item x="557"/>
        <item m="1" x="3560"/>
        <item m="1" x="3561"/>
        <item m="1" x="3562"/>
        <item m="1" x="3563"/>
        <item m="1" x="3564"/>
        <item m="1" x="3565"/>
        <item x="558"/>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x="559"/>
        <item m="1" x="3592"/>
        <item m="1" x="3593"/>
        <item m="1" x="3594"/>
        <item m="1" x="3595"/>
        <item m="1" x="3596"/>
        <item m="1" x="3597"/>
        <item m="1" x="3598"/>
        <item m="1" x="3599"/>
        <item m="1" x="3600"/>
        <item m="1" x="3601"/>
        <item x="560"/>
        <item m="1" x="3602"/>
        <item m="1" x="3603"/>
        <item m="1" x="3604"/>
        <item m="1" x="3605"/>
        <item x="561"/>
        <item m="1" x="3606"/>
        <item m="1" x="3607"/>
        <item x="562"/>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x="563"/>
        <item m="1" x="3645"/>
        <item m="1" x="3646"/>
        <item m="1" x="3647"/>
        <item x="564"/>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x="56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x="566"/>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x="567"/>
        <item m="1" x="3739"/>
        <item m="1" x="3740"/>
        <item m="1" x="3741"/>
        <item m="1" x="3742"/>
        <item m="1" x="3743"/>
        <item m="1" x="3744"/>
        <item m="1" x="3745"/>
        <item m="1" x="3746"/>
        <item m="1" x="3747"/>
        <item m="1" x="3748"/>
        <item x="56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x="569"/>
        <item m="1" x="3773"/>
        <item m="1" x="3774"/>
        <item m="1" x="3775"/>
        <item m="1" x="3776"/>
        <item m="1" x="3777"/>
        <item m="1" x="3778"/>
        <item m="1" x="3779"/>
        <item m="1" x="3780"/>
        <item m="1" x="3781"/>
        <item m="1" x="3782"/>
        <item m="1" x="3783"/>
        <item m="1" x="3784"/>
        <item m="1" x="3785"/>
        <item m="1" x="3786"/>
        <item m="1" x="3787"/>
        <item x="570"/>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x="571"/>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6"/>
        <item m="1" x="3857"/>
        <item m="1" x="3858"/>
        <item m="1" x="3859"/>
        <item m="1" x="3860"/>
        <item m="1" x="3861"/>
        <item m="1" x="3862"/>
        <item m="1" x="3863"/>
        <item m="1" x="3864"/>
        <item m="1" x="3865"/>
        <item m="1" x="3866"/>
        <item m="1" x="3867"/>
        <item m="1" x="3868"/>
        <item m="1" x="3869"/>
        <item m="1" x="3870"/>
        <item m="1" x="3871"/>
        <item m="1" x="3872"/>
        <item x="5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x="573"/>
        <item m="1" x="3898"/>
        <item m="1" x="3899"/>
        <item m="1" x="3900"/>
        <item x="574"/>
        <item m="1" x="3901"/>
        <item m="1" x="3902"/>
        <item m="1" x="3903"/>
        <item x="575"/>
        <item m="1" x="3904"/>
        <item m="1" x="3905"/>
        <item m="1" x="3906"/>
        <item m="1" x="3907"/>
        <item m="1" x="3908"/>
        <item m="1" x="3909"/>
        <item m="1" x="3910"/>
        <item x="576"/>
        <item m="1" x="3911"/>
        <item x="577"/>
        <item m="1" x="3912"/>
        <item m="1" x="3913"/>
        <item m="1" x="3914"/>
        <item m="1" x="3915"/>
        <item x="578"/>
        <item m="1" x="3916"/>
        <item m="1" x="3917"/>
        <item m="1" x="3918"/>
        <item m="1" x="3919"/>
        <item m="1" x="3920"/>
        <item m="1" x="3921"/>
        <item m="1" x="3922"/>
        <item m="1" x="3923"/>
        <item m="1" x="3924"/>
        <item x="579"/>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x="580"/>
        <item x="581"/>
        <item m="1" x="3955"/>
        <item m="1" x="3956"/>
        <item m="1" x="3957"/>
        <item m="1" x="3958"/>
        <item m="1" x="3959"/>
        <item m="1" x="3960"/>
        <item m="1" x="3961"/>
        <item m="1" x="3962"/>
        <item m="1" x="3963"/>
        <item m="1" x="3964"/>
        <item m="1" x="3965"/>
        <item x="582"/>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x="583"/>
        <item m="1" x="3999"/>
        <item m="1" x="4000"/>
        <item x="584"/>
        <item m="1" x="4001"/>
        <item m="1" x="4002"/>
        <item m="1" x="4003"/>
        <item m="1" x="4004"/>
        <item m="1" x="4005"/>
        <item m="1" x="4006"/>
        <item m="1" x="4007"/>
        <item m="1" x="4008"/>
        <item m="1" x="4009"/>
        <item m="1" x="4010"/>
        <item x="585"/>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x="586"/>
        <item m="1" x="4071"/>
        <item m="1" x="4072"/>
        <item m="1" x="4073"/>
        <item m="1" x="4074"/>
        <item m="1" x="4075"/>
        <item m="1" x="4076"/>
        <item m="1" x="4077"/>
        <item m="1" x="4078"/>
        <item m="1" x="4079"/>
        <item m="1" x="4080"/>
        <item m="1" x="4081"/>
        <item m="1" x="4082"/>
        <item m="1" x="4083"/>
        <item m="1" x="4084"/>
        <item m="1" x="4085"/>
        <item m="1" x="4086"/>
        <item m="1" x="4087"/>
        <item m="1" x="4088"/>
        <item x="587"/>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x="588"/>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x="589"/>
        <item m="1" x="4144"/>
        <item m="1" x="4145"/>
        <item m="1" x="4146"/>
        <item m="1" x="4147"/>
        <item m="1" x="4148"/>
        <item m="1" x="4149"/>
        <item m="1" x="4150"/>
        <item m="1" x="4151"/>
        <item m="1" x="4152"/>
        <item m="1" x="4153"/>
        <item m="1" x="4154"/>
        <item m="1" x="4155"/>
        <item m="1" x="4156"/>
        <item m="1" x="4157"/>
        <item m="1" x="4158"/>
        <item m="1" x="4159"/>
        <item m="1" x="4160"/>
        <item m="1" x="4161"/>
        <item m="1" x="4162"/>
        <item x="590"/>
        <item m="1" x="4163"/>
        <item m="1" x="4164"/>
        <item m="1" x="4165"/>
        <item m="1" x="4166"/>
        <item x="591"/>
        <item m="1" x="4167"/>
        <item m="1" x="4168"/>
        <item m="1" x="4169"/>
        <item m="1" x="4170"/>
        <item m="1" x="4171"/>
        <item m="1" x="4172"/>
        <item m="1" x="4173"/>
        <item m="1" x="4174"/>
        <item m="1" x="4175"/>
        <item m="1" x="4176"/>
        <item m="1" x="4177"/>
        <item m="1" x="4178"/>
        <item m="1" x="4179"/>
        <item x="592"/>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x="593"/>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x="594"/>
        <item m="1" x="4247"/>
        <item m="1" x="4248"/>
        <item m="1" x="4249"/>
        <item m="1" x="4250"/>
        <item x="595"/>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x="596"/>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x="597"/>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x="598"/>
        <item m="1" x="4352"/>
        <item m="1" x="4353"/>
        <item m="1" x="4354"/>
        <item m="1" x="4355"/>
        <item m="1" x="4356"/>
        <item m="1" x="4357"/>
        <item m="1" x="4358"/>
        <item m="1" x="4359"/>
        <item m="1" x="4360"/>
        <item m="1" x="4361"/>
        <item m="1" x="4362"/>
        <item m="1" x="4363"/>
        <item m="1" x="4364"/>
        <item x="599"/>
        <item m="1" x="4365"/>
        <item m="1" x="4366"/>
        <item m="1" x="4367"/>
        <item m="1" x="4368"/>
        <item m="1" x="4369"/>
        <item m="1" x="4370"/>
        <item m="1" x="4371"/>
        <item m="1" x="4372"/>
        <item m="1" x="4373"/>
        <item m="1" x="4374"/>
        <item m="1" x="4375"/>
        <item m="1" x="4376"/>
        <item m="1" x="4377"/>
        <item m="1" x="4378"/>
        <item m="1" x="4379"/>
        <item m="1" x="4380"/>
        <item m="1" x="4381"/>
        <item m="1" x="4382"/>
        <item x="600"/>
        <item m="1" x="4383"/>
        <item m="1" x="4384"/>
        <item m="1" x="4385"/>
        <item m="1" x="4386"/>
        <item m="1" x="4387"/>
        <item m="1" x="4388"/>
        <item m="1" x="4389"/>
        <item m="1" x="4390"/>
        <item m="1" x="4391"/>
        <item m="1" x="4392"/>
        <item m="1" x="4393"/>
        <item m="1" x="4394"/>
        <item m="1" x="4395"/>
        <item m="1" x="4396"/>
        <item m="1" x="4397"/>
        <item m="1" x="4398"/>
        <item m="1" x="4399"/>
        <item m="1" x="4400"/>
        <item x="601"/>
        <item m="1" x="4401"/>
        <item m="1" x="4402"/>
        <item m="1" x="4403"/>
        <item m="1" x="4404"/>
        <item m="1" x="4405"/>
        <item m="1" x="4406"/>
        <item m="1" x="4407"/>
        <item m="1" x="4408"/>
        <item m="1" x="4409"/>
        <item m="1" x="4410"/>
        <item m="1" x="4411"/>
        <item m="1" x="4412"/>
        <item m="1" x="4413"/>
        <item m="1" x="4414"/>
        <item m="1" x="4415"/>
        <item m="1" x="4416"/>
        <item m="1" x="4417"/>
        <item m="1" x="4418"/>
        <item m="1" x="4419"/>
        <item x="602"/>
        <item m="1" x="4420"/>
        <item m="1" x="4421"/>
        <item m="1" x="4422"/>
        <item x="603"/>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x="604"/>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x="605"/>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x="606"/>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x="607"/>
        <item m="1" x="4528"/>
        <item x="608"/>
        <item m="1" x="4529"/>
        <item m="1" x="4530"/>
        <item m="1" x="4531"/>
        <item m="1" x="4532"/>
        <item m="1" x="4533"/>
        <item m="1" x="4534"/>
        <item m="1" x="4535"/>
        <item m="1" x="4536"/>
        <item m="1" x="4537"/>
        <item m="1" x="4538"/>
        <item m="1" x="4539"/>
        <item m="1" x="4540"/>
        <item m="1" x="4541"/>
        <item m="1" x="4542"/>
        <item m="1" x="4543"/>
        <item m="1" x="4544"/>
        <item m="1" x="4545"/>
        <item m="1" x="4546"/>
        <item x="609"/>
        <item m="1" x="4547"/>
        <item m="1" x="4548"/>
        <item m="1" x="4549"/>
        <item m="1" x="4550"/>
        <item m="1" x="4551"/>
        <item m="1" x="4552"/>
        <item m="1" x="4553"/>
        <item m="1" x="4554"/>
        <item m="1" x="4555"/>
        <item m="1" x="4556"/>
        <item m="1" x="4557"/>
        <item x="610"/>
        <item m="1" x="4558"/>
        <item m="1" x="4559"/>
        <item m="1" x="4560"/>
        <item m="1" x="4561"/>
        <item m="1" x="4562"/>
        <item m="1" x="4563"/>
        <item m="1" x="4564"/>
        <item m="1" x="4565"/>
        <item m="1" x="4566"/>
        <item m="1" x="4567"/>
        <item m="1" x="4568"/>
        <item m="1" x="4569"/>
        <item m="1" x="4570"/>
        <item m="1" x="4571"/>
        <item m="1" x="4572"/>
        <item m="1" x="4573"/>
        <item x="611"/>
        <item m="1" x="4574"/>
        <item m="1" x="4575"/>
        <item m="1" x="4576"/>
        <item m="1" x="4577"/>
        <item m="1" x="4578"/>
        <item m="1" x="4579"/>
        <item m="1" x="4580"/>
        <item m="1" x="4581"/>
        <item m="1" x="4582"/>
        <item m="1" x="4583"/>
        <item m="1" x="4584"/>
        <item m="1" x="4585"/>
        <item m="1" x="4586"/>
        <item m="1" x="4587"/>
        <item m="1" x="4588"/>
        <item m="1" x="4589"/>
        <item x="612"/>
        <item x="613"/>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x="614"/>
        <item m="1" x="4622"/>
        <item x="615"/>
        <item m="1" x="4623"/>
        <item m="1" x="4624"/>
        <item x="616"/>
        <item m="1" x="4625"/>
        <item m="1" x="4626"/>
        <item m="1" x="4627"/>
        <item m="1" x="4628"/>
        <item m="1" x="4629"/>
        <item m="1" x="4630"/>
        <item m="1" x="4631"/>
        <item m="1" x="4632"/>
        <item m="1" x="4633"/>
        <item x="617"/>
        <item m="1" x="4634"/>
        <item m="1" x="4635"/>
        <item m="1" x="4636"/>
        <item m="1" x="4637"/>
        <item m="1" x="4638"/>
        <item m="1" x="4639"/>
        <item m="1" x="4640"/>
        <item m="1" x="4641"/>
        <item m="1" x="4642"/>
        <item m="1" x="4643"/>
        <item m="1" x="4644"/>
        <item m="1" x="4645"/>
        <item m="1" x="4646"/>
        <item m="1" x="4647"/>
        <item x="618"/>
        <item m="1" x="4648"/>
        <item m="1" x="4649"/>
        <item m="1" x="4650"/>
        <item x="619"/>
        <item m="1" x="4651"/>
        <item m="1" x="4652"/>
        <item m="1" x="4653"/>
        <item m="1" x="4654"/>
        <item m="1" x="4655"/>
        <item m="1" x="4656"/>
        <item m="1" x="4657"/>
        <item x="620"/>
        <item m="1" x="4658"/>
        <item x="621"/>
        <item m="1" x="4659"/>
        <item m="1" x="4660"/>
        <item m="1" x="4661"/>
        <item m="1" x="4662"/>
        <item m="1" x="4663"/>
        <item m="1" x="4664"/>
        <item x="622"/>
        <item m="1" x="4665"/>
        <item m="1" x="4666"/>
        <item m="1" x="4667"/>
        <item m="1" x="4668"/>
        <item m="1" x="4669"/>
        <item m="1" x="4670"/>
        <item m="1" x="4671"/>
        <item m="1" x="4672"/>
        <item m="1" x="4673"/>
        <item x="623"/>
        <item m="1" x="4674"/>
        <item m="1" x="4675"/>
        <item m="1" x="4676"/>
        <item m="1" x="4677"/>
        <item m="1" x="4678"/>
        <item m="1" x="4679"/>
        <item m="1" x="4680"/>
        <item m="1" x="4681"/>
        <item m="1" x="4682"/>
        <item m="1" x="4683"/>
        <item m="1" x="4684"/>
        <item x="62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x="6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x="626"/>
        <item m="1" x="4756"/>
        <item m="1" x="4757"/>
        <item m="1" x="4758"/>
        <item m="1" x="4759"/>
        <item m="1" x="4760"/>
        <item m="1" x="4761"/>
        <item m="1" x="4762"/>
        <item m="1" x="4763"/>
        <item m="1" x="4764"/>
        <item m="1" x="4765"/>
        <item m="1" x="4766"/>
        <item m="1" x="4767"/>
        <item m="1" x="4768"/>
        <item m="1" x="4769"/>
        <item m="1" x="4770"/>
        <item m="1" x="4771"/>
        <item m="1" x="4772"/>
        <item m="1" x="4773"/>
        <item m="1" x="4774"/>
        <item x="627"/>
        <item m="1" x="4775"/>
        <item m="1" x="4776"/>
        <item x="628"/>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x="629"/>
        <item m="1" x="4833"/>
        <item m="1" x="4834"/>
        <item m="1" x="4835"/>
        <item m="1" x="4836"/>
        <item m="1" x="4837"/>
        <item m="1" x="4838"/>
        <item m="1" x="4839"/>
        <item m="1" x="4840"/>
        <item m="1" x="4841"/>
        <item m="1" x="4842"/>
        <item m="1" x="4843"/>
        <item m="1" x="4844"/>
        <item m="1" x="4845"/>
        <item m="1" x="4846"/>
        <item m="1" x="4847"/>
        <item m="1" x="4848"/>
        <item m="1" x="4849"/>
        <item x="630"/>
        <item m="1" x="4850"/>
        <item x="631"/>
        <item m="1" x="4851"/>
        <item x="632"/>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x="633"/>
        <item m="1" x="4885"/>
        <item m="1" x="4886"/>
        <item m="1" x="4887"/>
        <item m="1" x="4888"/>
        <item m="1" x="4889"/>
        <item m="1" x="4890"/>
        <item m="1" x="4891"/>
        <item m="1" x="4892"/>
        <item m="1" x="4893"/>
        <item m="1" x="4894"/>
        <item m="1" x="4895"/>
        <item m="1" x="4896"/>
        <item m="1" x="4897"/>
        <item m="1" x="4898"/>
        <item x="634"/>
        <item m="1" x="4899"/>
        <item m="1" x="4900"/>
        <item m="1" x="4901"/>
        <item m="1" x="4902"/>
        <item m="1" x="4903"/>
        <item m="1" x="4904"/>
        <item m="1" x="4905"/>
        <item x="635"/>
        <item m="1" x="4906"/>
        <item m="1" x="4907"/>
        <item m="1" x="4908"/>
        <item m="1" x="4909"/>
        <item m="1" x="4910"/>
        <item m="1" x="4911"/>
        <item m="1" x="4912"/>
        <item x="636"/>
        <item m="1" x="4913"/>
        <item m="1" x="4914"/>
        <item m="1" x="4915"/>
        <item m="1" x="4916"/>
        <item m="1" x="4917"/>
        <item m="1" x="4918"/>
        <item x="637"/>
        <item m="1" x="4919"/>
        <item m="1" x="4920"/>
        <item m="1" x="4921"/>
        <item m="1" x="4922"/>
        <item m="1" x="4923"/>
        <item m="1" x="4924"/>
        <item m="1" x="4925"/>
        <item x="638"/>
        <item m="1" x="4926"/>
        <item m="1" x="4927"/>
        <item m="1" x="4928"/>
        <item m="1" x="4929"/>
        <item m="1" x="4930"/>
        <item m="1" x="4931"/>
        <item m="1" x="4932"/>
        <item x="639"/>
        <item m="1" x="4933"/>
        <item m="1" x="4934"/>
        <item m="1" x="4935"/>
        <item x="640"/>
        <item m="1" x="4936"/>
        <item m="1" x="4937"/>
        <item m="1" x="4938"/>
        <item m="1" x="4939"/>
        <item m="1" x="4940"/>
        <item m="1" x="4941"/>
        <item m="1" x="4942"/>
        <item m="1" x="4943"/>
        <item m="1" x="4944"/>
        <item m="1" x="4945"/>
        <item m="1" x="4946"/>
        <item m="1" x="4947"/>
        <item m="1" x="4948"/>
        <item m="1" x="4949"/>
        <item x="641"/>
        <item m="1" x="4950"/>
        <item x="642"/>
        <item m="1" x="4951"/>
        <item m="1" x="4952"/>
        <item m="1" x="4953"/>
        <item m="1" x="4954"/>
        <item m="1" x="4955"/>
        <item x="643"/>
        <item m="1" x="4956"/>
        <item m="1" x="4957"/>
        <item m="1" x="4958"/>
        <item m="1" x="4959"/>
        <item m="1" x="4960"/>
        <item m="1" x="4961"/>
        <item m="1" x="4962"/>
        <item m="1" x="4963"/>
        <item m="1" x="4964"/>
        <item m="1" x="4965"/>
        <item m="1" x="4966"/>
        <item m="1" x="4967"/>
        <item m="1" x="4968"/>
        <item m="1" x="4969"/>
        <item m="1" x="4970"/>
        <item m="1" x="4971"/>
        <item m="1" x="4972"/>
        <item x="644"/>
        <item m="1" x="4973"/>
        <item m="1" x="4974"/>
        <item m="1" x="4975"/>
        <item m="1" x="4976"/>
        <item m="1" x="4977"/>
        <item m="1" x="4978"/>
        <item m="1" x="4979"/>
        <item m="1" x="4980"/>
        <item m="1" x="4981"/>
        <item x="645"/>
        <item x="646"/>
        <item m="1" x="4982"/>
        <item m="1" x="4983"/>
        <item m="1" x="4984"/>
        <item m="1" x="4985"/>
        <item m="1" x="4986"/>
        <item m="1" x="4987"/>
        <item m="1" x="4988"/>
        <item x="647"/>
        <item m="1" x="4989"/>
        <item m="1" x="4990"/>
        <item m="1" x="4991"/>
        <item m="1" x="4992"/>
        <item m="1" x="4993"/>
        <item m="1" x="4994"/>
        <item m="1" x="4995"/>
        <item m="1" x="4996"/>
        <item m="1" x="4997"/>
        <item m="1" x="4998"/>
        <item x="648"/>
        <item m="1" x="49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items count="17">
        <item m="1" x="8"/>
        <item m="1" x="12"/>
        <item m="1" x="7"/>
        <item m="1" x="10"/>
        <item m="1" x="9"/>
        <item m="1" x="11"/>
        <item m="1" x="14"/>
        <item m="1" x="13"/>
        <item m="1" x="15"/>
        <item m="1" x="6"/>
        <item x="2"/>
        <item x="0"/>
        <item x="1"/>
        <item x="3"/>
        <item x="4"/>
        <item x="5"/>
        <item t="default"/>
      </items>
    </pivotField>
    <pivotField showAll="0"/>
    <pivotField showAll="0"/>
    <pivotField dataField="1" showAll="0"/>
    <pivotField showAll="0"/>
    <pivotField showAll="0"/>
    <pivotField showAll="0"/>
    <pivotField showAll="0"/>
  </pivotFields>
  <rowFields count="1">
    <field x="0"/>
  </rowFields>
  <rowItems count="11">
    <i>
      <x v="4373"/>
    </i>
    <i>
      <x v="1501"/>
    </i>
    <i>
      <x v="616"/>
    </i>
    <i>
      <x v="485"/>
    </i>
    <i>
      <x v="1171"/>
    </i>
    <i>
      <x v="3502"/>
    </i>
    <i>
      <x v="750"/>
    </i>
    <i>
      <x v="925"/>
    </i>
    <i>
      <x v="2207"/>
    </i>
    <i>
      <x v="4978"/>
    </i>
    <i t="grand">
      <x/>
    </i>
  </rowItems>
  <colItems count="1">
    <i/>
  </colItems>
  <dataFields count="1">
    <dataField name="Average of Performance_Score" fld="10" subtotal="average" baseField="0" baseItem="0"/>
  </dataFields>
  <chartFormats count="2">
    <chartFormat chart="8"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2724AE-8C82-4A8C-8D51-462879FAC20A}" name="Avg_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1" firstHeaderRow="1" firstDataRow="1" firstDataCol="1"/>
  <pivotFields count="15">
    <pivotField showAll="0"/>
    <pivotField showAll="0"/>
    <pivotField axis="axisRow" showAll="0">
      <items count="7">
        <item x="3"/>
        <item x="0"/>
        <item x="1"/>
        <item x="5"/>
        <item x="4"/>
        <item x="2"/>
        <item t="default"/>
      </items>
    </pivotField>
    <pivotField showAll="0"/>
    <pivotField showAll="0"/>
    <pivotField showAll="0"/>
    <pivotField numFmtId="14" showAll="0"/>
    <pivotField showAll="0">
      <items count="17">
        <item m="1" x="8"/>
        <item m="1" x="12"/>
        <item m="1" x="7"/>
        <item m="1" x="10"/>
        <item m="1" x="9"/>
        <item m="1" x="11"/>
        <item m="1" x="14"/>
        <item m="1" x="13"/>
        <item m="1" x="15"/>
        <item m="1" x="6"/>
        <item x="2"/>
        <item x="0"/>
        <item x="1"/>
        <item x="3"/>
        <item x="4"/>
        <item x="5"/>
        <item t="default"/>
      </items>
    </pivotField>
    <pivotField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Average of Salary_USD" fld="12" subtotal="average" baseField="0" baseItem="0"/>
  </dataFields>
  <formats count="1">
    <format dxfId="1">
      <pivotArea collapsedLevelsAreSubtotals="1" fieldPosition="0">
        <references count="1">
          <reference field="2" count="0"/>
        </references>
      </pivotArea>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A91D1B-0380-42AD-9340-D815D4A0FC66}" name="Dept.Employe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9" firstHeaderRow="1" firstDataRow="2" firstDataCol="1"/>
  <pivotFields count="15">
    <pivotField dataField="1" showAll="0"/>
    <pivotField showAll="0"/>
    <pivotField axis="axisRow" showAll="0">
      <items count="7">
        <item x="3"/>
        <item x="0"/>
        <item x="1"/>
        <item x="5"/>
        <item x="4"/>
        <item x="2"/>
        <item t="default"/>
      </items>
    </pivotField>
    <pivotField axis="axisCol" showAll="0" sortType="descending">
      <items count="3">
        <item x="0"/>
        <item x="1"/>
        <item t="default"/>
      </items>
    </pivotField>
    <pivotField showAll="0"/>
    <pivotField showAll="0"/>
    <pivotField numFmtId="14" showAll="0"/>
    <pivotField showAll="0">
      <items count="17">
        <item m="1" x="8"/>
        <item m="1" x="12"/>
        <item m="1" x="7"/>
        <item m="1" x="10"/>
        <item m="1" x="9"/>
        <item m="1" x="11"/>
        <item m="1" x="14"/>
        <item m="1" x="13"/>
        <item m="1" x="15"/>
        <item m="1" x="6"/>
        <item x="2"/>
        <item x="0"/>
        <item x="1"/>
        <item x="3"/>
        <item x="4"/>
        <item x="5"/>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3"/>
  </colFields>
  <colItems count="3">
    <i>
      <x/>
    </i>
    <i>
      <x v="1"/>
    </i>
    <i t="grand">
      <x/>
    </i>
  </colItems>
  <dataFields count="1">
    <dataField name="Count of Employee_ID" fld="0" subtotal="count" baseField="0" baseItem="0"/>
  </dataFields>
  <conditionalFormats count="1">
    <conditionalFormat priority="4">
      <pivotAreas count="1">
        <pivotArea type="data" collapsedLevelsAreSubtotals="1" fieldPosition="0">
          <references count="3">
            <reference field="4294967294" count="1" selected="0">
              <x v="0"/>
            </reference>
            <reference field="2" count="6">
              <x v="0"/>
              <x v="1"/>
              <x v="2"/>
              <x v="3"/>
              <x v="4"/>
              <x v="5"/>
            </reference>
            <reference field="3"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A9EF7-FDC6-434F-91EC-AB5BBE0B1AAA}" name="Yearr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A100" firstHeaderRow="1" firstDataRow="1" firstDataCol="1"/>
  <pivotFields count="15">
    <pivotField showAll="0"/>
    <pivotField showAll="0"/>
    <pivotField showAll="0"/>
    <pivotField showAll="0"/>
    <pivotField showAll="0"/>
    <pivotField showAll="0"/>
    <pivotField numFmtId="14" showAll="0"/>
    <pivotField axis="axisRow" showAll="0">
      <items count="17">
        <item m="1" x="8"/>
        <item m="1" x="12"/>
        <item m="1" x="7"/>
        <item m="1" x="10"/>
        <item m="1" x="9"/>
        <item m="1" x="11"/>
        <item m="1" x="14"/>
        <item m="1" x="13"/>
        <item m="1" x="15"/>
        <item m="1" x="6"/>
        <item x="2"/>
        <item x="0"/>
        <item x="1"/>
        <item x="3"/>
        <item x="4"/>
        <item x="5"/>
        <item t="default"/>
      </items>
    </pivotField>
    <pivotField showAll="0"/>
    <pivotField showAll="0"/>
    <pivotField showAll="0"/>
    <pivotField showAll="0"/>
    <pivotField showAll="0"/>
    <pivotField showAll="0"/>
    <pivotField showAll="0"/>
  </pivotFields>
  <rowFields count="1">
    <field x="7"/>
  </rowFields>
  <rowItems count="7">
    <i>
      <x v="10"/>
    </i>
    <i>
      <x v="11"/>
    </i>
    <i>
      <x v="12"/>
    </i>
    <i>
      <x v="13"/>
    </i>
    <i>
      <x v="14"/>
    </i>
    <i>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58FD75-8127-42DA-B0FC-7F5197B64C82}" name="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A84" firstHeaderRow="1" firstDataRow="1" firstDataCol="1"/>
  <pivotFields count="15">
    <pivotField showAll="0"/>
    <pivotField showAll="0"/>
    <pivotField axis="axisRow" showAll="0">
      <items count="7">
        <item x="3"/>
        <item x="0"/>
        <item x="1"/>
        <item x="5"/>
        <item x="4"/>
        <item x="2"/>
        <item t="default"/>
      </items>
    </pivotField>
    <pivotField showAll="0"/>
    <pivotField showAll="0"/>
    <pivotField showAll="0"/>
    <pivotField numFmtId="14" showAll="0"/>
    <pivotField showAll="0">
      <items count="17">
        <item m="1" x="8"/>
        <item m="1" x="12"/>
        <item m="1" x="7"/>
        <item m="1" x="10"/>
        <item m="1" x="9"/>
        <item m="1" x="11"/>
        <item m="1" x="14"/>
        <item m="1" x="13"/>
        <item m="1" x="15"/>
        <item m="1" x="6"/>
        <item x="2"/>
        <item x="0"/>
        <item x="1"/>
        <item x="3"/>
        <item x="4"/>
        <item x="5"/>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218631-8E8E-4B2E-AAF4-FC522C131589}" name="TenureYRDistr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E53" firstHeaderRow="1" firstDataRow="2" firstDataCol="1"/>
  <pivotFields count="15">
    <pivotField dataField="1" showAll="0"/>
    <pivotField showAll="0"/>
    <pivotField axis="axisRow" showAll="0" sortType="descending">
      <items count="7">
        <item x="3"/>
        <item x="0"/>
        <item x="1"/>
        <item x="5"/>
        <item x="4"/>
        <item x="2"/>
        <item t="default"/>
      </items>
      <autoSortScope>
        <pivotArea dataOnly="0" outline="0" fieldPosition="0">
          <references count="2">
            <reference field="4294967294" count="1" selected="0">
              <x v="0"/>
            </reference>
            <reference field="14" count="1" selected="0">
              <x v="1"/>
            </reference>
          </references>
        </pivotArea>
      </autoSortScope>
    </pivotField>
    <pivotField showAll="0"/>
    <pivotField showAll="0"/>
    <pivotField showAll="0"/>
    <pivotField numFmtId="14" showAll="0"/>
    <pivotField showAll="0">
      <items count="17">
        <item m="1" x="8"/>
        <item m="1" x="12"/>
        <item m="1" x="7"/>
        <item m="1" x="10"/>
        <item m="1" x="9"/>
        <item m="1" x="11"/>
        <item m="1" x="14"/>
        <item m="1" x="13"/>
        <item m="1" x="15"/>
        <item m="1" x="6"/>
        <item x="2"/>
        <item x="0"/>
        <item x="1"/>
        <item x="3"/>
        <item x="4"/>
        <item x="5"/>
        <item t="default"/>
      </items>
    </pivotField>
    <pivotField showAll="0"/>
    <pivotField showAll="0"/>
    <pivotField showAll="0"/>
    <pivotField showAll="0"/>
    <pivotField showAll="0"/>
    <pivotField showAll="0"/>
    <pivotField axis="axisCol" showAll="0">
      <items count="5">
        <item x="2"/>
        <item x="0"/>
        <item x="1"/>
        <item m="1" x="3"/>
        <item t="default"/>
      </items>
    </pivotField>
  </pivotFields>
  <rowFields count="1">
    <field x="2"/>
  </rowFields>
  <rowItems count="7">
    <i>
      <x v="2"/>
    </i>
    <i>
      <x v="3"/>
    </i>
    <i>
      <x/>
    </i>
    <i>
      <x v="4"/>
    </i>
    <i>
      <x v="1"/>
    </i>
    <i>
      <x v="5"/>
    </i>
    <i t="grand">
      <x/>
    </i>
  </rowItems>
  <colFields count="1">
    <field x="14"/>
  </colFields>
  <colItems count="4">
    <i>
      <x/>
    </i>
    <i>
      <x v="1"/>
    </i>
    <i>
      <x v="2"/>
    </i>
    <i t="grand">
      <x/>
    </i>
  </colItems>
  <dataFields count="1">
    <dataField name="Count of Employee_ID" fld="0" subtotal="count" baseField="0" baseItem="0"/>
  </dataFields>
  <conditionalFormats count="1">
    <conditionalFormat priority="1">
      <pivotAreas count="1">
        <pivotArea type="data" collapsedLevelsAreSubtotals="1" fieldPosition="0">
          <references count="3">
            <reference field="4294967294" count="1" selected="0">
              <x v="0"/>
            </reference>
            <reference field="2" count="6">
              <x v="0"/>
              <x v="1"/>
              <x v="2"/>
              <x v="3"/>
              <x v="4"/>
              <x v="5"/>
            </reference>
            <reference field="14" count="3" selected="0">
              <x v="0"/>
              <x v="1"/>
              <x v="2"/>
            </reference>
          </references>
        </pivotArea>
      </pivotAreas>
    </conditionalFormat>
  </conditionalFormats>
  <chartFormats count="4">
    <chartFormat chart="4" format="10" series="1">
      <pivotArea type="data" outline="0" fieldPosition="0">
        <references count="2">
          <reference field="4294967294" count="1" selected="0">
            <x v="0"/>
          </reference>
          <reference field="14" count="1" selected="0">
            <x v="0"/>
          </reference>
        </references>
      </pivotArea>
    </chartFormat>
    <chartFormat chart="4" format="11" series="1">
      <pivotArea type="data" outline="0" fieldPosition="0">
        <references count="2">
          <reference field="4294967294" count="1" selected="0">
            <x v="0"/>
          </reference>
          <reference field="14" count="1" selected="0">
            <x v="1"/>
          </reference>
        </references>
      </pivotArea>
    </chartFormat>
    <chartFormat chart="4" format="12" series="1">
      <pivotArea type="data" outline="0" fieldPosition="0">
        <references count="2">
          <reference field="4294967294" count="1" selected="0">
            <x v="0"/>
          </reference>
          <reference field="14" count="1" selected="0">
            <x v="2"/>
          </reference>
        </references>
      </pivotArea>
    </chartFormat>
    <chartFormat chart="4" format="1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CC18E5-7671-4053-BCF1-1B56A1FE3652}" name="AvgPvsAvg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C40" firstHeaderRow="0" firstDataRow="1" firstDataCol="1"/>
  <pivotFields count="15">
    <pivotField showAll="0"/>
    <pivotField showAll="0"/>
    <pivotField showAll="0">
      <items count="7">
        <item x="3"/>
        <item x="0"/>
        <item x="1"/>
        <item x="5"/>
        <item x="4"/>
        <item x="2"/>
        <item t="default"/>
      </items>
    </pivotField>
    <pivotField showAll="0"/>
    <pivotField showAll="0"/>
    <pivotField showAll="0"/>
    <pivotField numFmtId="14" showAll="0"/>
    <pivotField showAll="0">
      <items count="17">
        <item m="1" x="8"/>
        <item m="1" x="12"/>
        <item m="1" x="7"/>
        <item m="1" x="10"/>
        <item m="1" x="9"/>
        <item m="1" x="11"/>
        <item m="1" x="14"/>
        <item m="1" x="13"/>
        <item m="1" x="15"/>
        <item m="1" x="6"/>
        <item x="2"/>
        <item x="0"/>
        <item x="1"/>
        <item x="3"/>
        <item x="4"/>
        <item x="5"/>
        <item t="default"/>
      </items>
    </pivotField>
    <pivotField axis="axisRow" showAll="0">
      <items count="13">
        <item x="2"/>
        <item x="9"/>
        <item x="0"/>
        <item x="6"/>
        <item x="1"/>
        <item x="5"/>
        <item x="4"/>
        <item x="11"/>
        <item x="7"/>
        <item x="10"/>
        <item x="3"/>
        <item x="8"/>
        <item t="default"/>
      </items>
    </pivotField>
    <pivotField showAll="0"/>
    <pivotField dataField="1" showAll="0"/>
    <pivotField dataField="1" showAll="0"/>
    <pivotField showAll="0"/>
    <pivotField showAll="0"/>
    <pivotField showAll="0"/>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Avg_Absences" fld="11" subtotal="average" baseField="8" baseItem="0"/>
    <dataField name="Avg_Performance" fld="10" subtotal="average" baseField="8" baseItem="0"/>
  </dataFields>
  <formats count="1">
    <format dxfId="2">
      <pivotArea collapsedLevelsAreSubtotals="1" fieldPosition="0">
        <references count="1">
          <reference field="8" count="0"/>
        </references>
      </pivotArea>
    </format>
  </formats>
  <conditionalFormats count="2">
    <conditionalFormat priority="3">
      <pivotAreas count="1">
        <pivotArea type="data" collapsedLevelsAreSubtotals="1" fieldPosition="0">
          <references count="2">
            <reference field="4294967294" count="1" selected="0">
              <x v="1"/>
            </reference>
            <reference field="8" count="12">
              <x v="0"/>
              <x v="1"/>
              <x v="2"/>
              <x v="3"/>
              <x v="4"/>
              <x v="5"/>
              <x v="6"/>
              <x v="7"/>
              <x v="8"/>
              <x v="9"/>
              <x v="10"/>
              <x v="11"/>
            </reference>
          </references>
        </pivotArea>
      </pivotAreas>
    </conditionalFormat>
    <conditionalFormat priority="2">
      <pivotAreas count="1">
        <pivotArea type="data" collapsedLevelsAreSubtotals="1" fieldPosition="0">
          <references count="2">
            <reference field="4294967294" count="1" selected="0">
              <x v="0"/>
            </reference>
            <reference field="8" count="12">
              <x v="0"/>
              <x v="1"/>
              <x v="2"/>
              <x v="3"/>
              <x v="4"/>
              <x v="5"/>
              <x v="6"/>
              <x v="7"/>
              <x v="8"/>
              <x v="9"/>
              <x v="10"/>
              <x v="11"/>
            </reference>
          </references>
        </pivotArea>
      </pivotAreas>
    </conditionalFormat>
  </conditionalFormats>
  <chartFormats count="2">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6054DD-66E8-41EC-BBE6-4F2413460086}" name="LowPer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46:B157" firstHeaderRow="1" firstDataRow="1" firstDataCol="1"/>
  <pivotFields count="15">
    <pivotField axis="axisRow" showAll="0" measureFilter="1" sortType="descending">
      <items count="5001">
        <item m="1" x="649"/>
        <item m="1" x="651"/>
        <item m="1" x="652"/>
        <item m="1" x="653"/>
        <item m="1" x="650"/>
        <item x="0"/>
        <item x="1"/>
        <item x="2"/>
        <item x="3"/>
        <item x="4"/>
        <item x="6"/>
        <item m="1" x="654"/>
        <item m="1" x="655"/>
        <item m="1" x="656"/>
        <item x="5"/>
        <item m="1" x="657"/>
        <item m="1" x="658"/>
        <item m="1" x="659"/>
        <item m="1" x="660"/>
        <item m="1" x="661"/>
        <item m="1" x="662"/>
        <item m="1" x="663"/>
        <item m="1" x="664"/>
        <item m="1" x="665"/>
        <item m="1" x="666"/>
        <item m="1" x="667"/>
        <item x="7"/>
        <item x="8"/>
        <item m="1" x="668"/>
        <item m="1" x="669"/>
        <item x="9"/>
        <item m="1" x="670"/>
        <item m="1" x="671"/>
        <item x="10"/>
        <item m="1" x="672"/>
        <item m="1" x="673"/>
        <item m="1" x="674"/>
        <item x="11"/>
        <item m="1" x="675"/>
        <item m="1" x="676"/>
        <item m="1" x="677"/>
        <item m="1" x="678"/>
        <item m="1" x="679"/>
        <item x="12"/>
        <item m="1" x="680"/>
        <item x="13"/>
        <item m="1" x="681"/>
        <item m="1" x="682"/>
        <item x="14"/>
        <item m="1" x="683"/>
        <item m="1" x="684"/>
        <item m="1" x="685"/>
        <item m="1" x="686"/>
        <item x="15"/>
        <item m="1" x="687"/>
        <item m="1" x="688"/>
        <item m="1" x="689"/>
        <item x="16"/>
        <item m="1" x="690"/>
        <item m="1" x="691"/>
        <item m="1" x="692"/>
        <item m="1" x="693"/>
        <item m="1" x="694"/>
        <item x="17"/>
        <item m="1" x="695"/>
        <item x="18"/>
        <item x="19"/>
        <item x="20"/>
        <item x="21"/>
        <item m="1" x="696"/>
        <item m="1" x="697"/>
        <item m="1" x="698"/>
        <item x="22"/>
        <item m="1" x="699"/>
        <item m="1" x="700"/>
        <item m="1" x="701"/>
        <item m="1" x="702"/>
        <item m="1" x="703"/>
        <item m="1" x="704"/>
        <item m="1" x="705"/>
        <item m="1" x="706"/>
        <item x="23"/>
        <item x="24"/>
        <item m="1" x="707"/>
        <item x="25"/>
        <item m="1" x="708"/>
        <item m="1" x="709"/>
        <item x="26"/>
        <item x="27"/>
        <item m="1" x="710"/>
        <item x="28"/>
        <item x="29"/>
        <item m="1" x="711"/>
        <item m="1" x="712"/>
        <item x="30"/>
        <item x="31"/>
        <item x="32"/>
        <item x="33"/>
        <item x="34"/>
        <item m="1" x="713"/>
        <item m="1" x="714"/>
        <item x="35"/>
        <item m="1" x="715"/>
        <item m="1" x="716"/>
        <item m="1" x="717"/>
        <item m="1" x="718"/>
        <item m="1" x="719"/>
        <item x="36"/>
        <item x="37"/>
        <item m="1" x="720"/>
        <item m="1" x="721"/>
        <item x="38"/>
        <item x="39"/>
        <item x="40"/>
        <item m="1" x="722"/>
        <item x="41"/>
        <item x="42"/>
        <item m="1" x="723"/>
        <item x="43"/>
        <item m="1" x="724"/>
        <item x="44"/>
        <item x="45"/>
        <item x="46"/>
        <item m="1" x="725"/>
        <item x="47"/>
        <item m="1" x="726"/>
        <item m="1" x="727"/>
        <item x="48"/>
        <item m="1" x="728"/>
        <item m="1" x="729"/>
        <item x="49"/>
        <item m="1" x="730"/>
        <item x="50"/>
        <item x="51"/>
        <item m="1" x="731"/>
        <item m="1" x="732"/>
        <item m="1" x="733"/>
        <item m="1" x="734"/>
        <item m="1" x="735"/>
        <item x="52"/>
        <item x="53"/>
        <item m="1" x="736"/>
        <item m="1" x="737"/>
        <item x="54"/>
        <item m="1" x="738"/>
        <item m="1" x="739"/>
        <item m="1" x="740"/>
        <item x="55"/>
        <item m="1" x="741"/>
        <item x="56"/>
        <item m="1" x="742"/>
        <item x="57"/>
        <item m="1" x="743"/>
        <item x="58"/>
        <item m="1" x="744"/>
        <item m="1" x="745"/>
        <item m="1" x="746"/>
        <item m="1" x="747"/>
        <item m="1" x="748"/>
        <item m="1" x="749"/>
        <item m="1" x="750"/>
        <item m="1" x="751"/>
        <item m="1" x="752"/>
        <item m="1" x="753"/>
        <item m="1" x="754"/>
        <item x="59"/>
        <item m="1" x="755"/>
        <item m="1" x="756"/>
        <item m="1" x="757"/>
        <item x="60"/>
        <item m="1" x="758"/>
        <item x="61"/>
        <item m="1" x="759"/>
        <item m="1" x="760"/>
        <item m="1" x="761"/>
        <item m="1" x="762"/>
        <item m="1" x="763"/>
        <item m="1" x="764"/>
        <item m="1" x="765"/>
        <item x="62"/>
        <item x="63"/>
        <item x="64"/>
        <item m="1" x="766"/>
        <item x="65"/>
        <item m="1" x="767"/>
        <item m="1" x="768"/>
        <item m="1" x="769"/>
        <item m="1" x="770"/>
        <item x="66"/>
        <item x="67"/>
        <item x="68"/>
        <item m="1" x="771"/>
        <item m="1" x="772"/>
        <item m="1" x="773"/>
        <item m="1" x="774"/>
        <item m="1" x="775"/>
        <item m="1" x="776"/>
        <item x="69"/>
        <item x="70"/>
        <item m="1" x="777"/>
        <item x="71"/>
        <item m="1" x="778"/>
        <item m="1" x="779"/>
        <item x="72"/>
        <item x="73"/>
        <item m="1" x="780"/>
        <item x="74"/>
        <item m="1" x="781"/>
        <item m="1" x="782"/>
        <item m="1" x="783"/>
        <item x="75"/>
        <item m="1" x="784"/>
        <item x="76"/>
        <item m="1" x="785"/>
        <item x="77"/>
        <item m="1" x="786"/>
        <item m="1" x="787"/>
        <item m="1" x="788"/>
        <item m="1" x="789"/>
        <item x="78"/>
        <item m="1" x="790"/>
        <item m="1" x="791"/>
        <item m="1" x="792"/>
        <item m="1" x="793"/>
        <item x="79"/>
        <item m="1" x="794"/>
        <item x="80"/>
        <item x="81"/>
        <item m="1" x="795"/>
        <item m="1" x="796"/>
        <item m="1" x="797"/>
        <item m="1" x="798"/>
        <item m="1" x="799"/>
        <item m="1" x="800"/>
        <item m="1" x="801"/>
        <item m="1" x="802"/>
        <item m="1" x="803"/>
        <item m="1" x="804"/>
        <item x="82"/>
        <item x="83"/>
        <item x="84"/>
        <item m="1" x="805"/>
        <item x="85"/>
        <item m="1" x="806"/>
        <item m="1" x="807"/>
        <item x="86"/>
        <item m="1" x="808"/>
        <item m="1" x="809"/>
        <item x="87"/>
        <item m="1" x="810"/>
        <item x="88"/>
        <item x="89"/>
        <item x="90"/>
        <item m="1" x="811"/>
        <item m="1" x="812"/>
        <item m="1" x="813"/>
        <item m="1" x="814"/>
        <item m="1" x="815"/>
        <item x="91"/>
        <item m="1" x="816"/>
        <item m="1" x="817"/>
        <item m="1" x="818"/>
        <item m="1" x="819"/>
        <item m="1" x="820"/>
        <item x="92"/>
        <item m="1" x="821"/>
        <item m="1" x="822"/>
        <item m="1" x="823"/>
        <item m="1" x="824"/>
        <item m="1" x="825"/>
        <item x="93"/>
        <item x="94"/>
        <item x="95"/>
        <item m="1" x="826"/>
        <item x="96"/>
        <item m="1" x="827"/>
        <item x="97"/>
        <item m="1" x="828"/>
        <item m="1" x="829"/>
        <item x="98"/>
        <item m="1" x="830"/>
        <item m="1" x="831"/>
        <item m="1" x="832"/>
        <item x="99"/>
        <item m="1" x="833"/>
        <item m="1" x="834"/>
        <item x="100"/>
        <item m="1" x="835"/>
        <item m="1" x="836"/>
        <item x="101"/>
        <item x="102"/>
        <item m="1" x="837"/>
        <item x="103"/>
        <item m="1" x="838"/>
        <item x="104"/>
        <item m="1" x="839"/>
        <item m="1" x="840"/>
        <item m="1" x="841"/>
        <item x="105"/>
        <item m="1" x="842"/>
        <item m="1" x="843"/>
        <item m="1" x="844"/>
        <item x="106"/>
        <item m="1" x="845"/>
        <item m="1" x="846"/>
        <item m="1" x="847"/>
        <item m="1" x="848"/>
        <item m="1" x="849"/>
        <item m="1" x="850"/>
        <item m="1" x="851"/>
        <item m="1" x="852"/>
        <item m="1" x="853"/>
        <item m="1" x="854"/>
        <item x="107"/>
        <item x="108"/>
        <item m="1" x="855"/>
        <item x="109"/>
        <item m="1" x="856"/>
        <item x="110"/>
        <item m="1" x="857"/>
        <item x="111"/>
        <item m="1" x="858"/>
        <item x="112"/>
        <item m="1" x="859"/>
        <item x="113"/>
        <item x="114"/>
        <item m="1" x="860"/>
        <item m="1" x="861"/>
        <item m="1" x="862"/>
        <item m="1" x="863"/>
        <item x="115"/>
        <item m="1" x="864"/>
        <item m="1" x="865"/>
        <item m="1" x="866"/>
        <item m="1" x="867"/>
        <item m="1" x="868"/>
        <item m="1" x="869"/>
        <item m="1" x="870"/>
        <item x="116"/>
        <item m="1" x="871"/>
        <item m="1" x="872"/>
        <item x="117"/>
        <item m="1" x="873"/>
        <item m="1" x="874"/>
        <item m="1" x="875"/>
        <item m="1" x="876"/>
        <item m="1" x="877"/>
        <item x="118"/>
        <item m="1" x="878"/>
        <item m="1" x="879"/>
        <item m="1" x="880"/>
        <item m="1" x="881"/>
        <item x="119"/>
        <item m="1" x="882"/>
        <item m="1" x="883"/>
        <item m="1" x="884"/>
        <item m="1" x="885"/>
        <item m="1" x="886"/>
        <item m="1" x="887"/>
        <item m="1" x="888"/>
        <item x="120"/>
        <item m="1" x="889"/>
        <item m="1" x="890"/>
        <item x="121"/>
        <item m="1" x="891"/>
        <item m="1" x="892"/>
        <item x="122"/>
        <item m="1" x="893"/>
        <item x="123"/>
        <item m="1" x="894"/>
        <item m="1" x="895"/>
        <item m="1" x="896"/>
        <item x="124"/>
        <item m="1" x="897"/>
        <item m="1" x="898"/>
        <item x="125"/>
        <item m="1" x="899"/>
        <item m="1" x="900"/>
        <item m="1" x="901"/>
        <item m="1" x="902"/>
        <item m="1" x="903"/>
        <item m="1" x="904"/>
        <item m="1" x="905"/>
        <item x="126"/>
        <item m="1" x="906"/>
        <item m="1" x="907"/>
        <item m="1" x="908"/>
        <item m="1" x="909"/>
        <item x="127"/>
        <item m="1" x="910"/>
        <item m="1" x="911"/>
        <item x="128"/>
        <item m="1" x="912"/>
        <item m="1" x="913"/>
        <item x="129"/>
        <item m="1" x="914"/>
        <item x="130"/>
        <item m="1" x="915"/>
        <item x="131"/>
        <item m="1" x="916"/>
        <item m="1" x="917"/>
        <item x="132"/>
        <item m="1" x="918"/>
        <item x="133"/>
        <item m="1" x="919"/>
        <item x="134"/>
        <item m="1" x="920"/>
        <item m="1" x="921"/>
        <item m="1" x="922"/>
        <item m="1" x="923"/>
        <item m="1" x="924"/>
        <item m="1" x="925"/>
        <item m="1" x="926"/>
        <item m="1" x="927"/>
        <item m="1" x="928"/>
        <item x="135"/>
        <item x="136"/>
        <item x="137"/>
        <item x="138"/>
        <item m="1" x="929"/>
        <item x="139"/>
        <item m="1" x="930"/>
        <item x="140"/>
        <item m="1" x="931"/>
        <item m="1" x="932"/>
        <item m="1" x="933"/>
        <item m="1" x="934"/>
        <item x="141"/>
        <item m="1" x="935"/>
        <item x="142"/>
        <item x="143"/>
        <item m="1" x="936"/>
        <item m="1" x="937"/>
        <item m="1" x="938"/>
        <item x="144"/>
        <item m="1" x="939"/>
        <item x="145"/>
        <item x="146"/>
        <item x="147"/>
        <item x="148"/>
        <item m="1" x="940"/>
        <item x="149"/>
        <item m="1" x="941"/>
        <item m="1" x="942"/>
        <item x="150"/>
        <item x="151"/>
        <item m="1" x="943"/>
        <item x="152"/>
        <item m="1" x="944"/>
        <item m="1" x="945"/>
        <item m="1" x="946"/>
        <item x="153"/>
        <item m="1" x="947"/>
        <item m="1" x="948"/>
        <item x="154"/>
        <item m="1" x="949"/>
        <item m="1" x="950"/>
        <item m="1" x="951"/>
        <item m="1" x="952"/>
        <item x="155"/>
        <item x="156"/>
        <item m="1" x="953"/>
        <item m="1" x="954"/>
        <item x="157"/>
        <item x="158"/>
        <item m="1" x="955"/>
        <item m="1" x="956"/>
        <item m="1" x="957"/>
        <item m="1" x="958"/>
        <item m="1" x="959"/>
        <item x="159"/>
        <item x="160"/>
        <item m="1" x="960"/>
        <item m="1" x="961"/>
        <item x="161"/>
        <item m="1" x="962"/>
        <item m="1" x="963"/>
        <item m="1" x="964"/>
        <item m="1" x="965"/>
        <item m="1" x="966"/>
        <item x="162"/>
        <item m="1" x="967"/>
        <item m="1" x="968"/>
        <item x="163"/>
        <item m="1" x="969"/>
        <item x="164"/>
        <item m="1" x="970"/>
        <item x="165"/>
        <item x="166"/>
        <item x="167"/>
        <item x="168"/>
        <item m="1" x="971"/>
        <item x="169"/>
        <item m="1" x="972"/>
        <item m="1" x="973"/>
        <item x="170"/>
        <item m="1" x="974"/>
        <item m="1" x="975"/>
        <item x="171"/>
        <item x="172"/>
        <item m="1" x="976"/>
        <item x="173"/>
        <item m="1" x="977"/>
        <item x="174"/>
        <item x="175"/>
        <item x="176"/>
        <item x="177"/>
        <item m="1" x="978"/>
        <item m="1" x="979"/>
        <item m="1" x="980"/>
        <item m="1" x="981"/>
        <item m="1" x="982"/>
        <item x="178"/>
        <item x="179"/>
        <item m="1" x="983"/>
        <item x="180"/>
        <item m="1" x="984"/>
        <item m="1" x="985"/>
        <item m="1" x="986"/>
        <item m="1" x="987"/>
        <item m="1" x="988"/>
        <item x="181"/>
        <item x="182"/>
        <item m="1" x="989"/>
        <item m="1" x="990"/>
        <item m="1" x="991"/>
        <item m="1" x="992"/>
        <item x="183"/>
        <item x="184"/>
        <item m="1" x="993"/>
        <item x="185"/>
        <item x="186"/>
        <item m="1" x="994"/>
        <item x="187"/>
        <item x="188"/>
        <item m="1" x="995"/>
        <item m="1" x="996"/>
        <item m="1" x="997"/>
        <item m="1" x="998"/>
        <item m="1" x="999"/>
        <item m="1" x="1000"/>
        <item x="189"/>
        <item m="1" x="1001"/>
        <item m="1" x="1002"/>
        <item m="1" x="1003"/>
        <item m="1" x="1004"/>
        <item m="1" x="1005"/>
        <item x="190"/>
        <item x="191"/>
        <item m="1" x="1006"/>
        <item m="1" x="1007"/>
        <item x="192"/>
        <item m="1" x="1008"/>
        <item m="1" x="1009"/>
        <item m="1" x="1010"/>
        <item x="193"/>
        <item m="1" x="1011"/>
        <item x="194"/>
        <item m="1" x="1012"/>
        <item x="195"/>
        <item m="1" x="1013"/>
        <item m="1" x="1014"/>
        <item m="1" x="1015"/>
        <item m="1" x="1016"/>
        <item m="1" x="1017"/>
        <item m="1" x="1018"/>
        <item x="196"/>
        <item m="1" x="1019"/>
        <item m="1" x="1020"/>
        <item m="1" x="1021"/>
        <item x="197"/>
        <item m="1" x="1022"/>
        <item m="1" x="1023"/>
        <item m="1" x="1024"/>
        <item m="1" x="1025"/>
        <item x="198"/>
        <item x="199"/>
        <item m="1" x="1026"/>
        <item m="1" x="1027"/>
        <item m="1" x="1028"/>
        <item x="200"/>
        <item m="1" x="1029"/>
        <item m="1" x="1030"/>
        <item m="1" x="1031"/>
        <item x="201"/>
        <item x="202"/>
        <item x="203"/>
        <item m="1" x="1032"/>
        <item m="1" x="1033"/>
        <item x="204"/>
        <item m="1" x="1034"/>
        <item x="205"/>
        <item m="1" x="1035"/>
        <item m="1" x="1036"/>
        <item x="206"/>
        <item m="1" x="1037"/>
        <item m="1" x="1038"/>
        <item m="1" x="1039"/>
        <item m="1" x="1040"/>
        <item m="1" x="1041"/>
        <item m="1" x="1042"/>
        <item m="1" x="1043"/>
        <item x="207"/>
        <item m="1" x="1044"/>
        <item x="208"/>
        <item m="1" x="1045"/>
        <item m="1" x="1046"/>
        <item x="209"/>
        <item m="1" x="1047"/>
        <item m="1" x="1048"/>
        <item m="1" x="1049"/>
        <item m="1" x="1050"/>
        <item m="1" x="1051"/>
        <item m="1" x="1052"/>
        <item m="1" x="1053"/>
        <item x="210"/>
        <item x="211"/>
        <item m="1" x="1054"/>
        <item x="212"/>
        <item x="213"/>
        <item m="1" x="1055"/>
        <item m="1" x="1056"/>
        <item x="214"/>
        <item x="215"/>
        <item m="1" x="1057"/>
        <item m="1" x="1058"/>
        <item x="216"/>
        <item m="1" x="1059"/>
        <item m="1" x="1060"/>
        <item m="1" x="1061"/>
        <item m="1" x="1062"/>
        <item m="1" x="1063"/>
        <item m="1" x="1064"/>
        <item x="217"/>
        <item m="1" x="1065"/>
        <item x="218"/>
        <item x="219"/>
        <item x="220"/>
        <item m="1" x="1066"/>
        <item x="221"/>
        <item m="1" x="1067"/>
        <item m="1" x="1068"/>
        <item x="222"/>
        <item m="1" x="1069"/>
        <item m="1" x="1070"/>
        <item m="1" x="1071"/>
        <item m="1" x="1072"/>
        <item x="223"/>
        <item x="224"/>
        <item x="225"/>
        <item m="1" x="1073"/>
        <item x="226"/>
        <item m="1" x="1074"/>
        <item x="227"/>
        <item m="1" x="1075"/>
        <item m="1" x="1076"/>
        <item m="1" x="1077"/>
        <item m="1" x="1078"/>
        <item m="1" x="1079"/>
        <item x="228"/>
        <item m="1" x="1080"/>
        <item x="229"/>
        <item x="230"/>
        <item m="1" x="1081"/>
        <item m="1" x="1082"/>
        <item x="231"/>
        <item m="1" x="1083"/>
        <item m="1" x="1084"/>
        <item m="1" x="1085"/>
        <item x="232"/>
        <item m="1" x="1086"/>
        <item m="1" x="1087"/>
        <item m="1" x="1088"/>
        <item m="1" x="1089"/>
        <item m="1" x="1090"/>
        <item m="1" x="1091"/>
        <item x="233"/>
        <item m="1" x="1092"/>
        <item m="1" x="1093"/>
        <item x="234"/>
        <item m="1" x="1094"/>
        <item m="1" x="1095"/>
        <item m="1" x="1096"/>
        <item m="1" x="1097"/>
        <item x="235"/>
        <item x="236"/>
        <item x="237"/>
        <item x="238"/>
        <item m="1" x="1098"/>
        <item x="239"/>
        <item m="1" x="1099"/>
        <item x="240"/>
        <item m="1" x="1100"/>
        <item x="241"/>
        <item x="242"/>
        <item x="243"/>
        <item m="1" x="1101"/>
        <item x="244"/>
        <item m="1" x="1102"/>
        <item x="245"/>
        <item m="1" x="1103"/>
        <item m="1" x="1104"/>
        <item x="246"/>
        <item x="247"/>
        <item m="1" x="1105"/>
        <item m="1" x="1106"/>
        <item m="1" x="1107"/>
        <item m="1" x="1108"/>
        <item x="248"/>
        <item m="1" x="1109"/>
        <item m="1" x="1110"/>
        <item m="1" x="1111"/>
        <item m="1" x="1112"/>
        <item m="1" x="1113"/>
        <item x="249"/>
        <item m="1" x="1114"/>
        <item m="1" x="1115"/>
        <item m="1" x="1116"/>
        <item x="250"/>
        <item m="1" x="1117"/>
        <item x="251"/>
        <item m="1" x="1118"/>
        <item m="1" x="1119"/>
        <item x="252"/>
        <item x="253"/>
        <item m="1" x="1120"/>
        <item x="254"/>
        <item x="255"/>
        <item m="1" x="1121"/>
        <item m="1" x="1122"/>
        <item x="256"/>
        <item m="1" x="1123"/>
        <item x="257"/>
        <item x="258"/>
        <item m="1" x="1124"/>
        <item m="1" x="1125"/>
        <item m="1" x="1126"/>
        <item x="259"/>
        <item m="1" x="1127"/>
        <item x="260"/>
        <item x="261"/>
        <item m="1" x="1128"/>
        <item x="262"/>
        <item m="1" x="1129"/>
        <item x="263"/>
        <item m="1" x="1130"/>
        <item x="264"/>
        <item m="1" x="1131"/>
        <item m="1" x="1132"/>
        <item m="1" x="1133"/>
        <item x="265"/>
        <item x="266"/>
        <item m="1" x="1134"/>
        <item m="1" x="1135"/>
        <item m="1" x="1136"/>
        <item x="267"/>
        <item m="1" x="1137"/>
        <item m="1" x="1138"/>
        <item m="1" x="1139"/>
        <item m="1" x="1140"/>
        <item m="1" x="1141"/>
        <item m="1" x="1142"/>
        <item m="1" x="1143"/>
        <item m="1" x="1144"/>
        <item m="1" x="1145"/>
        <item m="1" x="1146"/>
        <item x="268"/>
        <item x="269"/>
        <item m="1" x="1147"/>
        <item m="1" x="1148"/>
        <item m="1" x="1149"/>
        <item x="270"/>
        <item m="1" x="1150"/>
        <item m="1" x="1151"/>
        <item m="1" x="1152"/>
        <item m="1" x="1153"/>
        <item m="1" x="1154"/>
        <item x="271"/>
        <item m="1" x="1155"/>
        <item m="1" x="1156"/>
        <item x="272"/>
        <item x="273"/>
        <item m="1" x="1157"/>
        <item m="1" x="1158"/>
        <item x="274"/>
        <item m="1" x="1159"/>
        <item x="275"/>
        <item m="1" x="1160"/>
        <item x="276"/>
        <item m="1" x="1161"/>
        <item m="1" x="1162"/>
        <item x="277"/>
        <item x="278"/>
        <item x="279"/>
        <item m="1" x="1163"/>
        <item m="1" x="1164"/>
        <item x="280"/>
        <item m="1" x="1165"/>
        <item x="281"/>
        <item x="282"/>
        <item x="283"/>
        <item m="1" x="1166"/>
        <item m="1" x="1167"/>
        <item m="1" x="1168"/>
        <item m="1" x="1169"/>
        <item m="1" x="1170"/>
        <item x="284"/>
        <item m="1" x="1171"/>
        <item m="1" x="1172"/>
        <item m="1" x="1173"/>
        <item x="285"/>
        <item x="286"/>
        <item m="1" x="1174"/>
        <item m="1" x="1175"/>
        <item m="1" x="1176"/>
        <item x="287"/>
        <item m="1" x="1177"/>
        <item m="1" x="1178"/>
        <item x="288"/>
        <item m="1" x="1179"/>
        <item m="1" x="1180"/>
        <item x="289"/>
        <item x="290"/>
        <item x="291"/>
        <item x="292"/>
        <item m="1" x="1181"/>
        <item m="1" x="1182"/>
        <item x="293"/>
        <item m="1" x="1183"/>
        <item m="1" x="1184"/>
        <item x="294"/>
        <item m="1" x="1185"/>
        <item x="295"/>
        <item x="296"/>
        <item x="297"/>
        <item m="1" x="1186"/>
        <item m="1" x="1187"/>
        <item x="298"/>
        <item m="1" x="1188"/>
        <item x="299"/>
        <item x="300"/>
        <item m="1" x="1189"/>
        <item m="1" x="1190"/>
        <item x="301"/>
        <item x="302"/>
        <item m="1" x="1191"/>
        <item x="303"/>
        <item m="1" x="1192"/>
        <item m="1" x="1193"/>
        <item x="304"/>
        <item x="305"/>
        <item m="1" x="1194"/>
        <item x="306"/>
        <item x="307"/>
        <item m="1" x="1195"/>
        <item m="1" x="1196"/>
        <item x="308"/>
        <item x="309"/>
        <item m="1" x="1197"/>
        <item x="310"/>
        <item m="1" x="1198"/>
        <item m="1" x="1199"/>
        <item x="311"/>
        <item m="1" x="1200"/>
        <item m="1" x="1201"/>
        <item m="1" x="1202"/>
        <item x="312"/>
        <item x="313"/>
        <item m="1" x="1203"/>
        <item x="314"/>
        <item m="1" x="1204"/>
        <item m="1" x="1205"/>
        <item m="1" x="1206"/>
        <item x="315"/>
        <item m="1" x="1207"/>
        <item m="1" x="1208"/>
        <item m="1" x="1209"/>
        <item m="1" x="1210"/>
        <item m="1" x="1211"/>
        <item m="1" x="1212"/>
        <item m="1" x="1213"/>
        <item m="1" x="1214"/>
        <item m="1" x="1215"/>
        <item m="1" x="1216"/>
        <item m="1" x="1217"/>
        <item m="1" x="1218"/>
        <item m="1" x="1219"/>
        <item m="1" x="1220"/>
        <item m="1" x="1221"/>
        <item m="1" x="1222"/>
        <item x="316"/>
        <item m="1" x="1223"/>
        <item m="1" x="1224"/>
        <item x="317"/>
        <item m="1" x="1225"/>
        <item m="1" x="1226"/>
        <item m="1" x="1227"/>
        <item m="1" x="1228"/>
        <item m="1" x="1229"/>
        <item x="318"/>
        <item m="1" x="1230"/>
        <item m="1" x="1231"/>
        <item m="1" x="1232"/>
        <item m="1" x="1233"/>
        <item m="1" x="1234"/>
        <item m="1" x="1235"/>
        <item m="1" x="1236"/>
        <item m="1" x="1237"/>
        <item x="319"/>
        <item x="320"/>
        <item x="321"/>
        <item x="322"/>
        <item m="1" x="1238"/>
        <item x="323"/>
        <item x="324"/>
        <item m="1" x="1239"/>
        <item m="1" x="1240"/>
        <item x="325"/>
        <item x="326"/>
        <item m="1" x="1241"/>
        <item m="1" x="1242"/>
        <item m="1" x="1243"/>
        <item x="327"/>
        <item x="328"/>
        <item m="1" x="1244"/>
        <item x="329"/>
        <item x="330"/>
        <item x="331"/>
        <item x="332"/>
        <item m="1" x="1245"/>
        <item x="333"/>
        <item m="1" x="1246"/>
        <item x="334"/>
        <item x="335"/>
        <item m="1" x="1247"/>
        <item x="336"/>
        <item m="1" x="1248"/>
        <item m="1" x="1249"/>
        <item m="1" x="1250"/>
        <item m="1" x="1251"/>
        <item x="337"/>
        <item m="1" x="1252"/>
        <item m="1" x="1253"/>
        <item x="338"/>
        <item m="1" x="1254"/>
        <item m="1" x="1255"/>
        <item m="1" x="1256"/>
        <item x="339"/>
        <item x="340"/>
        <item x="341"/>
        <item x="342"/>
        <item x="343"/>
        <item x="344"/>
        <item x="345"/>
        <item m="1" x="1257"/>
        <item x="346"/>
        <item m="1" x="1258"/>
        <item x="347"/>
        <item x="348"/>
        <item m="1" x="1259"/>
        <item m="1" x="1260"/>
        <item m="1" x="1261"/>
        <item x="349"/>
        <item x="350"/>
        <item x="351"/>
        <item m="1" x="1262"/>
        <item x="352"/>
        <item m="1" x="1263"/>
        <item m="1" x="1264"/>
        <item x="353"/>
        <item m="1" x="1265"/>
        <item m="1" x="1266"/>
        <item x="354"/>
        <item m="1" x="1267"/>
        <item x="355"/>
        <item x="356"/>
        <item m="1" x="1268"/>
        <item m="1" x="1269"/>
        <item x="357"/>
        <item m="1" x="1270"/>
        <item m="1" x="1271"/>
        <item m="1" x="1272"/>
        <item m="1" x="1273"/>
        <item m="1" x="1274"/>
        <item x="358"/>
        <item m="1" x="1275"/>
        <item x="359"/>
        <item x="360"/>
        <item m="1" x="1276"/>
        <item m="1" x="1277"/>
        <item x="361"/>
        <item x="362"/>
        <item x="363"/>
        <item m="1" x="1278"/>
        <item m="1" x="1279"/>
        <item x="364"/>
        <item m="1" x="1280"/>
        <item x="365"/>
        <item x="366"/>
        <item m="1" x="1281"/>
        <item m="1" x="1282"/>
        <item x="367"/>
        <item x="368"/>
        <item m="1" x="1283"/>
        <item x="369"/>
        <item x="370"/>
        <item m="1" x="1284"/>
        <item m="1" x="1285"/>
        <item x="371"/>
        <item m="1" x="1286"/>
        <item m="1" x="1287"/>
        <item x="372"/>
        <item x="373"/>
        <item x="374"/>
        <item m="1" x="1288"/>
        <item x="375"/>
        <item x="376"/>
        <item x="377"/>
        <item x="378"/>
        <item m="1" x="1289"/>
        <item m="1" x="1290"/>
        <item m="1" x="1291"/>
        <item x="379"/>
        <item m="1" x="1292"/>
        <item x="380"/>
        <item m="1" x="1293"/>
        <item m="1" x="1294"/>
        <item m="1" x="1295"/>
        <item x="381"/>
        <item m="1" x="1296"/>
        <item m="1" x="1297"/>
        <item m="1" x="1298"/>
        <item m="1" x="1299"/>
        <item m="1" x="1300"/>
        <item m="1" x="1301"/>
        <item m="1" x="1302"/>
        <item x="382"/>
        <item m="1" x="1303"/>
        <item m="1" x="1304"/>
        <item m="1" x="1305"/>
        <item x="383"/>
        <item m="1" x="1306"/>
        <item m="1" x="1307"/>
        <item x="384"/>
        <item m="1" x="1308"/>
        <item x="385"/>
        <item m="1" x="1309"/>
        <item m="1" x="1310"/>
        <item x="386"/>
        <item x="387"/>
        <item m="1" x="1311"/>
        <item m="1" x="1312"/>
        <item x="388"/>
        <item m="1" x="1313"/>
        <item x="389"/>
        <item x="390"/>
        <item m="1" x="1314"/>
        <item m="1" x="1315"/>
        <item m="1" x="1316"/>
        <item m="1" x="1317"/>
        <item x="391"/>
        <item x="392"/>
        <item x="393"/>
        <item x="394"/>
        <item x="395"/>
        <item m="1" x="1318"/>
        <item x="396"/>
        <item x="397"/>
        <item m="1" x="1319"/>
        <item m="1" x="1320"/>
        <item m="1" x="1321"/>
        <item m="1" x="1322"/>
        <item m="1" x="1323"/>
        <item m="1" x="1324"/>
        <item m="1" x="1325"/>
        <item x="398"/>
        <item m="1" x="1326"/>
        <item m="1" x="1327"/>
        <item m="1" x="1328"/>
        <item m="1" x="1329"/>
        <item x="399"/>
        <item x="400"/>
        <item m="1" x="1330"/>
        <item m="1" x="1331"/>
        <item x="401"/>
        <item x="402"/>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x="403"/>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x="404"/>
        <item m="1" x="1416"/>
        <item m="1" x="1417"/>
        <item m="1" x="1418"/>
        <item m="1" x="1419"/>
        <item m="1" x="1420"/>
        <item m="1" x="1421"/>
        <item m="1" x="1422"/>
        <item m="1" x="1423"/>
        <item m="1" x="1424"/>
        <item m="1" x="1425"/>
        <item m="1" x="1426"/>
        <item m="1" x="1427"/>
        <item m="1" x="1428"/>
        <item m="1" x="1429"/>
        <item m="1" x="1430"/>
        <item m="1" x="1431"/>
        <item x="405"/>
        <item m="1" x="1432"/>
        <item m="1" x="1433"/>
        <item m="1" x="1434"/>
        <item m="1" x="1435"/>
        <item m="1" x="1436"/>
        <item m="1" x="1437"/>
        <item x="406"/>
        <item x="407"/>
        <item m="1" x="1438"/>
        <item m="1" x="1439"/>
        <item m="1" x="1440"/>
        <item m="1" x="1441"/>
        <item m="1" x="1442"/>
        <item m="1" x="1443"/>
        <item m="1" x="1444"/>
        <item m="1" x="1445"/>
        <item m="1" x="1446"/>
        <item m="1" x="1447"/>
        <item m="1" x="1448"/>
        <item m="1" x="1449"/>
        <item m="1" x="1450"/>
        <item m="1" x="1451"/>
        <item m="1" x="1452"/>
        <item m="1" x="1453"/>
        <item m="1" x="1454"/>
        <item m="1" x="1455"/>
        <item m="1" x="1456"/>
        <item x="408"/>
        <item m="1" x="1457"/>
        <item m="1" x="1458"/>
        <item m="1" x="1459"/>
        <item m="1" x="1460"/>
        <item m="1" x="1461"/>
        <item x="409"/>
        <item m="1" x="1462"/>
        <item m="1" x="1463"/>
        <item m="1" x="1464"/>
        <item m="1" x="1465"/>
        <item x="410"/>
        <item m="1" x="1466"/>
        <item m="1" x="1467"/>
        <item m="1" x="1468"/>
        <item m="1" x="1469"/>
        <item m="1" x="1470"/>
        <item m="1" x="1471"/>
        <item m="1" x="1472"/>
        <item x="411"/>
        <item m="1" x="1473"/>
        <item m="1" x="1474"/>
        <item m="1" x="1475"/>
        <item m="1" x="1476"/>
        <item m="1" x="1477"/>
        <item m="1" x="1478"/>
        <item x="412"/>
        <item m="1" x="1479"/>
        <item x="413"/>
        <item m="1" x="1480"/>
        <item m="1" x="1481"/>
        <item m="1" x="1482"/>
        <item m="1" x="1483"/>
        <item m="1" x="1484"/>
        <item m="1" x="1485"/>
        <item m="1" x="1486"/>
        <item m="1" x="1487"/>
        <item m="1" x="1488"/>
        <item m="1" x="1489"/>
        <item x="414"/>
        <item m="1" x="1490"/>
        <item m="1" x="1491"/>
        <item m="1" x="1492"/>
        <item m="1" x="1493"/>
        <item m="1" x="1494"/>
        <item m="1" x="1495"/>
        <item m="1" x="1496"/>
        <item m="1" x="1497"/>
        <item m="1" x="1498"/>
        <item m="1" x="1499"/>
        <item m="1" x="1500"/>
        <item m="1" x="1501"/>
        <item m="1" x="1502"/>
        <item m="1" x="1503"/>
        <item m="1" x="1504"/>
        <item x="415"/>
        <item m="1" x="1505"/>
        <item m="1" x="1506"/>
        <item m="1" x="1507"/>
        <item m="1" x="1508"/>
        <item m="1" x="1509"/>
        <item m="1" x="1510"/>
        <item x="416"/>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x="417"/>
        <item m="1" x="1567"/>
        <item m="1" x="1568"/>
        <item m="1" x="1569"/>
        <item m="1" x="1570"/>
        <item m="1" x="1571"/>
        <item m="1" x="1572"/>
        <item m="1" x="1573"/>
        <item m="1" x="1574"/>
        <item m="1" x="1575"/>
        <item m="1" x="1576"/>
        <item m="1" x="1577"/>
        <item m="1" x="1578"/>
        <item m="1" x="1579"/>
        <item m="1" x="1580"/>
        <item m="1" x="1581"/>
        <item m="1" x="1582"/>
        <item m="1" x="1583"/>
        <item x="418"/>
        <item m="1" x="1584"/>
        <item m="1" x="1585"/>
        <item m="1" x="1586"/>
        <item m="1" x="1587"/>
        <item m="1" x="1588"/>
        <item m="1" x="1589"/>
        <item m="1" x="1590"/>
        <item m="1" x="1591"/>
        <item m="1" x="1592"/>
        <item m="1" x="1593"/>
        <item m="1" x="1594"/>
        <item m="1" x="1595"/>
        <item m="1" x="1596"/>
        <item m="1" x="1597"/>
        <item m="1" x="1598"/>
        <item m="1" x="1599"/>
        <item x="41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x="420"/>
        <item m="1" x="1620"/>
        <item m="1" x="1621"/>
        <item m="1" x="1622"/>
        <item m="1" x="1623"/>
        <item m="1" x="1624"/>
        <item m="1" x="1625"/>
        <item m="1" x="1626"/>
        <item m="1" x="1627"/>
        <item m="1" x="1628"/>
        <item x="421"/>
        <item m="1" x="1629"/>
        <item m="1" x="1630"/>
        <item m="1" x="1631"/>
        <item m="1" x="1632"/>
        <item m="1" x="1633"/>
        <item m="1" x="1634"/>
        <item m="1" x="1635"/>
        <item m="1" x="1636"/>
        <item m="1" x="1637"/>
        <item m="1" x="1638"/>
        <item m="1" x="1639"/>
        <item m="1" x="1640"/>
        <item m="1" x="1641"/>
        <item m="1" x="1642"/>
        <item m="1" x="1643"/>
        <item x="422"/>
        <item m="1" x="1644"/>
        <item m="1" x="1645"/>
        <item m="1" x="1646"/>
        <item m="1" x="1647"/>
        <item m="1" x="1648"/>
        <item m="1" x="1649"/>
        <item m="1" x="1650"/>
        <item m="1" x="1651"/>
        <item m="1" x="1652"/>
        <item m="1" x="1653"/>
        <item m="1" x="1654"/>
        <item m="1" x="1655"/>
        <item m="1" x="1656"/>
        <item m="1" x="1657"/>
        <item x="423"/>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x="424"/>
        <item m="1" x="1685"/>
        <item m="1" x="1686"/>
        <item m="1" x="1687"/>
        <item m="1" x="1688"/>
        <item m="1" x="1689"/>
        <item m="1" x="1690"/>
        <item m="1" x="1691"/>
        <item m="1" x="1692"/>
        <item m="1" x="1693"/>
        <item m="1" x="1694"/>
        <item m="1" x="1695"/>
        <item m="1" x="1696"/>
        <item m="1" x="1697"/>
        <item m="1" x="1698"/>
        <item x="425"/>
        <item m="1" x="1699"/>
        <item m="1" x="1700"/>
        <item m="1" x="1701"/>
        <item m="1" x="1702"/>
        <item m="1" x="1703"/>
        <item m="1" x="1704"/>
        <item m="1" x="1705"/>
        <item m="1" x="1706"/>
        <item m="1" x="1707"/>
        <item m="1" x="1708"/>
        <item m="1" x="1709"/>
        <item x="426"/>
        <item m="1" x="1710"/>
        <item m="1" x="1711"/>
        <item m="1" x="1712"/>
        <item m="1" x="1713"/>
        <item m="1" x="1714"/>
        <item m="1" x="1715"/>
        <item m="1" x="1716"/>
        <item m="1" x="1717"/>
        <item m="1" x="1718"/>
        <item m="1" x="1719"/>
        <item m="1" x="1720"/>
        <item m="1" x="1721"/>
        <item m="1" x="1722"/>
        <item x="427"/>
        <item m="1" x="1723"/>
        <item m="1" x="1724"/>
        <item m="1" x="1725"/>
        <item m="1" x="1726"/>
        <item m="1" x="1727"/>
        <item m="1" x="1728"/>
        <item m="1" x="1729"/>
        <item m="1" x="1730"/>
        <item m="1" x="1731"/>
        <item m="1" x="1732"/>
        <item m="1" x="1733"/>
        <item m="1" x="1734"/>
        <item x="428"/>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x="429"/>
        <item m="1" x="1771"/>
        <item m="1" x="1772"/>
        <item m="1" x="1773"/>
        <item m="1" x="1774"/>
        <item m="1" x="1775"/>
        <item m="1" x="1776"/>
        <item m="1" x="1777"/>
        <item m="1" x="1778"/>
        <item m="1" x="1779"/>
        <item m="1" x="1780"/>
        <item m="1" x="1781"/>
        <item m="1" x="1782"/>
        <item m="1" x="1783"/>
        <item m="1" x="1784"/>
        <item m="1" x="1785"/>
        <item m="1" x="1786"/>
        <item m="1" x="1787"/>
        <item m="1" x="1788"/>
        <item m="1" x="1789"/>
        <item x="430"/>
        <item m="1" x="1790"/>
        <item m="1" x="1791"/>
        <item x="431"/>
        <item m="1" x="1792"/>
        <item m="1" x="1793"/>
        <item m="1" x="1794"/>
        <item m="1" x="1795"/>
        <item m="1" x="1796"/>
        <item m="1" x="1797"/>
        <item m="1" x="1798"/>
        <item m="1" x="1799"/>
        <item m="1" x="1800"/>
        <item m="1" x="1801"/>
        <item m="1" x="1802"/>
        <item m="1" x="1803"/>
        <item m="1" x="1804"/>
        <item m="1" x="1805"/>
        <item m="1" x="1806"/>
        <item x="432"/>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x="433"/>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x="434"/>
        <item m="1" x="1879"/>
        <item m="1" x="1880"/>
        <item m="1" x="1881"/>
        <item x="435"/>
        <item m="1" x="1882"/>
        <item m="1" x="1883"/>
        <item m="1" x="1884"/>
        <item x="436"/>
        <item m="1" x="1885"/>
        <item m="1" x="1886"/>
        <item m="1" x="1887"/>
        <item m="1" x="1888"/>
        <item m="1" x="1889"/>
        <item m="1" x="1890"/>
        <item x="437"/>
        <item m="1" x="1891"/>
        <item m="1" x="1892"/>
        <item m="1" x="1893"/>
        <item m="1" x="1894"/>
        <item m="1" x="1895"/>
        <item m="1" x="1896"/>
        <item m="1" x="1897"/>
        <item m="1" x="1898"/>
        <item m="1" x="1899"/>
        <item x="438"/>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x="439"/>
        <item m="1" x="1939"/>
        <item m="1" x="1940"/>
        <item m="1" x="1941"/>
        <item x="440"/>
        <item m="1" x="1942"/>
        <item m="1" x="1943"/>
        <item m="1" x="1944"/>
        <item m="1" x="1945"/>
        <item m="1" x="1946"/>
        <item m="1" x="1947"/>
        <item m="1" x="1948"/>
        <item m="1" x="1949"/>
        <item m="1" x="1950"/>
        <item m="1" x="1951"/>
        <item m="1" x="1952"/>
        <item m="1" x="1953"/>
        <item m="1" x="1954"/>
        <item m="1" x="1955"/>
        <item m="1" x="1956"/>
        <item m="1" x="1957"/>
        <item x="441"/>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x="442"/>
        <item m="1" x="1983"/>
        <item m="1" x="1984"/>
        <item m="1" x="1985"/>
        <item m="1" x="1986"/>
        <item m="1" x="1987"/>
        <item m="1" x="1988"/>
        <item m="1" x="1989"/>
        <item m="1" x="1990"/>
        <item m="1" x="1991"/>
        <item m="1" x="1992"/>
        <item m="1" x="1993"/>
        <item x="443"/>
        <item x="444"/>
        <item m="1" x="1994"/>
        <item m="1" x="1995"/>
        <item m="1" x="1996"/>
        <item m="1" x="1997"/>
        <item m="1" x="1998"/>
        <item m="1" x="1999"/>
        <item m="1" x="2000"/>
        <item m="1" x="2001"/>
        <item m="1" x="2002"/>
        <item m="1" x="2003"/>
        <item m="1" x="2004"/>
        <item m="1" x="2005"/>
        <item m="1" x="2006"/>
        <item m="1" x="2007"/>
        <item m="1" x="2008"/>
        <item x="445"/>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x="446"/>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x="447"/>
        <item m="1" x="2053"/>
        <item m="1" x="2054"/>
        <item m="1" x="2055"/>
        <item m="1" x="2056"/>
        <item m="1" x="2057"/>
        <item m="1" x="2058"/>
        <item m="1" x="2059"/>
        <item m="1" x="2060"/>
        <item m="1" x="2061"/>
        <item m="1" x="2062"/>
        <item m="1" x="2063"/>
        <item m="1" x="2064"/>
        <item m="1" x="2065"/>
        <item m="1" x="2066"/>
        <item m="1" x="2067"/>
        <item m="1" x="2068"/>
        <item m="1" x="2069"/>
        <item x="448"/>
        <item m="1" x="2070"/>
        <item m="1" x="2071"/>
        <item m="1" x="2072"/>
        <item x="449"/>
        <item x="450"/>
        <item m="1" x="2073"/>
        <item m="1" x="2074"/>
        <item m="1" x="2075"/>
        <item m="1" x="2076"/>
        <item m="1" x="2077"/>
        <item m="1" x="2078"/>
        <item m="1" x="2079"/>
        <item x="451"/>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x="452"/>
        <item m="1" x="2144"/>
        <item m="1" x="2145"/>
        <item m="1" x="2146"/>
        <item m="1" x="2147"/>
        <item m="1" x="2148"/>
        <item m="1" x="2149"/>
        <item m="1" x="2150"/>
        <item x="453"/>
        <item m="1" x="2151"/>
        <item m="1" x="2152"/>
        <item m="1" x="2153"/>
        <item m="1" x="2154"/>
        <item m="1" x="2155"/>
        <item m="1" x="2156"/>
        <item m="1" x="2157"/>
        <item m="1" x="2158"/>
        <item x="454"/>
        <item m="1" x="2159"/>
        <item m="1" x="2160"/>
        <item m="1" x="2161"/>
        <item m="1" x="2162"/>
        <item m="1" x="2163"/>
        <item x="455"/>
        <item m="1" x="2164"/>
        <item m="1" x="2165"/>
        <item m="1" x="2166"/>
        <item m="1" x="2167"/>
        <item m="1" x="2168"/>
        <item m="1" x="2169"/>
        <item m="1" x="2170"/>
        <item m="1" x="2171"/>
        <item m="1" x="2172"/>
        <item m="1" x="2173"/>
        <item m="1" x="2174"/>
        <item m="1" x="2175"/>
        <item m="1" x="2176"/>
        <item m="1" x="2177"/>
        <item m="1" x="2178"/>
        <item m="1" x="2179"/>
        <item m="1" x="2180"/>
        <item m="1" x="2181"/>
        <item x="456"/>
        <item m="1" x="2182"/>
        <item m="1" x="2183"/>
        <item m="1" x="2184"/>
        <item m="1" x="2185"/>
        <item m="1" x="2186"/>
        <item m="1" x="2187"/>
        <item m="1" x="2188"/>
        <item m="1" x="2189"/>
        <item m="1" x="2190"/>
        <item m="1" x="2191"/>
        <item m="1" x="2192"/>
        <item m="1" x="2193"/>
        <item m="1" x="2194"/>
        <item m="1" x="2195"/>
        <item m="1" x="2196"/>
        <item m="1" x="2197"/>
        <item m="1" x="2198"/>
        <item x="457"/>
        <item m="1" x="2199"/>
        <item m="1" x="2200"/>
        <item m="1" x="2201"/>
        <item x="458"/>
        <item m="1" x="2202"/>
        <item m="1" x="2203"/>
        <item x="459"/>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x="460"/>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x="461"/>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x="462"/>
        <item m="1" x="2327"/>
        <item x="463"/>
        <item m="1" x="2328"/>
        <item m="1" x="2329"/>
        <item m="1" x="2330"/>
        <item m="1" x="2331"/>
        <item m="1" x="2332"/>
        <item m="1" x="2333"/>
        <item m="1" x="2334"/>
        <item m="1" x="2335"/>
        <item m="1" x="2336"/>
        <item m="1" x="2337"/>
        <item m="1" x="2338"/>
        <item x="464"/>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x="465"/>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x="466"/>
        <item m="1" x="2390"/>
        <item m="1" x="2391"/>
        <item m="1" x="2392"/>
        <item m="1" x="2393"/>
        <item m="1" x="2394"/>
        <item m="1" x="2395"/>
        <item m="1" x="2396"/>
        <item m="1" x="2397"/>
        <item x="467"/>
        <item m="1" x="2398"/>
        <item m="1" x="2399"/>
        <item m="1" x="2400"/>
        <item m="1" x="2401"/>
        <item m="1" x="2402"/>
        <item m="1" x="2403"/>
        <item m="1" x="2404"/>
        <item m="1" x="2405"/>
        <item m="1" x="2406"/>
        <item m="1" x="2407"/>
        <item m="1" x="2408"/>
        <item m="1" x="2409"/>
        <item m="1" x="2410"/>
        <item m="1" x="2411"/>
        <item x="468"/>
        <item m="1" x="2412"/>
        <item m="1" x="2413"/>
        <item m="1" x="2414"/>
        <item m="1" x="2415"/>
        <item m="1" x="2416"/>
        <item m="1" x="2417"/>
        <item m="1" x="2418"/>
        <item m="1" x="2419"/>
        <item m="1" x="2420"/>
        <item x="469"/>
        <item m="1" x="2421"/>
        <item m="1" x="2422"/>
        <item m="1" x="2423"/>
        <item m="1" x="2424"/>
        <item m="1" x="2425"/>
        <item m="1" x="2426"/>
        <item m="1" x="2427"/>
        <item m="1" x="2428"/>
        <item m="1" x="2429"/>
        <item m="1" x="2430"/>
        <item m="1" x="2431"/>
        <item m="1" x="2432"/>
        <item m="1" x="2433"/>
        <item m="1" x="2434"/>
        <item m="1" x="2435"/>
        <item m="1" x="2436"/>
        <item x="470"/>
        <item m="1" x="2437"/>
        <item m="1" x="2438"/>
        <item m="1" x="2439"/>
        <item x="471"/>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x="472"/>
        <item m="1" x="2471"/>
        <item m="1" x="2472"/>
        <item x="473"/>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x="474"/>
        <item m="1" x="2514"/>
        <item m="1" x="2515"/>
        <item x="47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x="476"/>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x="477"/>
        <item m="1" x="2570"/>
        <item x="478"/>
        <item m="1" x="2571"/>
        <item m="1" x="2572"/>
        <item m="1" x="2573"/>
        <item m="1" x="2574"/>
        <item m="1" x="2575"/>
        <item m="1" x="2576"/>
        <item x="479"/>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x="480"/>
        <item m="1" x="2601"/>
        <item m="1" x="2602"/>
        <item m="1" x="2603"/>
        <item m="1" x="2604"/>
        <item m="1" x="2605"/>
        <item x="481"/>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x="482"/>
        <item m="1" x="2631"/>
        <item m="1" x="2632"/>
        <item m="1" x="2633"/>
        <item x="483"/>
        <item m="1" x="2634"/>
        <item m="1" x="2635"/>
        <item m="1" x="2636"/>
        <item m="1" x="2637"/>
        <item m="1" x="2638"/>
        <item m="1" x="2639"/>
        <item m="1" x="2640"/>
        <item m="1" x="2641"/>
        <item m="1" x="2642"/>
        <item m="1" x="2643"/>
        <item m="1" x="2644"/>
        <item m="1" x="2645"/>
        <item x="484"/>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x="485"/>
        <item m="1" x="2669"/>
        <item m="1" x="2670"/>
        <item x="486"/>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x="487"/>
        <item m="1" x="2695"/>
        <item m="1" x="2696"/>
        <item m="1" x="2697"/>
        <item m="1" x="2698"/>
        <item m="1" x="2699"/>
        <item x="488"/>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x="489"/>
        <item m="1" x="2721"/>
        <item m="1" x="2722"/>
        <item m="1" x="2723"/>
        <item m="1" x="2724"/>
        <item m="1" x="2725"/>
        <item m="1" x="2726"/>
        <item m="1" x="2727"/>
        <item m="1" x="2728"/>
        <item m="1" x="2729"/>
        <item m="1" x="2730"/>
        <item m="1" x="2731"/>
        <item m="1" x="2732"/>
        <item m="1" x="2733"/>
        <item x="490"/>
        <item m="1" x="2734"/>
        <item m="1" x="2735"/>
        <item m="1" x="2736"/>
        <item m="1" x="2737"/>
        <item m="1" x="2738"/>
        <item m="1" x="2739"/>
        <item m="1" x="2740"/>
        <item m="1" x="2741"/>
        <item x="49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x="492"/>
        <item m="1" x="2770"/>
        <item m="1" x="2771"/>
        <item m="1" x="2772"/>
        <item m="1" x="2773"/>
        <item x="493"/>
        <item m="1" x="2774"/>
        <item m="1" x="2775"/>
        <item m="1" x="2776"/>
        <item m="1" x="2777"/>
        <item x="494"/>
        <item m="1" x="2778"/>
        <item m="1" x="2779"/>
        <item m="1" x="2780"/>
        <item m="1" x="2781"/>
        <item m="1" x="2782"/>
        <item x="495"/>
        <item m="1" x="2783"/>
        <item m="1" x="2784"/>
        <item m="1" x="2785"/>
        <item m="1" x="2786"/>
        <item m="1" x="2787"/>
        <item m="1" x="2788"/>
        <item m="1" x="2789"/>
        <item m="1" x="2790"/>
        <item m="1" x="2791"/>
        <item m="1" x="2792"/>
        <item m="1" x="2793"/>
        <item m="1" x="2794"/>
        <item m="1" x="2795"/>
        <item m="1" x="2796"/>
        <item x="496"/>
        <item m="1" x="2797"/>
        <item m="1" x="2798"/>
        <item m="1" x="2799"/>
        <item m="1" x="2800"/>
        <item m="1" x="2801"/>
        <item m="1" x="2802"/>
        <item m="1" x="2803"/>
        <item m="1" x="2804"/>
        <item m="1" x="2805"/>
        <item x="497"/>
        <item m="1" x="2806"/>
        <item m="1" x="2807"/>
        <item m="1" x="2808"/>
        <item m="1" x="2809"/>
        <item m="1" x="2810"/>
        <item m="1" x="2811"/>
        <item m="1" x="2812"/>
        <item m="1" x="2813"/>
        <item m="1" x="2814"/>
        <item m="1" x="2815"/>
        <item m="1" x="2816"/>
        <item m="1" x="2817"/>
        <item m="1" x="2818"/>
        <item m="1" x="2819"/>
        <item x="498"/>
        <item m="1" x="2820"/>
        <item x="499"/>
        <item m="1" x="2821"/>
        <item m="1" x="2822"/>
        <item m="1" x="2823"/>
        <item m="1" x="2824"/>
        <item m="1" x="2825"/>
        <item m="1" x="2826"/>
        <item m="1" x="2827"/>
        <item m="1" x="2828"/>
        <item m="1" x="2829"/>
        <item m="1" x="2830"/>
        <item m="1" x="2831"/>
        <item m="1" x="2832"/>
        <item m="1" x="2833"/>
        <item m="1" x="2834"/>
        <item m="1" x="2835"/>
        <item m="1" x="2836"/>
        <item m="1" x="2837"/>
        <item m="1" x="2838"/>
        <item m="1" x="2839"/>
        <item x="500"/>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x="501"/>
        <item m="1" x="2880"/>
        <item m="1" x="2881"/>
        <item m="1" x="2882"/>
        <item m="1" x="2883"/>
        <item m="1" x="2884"/>
        <item x="502"/>
        <item m="1" x="2885"/>
        <item m="1" x="2886"/>
        <item m="1" x="2887"/>
        <item m="1" x="2888"/>
        <item m="1" x="2889"/>
        <item m="1" x="2890"/>
        <item m="1" x="2891"/>
        <item m="1" x="2892"/>
        <item x="503"/>
        <item m="1" x="2893"/>
        <item m="1" x="2894"/>
        <item x="504"/>
        <item m="1" x="2895"/>
        <item m="1" x="2896"/>
        <item x="505"/>
        <item m="1" x="2897"/>
        <item m="1" x="2898"/>
        <item x="506"/>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x="507"/>
        <item m="1" x="2927"/>
        <item m="1" x="2928"/>
        <item m="1" x="2929"/>
        <item m="1" x="2930"/>
        <item m="1" x="2931"/>
        <item m="1" x="2932"/>
        <item m="1" x="2933"/>
        <item m="1" x="2934"/>
        <item m="1" x="2935"/>
        <item m="1" x="2936"/>
        <item m="1" x="2937"/>
        <item m="1" x="2938"/>
        <item x="508"/>
        <item m="1" x="2939"/>
        <item m="1" x="2940"/>
        <item m="1" x="2941"/>
        <item m="1" x="2942"/>
        <item m="1" x="2943"/>
        <item x="509"/>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x="510"/>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x="511"/>
        <item m="1" x="3044"/>
        <item m="1" x="3045"/>
        <item m="1" x="3046"/>
        <item m="1" x="3047"/>
        <item m="1" x="3048"/>
        <item m="1" x="3049"/>
        <item m="1" x="3050"/>
        <item m="1" x="3051"/>
        <item m="1" x="3052"/>
        <item m="1" x="3053"/>
        <item m="1" x="3054"/>
        <item m="1" x="3055"/>
        <item m="1" x="3056"/>
        <item m="1" x="3057"/>
        <item m="1" x="3058"/>
        <item m="1" x="3059"/>
        <item m="1" x="3060"/>
        <item x="512"/>
        <item x="513"/>
        <item m="1" x="3061"/>
        <item m="1" x="3062"/>
        <item m="1" x="3063"/>
        <item m="1" x="3064"/>
        <item m="1" x="3065"/>
        <item m="1" x="3066"/>
        <item x="514"/>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x="515"/>
        <item m="1" x="3104"/>
        <item m="1" x="3105"/>
        <item m="1" x="3106"/>
        <item m="1" x="3107"/>
        <item m="1" x="3108"/>
        <item m="1" x="3109"/>
        <item m="1" x="3110"/>
        <item m="1" x="3111"/>
        <item m="1" x="3112"/>
        <item m="1" x="3113"/>
        <item m="1" x="3114"/>
        <item x="516"/>
        <item m="1" x="3115"/>
        <item m="1" x="3116"/>
        <item x="517"/>
        <item m="1" x="3117"/>
        <item m="1" x="3118"/>
        <item m="1" x="3119"/>
        <item m="1" x="3120"/>
        <item m="1" x="3121"/>
        <item m="1" x="3122"/>
        <item m="1" x="3123"/>
        <item m="1" x="3124"/>
        <item m="1" x="3125"/>
        <item m="1" x="3126"/>
        <item m="1" x="3127"/>
        <item m="1" x="3128"/>
        <item m="1" x="3129"/>
        <item m="1" x="3130"/>
        <item m="1" x="3131"/>
        <item m="1" x="3132"/>
        <item x="518"/>
        <item m="1" x="3133"/>
        <item m="1" x="3134"/>
        <item m="1" x="3135"/>
        <item m="1" x="3136"/>
        <item m="1" x="3137"/>
        <item m="1" x="3138"/>
        <item m="1" x="3139"/>
        <item m="1" x="3140"/>
        <item m="1" x="3141"/>
        <item m="1" x="3142"/>
        <item m="1" x="3143"/>
        <item m="1" x="3144"/>
        <item m="1" x="3145"/>
        <item m="1" x="3146"/>
        <item m="1" x="3147"/>
        <item m="1" x="3148"/>
        <item m="1" x="3149"/>
        <item m="1" x="3150"/>
        <item x="519"/>
        <item m="1" x="3151"/>
        <item m="1" x="3152"/>
        <item m="1" x="3153"/>
        <item m="1" x="3154"/>
        <item x="520"/>
        <item m="1" x="3155"/>
        <item m="1" x="3156"/>
        <item m="1" x="3157"/>
        <item m="1" x="3158"/>
        <item m="1" x="3159"/>
        <item m="1" x="3160"/>
        <item m="1" x="3161"/>
        <item m="1" x="3162"/>
        <item m="1" x="3163"/>
        <item m="1" x="3164"/>
        <item m="1" x="3165"/>
        <item m="1" x="3166"/>
        <item m="1" x="3167"/>
        <item m="1" x="3168"/>
        <item m="1" x="3169"/>
        <item m="1" x="3170"/>
        <item m="1" x="3171"/>
        <item m="1" x="3172"/>
        <item x="521"/>
        <item m="1" x="3173"/>
        <item m="1" x="3174"/>
        <item m="1" x="3175"/>
        <item m="1" x="3176"/>
        <item m="1" x="3177"/>
        <item m="1" x="3178"/>
        <item m="1" x="3179"/>
        <item x="522"/>
        <item m="1" x="3180"/>
        <item m="1" x="3181"/>
        <item x="523"/>
        <item m="1" x="3182"/>
        <item m="1" x="3183"/>
        <item m="1" x="3184"/>
        <item x="524"/>
        <item m="1" x="3185"/>
        <item m="1" x="3186"/>
        <item m="1" x="3187"/>
        <item m="1" x="3188"/>
        <item m="1" x="3189"/>
        <item m="1" x="3190"/>
        <item m="1" x="3191"/>
        <item m="1" x="3192"/>
        <item m="1" x="3193"/>
        <item x="525"/>
        <item m="1" x="3194"/>
        <item m="1" x="3195"/>
        <item m="1" x="3196"/>
        <item m="1" x="3197"/>
        <item m="1" x="3198"/>
        <item m="1" x="3199"/>
        <item m="1" x="3200"/>
        <item m="1" x="3201"/>
        <item m="1" x="3202"/>
        <item m="1" x="3203"/>
        <item m="1" x="3204"/>
        <item m="1" x="3205"/>
        <item m="1" x="3206"/>
        <item m="1" x="3207"/>
        <item m="1" x="3208"/>
        <item x="526"/>
        <item m="1" x="3209"/>
        <item m="1" x="3210"/>
        <item m="1" x="3211"/>
        <item m="1" x="3212"/>
        <item m="1" x="3213"/>
        <item x="527"/>
        <item m="1" x="3214"/>
        <item m="1" x="3215"/>
        <item m="1" x="3216"/>
        <item m="1" x="3217"/>
        <item m="1" x="3218"/>
        <item m="1" x="3219"/>
        <item m="1" x="3220"/>
        <item m="1" x="3221"/>
        <item m="1" x="3222"/>
        <item m="1" x="3223"/>
        <item m="1" x="3224"/>
        <item m="1" x="3225"/>
        <item m="1" x="3226"/>
        <item m="1" x="3227"/>
        <item m="1" x="3228"/>
        <item m="1" x="3229"/>
        <item x="528"/>
        <item m="1" x="3230"/>
        <item m="1" x="3231"/>
        <item x="529"/>
        <item m="1" x="3232"/>
        <item m="1" x="3233"/>
        <item m="1" x="3234"/>
        <item m="1" x="3235"/>
        <item m="1" x="3236"/>
        <item m="1" x="3237"/>
        <item m="1" x="3238"/>
        <item m="1" x="3239"/>
        <item x="530"/>
        <item m="1" x="3240"/>
        <item m="1" x="3241"/>
        <item m="1" x="3242"/>
        <item m="1" x="3243"/>
        <item m="1" x="3244"/>
        <item m="1" x="3245"/>
        <item m="1" x="3246"/>
        <item m="1" x="3247"/>
        <item m="1" x="3248"/>
        <item m="1" x="3249"/>
        <item m="1" x="3250"/>
        <item x="531"/>
        <item m="1" x="3251"/>
        <item x="532"/>
        <item m="1" x="3252"/>
        <item m="1" x="3253"/>
        <item x="533"/>
        <item m="1" x="3254"/>
        <item m="1" x="3255"/>
        <item m="1" x="3256"/>
        <item m="1" x="3257"/>
        <item m="1" x="3258"/>
        <item x="534"/>
        <item m="1" x="3259"/>
        <item m="1" x="3260"/>
        <item m="1" x="3261"/>
        <item m="1" x="3262"/>
        <item m="1" x="3263"/>
        <item m="1" x="3264"/>
        <item m="1" x="3265"/>
        <item m="1" x="3266"/>
        <item m="1" x="3267"/>
        <item m="1" x="3268"/>
        <item m="1" x="3269"/>
        <item x="535"/>
        <item m="1" x="3270"/>
        <item m="1" x="3271"/>
        <item m="1" x="3272"/>
        <item m="1" x="3273"/>
        <item m="1" x="3274"/>
        <item m="1" x="3275"/>
        <item m="1" x="3276"/>
        <item m="1" x="3277"/>
        <item m="1" x="3278"/>
        <item m="1" x="3279"/>
        <item m="1" x="3280"/>
        <item m="1" x="3281"/>
        <item m="1" x="3282"/>
        <item m="1" x="3283"/>
        <item m="1" x="3284"/>
        <item x="536"/>
        <item m="1" x="3285"/>
        <item m="1" x="3286"/>
        <item m="1" x="3287"/>
        <item m="1" x="3288"/>
        <item m="1" x="3289"/>
        <item m="1" x="3290"/>
        <item m="1" x="3291"/>
        <item m="1" x="3292"/>
        <item m="1" x="3293"/>
        <item m="1" x="3294"/>
        <item m="1" x="3295"/>
        <item m="1" x="3296"/>
        <item m="1" x="3297"/>
        <item m="1" x="3298"/>
        <item m="1" x="3299"/>
        <item m="1" x="3300"/>
        <item m="1" x="3301"/>
        <item m="1" x="3302"/>
        <item m="1" x="3303"/>
        <item x="537"/>
        <item m="1" x="3304"/>
        <item m="1" x="3305"/>
        <item m="1" x="3306"/>
        <item m="1" x="3307"/>
        <item m="1" x="3308"/>
        <item x="538"/>
        <item m="1" x="3309"/>
        <item m="1" x="3310"/>
        <item m="1" x="3311"/>
        <item m="1" x="3312"/>
        <item m="1" x="3313"/>
        <item m="1" x="3314"/>
        <item m="1" x="3315"/>
        <item m="1" x="3316"/>
        <item m="1" x="3317"/>
        <item m="1" x="3318"/>
        <item m="1" x="3319"/>
        <item m="1" x="3320"/>
        <item m="1" x="3321"/>
        <item m="1" x="3322"/>
        <item m="1" x="3323"/>
        <item m="1" x="3324"/>
        <item x="539"/>
        <item m="1" x="3325"/>
        <item m="1" x="3326"/>
        <item m="1" x="3327"/>
        <item m="1" x="3328"/>
        <item m="1" x="3329"/>
        <item m="1" x="3330"/>
        <item m="1" x="3331"/>
        <item m="1" x="3332"/>
        <item m="1" x="3333"/>
        <item m="1" x="3334"/>
        <item m="1" x="3335"/>
        <item m="1" x="3336"/>
        <item x="540"/>
        <item m="1" x="3337"/>
        <item x="541"/>
        <item m="1" x="3338"/>
        <item m="1" x="3339"/>
        <item m="1" x="3340"/>
        <item m="1" x="3341"/>
        <item m="1" x="3342"/>
        <item m="1" x="3343"/>
        <item m="1" x="3344"/>
        <item m="1" x="3345"/>
        <item m="1" x="3346"/>
        <item m="1" x="3347"/>
        <item m="1" x="3348"/>
        <item m="1" x="3349"/>
        <item m="1" x="3350"/>
        <item m="1" x="3351"/>
        <item m="1" x="3352"/>
        <item m="1" x="3353"/>
        <item x="542"/>
        <item x="543"/>
        <item m="1" x="3354"/>
        <item m="1" x="3355"/>
        <item m="1" x="3356"/>
        <item m="1" x="3357"/>
        <item m="1" x="3358"/>
        <item m="1" x="3359"/>
        <item m="1" x="3360"/>
        <item m="1" x="3361"/>
        <item m="1" x="3362"/>
        <item x="544"/>
        <item m="1" x="3363"/>
        <item m="1" x="3364"/>
        <item m="1" x="3365"/>
        <item m="1" x="3366"/>
        <item m="1" x="3367"/>
        <item x="545"/>
        <item m="1" x="3368"/>
        <item m="1" x="3369"/>
        <item m="1" x="3370"/>
        <item m="1" x="3371"/>
        <item m="1" x="3372"/>
        <item m="1" x="3373"/>
        <item m="1" x="3374"/>
        <item m="1" x="3375"/>
        <item m="1" x="3376"/>
        <item m="1" x="3377"/>
        <item m="1" x="3378"/>
        <item m="1" x="3379"/>
        <item m="1" x="3380"/>
        <item m="1" x="3381"/>
        <item m="1" x="3382"/>
        <item m="1" x="3383"/>
        <item m="1" x="3384"/>
        <item m="1" x="3385"/>
        <item x="546"/>
        <item m="1" x="3386"/>
        <item x="547"/>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x="54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x="549"/>
        <item m="1" x="3450"/>
        <item m="1" x="3451"/>
        <item m="1" x="3452"/>
        <item m="1" x="3453"/>
        <item m="1" x="3454"/>
        <item m="1" x="3455"/>
        <item m="1" x="3456"/>
        <item m="1" x="3457"/>
        <item m="1" x="3458"/>
        <item x="550"/>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x="551"/>
        <item m="1" x="3498"/>
        <item m="1" x="3499"/>
        <item m="1" x="3500"/>
        <item m="1" x="3501"/>
        <item m="1" x="3502"/>
        <item x="552"/>
        <item m="1" x="3503"/>
        <item m="1" x="3504"/>
        <item m="1" x="3505"/>
        <item m="1" x="3506"/>
        <item m="1" x="3507"/>
        <item m="1" x="3508"/>
        <item m="1" x="3509"/>
        <item m="1" x="3510"/>
        <item m="1" x="3511"/>
        <item m="1" x="3512"/>
        <item m="1" x="3513"/>
        <item m="1" x="3514"/>
        <item m="1" x="3515"/>
        <item m="1" x="3516"/>
        <item m="1" x="3517"/>
        <item x="553"/>
        <item m="1" x="3518"/>
        <item m="1" x="3519"/>
        <item m="1" x="3520"/>
        <item x="554"/>
        <item m="1" x="3521"/>
        <item m="1" x="3522"/>
        <item m="1" x="3523"/>
        <item m="1" x="3524"/>
        <item m="1" x="3525"/>
        <item m="1" x="3526"/>
        <item m="1" x="3527"/>
        <item m="1" x="3528"/>
        <item m="1" x="3529"/>
        <item m="1" x="3530"/>
        <item m="1" x="3531"/>
        <item m="1" x="3532"/>
        <item m="1" x="3533"/>
        <item m="1" x="3534"/>
        <item m="1" x="3535"/>
        <item m="1" x="3536"/>
        <item m="1" x="3537"/>
        <item m="1" x="3538"/>
        <item x="555"/>
        <item m="1" x="3539"/>
        <item m="1" x="3540"/>
        <item m="1" x="3541"/>
        <item m="1" x="3542"/>
        <item m="1" x="3543"/>
        <item m="1" x="3544"/>
        <item m="1" x="3545"/>
        <item m="1" x="3546"/>
        <item m="1" x="3547"/>
        <item m="1" x="3548"/>
        <item m="1" x="3549"/>
        <item m="1" x="3550"/>
        <item m="1" x="3551"/>
        <item m="1" x="3552"/>
        <item m="1" x="3553"/>
        <item m="1" x="3554"/>
        <item x="556"/>
        <item m="1" x="3555"/>
        <item m="1" x="3556"/>
        <item m="1" x="3557"/>
        <item m="1" x="3558"/>
        <item m="1" x="3559"/>
        <item x="557"/>
        <item m="1" x="3560"/>
        <item m="1" x="3561"/>
        <item m="1" x="3562"/>
        <item m="1" x="3563"/>
        <item m="1" x="3564"/>
        <item m="1" x="3565"/>
        <item x="558"/>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x="559"/>
        <item m="1" x="3592"/>
        <item m="1" x="3593"/>
        <item m="1" x="3594"/>
        <item m="1" x="3595"/>
        <item m="1" x="3596"/>
        <item m="1" x="3597"/>
        <item m="1" x="3598"/>
        <item m="1" x="3599"/>
        <item m="1" x="3600"/>
        <item m="1" x="3601"/>
        <item x="560"/>
        <item m="1" x="3602"/>
        <item m="1" x="3603"/>
        <item m="1" x="3604"/>
        <item m="1" x="3605"/>
        <item x="561"/>
        <item m="1" x="3606"/>
        <item m="1" x="3607"/>
        <item x="562"/>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x="563"/>
        <item m="1" x="3645"/>
        <item m="1" x="3646"/>
        <item m="1" x="3647"/>
        <item x="564"/>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x="56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x="566"/>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x="567"/>
        <item m="1" x="3739"/>
        <item m="1" x="3740"/>
        <item m="1" x="3741"/>
        <item m="1" x="3742"/>
        <item m="1" x="3743"/>
        <item m="1" x="3744"/>
        <item m="1" x="3745"/>
        <item m="1" x="3746"/>
        <item m="1" x="3747"/>
        <item m="1" x="3748"/>
        <item x="56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x="569"/>
        <item m="1" x="3773"/>
        <item m="1" x="3774"/>
        <item m="1" x="3775"/>
        <item m="1" x="3776"/>
        <item m="1" x="3777"/>
        <item m="1" x="3778"/>
        <item m="1" x="3779"/>
        <item m="1" x="3780"/>
        <item m="1" x="3781"/>
        <item m="1" x="3782"/>
        <item m="1" x="3783"/>
        <item m="1" x="3784"/>
        <item m="1" x="3785"/>
        <item m="1" x="3786"/>
        <item m="1" x="3787"/>
        <item x="570"/>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x="571"/>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6"/>
        <item m="1" x="3857"/>
        <item m="1" x="3858"/>
        <item m="1" x="3859"/>
        <item m="1" x="3860"/>
        <item m="1" x="3861"/>
        <item m="1" x="3862"/>
        <item m="1" x="3863"/>
        <item m="1" x="3864"/>
        <item m="1" x="3865"/>
        <item m="1" x="3866"/>
        <item m="1" x="3867"/>
        <item m="1" x="3868"/>
        <item m="1" x="3869"/>
        <item m="1" x="3870"/>
        <item m="1" x="3871"/>
        <item m="1" x="3872"/>
        <item x="5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x="573"/>
        <item m="1" x="3898"/>
        <item m="1" x="3899"/>
        <item m="1" x="3900"/>
        <item x="574"/>
        <item m="1" x="3901"/>
        <item m="1" x="3902"/>
        <item m="1" x="3903"/>
        <item x="575"/>
        <item m="1" x="3904"/>
        <item m="1" x="3905"/>
        <item m="1" x="3906"/>
        <item m="1" x="3907"/>
        <item m="1" x="3908"/>
        <item m="1" x="3909"/>
        <item m="1" x="3910"/>
        <item x="576"/>
        <item m="1" x="3911"/>
        <item x="577"/>
        <item m="1" x="3912"/>
        <item m="1" x="3913"/>
        <item m="1" x="3914"/>
        <item m="1" x="3915"/>
        <item x="578"/>
        <item m="1" x="3916"/>
        <item m="1" x="3917"/>
        <item m="1" x="3918"/>
        <item m="1" x="3919"/>
        <item m="1" x="3920"/>
        <item m="1" x="3921"/>
        <item m="1" x="3922"/>
        <item m="1" x="3923"/>
        <item m="1" x="3924"/>
        <item x="579"/>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x="580"/>
        <item x="581"/>
        <item m="1" x="3955"/>
        <item m="1" x="3956"/>
        <item m="1" x="3957"/>
        <item m="1" x="3958"/>
        <item m="1" x="3959"/>
        <item m="1" x="3960"/>
        <item m="1" x="3961"/>
        <item m="1" x="3962"/>
        <item m="1" x="3963"/>
        <item m="1" x="3964"/>
        <item m="1" x="3965"/>
        <item x="582"/>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x="583"/>
        <item m="1" x="3999"/>
        <item m="1" x="4000"/>
        <item x="584"/>
        <item m="1" x="4001"/>
        <item m="1" x="4002"/>
        <item m="1" x="4003"/>
        <item m="1" x="4004"/>
        <item m="1" x="4005"/>
        <item m="1" x="4006"/>
        <item m="1" x="4007"/>
        <item m="1" x="4008"/>
        <item m="1" x="4009"/>
        <item m="1" x="4010"/>
        <item x="585"/>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x="586"/>
        <item m="1" x="4071"/>
        <item m="1" x="4072"/>
        <item m="1" x="4073"/>
        <item m="1" x="4074"/>
        <item m="1" x="4075"/>
        <item m="1" x="4076"/>
        <item m="1" x="4077"/>
        <item m="1" x="4078"/>
        <item m="1" x="4079"/>
        <item m="1" x="4080"/>
        <item m="1" x="4081"/>
        <item m="1" x="4082"/>
        <item m="1" x="4083"/>
        <item m="1" x="4084"/>
        <item m="1" x="4085"/>
        <item m="1" x="4086"/>
        <item m="1" x="4087"/>
        <item m="1" x="4088"/>
        <item x="587"/>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x="588"/>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x="589"/>
        <item m="1" x="4144"/>
        <item m="1" x="4145"/>
        <item m="1" x="4146"/>
        <item m="1" x="4147"/>
        <item m="1" x="4148"/>
        <item m="1" x="4149"/>
        <item m="1" x="4150"/>
        <item m="1" x="4151"/>
        <item m="1" x="4152"/>
        <item m="1" x="4153"/>
        <item m="1" x="4154"/>
        <item m="1" x="4155"/>
        <item m="1" x="4156"/>
        <item m="1" x="4157"/>
        <item m="1" x="4158"/>
        <item m="1" x="4159"/>
        <item m="1" x="4160"/>
        <item m="1" x="4161"/>
        <item m="1" x="4162"/>
        <item x="590"/>
        <item m="1" x="4163"/>
        <item m="1" x="4164"/>
        <item m="1" x="4165"/>
        <item m="1" x="4166"/>
        <item x="591"/>
        <item m="1" x="4167"/>
        <item m="1" x="4168"/>
        <item m="1" x="4169"/>
        <item m="1" x="4170"/>
        <item m="1" x="4171"/>
        <item m="1" x="4172"/>
        <item m="1" x="4173"/>
        <item m="1" x="4174"/>
        <item m="1" x="4175"/>
        <item m="1" x="4176"/>
        <item m="1" x="4177"/>
        <item m="1" x="4178"/>
        <item m="1" x="4179"/>
        <item x="592"/>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x="593"/>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x="594"/>
        <item m="1" x="4247"/>
        <item m="1" x="4248"/>
        <item m="1" x="4249"/>
        <item m="1" x="4250"/>
        <item x="595"/>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x="596"/>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x="597"/>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x="598"/>
        <item m="1" x="4352"/>
        <item m="1" x="4353"/>
        <item m="1" x="4354"/>
        <item m="1" x="4355"/>
        <item m="1" x="4356"/>
        <item m="1" x="4357"/>
        <item m="1" x="4358"/>
        <item m="1" x="4359"/>
        <item m="1" x="4360"/>
        <item m="1" x="4361"/>
        <item m="1" x="4362"/>
        <item m="1" x="4363"/>
        <item m="1" x="4364"/>
        <item x="599"/>
        <item m="1" x="4365"/>
        <item m="1" x="4366"/>
        <item m="1" x="4367"/>
        <item m="1" x="4368"/>
        <item m="1" x="4369"/>
        <item m="1" x="4370"/>
        <item m="1" x="4371"/>
        <item m="1" x="4372"/>
        <item m="1" x="4373"/>
        <item m="1" x="4374"/>
        <item m="1" x="4375"/>
        <item m="1" x="4376"/>
        <item m="1" x="4377"/>
        <item m="1" x="4378"/>
        <item m="1" x="4379"/>
        <item m="1" x="4380"/>
        <item m="1" x="4381"/>
        <item m="1" x="4382"/>
        <item x="600"/>
        <item m="1" x="4383"/>
        <item m="1" x="4384"/>
        <item m="1" x="4385"/>
        <item m="1" x="4386"/>
        <item m="1" x="4387"/>
        <item m="1" x="4388"/>
        <item m="1" x="4389"/>
        <item m="1" x="4390"/>
        <item m="1" x="4391"/>
        <item m="1" x="4392"/>
        <item m="1" x="4393"/>
        <item m="1" x="4394"/>
        <item m="1" x="4395"/>
        <item m="1" x="4396"/>
        <item m="1" x="4397"/>
        <item m="1" x="4398"/>
        <item m="1" x="4399"/>
        <item m="1" x="4400"/>
        <item x="601"/>
        <item m="1" x="4401"/>
        <item m="1" x="4402"/>
        <item m="1" x="4403"/>
        <item m="1" x="4404"/>
        <item m="1" x="4405"/>
        <item m="1" x="4406"/>
        <item m="1" x="4407"/>
        <item m="1" x="4408"/>
        <item m="1" x="4409"/>
        <item m="1" x="4410"/>
        <item m="1" x="4411"/>
        <item m="1" x="4412"/>
        <item m="1" x="4413"/>
        <item m="1" x="4414"/>
        <item m="1" x="4415"/>
        <item m="1" x="4416"/>
        <item m="1" x="4417"/>
        <item m="1" x="4418"/>
        <item m="1" x="4419"/>
        <item x="602"/>
        <item m="1" x="4420"/>
        <item m="1" x="4421"/>
        <item m="1" x="4422"/>
        <item x="603"/>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x="604"/>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x="605"/>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x="606"/>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x="607"/>
        <item m="1" x="4528"/>
        <item x="608"/>
        <item m="1" x="4529"/>
        <item m="1" x="4530"/>
        <item m="1" x="4531"/>
        <item m="1" x="4532"/>
        <item m="1" x="4533"/>
        <item m="1" x="4534"/>
        <item m="1" x="4535"/>
        <item m="1" x="4536"/>
        <item m="1" x="4537"/>
        <item m="1" x="4538"/>
        <item m="1" x="4539"/>
        <item m="1" x="4540"/>
        <item m="1" x="4541"/>
        <item m="1" x="4542"/>
        <item m="1" x="4543"/>
        <item m="1" x="4544"/>
        <item m="1" x="4545"/>
        <item m="1" x="4546"/>
        <item x="609"/>
        <item m="1" x="4547"/>
        <item m="1" x="4548"/>
        <item m="1" x="4549"/>
        <item m="1" x="4550"/>
        <item m="1" x="4551"/>
        <item m="1" x="4552"/>
        <item m="1" x="4553"/>
        <item m="1" x="4554"/>
        <item m="1" x="4555"/>
        <item m="1" x="4556"/>
        <item m="1" x="4557"/>
        <item x="610"/>
        <item m="1" x="4558"/>
        <item m="1" x="4559"/>
        <item m="1" x="4560"/>
        <item m="1" x="4561"/>
        <item m="1" x="4562"/>
        <item m="1" x="4563"/>
        <item m="1" x="4564"/>
        <item m="1" x="4565"/>
        <item m="1" x="4566"/>
        <item m="1" x="4567"/>
        <item m="1" x="4568"/>
        <item m="1" x="4569"/>
        <item m="1" x="4570"/>
        <item m="1" x="4571"/>
        <item m="1" x="4572"/>
        <item m="1" x="4573"/>
        <item x="611"/>
        <item m="1" x="4574"/>
        <item m="1" x="4575"/>
        <item m="1" x="4576"/>
        <item m="1" x="4577"/>
        <item m="1" x="4578"/>
        <item m="1" x="4579"/>
        <item m="1" x="4580"/>
        <item m="1" x="4581"/>
        <item m="1" x="4582"/>
        <item m="1" x="4583"/>
        <item m="1" x="4584"/>
        <item m="1" x="4585"/>
        <item m="1" x="4586"/>
        <item m="1" x="4587"/>
        <item m="1" x="4588"/>
        <item m="1" x="4589"/>
        <item x="612"/>
        <item x="613"/>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x="614"/>
        <item m="1" x="4622"/>
        <item x="615"/>
        <item m="1" x="4623"/>
        <item m="1" x="4624"/>
        <item x="616"/>
        <item m="1" x="4625"/>
        <item m="1" x="4626"/>
        <item m="1" x="4627"/>
        <item m="1" x="4628"/>
        <item m="1" x="4629"/>
        <item m="1" x="4630"/>
        <item m="1" x="4631"/>
        <item m="1" x="4632"/>
        <item m="1" x="4633"/>
        <item x="617"/>
        <item m="1" x="4634"/>
        <item m="1" x="4635"/>
        <item m="1" x="4636"/>
        <item m="1" x="4637"/>
        <item m="1" x="4638"/>
        <item m="1" x="4639"/>
        <item m="1" x="4640"/>
        <item m="1" x="4641"/>
        <item m="1" x="4642"/>
        <item m="1" x="4643"/>
        <item m="1" x="4644"/>
        <item m="1" x="4645"/>
        <item m="1" x="4646"/>
        <item m="1" x="4647"/>
        <item x="618"/>
        <item m="1" x="4648"/>
        <item m="1" x="4649"/>
        <item m="1" x="4650"/>
        <item x="619"/>
        <item m="1" x="4651"/>
        <item m="1" x="4652"/>
        <item m="1" x="4653"/>
        <item m="1" x="4654"/>
        <item m="1" x="4655"/>
        <item m="1" x="4656"/>
        <item m="1" x="4657"/>
        <item x="620"/>
        <item m="1" x="4658"/>
        <item x="621"/>
        <item m="1" x="4659"/>
        <item m="1" x="4660"/>
        <item m="1" x="4661"/>
        <item m="1" x="4662"/>
        <item m="1" x="4663"/>
        <item m="1" x="4664"/>
        <item x="622"/>
        <item m="1" x="4665"/>
        <item m="1" x="4666"/>
        <item m="1" x="4667"/>
        <item m="1" x="4668"/>
        <item m="1" x="4669"/>
        <item m="1" x="4670"/>
        <item m="1" x="4671"/>
        <item m="1" x="4672"/>
        <item m="1" x="4673"/>
        <item x="623"/>
        <item m="1" x="4674"/>
        <item m="1" x="4675"/>
        <item m="1" x="4676"/>
        <item m="1" x="4677"/>
        <item m="1" x="4678"/>
        <item m="1" x="4679"/>
        <item m="1" x="4680"/>
        <item m="1" x="4681"/>
        <item m="1" x="4682"/>
        <item m="1" x="4683"/>
        <item m="1" x="4684"/>
        <item x="62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x="6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x="626"/>
        <item m="1" x="4756"/>
        <item m="1" x="4757"/>
        <item m="1" x="4758"/>
        <item m="1" x="4759"/>
        <item m="1" x="4760"/>
        <item m="1" x="4761"/>
        <item m="1" x="4762"/>
        <item m="1" x="4763"/>
        <item m="1" x="4764"/>
        <item m="1" x="4765"/>
        <item m="1" x="4766"/>
        <item m="1" x="4767"/>
        <item m="1" x="4768"/>
        <item m="1" x="4769"/>
        <item m="1" x="4770"/>
        <item m="1" x="4771"/>
        <item m="1" x="4772"/>
        <item m="1" x="4773"/>
        <item m="1" x="4774"/>
        <item x="627"/>
        <item m="1" x="4775"/>
        <item m="1" x="4776"/>
        <item x="628"/>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x="629"/>
        <item m="1" x="4833"/>
        <item m="1" x="4834"/>
        <item m="1" x="4835"/>
        <item m="1" x="4836"/>
        <item m="1" x="4837"/>
        <item m="1" x="4838"/>
        <item m="1" x="4839"/>
        <item m="1" x="4840"/>
        <item m="1" x="4841"/>
        <item m="1" x="4842"/>
        <item m="1" x="4843"/>
        <item m="1" x="4844"/>
        <item m="1" x="4845"/>
        <item m="1" x="4846"/>
        <item m="1" x="4847"/>
        <item m="1" x="4848"/>
        <item m="1" x="4849"/>
        <item x="630"/>
        <item m="1" x="4850"/>
        <item x="631"/>
        <item m="1" x="4851"/>
        <item x="632"/>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x="633"/>
        <item m="1" x="4885"/>
        <item m="1" x="4886"/>
        <item m="1" x="4887"/>
        <item m="1" x="4888"/>
        <item m="1" x="4889"/>
        <item m="1" x="4890"/>
        <item m="1" x="4891"/>
        <item m="1" x="4892"/>
        <item m="1" x="4893"/>
        <item m="1" x="4894"/>
        <item m="1" x="4895"/>
        <item m="1" x="4896"/>
        <item m="1" x="4897"/>
        <item m="1" x="4898"/>
        <item x="634"/>
        <item m="1" x="4899"/>
        <item m="1" x="4900"/>
        <item m="1" x="4901"/>
        <item m="1" x="4902"/>
        <item m="1" x="4903"/>
        <item m="1" x="4904"/>
        <item m="1" x="4905"/>
        <item x="635"/>
        <item m="1" x="4906"/>
        <item m="1" x="4907"/>
        <item m="1" x="4908"/>
        <item m="1" x="4909"/>
        <item m="1" x="4910"/>
        <item m="1" x="4911"/>
        <item m="1" x="4912"/>
        <item x="636"/>
        <item m="1" x="4913"/>
        <item m="1" x="4914"/>
        <item m="1" x="4915"/>
        <item m="1" x="4916"/>
        <item m="1" x="4917"/>
        <item m="1" x="4918"/>
        <item x="637"/>
        <item m="1" x="4919"/>
        <item m="1" x="4920"/>
        <item m="1" x="4921"/>
        <item m="1" x="4922"/>
        <item m="1" x="4923"/>
        <item m="1" x="4924"/>
        <item m="1" x="4925"/>
        <item x="638"/>
        <item m="1" x="4926"/>
        <item m="1" x="4927"/>
        <item m="1" x="4928"/>
        <item m="1" x="4929"/>
        <item m="1" x="4930"/>
        <item m="1" x="4931"/>
        <item m="1" x="4932"/>
        <item x="639"/>
        <item m="1" x="4933"/>
        <item m="1" x="4934"/>
        <item m="1" x="4935"/>
        <item x="640"/>
        <item m="1" x="4936"/>
        <item m="1" x="4937"/>
        <item m="1" x="4938"/>
        <item m="1" x="4939"/>
        <item m="1" x="4940"/>
        <item m="1" x="4941"/>
        <item m="1" x="4942"/>
        <item m="1" x="4943"/>
        <item m="1" x="4944"/>
        <item m="1" x="4945"/>
        <item m="1" x="4946"/>
        <item m="1" x="4947"/>
        <item m="1" x="4948"/>
        <item m="1" x="4949"/>
        <item x="641"/>
        <item m="1" x="4950"/>
        <item x="642"/>
        <item m="1" x="4951"/>
        <item m="1" x="4952"/>
        <item m="1" x="4953"/>
        <item m="1" x="4954"/>
        <item m="1" x="4955"/>
        <item x="643"/>
        <item m="1" x="4956"/>
        <item m="1" x="4957"/>
        <item m="1" x="4958"/>
        <item m="1" x="4959"/>
        <item m="1" x="4960"/>
        <item m="1" x="4961"/>
        <item m="1" x="4962"/>
        <item m="1" x="4963"/>
        <item m="1" x="4964"/>
        <item m="1" x="4965"/>
        <item m="1" x="4966"/>
        <item m="1" x="4967"/>
        <item m="1" x="4968"/>
        <item m="1" x="4969"/>
        <item m="1" x="4970"/>
        <item m="1" x="4971"/>
        <item m="1" x="4972"/>
        <item x="644"/>
        <item m="1" x="4973"/>
        <item m="1" x="4974"/>
        <item m="1" x="4975"/>
        <item m="1" x="4976"/>
        <item m="1" x="4977"/>
        <item m="1" x="4978"/>
        <item m="1" x="4979"/>
        <item m="1" x="4980"/>
        <item m="1" x="4981"/>
        <item x="645"/>
        <item x="646"/>
        <item m="1" x="4982"/>
        <item m="1" x="4983"/>
        <item m="1" x="4984"/>
        <item m="1" x="4985"/>
        <item m="1" x="4986"/>
        <item m="1" x="4987"/>
        <item m="1" x="4988"/>
        <item x="647"/>
        <item m="1" x="4989"/>
        <item m="1" x="4990"/>
        <item m="1" x="4991"/>
        <item m="1" x="4992"/>
        <item m="1" x="4993"/>
        <item m="1" x="4994"/>
        <item m="1" x="4995"/>
        <item m="1" x="4996"/>
        <item m="1" x="4997"/>
        <item m="1" x="4998"/>
        <item x="648"/>
        <item m="1" x="49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items count="17">
        <item m="1" x="8"/>
        <item m="1" x="12"/>
        <item m="1" x="7"/>
        <item m="1" x="10"/>
        <item m="1" x="9"/>
        <item m="1" x="11"/>
        <item m="1" x="14"/>
        <item m="1" x="13"/>
        <item m="1" x="15"/>
        <item m="1" x="6"/>
        <item x="2"/>
        <item x="0"/>
        <item x="1"/>
        <item x="3"/>
        <item x="4"/>
        <item x="5"/>
        <item t="default"/>
      </items>
    </pivotField>
    <pivotField showAll="0"/>
    <pivotField showAll="0"/>
    <pivotField dataField="1" showAll="0"/>
    <pivotField showAll="0"/>
    <pivotField showAll="0"/>
    <pivotField showAll="0"/>
    <pivotField showAll="0"/>
  </pivotFields>
  <rowFields count="1">
    <field x="0"/>
  </rowFields>
  <rowItems count="11">
    <i>
      <x v="1826"/>
    </i>
    <i>
      <x v="799"/>
    </i>
    <i>
      <x v="149"/>
    </i>
    <i>
      <x v="189"/>
    </i>
    <i>
      <x v="272"/>
    </i>
    <i>
      <x v="501"/>
    </i>
    <i>
      <x v="844"/>
    </i>
    <i>
      <x v="503"/>
    </i>
    <i>
      <x v="576"/>
    </i>
    <i>
      <x v="689"/>
    </i>
    <i t="grand">
      <x/>
    </i>
  </rowItems>
  <colItems count="1">
    <i/>
  </colItems>
  <dataFields count="1">
    <dataField name="Sum of Performance_Score" fld="10" baseField="0" baseItem="0"/>
  </dataField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19F5AA3-1B03-4CE7-9527-2DAE3DBBA93E}" autoFormatId="16" applyNumberFormats="0" applyBorderFormats="0" applyFontFormats="0" applyPatternFormats="0" applyAlignmentFormats="0" applyWidthHeightFormats="0">
  <queryTableRefresh nextId="13">
    <queryTableFields count="12">
      <queryTableField id="1" name="Employee_ID" tableColumnId="1"/>
      <queryTableField id="2" name="Department_ID" tableColumnId="2"/>
      <queryTableField id="3" name="Gender" tableColumnId="3"/>
      <queryTableField id="4" name="Age" tableColumnId="4"/>
      <queryTableField id="5" name="Hire_Date" tableColumnId="5"/>
      <queryTableField id="12" dataBound="0" tableColumnId="10"/>
      <queryTableField id="11" dataBound="0" tableColumnId="11"/>
      <queryTableField id="10" dataBound="0" tableColumnId="12"/>
      <queryTableField id="6" name="Performance_Score" tableColumnId="6"/>
      <queryTableField id="7" name="Absences_per_Month" tableColumnId="7"/>
      <queryTableField id="8" name="Salary_USD" tableColumnId="8"/>
      <queryTableField id="9" name="Tenure_Year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2FC5CDD-A6F0-4329-BB08-9A9437A5E7F5}" autoFormatId="16" applyNumberFormats="0" applyBorderFormats="0" applyFontFormats="0" applyPatternFormats="0" applyAlignmentFormats="0" applyWidthHeightFormats="0">
  <queryTableRefresh nextId="3">
    <queryTableFields count="2">
      <queryTableField id="1" name="Department_ID" tableColumnId="1"/>
      <queryTableField id="2" name="Department_Nam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AC674EF7-3378-4BA7-A7BD-9D1004D06B9D}" autoFormatId="16" applyNumberFormats="0" applyBorderFormats="0" applyFontFormats="0" applyPatternFormats="0" applyAlignmentFormats="0" applyWidthHeightFormats="0">
  <queryTableRefresh nextId="38">
    <queryTableFields count="15">
      <queryTableField id="1" name="Employee_ID" tableColumnId="1"/>
      <queryTableField id="2" name="Department_ID" tableColumnId="2"/>
      <queryTableField id="34" name="Department" tableColumnId="14"/>
      <queryTableField id="3" name="Gender" tableColumnId="3"/>
      <queryTableField id="4" name="Age" tableColumnId="4"/>
      <queryTableField id="36" name="Age_Bracket" tableColumnId="10"/>
      <queryTableField id="5" name="Hire_Date" tableColumnId="5"/>
      <queryTableField id="20" name="Year" tableColumnId="19"/>
      <queryTableField id="22" name="Month" tableColumnId="20"/>
      <queryTableField id="23" name="Day" tableColumnId="21"/>
      <queryTableField id="6" name="Performance_Score" tableColumnId="6"/>
      <queryTableField id="7" name="Absences_per_Month" tableColumnId="7"/>
      <queryTableField id="8" name="Salary_USD" tableColumnId="8"/>
      <queryTableField id="9" name="Tenure_Years" tableColumnId="9"/>
      <queryTableField id="19" name="Tenure_Bracke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1D7083-CDC6-412B-B98D-7BC613049B81}" sourceName="Year">
  <pivotTables>
    <pivotTable tabId="6" name="Avg_Salary"/>
    <pivotTable tabId="6" name="AvgPvsAvgA"/>
    <pivotTable tabId="6" name="Dept"/>
    <pivotTable tabId="6" name="Dept.Employee.Gender"/>
    <pivotTable tabId="6" name="Yearrrs"/>
    <pivotTable tabId="6" name="LowPerEmp"/>
    <pivotTable tabId="6" name="TopEmp"/>
    <pivotTable tabId="6" name="TenureYRDistri"/>
  </pivotTables>
  <data>
    <tabular pivotCacheId="1607683892" showMissing="0">
      <items count="16">
        <i x="2" s="1"/>
        <i x="0" s="1"/>
        <i x="1" s="1"/>
        <i x="3" s="1"/>
        <i x="4" s="1"/>
        <i x="5" s="1"/>
        <i x="8" s="1" nd="1"/>
        <i x="12" s="1" nd="1"/>
        <i x="7" s="1" nd="1"/>
        <i x="10" s="1" nd="1"/>
        <i x="9" s="1" nd="1"/>
        <i x="11" s="1" nd="1"/>
        <i x="14" s="1" nd="1"/>
        <i x="13" s="1" nd="1"/>
        <i x="15"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42C1E07-E01D-4DE6-A07C-87D47D9F1EB2}" sourceName="Department">
  <pivotTables>
    <pivotTable tabId="6" name="AvgPvsAvgA"/>
  </pivotTables>
  <data>
    <tabular pivotCacheId="1607683892">
      <items count="6">
        <i x="3" s="1"/>
        <i x="0" s="1"/>
        <i x="1" s="1"/>
        <i x="5"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E790496-EA69-4748-AB92-7A6223E69453}" cache="Slicer_Year" caption="Year" rowHeight="247650"/>
  <slicer name="Department" xr10:uid="{D5D8B272-6007-46F4-8029-B312D03523F6}" cache="Slicer_Department" caption="Departmen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192BC2-006C-4647-B052-12F084452B76}" name="EmployeeData_1" displayName="EmployeeData_1" ref="A1:L5001" tableType="queryTable" totalsRowShown="0">
  <autoFilter ref="A1:L5001" xr:uid="{A1192BC2-006C-4647-B052-12F084452B76}"/>
  <tableColumns count="12">
    <tableColumn id="1" xr3:uid="{E2AA67B3-B1A0-4D40-9527-7B2A9FA65338}" uniqueName="1" name="Employee_ID" queryTableFieldId="1" dataDxfId="18"/>
    <tableColumn id="2" xr3:uid="{3F1F90BE-3385-4396-90B7-DD5945568C5F}" uniqueName="2" name="Department_ID" queryTableFieldId="2" dataDxfId="17"/>
    <tableColumn id="3" xr3:uid="{F3C939F1-2E65-4318-835E-BFFA513D1205}" uniqueName="3" name="Gender" queryTableFieldId="3" dataDxfId="16"/>
    <tableColumn id="4" xr3:uid="{9247A3F4-32B9-44FC-8654-8B5BAC7BF618}" uniqueName="4" name="Age" queryTableFieldId="4"/>
    <tableColumn id="5" xr3:uid="{B30D06DF-5A38-421E-97CC-4042834F296E}" uniqueName="5" name="Hire_Date" queryTableFieldId="5" dataDxfId="15"/>
    <tableColumn id="10" xr3:uid="{68879082-C177-4147-8551-83E281FD20BA}" uniqueName="10" name="Year" queryTableFieldId="12" dataDxfId="14"/>
    <tableColumn id="11" xr3:uid="{A867F5CB-2356-4766-A14F-EFA395F726DF}" uniqueName="11" name="Month" queryTableFieldId="11" dataDxfId="13"/>
    <tableColumn id="12" xr3:uid="{C099318D-6A56-45F7-8B01-A399446EE1E8}" uniqueName="12" name="Day" queryTableFieldId="10" dataDxfId="12"/>
    <tableColumn id="6" xr3:uid="{93428871-40B2-4222-92AD-1C28615BD59C}" uniqueName="6" name="Performance_Score" queryTableFieldId="6"/>
    <tableColumn id="7" xr3:uid="{37399054-2E4F-443F-8251-2B7E6D26E14F}" uniqueName="7" name="Absences_per_Month" queryTableFieldId="7"/>
    <tableColumn id="8" xr3:uid="{D66B2452-FDE6-4BEE-A59D-B53AAC909DDB}" uniqueName="8" name="Salary_USD" queryTableFieldId="8"/>
    <tableColumn id="9" xr3:uid="{4F530DBC-A51D-4BA8-A5E1-FD759A43DB1F}" uniqueName="9" name="Tenure_Years"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343532-C41E-4887-AA31-368550F7B3E0}" name="Department_1" displayName="Department_1" ref="A1:B7" tableType="queryTable" totalsRowShown="0">
  <autoFilter ref="A1:B7" xr:uid="{A4343532-C41E-4887-AA31-368550F7B3E0}"/>
  <tableColumns count="2">
    <tableColumn id="1" xr3:uid="{F173A36E-F0DB-4F48-9B00-3EEEF1706E23}" uniqueName="1" name="Department_ID" queryTableFieldId="1" dataDxfId="11"/>
    <tableColumn id="2" xr3:uid="{80B8C338-6AA8-442D-B49F-207CE784F772}" uniqueName="2" name="Department_Name" queryTableFieldId="2"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13DBEF-3DED-439F-93F5-C8B2B7B37E0D}" name="Worksheet" displayName="Worksheet" ref="A1:O650" tableType="queryTable" totalsRowShown="0">
  <autoFilter ref="A1:O650" xr:uid="{6C13DBEF-3DED-439F-93F5-C8B2B7B37E0D}"/>
  <tableColumns count="15">
    <tableColumn id="1" xr3:uid="{926B0B67-50D2-49E8-A05B-9CCB807C6BE1}" uniqueName="1" name="Employee_ID" queryTableFieldId="1" dataDxfId="9"/>
    <tableColumn id="2" xr3:uid="{D6CB5176-8CAF-40FA-A233-3BC95E833119}" uniqueName="2" name="Department_ID" queryTableFieldId="2" dataDxfId="8"/>
    <tableColumn id="14" xr3:uid="{08BF64DF-9C23-4E1E-A066-F229E40B333A}" uniqueName="14" name="Department" queryTableFieldId="34" dataDxfId="7"/>
    <tableColumn id="3" xr3:uid="{B3EDF57E-9278-4AB9-B02E-2AC00B84ECD5}" uniqueName="3" name="Gender" queryTableFieldId="3" dataDxfId="6"/>
    <tableColumn id="4" xr3:uid="{D952C793-133D-400F-844D-A188643C1636}" uniqueName="4" name="Age" queryTableFieldId="4"/>
    <tableColumn id="10" xr3:uid="{734B4040-8E32-4312-93DF-B69F89A49D41}" uniqueName="10" name="Age_Bracket" queryTableFieldId="36"/>
    <tableColumn id="5" xr3:uid="{340FDF46-073A-4E5F-9B53-D14DEC26064D}" uniqueName="5" name="Hire_Date" queryTableFieldId="5" dataDxfId="5"/>
    <tableColumn id="19" xr3:uid="{1F464E0B-2A5D-4E9E-A244-1D78B35F6BE1}" uniqueName="19" name="Year" queryTableFieldId="20"/>
    <tableColumn id="20" xr3:uid="{CEBC3D40-046B-4247-936D-1CC8182F14D2}" uniqueName="20" name="Month" queryTableFieldId="22"/>
    <tableColumn id="21" xr3:uid="{A930F843-B289-40F3-BEE2-C97730754A48}" uniqueName="21" name="Day" queryTableFieldId="23"/>
    <tableColumn id="6" xr3:uid="{7F5A9BBC-1669-453A-BD09-35F66F4E5A0A}" uniqueName="6" name="Performance_Score" queryTableFieldId="6"/>
    <tableColumn id="7" xr3:uid="{E037B449-C7EB-4AC9-9777-3D78F791E672}" uniqueName="7" name="Absences_per_Month" queryTableFieldId="7"/>
    <tableColumn id="8" xr3:uid="{FD6637FA-52C6-4BF8-9ECD-FFEDEF697C0F}" uniqueName="8" name="Salary_USD" queryTableFieldId="8"/>
    <tableColumn id="9" xr3:uid="{B8C2B4E0-0F9E-4F82-8B43-8F241A01D0C3}" uniqueName="9" name="Tenure_Years" queryTableFieldId="9"/>
    <tableColumn id="18" xr3:uid="{AD113D60-FE35-4539-9B51-AB719876F4DF}" uniqueName="18" name="Tenure_Bracket"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66ACDA-28EB-433E-9B69-45911576BD7E}" name="Table6" displayName="Table6" ref="B7:C12" headerRowCount="0" totalsRowShown="0">
  <tableColumns count="2">
    <tableColumn id="1" xr3:uid="{2FD35FC0-2337-4337-8F48-7F19E533E9A2}" name="Column1"/>
    <tableColumn id="2" xr3:uid="{CA89E794-8528-4AE6-8157-75322EB90B37}" name="Column2" headerRowDxfId="4" dataDxfId="3"/>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411D74-5D90-406A-A75C-831A20D54993}" name="EmployeeData" displayName="EmployeeData" ref="A1:I5001" totalsRowShown="0">
  <autoFilter ref="A1:I5001" xr:uid="{BF411D74-5D90-406A-A75C-831A20D54993}"/>
  <tableColumns count="9">
    <tableColumn id="1" xr3:uid="{4D81696D-0725-4E76-AFCA-C7C72CE5ACBD}" name="Employee_ID"/>
    <tableColumn id="2" xr3:uid="{7D32D7AB-77E8-493F-947B-22E67E22CFD9}" name="Department_ID"/>
    <tableColumn id="3" xr3:uid="{B5170046-B293-461E-9F98-D15F744FB0CE}" name="Gender"/>
    <tableColumn id="4" xr3:uid="{91314C53-3EB1-444A-BA87-61814FBDAD7B}" name="Age"/>
    <tableColumn id="5" xr3:uid="{A3CA01C7-EFAE-4705-A606-1FD60273AE7E}" name="Hire_Date" dataDxfId="0"/>
    <tableColumn id="6" xr3:uid="{69A0A305-9CC8-45C0-A517-68F369A78639}" name="Performance_Score"/>
    <tableColumn id="7" xr3:uid="{C085538E-FDE5-4879-B82A-A479D9EA396C}" name="Absences_per_Month"/>
    <tableColumn id="8" xr3:uid="{AC287EBC-6F21-4951-840D-0E956494A72D}" name="Salary_USD"/>
    <tableColumn id="9" xr3:uid="{DADD557D-7F7E-4EDE-82CB-F9EC1C23FC55}" name="Tenure_Year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1D177F-CF31-40CE-83DB-70F8D03FB4AA}" name="Department" displayName="Department" ref="A1:B7" totalsRowShown="0">
  <autoFilter ref="A1:B7" xr:uid="{FF1D177F-CF31-40CE-83DB-70F8D03FB4AA}"/>
  <tableColumns count="2">
    <tableColumn id="1" xr3:uid="{06AFDF53-61FA-47CC-9F59-51AA7887FC23}" name="Department_ID"/>
    <tableColumn id="2" xr3:uid="{B3612B45-DBF9-462A-8B8E-9A766B6C21B9}" name="Department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0535-0AD4-4F4E-96A9-F02C142EB0FF}">
  <dimension ref="A1:L5001"/>
  <sheetViews>
    <sheetView workbookViewId="0">
      <selection activeCell="M2" sqref="M2"/>
    </sheetView>
  </sheetViews>
  <sheetFormatPr defaultRowHeight="14.4" x14ac:dyDescent="0.3"/>
  <cols>
    <col min="1" max="1" width="14" bestFit="1" customWidth="1"/>
    <col min="2" max="2" width="15.88671875" bestFit="1" customWidth="1"/>
    <col min="3" max="3" width="9.33203125" bestFit="1" customWidth="1"/>
    <col min="4" max="4" width="6.21875" bestFit="1" customWidth="1"/>
    <col min="5" max="5" width="11.44140625" bestFit="1" customWidth="1"/>
    <col min="6" max="6" width="6.88671875" bestFit="1" customWidth="1"/>
    <col min="7" max="7" width="9.77734375" bestFit="1" customWidth="1"/>
    <col min="8" max="8" width="6.33203125" bestFit="1" customWidth="1"/>
    <col min="9" max="9" width="19.6640625" bestFit="1" customWidth="1"/>
    <col min="10" max="10" width="20.88671875" bestFit="1" customWidth="1"/>
    <col min="11" max="11" width="12.77734375" bestFit="1" customWidth="1"/>
    <col min="12" max="12" width="14.109375" bestFit="1" customWidth="1"/>
  </cols>
  <sheetData>
    <row r="1" spans="1:12" x14ac:dyDescent="0.3">
      <c r="A1" t="s">
        <v>0</v>
      </c>
      <c r="B1" t="s">
        <v>5024</v>
      </c>
      <c r="C1" t="s">
        <v>2</v>
      </c>
      <c r="D1" t="s">
        <v>3</v>
      </c>
      <c r="E1" t="s">
        <v>4</v>
      </c>
      <c r="F1" t="s">
        <v>5043</v>
      </c>
      <c r="G1" t="s">
        <v>5044</v>
      </c>
      <c r="H1" t="s">
        <v>5045</v>
      </c>
      <c r="I1" t="s">
        <v>5</v>
      </c>
      <c r="J1" t="s">
        <v>6</v>
      </c>
      <c r="K1" t="s">
        <v>7</v>
      </c>
      <c r="L1" t="s">
        <v>8</v>
      </c>
    </row>
    <row r="2" spans="1:12" x14ac:dyDescent="0.3">
      <c r="A2" t="s">
        <v>9</v>
      </c>
      <c r="B2" t="s">
        <v>10</v>
      </c>
      <c r="C2" t="s">
        <v>11</v>
      </c>
      <c r="D2">
        <v>36</v>
      </c>
      <c r="E2" s="1">
        <v>43692</v>
      </c>
      <c r="F2">
        <v>2019</v>
      </c>
      <c r="G2" t="s">
        <v>5031</v>
      </c>
      <c r="H2">
        <v>15</v>
      </c>
      <c r="I2">
        <v>3.63</v>
      </c>
      <c r="J2">
        <v>14</v>
      </c>
      <c r="K2">
        <v>9867.2800000000007</v>
      </c>
      <c r="L2">
        <v>6.2</v>
      </c>
    </row>
    <row r="3" spans="1:12" x14ac:dyDescent="0.3">
      <c r="A3" t="s">
        <v>12</v>
      </c>
      <c r="B3" t="s">
        <v>13</v>
      </c>
      <c r="C3" t="s">
        <v>14</v>
      </c>
      <c r="D3">
        <v>23</v>
      </c>
      <c r="E3" s="1">
        <v>40346</v>
      </c>
      <c r="F3">
        <v>2010</v>
      </c>
      <c r="G3" t="s">
        <v>5032</v>
      </c>
      <c r="H3">
        <v>17</v>
      </c>
      <c r="I3">
        <v>2.81</v>
      </c>
      <c r="J3">
        <v>1</v>
      </c>
      <c r="K3">
        <v>3073.03</v>
      </c>
      <c r="L3">
        <v>15.4</v>
      </c>
    </row>
    <row r="4" spans="1:12" x14ac:dyDescent="0.3">
      <c r="A4" t="s">
        <v>15</v>
      </c>
      <c r="B4" t="s">
        <v>16</v>
      </c>
      <c r="C4" t="s">
        <v>11</v>
      </c>
      <c r="D4">
        <v>54</v>
      </c>
      <c r="E4" s="1">
        <v>41819</v>
      </c>
      <c r="F4">
        <v>2014</v>
      </c>
      <c r="G4" t="s">
        <v>5032</v>
      </c>
      <c r="H4">
        <v>29</v>
      </c>
      <c r="I4">
        <v>4.49</v>
      </c>
      <c r="J4">
        <v>10</v>
      </c>
      <c r="K4">
        <v>14812.45</v>
      </c>
      <c r="L4">
        <v>11.4</v>
      </c>
    </row>
    <row r="5" spans="1:12" x14ac:dyDescent="0.3">
      <c r="A5" t="s">
        <v>17</v>
      </c>
      <c r="B5" t="s">
        <v>18</v>
      </c>
      <c r="C5" t="s">
        <v>14</v>
      </c>
      <c r="D5">
        <v>59</v>
      </c>
      <c r="E5" s="1">
        <v>41532</v>
      </c>
      <c r="F5">
        <v>2013</v>
      </c>
      <c r="G5" t="s">
        <v>5033</v>
      </c>
      <c r="H5">
        <v>15</v>
      </c>
      <c r="I5">
        <v>2.77</v>
      </c>
      <c r="J5">
        <v>14</v>
      </c>
      <c r="K5">
        <v>14169.13</v>
      </c>
      <c r="L5">
        <v>12.1</v>
      </c>
    </row>
    <row r="6" spans="1:12" x14ac:dyDescent="0.3">
      <c r="A6" t="s">
        <v>19</v>
      </c>
      <c r="B6" t="s">
        <v>10</v>
      </c>
      <c r="C6" t="s">
        <v>11</v>
      </c>
      <c r="D6">
        <v>27</v>
      </c>
      <c r="E6" s="1">
        <v>41121</v>
      </c>
      <c r="F6">
        <v>2012</v>
      </c>
      <c r="G6" t="s">
        <v>5034</v>
      </c>
      <c r="H6">
        <v>31</v>
      </c>
      <c r="I6">
        <v>2.4300000000000002</v>
      </c>
      <c r="J6">
        <v>4</v>
      </c>
      <c r="K6">
        <v>6092.8</v>
      </c>
      <c r="L6">
        <v>13.3</v>
      </c>
    </row>
    <row r="7" spans="1:12" x14ac:dyDescent="0.3">
      <c r="A7" t="s">
        <v>20</v>
      </c>
      <c r="B7" t="s">
        <v>13</v>
      </c>
      <c r="C7" t="s">
        <v>11</v>
      </c>
      <c r="D7">
        <v>43</v>
      </c>
      <c r="E7" s="1">
        <v>44261</v>
      </c>
      <c r="F7">
        <v>2021</v>
      </c>
      <c r="G7" t="s">
        <v>5035</v>
      </c>
      <c r="H7">
        <v>6</v>
      </c>
      <c r="I7">
        <v>2.13</v>
      </c>
      <c r="J7">
        <v>0</v>
      </c>
      <c r="K7">
        <v>3895.18</v>
      </c>
      <c r="L7">
        <v>4.7</v>
      </c>
    </row>
    <row r="8" spans="1:12" x14ac:dyDescent="0.3">
      <c r="A8" t="s">
        <v>21</v>
      </c>
      <c r="B8" t="s">
        <v>16</v>
      </c>
      <c r="C8" t="s">
        <v>11</v>
      </c>
      <c r="D8">
        <v>34</v>
      </c>
      <c r="E8" s="1">
        <v>44687</v>
      </c>
      <c r="F8">
        <v>2022</v>
      </c>
      <c r="G8" t="s">
        <v>5036</v>
      </c>
      <c r="H8">
        <v>6</v>
      </c>
      <c r="I8">
        <v>4.09</v>
      </c>
      <c r="J8">
        <v>8</v>
      </c>
      <c r="K8">
        <v>10680.43</v>
      </c>
      <c r="L8">
        <v>3.5</v>
      </c>
    </row>
    <row r="9" spans="1:12" x14ac:dyDescent="0.3">
      <c r="A9" t="s">
        <v>22</v>
      </c>
      <c r="B9" t="s">
        <v>16</v>
      </c>
      <c r="C9" t="s">
        <v>14</v>
      </c>
      <c r="D9">
        <v>39</v>
      </c>
      <c r="E9" s="1">
        <v>44566</v>
      </c>
      <c r="F9">
        <v>2022</v>
      </c>
      <c r="G9" t="s">
        <v>5037</v>
      </c>
      <c r="H9">
        <v>5</v>
      </c>
      <c r="I9">
        <v>4.49</v>
      </c>
      <c r="J9">
        <v>14</v>
      </c>
      <c r="K9">
        <v>10850.25</v>
      </c>
      <c r="L9">
        <v>3.8</v>
      </c>
    </row>
    <row r="10" spans="1:12" x14ac:dyDescent="0.3">
      <c r="A10" t="s">
        <v>23</v>
      </c>
      <c r="B10" t="s">
        <v>24</v>
      </c>
      <c r="C10" t="s">
        <v>11</v>
      </c>
      <c r="D10">
        <v>55</v>
      </c>
      <c r="E10" s="1">
        <v>44159</v>
      </c>
      <c r="F10">
        <v>2020</v>
      </c>
      <c r="G10" t="s">
        <v>5038</v>
      </c>
      <c r="H10">
        <v>24</v>
      </c>
      <c r="I10">
        <v>2.4300000000000002</v>
      </c>
      <c r="J10">
        <v>12</v>
      </c>
      <c r="K10">
        <v>4237.22</v>
      </c>
      <c r="L10">
        <v>4.9000000000000004</v>
      </c>
    </row>
    <row r="11" spans="1:12" x14ac:dyDescent="0.3">
      <c r="A11" t="s">
        <v>25</v>
      </c>
      <c r="B11" t="s">
        <v>10</v>
      </c>
      <c r="C11" t="s">
        <v>14</v>
      </c>
      <c r="D11">
        <v>27</v>
      </c>
      <c r="E11" s="1">
        <v>44284</v>
      </c>
      <c r="F11">
        <v>2021</v>
      </c>
      <c r="G11" t="s">
        <v>5035</v>
      </c>
      <c r="H11">
        <v>29</v>
      </c>
      <c r="I11">
        <v>2.68</v>
      </c>
      <c r="J11">
        <v>3</v>
      </c>
      <c r="K11">
        <v>7679.81</v>
      </c>
      <c r="L11">
        <v>4.5999999999999996</v>
      </c>
    </row>
    <row r="12" spans="1:12" x14ac:dyDescent="0.3">
      <c r="A12" t="s">
        <v>26</v>
      </c>
      <c r="B12" t="s">
        <v>18</v>
      </c>
      <c r="C12" t="s">
        <v>11</v>
      </c>
      <c r="D12">
        <v>40</v>
      </c>
      <c r="E12" s="1">
        <v>44700</v>
      </c>
      <c r="F12">
        <v>2022</v>
      </c>
      <c r="G12" t="s">
        <v>5036</v>
      </c>
      <c r="H12">
        <v>19</v>
      </c>
      <c r="I12">
        <v>4.26</v>
      </c>
      <c r="J12">
        <v>7</v>
      </c>
      <c r="K12">
        <v>12468.25</v>
      </c>
      <c r="L12">
        <v>3.5</v>
      </c>
    </row>
    <row r="13" spans="1:12" x14ac:dyDescent="0.3">
      <c r="A13" t="s">
        <v>27</v>
      </c>
      <c r="B13" t="s">
        <v>18</v>
      </c>
      <c r="C13" t="s">
        <v>11</v>
      </c>
      <c r="D13">
        <v>48</v>
      </c>
      <c r="E13" s="1">
        <v>42065</v>
      </c>
      <c r="F13">
        <v>2015</v>
      </c>
      <c r="G13" t="s">
        <v>5035</v>
      </c>
      <c r="H13">
        <v>2</v>
      </c>
      <c r="I13">
        <v>2.12</v>
      </c>
      <c r="J13">
        <v>0</v>
      </c>
      <c r="K13">
        <v>7573.1</v>
      </c>
      <c r="L13">
        <v>10.7</v>
      </c>
    </row>
    <row r="14" spans="1:12" x14ac:dyDescent="0.3">
      <c r="A14" t="s">
        <v>28</v>
      </c>
      <c r="B14" t="s">
        <v>13</v>
      </c>
      <c r="C14" t="s">
        <v>14</v>
      </c>
      <c r="D14">
        <v>44</v>
      </c>
      <c r="E14" s="1">
        <v>41940</v>
      </c>
      <c r="F14">
        <v>2014</v>
      </c>
      <c r="G14" t="s">
        <v>5039</v>
      </c>
      <c r="H14">
        <v>28</v>
      </c>
      <c r="I14">
        <v>4.2</v>
      </c>
      <c r="J14">
        <v>15</v>
      </c>
      <c r="K14">
        <v>11387.56</v>
      </c>
      <c r="L14">
        <v>11</v>
      </c>
    </row>
    <row r="15" spans="1:12" x14ac:dyDescent="0.3">
      <c r="A15" t="s">
        <v>29</v>
      </c>
      <c r="B15" t="s">
        <v>16</v>
      </c>
      <c r="C15" t="s">
        <v>11</v>
      </c>
      <c r="D15">
        <v>54</v>
      </c>
      <c r="E15" s="1">
        <v>43702</v>
      </c>
      <c r="F15">
        <v>2019</v>
      </c>
      <c r="G15" t="s">
        <v>5031</v>
      </c>
      <c r="H15">
        <v>25</v>
      </c>
      <c r="I15">
        <v>2.64</v>
      </c>
      <c r="J15">
        <v>12</v>
      </c>
      <c r="K15">
        <v>4505.59</v>
      </c>
      <c r="L15">
        <v>6.2</v>
      </c>
    </row>
    <row r="16" spans="1:12" x14ac:dyDescent="0.3">
      <c r="A16" t="s">
        <v>30</v>
      </c>
      <c r="B16" t="s">
        <v>10</v>
      </c>
      <c r="C16" t="s">
        <v>14</v>
      </c>
      <c r="D16">
        <v>42</v>
      </c>
      <c r="E16" s="1">
        <v>45111</v>
      </c>
      <c r="F16">
        <v>2023</v>
      </c>
      <c r="G16" t="s">
        <v>5034</v>
      </c>
      <c r="H16">
        <v>4</v>
      </c>
      <c r="I16">
        <v>2.94</v>
      </c>
      <c r="J16">
        <v>3</v>
      </c>
      <c r="K16">
        <v>9556.83</v>
      </c>
      <c r="L16">
        <v>2.2999999999999998</v>
      </c>
    </row>
    <row r="17" spans="1:12" x14ac:dyDescent="0.3">
      <c r="A17" t="s">
        <v>31</v>
      </c>
      <c r="B17" t="s">
        <v>16</v>
      </c>
      <c r="C17" t="s">
        <v>14</v>
      </c>
      <c r="D17">
        <v>25</v>
      </c>
      <c r="E17" s="1">
        <v>40637</v>
      </c>
      <c r="F17">
        <v>2011</v>
      </c>
      <c r="G17" t="s">
        <v>5040</v>
      </c>
      <c r="H17">
        <v>4</v>
      </c>
      <c r="I17">
        <v>4.96</v>
      </c>
      <c r="J17">
        <v>6</v>
      </c>
      <c r="K17">
        <v>3499.58</v>
      </c>
      <c r="L17">
        <v>14.6</v>
      </c>
    </row>
    <row r="18" spans="1:12" x14ac:dyDescent="0.3">
      <c r="A18" t="s">
        <v>32</v>
      </c>
      <c r="B18" t="s">
        <v>16</v>
      </c>
      <c r="C18" t="s">
        <v>14</v>
      </c>
      <c r="D18">
        <v>59</v>
      </c>
      <c r="E18" s="1">
        <v>42847</v>
      </c>
      <c r="F18">
        <v>2017</v>
      </c>
      <c r="G18" t="s">
        <v>5040</v>
      </c>
      <c r="H18">
        <v>22</v>
      </c>
      <c r="I18">
        <v>4.78</v>
      </c>
      <c r="J18">
        <v>10</v>
      </c>
      <c r="K18">
        <v>10773.32</v>
      </c>
      <c r="L18">
        <v>8.5</v>
      </c>
    </row>
    <row r="19" spans="1:12" x14ac:dyDescent="0.3">
      <c r="A19" t="s">
        <v>33</v>
      </c>
      <c r="B19" t="s">
        <v>34</v>
      </c>
      <c r="C19" t="s">
        <v>11</v>
      </c>
      <c r="D19">
        <v>56</v>
      </c>
      <c r="E19" s="1">
        <v>42106</v>
      </c>
      <c r="F19">
        <v>2015</v>
      </c>
      <c r="G19" t="s">
        <v>5040</v>
      </c>
      <c r="H19">
        <v>12</v>
      </c>
      <c r="I19">
        <v>4.71</v>
      </c>
      <c r="J19">
        <v>15</v>
      </c>
      <c r="K19">
        <v>5909.54</v>
      </c>
      <c r="L19">
        <v>10.6</v>
      </c>
    </row>
    <row r="20" spans="1:12" x14ac:dyDescent="0.3">
      <c r="A20" t="s">
        <v>35</v>
      </c>
      <c r="B20" t="s">
        <v>34</v>
      </c>
      <c r="C20" t="s">
        <v>14</v>
      </c>
      <c r="D20">
        <v>60</v>
      </c>
      <c r="E20" s="1">
        <v>43024</v>
      </c>
      <c r="F20">
        <v>2017</v>
      </c>
      <c r="G20" t="s">
        <v>5039</v>
      </c>
      <c r="H20">
        <v>16</v>
      </c>
      <c r="I20">
        <v>4.01</v>
      </c>
      <c r="J20">
        <v>5</v>
      </c>
      <c r="K20">
        <v>6321.13</v>
      </c>
      <c r="L20">
        <v>8</v>
      </c>
    </row>
    <row r="21" spans="1:12" x14ac:dyDescent="0.3">
      <c r="A21" t="s">
        <v>36</v>
      </c>
      <c r="B21" t="s">
        <v>34</v>
      </c>
      <c r="C21" t="s">
        <v>11</v>
      </c>
      <c r="D21">
        <v>46</v>
      </c>
      <c r="E21" s="1">
        <v>42333</v>
      </c>
      <c r="F21">
        <v>2015</v>
      </c>
      <c r="G21" t="s">
        <v>5038</v>
      </c>
      <c r="H21">
        <v>25</v>
      </c>
      <c r="I21">
        <v>3.36</v>
      </c>
      <c r="J21">
        <v>14</v>
      </c>
      <c r="K21">
        <v>13670.77</v>
      </c>
      <c r="L21">
        <v>9.9</v>
      </c>
    </row>
    <row r="22" spans="1:12" x14ac:dyDescent="0.3">
      <c r="A22" t="s">
        <v>37</v>
      </c>
      <c r="B22" t="s">
        <v>10</v>
      </c>
      <c r="C22" t="s">
        <v>14</v>
      </c>
      <c r="D22">
        <v>55</v>
      </c>
      <c r="E22" s="1">
        <v>42275</v>
      </c>
      <c r="F22">
        <v>2015</v>
      </c>
      <c r="G22" t="s">
        <v>5033</v>
      </c>
      <c r="H22">
        <v>28</v>
      </c>
      <c r="I22">
        <v>2.88</v>
      </c>
      <c r="J22">
        <v>9</v>
      </c>
      <c r="K22">
        <v>10812.73</v>
      </c>
      <c r="L22">
        <v>10.1</v>
      </c>
    </row>
    <row r="23" spans="1:12" x14ac:dyDescent="0.3">
      <c r="A23" t="s">
        <v>38</v>
      </c>
      <c r="B23" t="s">
        <v>34</v>
      </c>
      <c r="C23" t="s">
        <v>11</v>
      </c>
      <c r="D23">
        <v>50</v>
      </c>
      <c r="E23" s="1">
        <v>40900</v>
      </c>
      <c r="F23">
        <v>2011</v>
      </c>
      <c r="G23" t="s">
        <v>5041</v>
      </c>
      <c r="H23">
        <v>23</v>
      </c>
      <c r="I23">
        <v>4.78</v>
      </c>
      <c r="J23">
        <v>8</v>
      </c>
      <c r="K23">
        <v>5279.82</v>
      </c>
      <c r="L23">
        <v>13.9</v>
      </c>
    </row>
    <row r="24" spans="1:12" x14ac:dyDescent="0.3">
      <c r="A24" t="s">
        <v>39</v>
      </c>
      <c r="B24" t="s">
        <v>16</v>
      </c>
      <c r="C24" t="s">
        <v>14</v>
      </c>
      <c r="D24">
        <v>29</v>
      </c>
      <c r="E24" s="1">
        <v>42723</v>
      </c>
      <c r="F24">
        <v>2016</v>
      </c>
      <c r="G24" t="s">
        <v>5041</v>
      </c>
      <c r="H24">
        <v>19</v>
      </c>
      <c r="I24">
        <v>3</v>
      </c>
      <c r="J24">
        <v>6</v>
      </c>
      <c r="K24">
        <v>9651.06</v>
      </c>
      <c r="L24">
        <v>8.9</v>
      </c>
    </row>
    <row r="25" spans="1:12" x14ac:dyDescent="0.3">
      <c r="A25" t="s">
        <v>40</v>
      </c>
      <c r="B25" t="s">
        <v>24</v>
      </c>
      <c r="C25" t="s">
        <v>11</v>
      </c>
      <c r="D25">
        <v>28</v>
      </c>
      <c r="E25" s="1">
        <v>40605</v>
      </c>
      <c r="F25">
        <v>2011</v>
      </c>
      <c r="G25" t="s">
        <v>5035</v>
      </c>
      <c r="H25">
        <v>3</v>
      </c>
      <c r="I25">
        <v>4.93</v>
      </c>
      <c r="J25">
        <v>3</v>
      </c>
      <c r="K25">
        <v>9616.08</v>
      </c>
      <c r="L25">
        <v>14.7</v>
      </c>
    </row>
    <row r="26" spans="1:12" x14ac:dyDescent="0.3">
      <c r="A26" t="s">
        <v>41</v>
      </c>
      <c r="B26" t="s">
        <v>18</v>
      </c>
      <c r="C26" t="s">
        <v>11</v>
      </c>
      <c r="D26">
        <v>29</v>
      </c>
      <c r="E26" s="1">
        <v>41783</v>
      </c>
      <c r="F26">
        <v>2014</v>
      </c>
      <c r="G26" t="s">
        <v>5036</v>
      </c>
      <c r="H26">
        <v>24</v>
      </c>
      <c r="I26">
        <v>3.96</v>
      </c>
      <c r="J26">
        <v>5</v>
      </c>
      <c r="K26">
        <v>12815.95</v>
      </c>
      <c r="L26">
        <v>11.4</v>
      </c>
    </row>
    <row r="27" spans="1:12" x14ac:dyDescent="0.3">
      <c r="A27" t="s">
        <v>42</v>
      </c>
      <c r="B27" t="s">
        <v>10</v>
      </c>
      <c r="C27" t="s">
        <v>11</v>
      </c>
      <c r="D27">
        <v>49</v>
      </c>
      <c r="E27" s="1">
        <v>42819</v>
      </c>
      <c r="F27">
        <v>2017</v>
      </c>
      <c r="G27" t="s">
        <v>5035</v>
      </c>
      <c r="H27">
        <v>25</v>
      </c>
      <c r="I27">
        <v>2.12</v>
      </c>
      <c r="J27">
        <v>6</v>
      </c>
      <c r="K27">
        <v>5330.18</v>
      </c>
      <c r="L27">
        <v>8.6</v>
      </c>
    </row>
    <row r="28" spans="1:12" x14ac:dyDescent="0.3">
      <c r="A28" t="s">
        <v>43</v>
      </c>
      <c r="B28" t="s">
        <v>18</v>
      </c>
      <c r="C28" t="s">
        <v>11</v>
      </c>
      <c r="D28">
        <v>44</v>
      </c>
      <c r="E28" s="1">
        <v>45100</v>
      </c>
      <c r="F28">
        <v>2023</v>
      </c>
      <c r="G28" t="s">
        <v>5032</v>
      </c>
      <c r="H28">
        <v>23</v>
      </c>
      <c r="I28">
        <v>3.75</v>
      </c>
      <c r="J28">
        <v>9</v>
      </c>
      <c r="K28">
        <v>4124.55</v>
      </c>
      <c r="L28">
        <v>2.4</v>
      </c>
    </row>
    <row r="29" spans="1:12" x14ac:dyDescent="0.3">
      <c r="A29" t="s">
        <v>44</v>
      </c>
      <c r="B29" t="s">
        <v>18</v>
      </c>
      <c r="C29" t="s">
        <v>11</v>
      </c>
      <c r="D29">
        <v>55</v>
      </c>
      <c r="E29" s="1">
        <v>45038</v>
      </c>
      <c r="F29">
        <v>2023</v>
      </c>
      <c r="G29" t="s">
        <v>5040</v>
      </c>
      <c r="H29">
        <v>22</v>
      </c>
      <c r="I29">
        <v>3.06</v>
      </c>
      <c r="J29">
        <v>0</v>
      </c>
      <c r="K29">
        <v>9508.4699999999993</v>
      </c>
      <c r="L29">
        <v>2.5</v>
      </c>
    </row>
    <row r="30" spans="1:12" x14ac:dyDescent="0.3">
      <c r="A30" t="s">
        <v>45</v>
      </c>
      <c r="B30" t="s">
        <v>24</v>
      </c>
      <c r="C30" t="s">
        <v>14</v>
      </c>
      <c r="D30">
        <v>58</v>
      </c>
      <c r="E30" s="1">
        <v>41907</v>
      </c>
      <c r="F30">
        <v>2014</v>
      </c>
      <c r="G30" t="s">
        <v>5033</v>
      </c>
      <c r="H30">
        <v>25</v>
      </c>
      <c r="I30">
        <v>3.34</v>
      </c>
      <c r="J30">
        <v>7</v>
      </c>
      <c r="K30">
        <v>6337.71</v>
      </c>
      <c r="L30">
        <v>11.1</v>
      </c>
    </row>
    <row r="31" spans="1:12" x14ac:dyDescent="0.3">
      <c r="A31" t="s">
        <v>46</v>
      </c>
      <c r="B31" t="s">
        <v>13</v>
      </c>
      <c r="C31" t="s">
        <v>11</v>
      </c>
      <c r="D31">
        <v>22</v>
      </c>
      <c r="E31" s="1">
        <v>41917</v>
      </c>
      <c r="F31">
        <v>2014</v>
      </c>
      <c r="G31" t="s">
        <v>5039</v>
      </c>
      <c r="H31">
        <v>5</v>
      </c>
      <c r="I31">
        <v>2.4500000000000002</v>
      </c>
      <c r="J31">
        <v>15</v>
      </c>
      <c r="K31">
        <v>14856.75</v>
      </c>
      <c r="L31">
        <v>11.1</v>
      </c>
    </row>
    <row r="32" spans="1:12" x14ac:dyDescent="0.3">
      <c r="A32" t="s">
        <v>47</v>
      </c>
      <c r="B32" t="s">
        <v>13</v>
      </c>
      <c r="C32" t="s">
        <v>14</v>
      </c>
      <c r="D32">
        <v>53</v>
      </c>
      <c r="E32" s="1">
        <v>44815</v>
      </c>
      <c r="F32">
        <v>2022</v>
      </c>
      <c r="G32" t="s">
        <v>5033</v>
      </c>
      <c r="H32">
        <v>11</v>
      </c>
      <c r="I32">
        <v>1.89</v>
      </c>
      <c r="J32">
        <v>11</v>
      </c>
      <c r="K32">
        <v>5288.77</v>
      </c>
      <c r="L32">
        <v>3.1</v>
      </c>
    </row>
    <row r="33" spans="1:12" x14ac:dyDescent="0.3">
      <c r="A33" t="s">
        <v>48</v>
      </c>
      <c r="B33" t="s">
        <v>13</v>
      </c>
      <c r="C33" t="s">
        <v>11</v>
      </c>
      <c r="D33">
        <v>51</v>
      </c>
      <c r="E33" s="1">
        <v>43271</v>
      </c>
      <c r="F33">
        <v>2018</v>
      </c>
      <c r="G33" t="s">
        <v>5032</v>
      </c>
      <c r="H33">
        <v>20</v>
      </c>
      <c r="I33">
        <v>1.75</v>
      </c>
      <c r="J33">
        <v>6</v>
      </c>
      <c r="K33">
        <v>3248.23</v>
      </c>
      <c r="L33">
        <v>7.4</v>
      </c>
    </row>
    <row r="34" spans="1:12" x14ac:dyDescent="0.3">
      <c r="A34" t="s">
        <v>49</v>
      </c>
      <c r="B34" t="s">
        <v>13</v>
      </c>
      <c r="C34" t="s">
        <v>11</v>
      </c>
      <c r="D34">
        <v>59</v>
      </c>
      <c r="E34" s="1">
        <v>40562</v>
      </c>
      <c r="F34">
        <v>2011</v>
      </c>
      <c r="G34" t="s">
        <v>5037</v>
      </c>
      <c r="H34">
        <v>19</v>
      </c>
      <c r="I34">
        <v>1.99</v>
      </c>
      <c r="J34">
        <v>9</v>
      </c>
      <c r="K34">
        <v>10746.28</v>
      </c>
      <c r="L34">
        <v>14.8</v>
      </c>
    </row>
    <row r="35" spans="1:12" x14ac:dyDescent="0.3">
      <c r="A35" t="s">
        <v>50</v>
      </c>
      <c r="B35" t="s">
        <v>13</v>
      </c>
      <c r="C35" t="s">
        <v>14</v>
      </c>
      <c r="D35">
        <v>32</v>
      </c>
      <c r="E35" s="1">
        <v>44557</v>
      </c>
      <c r="F35">
        <v>2021</v>
      </c>
      <c r="G35" t="s">
        <v>5041</v>
      </c>
      <c r="H35">
        <v>27</v>
      </c>
      <c r="I35">
        <v>1.73</v>
      </c>
      <c r="J35">
        <v>7</v>
      </c>
      <c r="K35">
        <v>9091.7900000000009</v>
      </c>
      <c r="L35">
        <v>3.8</v>
      </c>
    </row>
    <row r="36" spans="1:12" x14ac:dyDescent="0.3">
      <c r="A36" t="s">
        <v>51</v>
      </c>
      <c r="B36" t="s">
        <v>10</v>
      </c>
      <c r="C36" t="s">
        <v>14</v>
      </c>
      <c r="D36">
        <v>34</v>
      </c>
      <c r="E36" s="1">
        <v>40329</v>
      </c>
      <c r="F36">
        <v>2010</v>
      </c>
      <c r="G36" t="s">
        <v>5036</v>
      </c>
      <c r="H36">
        <v>31</v>
      </c>
      <c r="I36">
        <v>4.55</v>
      </c>
      <c r="J36">
        <v>13</v>
      </c>
      <c r="K36">
        <v>7963.43</v>
      </c>
      <c r="L36">
        <v>15.4</v>
      </c>
    </row>
    <row r="37" spans="1:12" x14ac:dyDescent="0.3">
      <c r="A37" t="s">
        <v>52</v>
      </c>
      <c r="B37" t="s">
        <v>13</v>
      </c>
      <c r="C37" t="s">
        <v>11</v>
      </c>
      <c r="D37">
        <v>25</v>
      </c>
      <c r="E37" s="1">
        <v>43205</v>
      </c>
      <c r="F37">
        <v>2018</v>
      </c>
      <c r="G37" t="s">
        <v>5040</v>
      </c>
      <c r="H37">
        <v>15</v>
      </c>
      <c r="I37">
        <v>3.77</v>
      </c>
      <c r="J37">
        <v>4</v>
      </c>
      <c r="K37">
        <v>14003.04</v>
      </c>
      <c r="L37">
        <v>7.6</v>
      </c>
    </row>
    <row r="38" spans="1:12" x14ac:dyDescent="0.3">
      <c r="A38" t="s">
        <v>53</v>
      </c>
      <c r="B38" t="s">
        <v>16</v>
      </c>
      <c r="C38" t="s">
        <v>14</v>
      </c>
      <c r="D38">
        <v>36</v>
      </c>
      <c r="E38" s="1">
        <v>41378</v>
      </c>
      <c r="F38">
        <v>2013</v>
      </c>
      <c r="G38" t="s">
        <v>5040</v>
      </c>
      <c r="H38">
        <v>14</v>
      </c>
      <c r="I38">
        <v>2.59</v>
      </c>
      <c r="J38">
        <v>1</v>
      </c>
      <c r="K38">
        <v>10538.04</v>
      </c>
      <c r="L38">
        <v>12.6</v>
      </c>
    </row>
    <row r="39" spans="1:12" x14ac:dyDescent="0.3">
      <c r="A39" t="s">
        <v>54</v>
      </c>
      <c r="B39" t="s">
        <v>24</v>
      </c>
      <c r="C39" t="s">
        <v>14</v>
      </c>
      <c r="D39">
        <v>34</v>
      </c>
      <c r="E39" s="1">
        <v>45326</v>
      </c>
      <c r="F39">
        <v>2024</v>
      </c>
      <c r="G39" t="s">
        <v>5042</v>
      </c>
      <c r="H39">
        <v>4</v>
      </c>
      <c r="I39">
        <v>4.1399999999999997</v>
      </c>
      <c r="J39">
        <v>14</v>
      </c>
      <c r="K39">
        <v>12913.35</v>
      </c>
      <c r="L39">
        <v>1.7</v>
      </c>
    </row>
    <row r="40" spans="1:12" x14ac:dyDescent="0.3">
      <c r="A40" t="s">
        <v>55</v>
      </c>
      <c r="B40" t="s">
        <v>18</v>
      </c>
      <c r="C40" t="s">
        <v>11</v>
      </c>
      <c r="D40">
        <v>34</v>
      </c>
      <c r="E40" s="1">
        <v>43644</v>
      </c>
      <c r="F40">
        <v>2019</v>
      </c>
      <c r="G40" t="s">
        <v>5032</v>
      </c>
      <c r="H40">
        <v>28</v>
      </c>
      <c r="I40">
        <v>1.73</v>
      </c>
      <c r="J40">
        <v>2</v>
      </c>
      <c r="K40">
        <v>11643.01</v>
      </c>
      <c r="L40">
        <v>6.4</v>
      </c>
    </row>
    <row r="41" spans="1:12" x14ac:dyDescent="0.3">
      <c r="A41" t="s">
        <v>56</v>
      </c>
      <c r="B41" t="s">
        <v>10</v>
      </c>
      <c r="C41" t="s">
        <v>11</v>
      </c>
      <c r="D41">
        <v>55</v>
      </c>
      <c r="E41" s="1">
        <v>40462</v>
      </c>
      <c r="F41">
        <v>2010</v>
      </c>
      <c r="G41" t="s">
        <v>5039</v>
      </c>
      <c r="H41">
        <v>11</v>
      </c>
      <c r="I41">
        <v>3.4</v>
      </c>
      <c r="J41">
        <v>8</v>
      </c>
      <c r="K41">
        <v>5118.41</v>
      </c>
      <c r="L41">
        <v>15.1</v>
      </c>
    </row>
    <row r="42" spans="1:12" x14ac:dyDescent="0.3">
      <c r="A42" t="s">
        <v>57</v>
      </c>
      <c r="B42" t="s">
        <v>34</v>
      </c>
      <c r="C42" t="s">
        <v>11</v>
      </c>
      <c r="D42">
        <v>29</v>
      </c>
      <c r="E42" s="1">
        <v>42232</v>
      </c>
      <c r="F42">
        <v>2015</v>
      </c>
      <c r="G42" t="s">
        <v>5031</v>
      </c>
      <c r="H42">
        <v>16</v>
      </c>
      <c r="I42">
        <v>1.6</v>
      </c>
      <c r="J42">
        <v>14</v>
      </c>
      <c r="K42">
        <v>13944.44</v>
      </c>
      <c r="L42">
        <v>10.199999999999999</v>
      </c>
    </row>
    <row r="43" spans="1:12" x14ac:dyDescent="0.3">
      <c r="A43" t="s">
        <v>58</v>
      </c>
      <c r="B43" t="s">
        <v>13</v>
      </c>
      <c r="C43" t="s">
        <v>11</v>
      </c>
      <c r="D43">
        <v>33</v>
      </c>
      <c r="E43" s="1">
        <v>43099</v>
      </c>
      <c r="F43">
        <v>2017</v>
      </c>
      <c r="G43" t="s">
        <v>5041</v>
      </c>
      <c r="H43">
        <v>30</v>
      </c>
      <c r="I43">
        <v>2.56</v>
      </c>
      <c r="J43">
        <v>10</v>
      </c>
      <c r="K43">
        <v>11902.39</v>
      </c>
      <c r="L43">
        <v>7.8</v>
      </c>
    </row>
    <row r="44" spans="1:12" x14ac:dyDescent="0.3">
      <c r="A44" t="s">
        <v>59</v>
      </c>
      <c r="B44" t="s">
        <v>24</v>
      </c>
      <c r="C44" t="s">
        <v>11</v>
      </c>
      <c r="D44">
        <v>32</v>
      </c>
      <c r="E44" s="1">
        <v>41151</v>
      </c>
      <c r="F44">
        <v>2012</v>
      </c>
      <c r="G44" t="s">
        <v>5031</v>
      </c>
      <c r="H44">
        <v>30</v>
      </c>
      <c r="I44">
        <v>4.2300000000000004</v>
      </c>
      <c r="J44">
        <v>5</v>
      </c>
      <c r="K44">
        <v>6803.88</v>
      </c>
      <c r="L44">
        <v>13.2</v>
      </c>
    </row>
    <row r="45" spans="1:12" x14ac:dyDescent="0.3">
      <c r="A45" t="s">
        <v>60</v>
      </c>
      <c r="B45" t="s">
        <v>16</v>
      </c>
      <c r="C45" t="s">
        <v>11</v>
      </c>
      <c r="D45">
        <v>24</v>
      </c>
      <c r="E45" s="1">
        <v>45446</v>
      </c>
      <c r="F45">
        <v>2024</v>
      </c>
      <c r="G45" t="s">
        <v>5032</v>
      </c>
      <c r="H45">
        <v>3</v>
      </c>
      <c r="I45">
        <v>2.4700000000000002</v>
      </c>
      <c r="J45">
        <v>2</v>
      </c>
      <c r="K45">
        <v>3891.54</v>
      </c>
      <c r="L45">
        <v>1.4</v>
      </c>
    </row>
    <row r="46" spans="1:12" x14ac:dyDescent="0.3">
      <c r="A46" t="s">
        <v>61</v>
      </c>
      <c r="B46" t="s">
        <v>24</v>
      </c>
      <c r="C46" t="s">
        <v>11</v>
      </c>
      <c r="D46">
        <v>37</v>
      </c>
      <c r="E46" s="1">
        <v>42530</v>
      </c>
      <c r="F46">
        <v>2016</v>
      </c>
      <c r="G46" t="s">
        <v>5032</v>
      </c>
      <c r="H46">
        <v>9</v>
      </c>
      <c r="I46">
        <v>2.65</v>
      </c>
      <c r="J46">
        <v>2</v>
      </c>
      <c r="K46">
        <v>5255.24</v>
      </c>
      <c r="L46">
        <v>9.4</v>
      </c>
    </row>
    <row r="47" spans="1:12" x14ac:dyDescent="0.3">
      <c r="A47" t="s">
        <v>62</v>
      </c>
      <c r="B47" t="s">
        <v>34</v>
      </c>
      <c r="C47" t="s">
        <v>11</v>
      </c>
      <c r="D47">
        <v>45</v>
      </c>
      <c r="E47" s="1">
        <v>43867</v>
      </c>
      <c r="F47">
        <v>2020</v>
      </c>
      <c r="G47" t="s">
        <v>5042</v>
      </c>
      <c r="H47">
        <v>6</v>
      </c>
      <c r="I47">
        <v>4.82</v>
      </c>
      <c r="J47">
        <v>11</v>
      </c>
      <c r="K47">
        <v>3194.13</v>
      </c>
      <c r="L47">
        <v>5.7</v>
      </c>
    </row>
    <row r="48" spans="1:12" x14ac:dyDescent="0.3">
      <c r="A48" t="s">
        <v>63</v>
      </c>
      <c r="B48" t="s">
        <v>10</v>
      </c>
      <c r="C48" t="s">
        <v>11</v>
      </c>
      <c r="D48">
        <v>55</v>
      </c>
      <c r="E48" s="1">
        <v>41751</v>
      </c>
      <c r="F48">
        <v>2014</v>
      </c>
      <c r="G48" t="s">
        <v>5040</v>
      </c>
      <c r="H48">
        <v>22</v>
      </c>
      <c r="I48">
        <v>2.31</v>
      </c>
      <c r="J48">
        <v>2</v>
      </c>
      <c r="K48">
        <v>8568.06</v>
      </c>
      <c r="L48">
        <v>11.5</v>
      </c>
    </row>
    <row r="49" spans="1:12" x14ac:dyDescent="0.3">
      <c r="A49" t="s">
        <v>64</v>
      </c>
      <c r="B49" t="s">
        <v>24</v>
      </c>
      <c r="C49" t="s">
        <v>11</v>
      </c>
      <c r="D49">
        <v>50</v>
      </c>
      <c r="E49" s="1">
        <v>43517</v>
      </c>
      <c r="F49">
        <v>2019</v>
      </c>
      <c r="G49" t="s">
        <v>5042</v>
      </c>
      <c r="H49">
        <v>21</v>
      </c>
      <c r="I49">
        <v>1.99</v>
      </c>
      <c r="J49">
        <v>2</v>
      </c>
      <c r="K49">
        <v>6834.68</v>
      </c>
      <c r="L49">
        <v>6.7</v>
      </c>
    </row>
    <row r="50" spans="1:12" x14ac:dyDescent="0.3">
      <c r="A50" t="s">
        <v>65</v>
      </c>
      <c r="B50" t="s">
        <v>16</v>
      </c>
      <c r="C50" t="s">
        <v>14</v>
      </c>
      <c r="D50">
        <v>59</v>
      </c>
      <c r="E50" s="1">
        <v>44943</v>
      </c>
      <c r="F50">
        <v>2023</v>
      </c>
      <c r="G50" t="s">
        <v>5037</v>
      </c>
      <c r="H50">
        <v>17</v>
      </c>
      <c r="I50">
        <v>2.95</v>
      </c>
      <c r="J50">
        <v>7</v>
      </c>
      <c r="K50">
        <v>10187.15</v>
      </c>
      <c r="L50">
        <v>2.8</v>
      </c>
    </row>
    <row r="51" spans="1:12" x14ac:dyDescent="0.3">
      <c r="A51" t="s">
        <v>66</v>
      </c>
      <c r="B51" t="s">
        <v>10</v>
      </c>
      <c r="C51" t="s">
        <v>11</v>
      </c>
      <c r="D51">
        <v>57</v>
      </c>
      <c r="E51" s="1">
        <v>42550</v>
      </c>
      <c r="F51">
        <v>2016</v>
      </c>
      <c r="G51" t="s">
        <v>5032</v>
      </c>
      <c r="H51">
        <v>29</v>
      </c>
      <c r="I51">
        <v>3.27</v>
      </c>
      <c r="J51">
        <v>13</v>
      </c>
      <c r="K51">
        <v>14469.95</v>
      </c>
      <c r="L51">
        <v>9.3000000000000007</v>
      </c>
    </row>
    <row r="52" spans="1:12" x14ac:dyDescent="0.3">
      <c r="A52" t="s">
        <v>67</v>
      </c>
      <c r="B52" t="s">
        <v>10</v>
      </c>
      <c r="C52" t="s">
        <v>11</v>
      </c>
      <c r="D52">
        <v>53</v>
      </c>
      <c r="E52" s="1">
        <v>43754</v>
      </c>
      <c r="F52">
        <v>2019</v>
      </c>
      <c r="G52" t="s">
        <v>5039</v>
      </c>
      <c r="H52">
        <v>16</v>
      </c>
      <c r="I52">
        <v>2.96</v>
      </c>
      <c r="J52">
        <v>3</v>
      </c>
      <c r="K52">
        <v>11966.43</v>
      </c>
      <c r="L52">
        <v>6</v>
      </c>
    </row>
    <row r="53" spans="1:12" x14ac:dyDescent="0.3">
      <c r="A53" t="s">
        <v>68</v>
      </c>
      <c r="B53" t="s">
        <v>16</v>
      </c>
      <c r="C53" t="s">
        <v>11</v>
      </c>
      <c r="D53">
        <v>22</v>
      </c>
      <c r="E53" s="1">
        <v>43054</v>
      </c>
      <c r="F53">
        <v>2017</v>
      </c>
      <c r="G53" t="s">
        <v>5038</v>
      </c>
      <c r="H53">
        <v>15</v>
      </c>
      <c r="I53">
        <v>4.84</v>
      </c>
      <c r="J53">
        <v>10</v>
      </c>
      <c r="K53">
        <v>3631.98</v>
      </c>
      <c r="L53">
        <v>8</v>
      </c>
    </row>
    <row r="54" spans="1:12" x14ac:dyDescent="0.3">
      <c r="A54" t="s">
        <v>69</v>
      </c>
      <c r="B54" t="s">
        <v>18</v>
      </c>
      <c r="C54" t="s">
        <v>14</v>
      </c>
      <c r="D54">
        <v>51</v>
      </c>
      <c r="E54" s="1">
        <v>41769</v>
      </c>
      <c r="F54">
        <v>2014</v>
      </c>
      <c r="G54" t="s">
        <v>5036</v>
      </c>
      <c r="H54">
        <v>10</v>
      </c>
      <c r="I54">
        <v>2.2400000000000002</v>
      </c>
      <c r="J54">
        <v>9</v>
      </c>
      <c r="K54">
        <v>13545.85</v>
      </c>
      <c r="L54">
        <v>11.5</v>
      </c>
    </row>
    <row r="55" spans="1:12" x14ac:dyDescent="0.3">
      <c r="A55" t="s">
        <v>70</v>
      </c>
      <c r="B55" t="s">
        <v>18</v>
      </c>
      <c r="C55" t="s">
        <v>11</v>
      </c>
      <c r="D55">
        <v>49</v>
      </c>
      <c r="E55" s="1">
        <v>45485</v>
      </c>
      <c r="F55">
        <v>2024</v>
      </c>
      <c r="G55" t="s">
        <v>5034</v>
      </c>
      <c r="H55">
        <v>12</v>
      </c>
      <c r="I55">
        <v>1.78</v>
      </c>
      <c r="J55">
        <v>5</v>
      </c>
      <c r="K55">
        <v>14128.24</v>
      </c>
      <c r="L55">
        <v>1.3</v>
      </c>
    </row>
    <row r="56" spans="1:12" x14ac:dyDescent="0.3">
      <c r="A56" t="s">
        <v>71</v>
      </c>
      <c r="B56" t="s">
        <v>24</v>
      </c>
      <c r="C56" t="s">
        <v>14</v>
      </c>
      <c r="D56">
        <v>42</v>
      </c>
      <c r="E56" s="1">
        <v>42282</v>
      </c>
      <c r="F56">
        <v>2015</v>
      </c>
      <c r="G56" t="s">
        <v>5039</v>
      </c>
      <c r="H56">
        <v>5</v>
      </c>
      <c r="I56">
        <v>3.45</v>
      </c>
      <c r="J56">
        <v>14</v>
      </c>
      <c r="K56">
        <v>10324.4</v>
      </c>
      <c r="L56">
        <v>10.1</v>
      </c>
    </row>
    <row r="57" spans="1:12" x14ac:dyDescent="0.3">
      <c r="A57" t="s">
        <v>72</v>
      </c>
      <c r="B57" t="s">
        <v>18</v>
      </c>
      <c r="C57" t="s">
        <v>14</v>
      </c>
      <c r="D57">
        <v>27</v>
      </c>
      <c r="E57" s="1">
        <v>42016</v>
      </c>
      <c r="F57">
        <v>2015</v>
      </c>
      <c r="G57" t="s">
        <v>5037</v>
      </c>
      <c r="H57">
        <v>12</v>
      </c>
      <c r="I57">
        <v>3.73</v>
      </c>
      <c r="J57">
        <v>8</v>
      </c>
      <c r="K57">
        <v>7280.89</v>
      </c>
      <c r="L57">
        <v>10.8</v>
      </c>
    </row>
    <row r="58" spans="1:12" x14ac:dyDescent="0.3">
      <c r="A58" t="s">
        <v>73</v>
      </c>
      <c r="B58" t="s">
        <v>10</v>
      </c>
      <c r="C58" t="s">
        <v>14</v>
      </c>
      <c r="D58">
        <v>57</v>
      </c>
      <c r="E58" s="1">
        <v>42724</v>
      </c>
      <c r="F58">
        <v>2016</v>
      </c>
      <c r="G58" t="s">
        <v>5041</v>
      </c>
      <c r="H58">
        <v>20</v>
      </c>
      <c r="I58">
        <v>2.3199999999999998</v>
      </c>
      <c r="J58">
        <v>13</v>
      </c>
      <c r="K58">
        <v>13081.41</v>
      </c>
      <c r="L58">
        <v>8.9</v>
      </c>
    </row>
    <row r="59" spans="1:12" x14ac:dyDescent="0.3">
      <c r="A59" t="s">
        <v>74</v>
      </c>
      <c r="B59" t="s">
        <v>24</v>
      </c>
      <c r="C59" t="s">
        <v>11</v>
      </c>
      <c r="D59">
        <v>38</v>
      </c>
      <c r="E59" s="1">
        <v>43850</v>
      </c>
      <c r="F59">
        <v>2020</v>
      </c>
      <c r="G59" t="s">
        <v>5037</v>
      </c>
      <c r="H59">
        <v>20</v>
      </c>
      <c r="I59">
        <v>4.76</v>
      </c>
      <c r="J59">
        <v>3</v>
      </c>
      <c r="K59">
        <v>3651.84</v>
      </c>
      <c r="L59">
        <v>5.8</v>
      </c>
    </row>
    <row r="60" spans="1:12" x14ac:dyDescent="0.3">
      <c r="A60" t="s">
        <v>75</v>
      </c>
      <c r="B60" t="s">
        <v>34</v>
      </c>
      <c r="C60" t="s">
        <v>14</v>
      </c>
      <c r="D60">
        <v>37</v>
      </c>
      <c r="E60" s="1">
        <v>41175</v>
      </c>
      <c r="F60">
        <v>2012</v>
      </c>
      <c r="G60" t="s">
        <v>5033</v>
      </c>
      <c r="H60">
        <v>23</v>
      </c>
      <c r="I60">
        <v>3.71</v>
      </c>
      <c r="J60">
        <v>10</v>
      </c>
      <c r="K60">
        <v>12586.1</v>
      </c>
      <c r="L60">
        <v>13.1</v>
      </c>
    </row>
    <row r="61" spans="1:12" x14ac:dyDescent="0.3">
      <c r="A61" t="s">
        <v>76</v>
      </c>
      <c r="B61" t="s">
        <v>18</v>
      </c>
      <c r="C61" t="s">
        <v>14</v>
      </c>
      <c r="D61">
        <v>38</v>
      </c>
      <c r="E61" s="1">
        <v>41690</v>
      </c>
      <c r="F61">
        <v>2014</v>
      </c>
      <c r="G61" t="s">
        <v>5042</v>
      </c>
      <c r="H61">
        <v>20</v>
      </c>
      <c r="I61">
        <v>2.25</v>
      </c>
      <c r="J61">
        <v>8</v>
      </c>
      <c r="K61">
        <v>6098.77</v>
      </c>
      <c r="L61">
        <v>11.7</v>
      </c>
    </row>
    <row r="62" spans="1:12" x14ac:dyDescent="0.3">
      <c r="A62" t="s">
        <v>77</v>
      </c>
      <c r="B62" t="s">
        <v>16</v>
      </c>
      <c r="C62" t="s">
        <v>11</v>
      </c>
      <c r="D62">
        <v>26</v>
      </c>
      <c r="E62" s="1">
        <v>41161</v>
      </c>
      <c r="F62">
        <v>2012</v>
      </c>
      <c r="G62" t="s">
        <v>5033</v>
      </c>
      <c r="H62">
        <v>9</v>
      </c>
      <c r="I62">
        <v>3.94</v>
      </c>
      <c r="J62">
        <v>8</v>
      </c>
      <c r="K62">
        <v>11180.45</v>
      </c>
      <c r="L62">
        <v>13.2</v>
      </c>
    </row>
    <row r="63" spans="1:12" x14ac:dyDescent="0.3">
      <c r="A63" t="s">
        <v>78</v>
      </c>
      <c r="B63" t="s">
        <v>18</v>
      </c>
      <c r="C63" t="s">
        <v>11</v>
      </c>
      <c r="D63">
        <v>45</v>
      </c>
      <c r="E63" s="1">
        <v>42927</v>
      </c>
      <c r="F63">
        <v>2017</v>
      </c>
      <c r="G63" t="s">
        <v>5034</v>
      </c>
      <c r="H63">
        <v>11</v>
      </c>
      <c r="I63">
        <v>3.83</v>
      </c>
      <c r="J63">
        <v>2</v>
      </c>
      <c r="K63">
        <v>7915.52</v>
      </c>
      <c r="L63">
        <v>8.3000000000000007</v>
      </c>
    </row>
    <row r="64" spans="1:12" x14ac:dyDescent="0.3">
      <c r="A64" t="s">
        <v>79</v>
      </c>
      <c r="B64" t="s">
        <v>18</v>
      </c>
      <c r="C64" t="s">
        <v>14</v>
      </c>
      <c r="D64">
        <v>26</v>
      </c>
      <c r="E64" s="1">
        <v>42133</v>
      </c>
      <c r="F64">
        <v>2015</v>
      </c>
      <c r="G64" t="s">
        <v>5036</v>
      </c>
      <c r="H64">
        <v>9</v>
      </c>
      <c r="I64">
        <v>1.59</v>
      </c>
      <c r="J64">
        <v>14</v>
      </c>
      <c r="K64">
        <v>14202.8</v>
      </c>
      <c r="L64">
        <v>10.5</v>
      </c>
    </row>
    <row r="65" spans="1:12" x14ac:dyDescent="0.3">
      <c r="A65" t="s">
        <v>80</v>
      </c>
      <c r="B65" t="s">
        <v>34</v>
      </c>
      <c r="C65" t="s">
        <v>11</v>
      </c>
      <c r="D65">
        <v>53</v>
      </c>
      <c r="E65" s="1">
        <v>45413</v>
      </c>
      <c r="F65">
        <v>2024</v>
      </c>
      <c r="G65" t="s">
        <v>5036</v>
      </c>
      <c r="H65">
        <v>1</v>
      </c>
      <c r="I65">
        <v>2.95</v>
      </c>
      <c r="J65">
        <v>12</v>
      </c>
      <c r="K65">
        <v>7609.68</v>
      </c>
      <c r="L65">
        <v>1.5</v>
      </c>
    </row>
    <row r="66" spans="1:12" x14ac:dyDescent="0.3">
      <c r="A66" t="s">
        <v>81</v>
      </c>
      <c r="B66" t="s">
        <v>13</v>
      </c>
      <c r="C66" t="s">
        <v>14</v>
      </c>
      <c r="D66">
        <v>60</v>
      </c>
      <c r="E66" s="1">
        <v>40266</v>
      </c>
      <c r="F66">
        <v>2010</v>
      </c>
      <c r="G66" t="s">
        <v>5035</v>
      </c>
      <c r="H66">
        <v>29</v>
      </c>
      <c r="I66">
        <v>2.12</v>
      </c>
      <c r="J66">
        <v>14</v>
      </c>
      <c r="K66">
        <v>6102.13</v>
      </c>
      <c r="L66">
        <v>15.6</v>
      </c>
    </row>
    <row r="67" spans="1:12" x14ac:dyDescent="0.3">
      <c r="A67" t="s">
        <v>82</v>
      </c>
      <c r="B67" t="s">
        <v>10</v>
      </c>
      <c r="C67" t="s">
        <v>14</v>
      </c>
      <c r="D67">
        <v>38</v>
      </c>
      <c r="E67" s="1">
        <v>45602</v>
      </c>
      <c r="F67">
        <v>2024</v>
      </c>
      <c r="G67" t="s">
        <v>5038</v>
      </c>
      <c r="H67">
        <v>6</v>
      </c>
      <c r="I67">
        <v>4.24</v>
      </c>
      <c r="J67">
        <v>5</v>
      </c>
      <c r="K67">
        <v>10789.2</v>
      </c>
      <c r="L67">
        <v>1</v>
      </c>
    </row>
    <row r="68" spans="1:12" x14ac:dyDescent="0.3">
      <c r="A68" t="s">
        <v>83</v>
      </c>
      <c r="B68" t="s">
        <v>13</v>
      </c>
      <c r="C68" t="s">
        <v>11</v>
      </c>
      <c r="D68">
        <v>27</v>
      </c>
      <c r="E68" s="1">
        <v>45310</v>
      </c>
      <c r="F68">
        <v>2024</v>
      </c>
      <c r="G68" t="s">
        <v>5037</v>
      </c>
      <c r="H68">
        <v>19</v>
      </c>
      <c r="I68">
        <v>3.05</v>
      </c>
      <c r="J68">
        <v>7</v>
      </c>
      <c r="K68">
        <v>13323.12</v>
      </c>
      <c r="L68">
        <v>1.8</v>
      </c>
    </row>
    <row r="69" spans="1:12" x14ac:dyDescent="0.3">
      <c r="A69" t="s">
        <v>84</v>
      </c>
      <c r="B69" t="s">
        <v>13</v>
      </c>
      <c r="C69" t="s">
        <v>11</v>
      </c>
      <c r="D69">
        <v>49</v>
      </c>
      <c r="E69" s="1">
        <v>44489</v>
      </c>
      <c r="F69">
        <v>2021</v>
      </c>
      <c r="G69" t="s">
        <v>5039</v>
      </c>
      <c r="H69">
        <v>20</v>
      </c>
      <c r="I69">
        <v>2.2200000000000002</v>
      </c>
      <c r="J69">
        <v>9</v>
      </c>
      <c r="K69">
        <v>6112.66</v>
      </c>
      <c r="L69">
        <v>4</v>
      </c>
    </row>
    <row r="70" spans="1:12" x14ac:dyDescent="0.3">
      <c r="A70" t="s">
        <v>85</v>
      </c>
      <c r="B70" t="s">
        <v>10</v>
      </c>
      <c r="C70" t="s">
        <v>14</v>
      </c>
      <c r="D70">
        <v>36</v>
      </c>
      <c r="E70" s="1">
        <v>45338</v>
      </c>
      <c r="F70">
        <v>2024</v>
      </c>
      <c r="G70" t="s">
        <v>5042</v>
      </c>
      <c r="H70">
        <v>16</v>
      </c>
      <c r="I70">
        <v>3.24</v>
      </c>
      <c r="J70">
        <v>2</v>
      </c>
      <c r="K70">
        <v>3328.06</v>
      </c>
      <c r="L70">
        <v>1.7</v>
      </c>
    </row>
    <row r="71" spans="1:12" x14ac:dyDescent="0.3">
      <c r="A71" t="s">
        <v>86</v>
      </c>
      <c r="B71" t="s">
        <v>13</v>
      </c>
      <c r="C71" t="s">
        <v>14</v>
      </c>
      <c r="D71">
        <v>46</v>
      </c>
      <c r="E71" s="1">
        <v>41558</v>
      </c>
      <c r="F71">
        <v>2013</v>
      </c>
      <c r="G71" t="s">
        <v>5039</v>
      </c>
      <c r="H71">
        <v>11</v>
      </c>
      <c r="I71">
        <v>4.99</v>
      </c>
      <c r="J71">
        <v>8</v>
      </c>
      <c r="K71">
        <v>11667.13</v>
      </c>
      <c r="L71">
        <v>12.1</v>
      </c>
    </row>
    <row r="72" spans="1:12" x14ac:dyDescent="0.3">
      <c r="A72" t="s">
        <v>87</v>
      </c>
      <c r="B72" t="s">
        <v>16</v>
      </c>
      <c r="C72" t="s">
        <v>14</v>
      </c>
      <c r="D72">
        <v>52</v>
      </c>
      <c r="E72" s="1">
        <v>41306</v>
      </c>
      <c r="F72">
        <v>2013</v>
      </c>
      <c r="G72" t="s">
        <v>5042</v>
      </c>
      <c r="H72">
        <v>1</v>
      </c>
      <c r="I72">
        <v>4.4400000000000004</v>
      </c>
      <c r="J72">
        <v>6</v>
      </c>
      <c r="K72">
        <v>13731.19</v>
      </c>
      <c r="L72">
        <v>12.8</v>
      </c>
    </row>
    <row r="73" spans="1:12" x14ac:dyDescent="0.3">
      <c r="A73" t="s">
        <v>88</v>
      </c>
      <c r="B73" t="s">
        <v>13</v>
      </c>
      <c r="C73" t="s">
        <v>14</v>
      </c>
      <c r="D73">
        <v>25</v>
      </c>
      <c r="E73" s="1">
        <v>41613</v>
      </c>
      <c r="F73">
        <v>2013</v>
      </c>
      <c r="G73" t="s">
        <v>5041</v>
      </c>
      <c r="H73">
        <v>5</v>
      </c>
      <c r="I73">
        <v>2.2799999999999998</v>
      </c>
      <c r="J73">
        <v>2</v>
      </c>
      <c r="K73">
        <v>6677.31</v>
      </c>
      <c r="L73">
        <v>11.9</v>
      </c>
    </row>
    <row r="74" spans="1:12" x14ac:dyDescent="0.3">
      <c r="A74" t="s">
        <v>89</v>
      </c>
      <c r="B74" t="s">
        <v>18</v>
      </c>
      <c r="C74" t="s">
        <v>14</v>
      </c>
      <c r="D74">
        <v>22</v>
      </c>
      <c r="E74" s="1">
        <v>45750</v>
      </c>
      <c r="F74">
        <v>2025</v>
      </c>
      <c r="G74" t="s">
        <v>5040</v>
      </c>
      <c r="H74">
        <v>3</v>
      </c>
      <c r="I74">
        <v>1.95</v>
      </c>
      <c r="J74">
        <v>5</v>
      </c>
      <c r="K74">
        <v>12414.29</v>
      </c>
      <c r="L74">
        <v>0.6</v>
      </c>
    </row>
    <row r="75" spans="1:12" x14ac:dyDescent="0.3">
      <c r="A75" t="s">
        <v>90</v>
      </c>
      <c r="B75" t="s">
        <v>10</v>
      </c>
      <c r="C75" t="s">
        <v>14</v>
      </c>
      <c r="D75">
        <v>57</v>
      </c>
      <c r="E75" s="1">
        <v>43433</v>
      </c>
      <c r="F75">
        <v>2018</v>
      </c>
      <c r="G75" t="s">
        <v>5038</v>
      </c>
      <c r="H75">
        <v>29</v>
      </c>
      <c r="I75">
        <v>3.44</v>
      </c>
      <c r="J75">
        <v>0</v>
      </c>
      <c r="K75">
        <v>7173.42</v>
      </c>
      <c r="L75">
        <v>6.9</v>
      </c>
    </row>
    <row r="76" spans="1:12" x14ac:dyDescent="0.3">
      <c r="A76" t="s">
        <v>91</v>
      </c>
      <c r="B76" t="s">
        <v>13</v>
      </c>
      <c r="C76" t="s">
        <v>11</v>
      </c>
      <c r="D76">
        <v>53</v>
      </c>
      <c r="E76" s="1">
        <v>41317</v>
      </c>
      <c r="F76">
        <v>2013</v>
      </c>
      <c r="G76" t="s">
        <v>5042</v>
      </c>
      <c r="H76">
        <v>12</v>
      </c>
      <c r="I76">
        <v>2.4500000000000002</v>
      </c>
      <c r="J76">
        <v>8</v>
      </c>
      <c r="K76">
        <v>14708.44</v>
      </c>
      <c r="L76">
        <v>12.7</v>
      </c>
    </row>
    <row r="77" spans="1:12" x14ac:dyDescent="0.3">
      <c r="A77" t="s">
        <v>92</v>
      </c>
      <c r="B77" t="s">
        <v>24</v>
      </c>
      <c r="C77" t="s">
        <v>14</v>
      </c>
      <c r="D77">
        <v>60</v>
      </c>
      <c r="E77" s="1">
        <v>41834</v>
      </c>
      <c r="F77">
        <v>2014</v>
      </c>
      <c r="G77" t="s">
        <v>5034</v>
      </c>
      <c r="H77">
        <v>14</v>
      </c>
      <c r="I77">
        <v>4.76</v>
      </c>
      <c r="J77">
        <v>14</v>
      </c>
      <c r="K77">
        <v>3973.01</v>
      </c>
      <c r="L77">
        <v>11.3</v>
      </c>
    </row>
    <row r="78" spans="1:12" x14ac:dyDescent="0.3">
      <c r="A78" t="s">
        <v>93</v>
      </c>
      <c r="B78" t="s">
        <v>16</v>
      </c>
      <c r="C78" t="s">
        <v>11</v>
      </c>
      <c r="D78">
        <v>54</v>
      </c>
      <c r="E78" s="1">
        <v>41857</v>
      </c>
      <c r="F78">
        <v>2014</v>
      </c>
      <c r="G78" t="s">
        <v>5031</v>
      </c>
      <c r="H78">
        <v>6</v>
      </c>
      <c r="I78">
        <v>4</v>
      </c>
      <c r="J78">
        <v>10</v>
      </c>
      <c r="K78">
        <v>5952</v>
      </c>
      <c r="L78">
        <v>11.2</v>
      </c>
    </row>
    <row r="79" spans="1:12" x14ac:dyDescent="0.3">
      <c r="A79" t="s">
        <v>94</v>
      </c>
      <c r="B79" t="s">
        <v>16</v>
      </c>
      <c r="C79" t="s">
        <v>14</v>
      </c>
      <c r="D79">
        <v>27</v>
      </c>
      <c r="E79" s="1">
        <v>41190</v>
      </c>
      <c r="F79">
        <v>2012</v>
      </c>
      <c r="G79" t="s">
        <v>5039</v>
      </c>
      <c r="H79">
        <v>8</v>
      </c>
      <c r="I79">
        <v>2.82</v>
      </c>
      <c r="J79">
        <v>6</v>
      </c>
      <c r="K79">
        <v>10926.12</v>
      </c>
      <c r="L79">
        <v>13.1</v>
      </c>
    </row>
    <row r="80" spans="1:12" x14ac:dyDescent="0.3">
      <c r="A80" t="s">
        <v>95</v>
      </c>
      <c r="B80" t="s">
        <v>16</v>
      </c>
      <c r="C80" t="s">
        <v>11</v>
      </c>
      <c r="D80">
        <v>57</v>
      </c>
      <c r="E80" s="1">
        <v>43412</v>
      </c>
      <c r="F80">
        <v>2018</v>
      </c>
      <c r="G80" t="s">
        <v>5038</v>
      </c>
      <c r="H80">
        <v>8</v>
      </c>
      <c r="I80">
        <v>4.9800000000000004</v>
      </c>
      <c r="J80">
        <v>11</v>
      </c>
      <c r="K80">
        <v>8485.5400000000009</v>
      </c>
      <c r="L80">
        <v>7</v>
      </c>
    </row>
    <row r="81" spans="1:12" x14ac:dyDescent="0.3">
      <c r="A81" t="s">
        <v>96</v>
      </c>
      <c r="B81" t="s">
        <v>34</v>
      </c>
      <c r="C81" t="s">
        <v>14</v>
      </c>
      <c r="D81">
        <v>25</v>
      </c>
      <c r="E81" s="1">
        <v>42596</v>
      </c>
      <c r="F81">
        <v>2016</v>
      </c>
      <c r="G81" t="s">
        <v>5031</v>
      </c>
      <c r="H81">
        <v>14</v>
      </c>
      <c r="I81">
        <v>4.43</v>
      </c>
      <c r="J81">
        <v>9</v>
      </c>
      <c r="K81">
        <v>6518.1</v>
      </c>
      <c r="L81">
        <v>9.1999999999999993</v>
      </c>
    </row>
    <row r="82" spans="1:12" x14ac:dyDescent="0.3">
      <c r="A82" t="s">
        <v>97</v>
      </c>
      <c r="B82" t="s">
        <v>10</v>
      </c>
      <c r="C82" t="s">
        <v>11</v>
      </c>
      <c r="D82">
        <v>40</v>
      </c>
      <c r="E82" s="1">
        <v>43641</v>
      </c>
      <c r="F82">
        <v>2019</v>
      </c>
      <c r="G82" t="s">
        <v>5032</v>
      </c>
      <c r="H82">
        <v>25</v>
      </c>
      <c r="I82">
        <v>2.5299999999999998</v>
      </c>
      <c r="J82">
        <v>9</v>
      </c>
      <c r="K82">
        <v>5963.26</v>
      </c>
      <c r="L82">
        <v>6.4</v>
      </c>
    </row>
    <row r="83" spans="1:12" x14ac:dyDescent="0.3">
      <c r="A83" t="s">
        <v>98</v>
      </c>
      <c r="B83" t="s">
        <v>18</v>
      </c>
      <c r="C83" t="s">
        <v>14</v>
      </c>
      <c r="D83">
        <v>58</v>
      </c>
      <c r="E83" s="1">
        <v>44197</v>
      </c>
      <c r="F83">
        <v>2021</v>
      </c>
      <c r="G83" t="s">
        <v>5037</v>
      </c>
      <c r="H83">
        <v>1</v>
      </c>
      <c r="I83">
        <v>3.41</v>
      </c>
      <c r="J83">
        <v>9</v>
      </c>
      <c r="K83">
        <v>6506.59</v>
      </c>
      <c r="L83">
        <v>4.8</v>
      </c>
    </row>
    <row r="84" spans="1:12" x14ac:dyDescent="0.3">
      <c r="A84" t="s">
        <v>99</v>
      </c>
      <c r="B84" t="s">
        <v>13</v>
      </c>
      <c r="C84" t="s">
        <v>14</v>
      </c>
      <c r="D84">
        <v>39</v>
      </c>
      <c r="E84" s="1">
        <v>44588</v>
      </c>
      <c r="F84">
        <v>2022</v>
      </c>
      <c r="G84" t="s">
        <v>5037</v>
      </c>
      <c r="H84">
        <v>27</v>
      </c>
      <c r="I84">
        <v>3.12</v>
      </c>
      <c r="J84">
        <v>11</v>
      </c>
      <c r="K84">
        <v>4465.97</v>
      </c>
      <c r="L84">
        <v>3.8</v>
      </c>
    </row>
    <row r="85" spans="1:12" x14ac:dyDescent="0.3">
      <c r="A85" t="s">
        <v>100</v>
      </c>
      <c r="B85" t="s">
        <v>13</v>
      </c>
      <c r="C85" t="s">
        <v>14</v>
      </c>
      <c r="D85">
        <v>28</v>
      </c>
      <c r="E85" s="1">
        <v>42206</v>
      </c>
      <c r="F85">
        <v>2015</v>
      </c>
      <c r="G85" t="s">
        <v>5034</v>
      </c>
      <c r="H85">
        <v>21</v>
      </c>
      <c r="I85">
        <v>4.38</v>
      </c>
      <c r="J85">
        <v>10</v>
      </c>
      <c r="K85">
        <v>9203.7099999999991</v>
      </c>
      <c r="L85">
        <v>10.3</v>
      </c>
    </row>
    <row r="86" spans="1:12" x14ac:dyDescent="0.3">
      <c r="A86" t="s">
        <v>101</v>
      </c>
      <c r="B86" t="s">
        <v>34</v>
      </c>
      <c r="C86" t="s">
        <v>14</v>
      </c>
      <c r="D86">
        <v>52</v>
      </c>
      <c r="E86" s="1">
        <v>44465</v>
      </c>
      <c r="F86">
        <v>2021</v>
      </c>
      <c r="G86" t="s">
        <v>5033</v>
      </c>
      <c r="H86">
        <v>26</v>
      </c>
      <c r="I86">
        <v>4.7300000000000004</v>
      </c>
      <c r="J86">
        <v>0</v>
      </c>
      <c r="K86">
        <v>12119.39</v>
      </c>
      <c r="L86">
        <v>4.0999999999999996</v>
      </c>
    </row>
    <row r="87" spans="1:12" x14ac:dyDescent="0.3">
      <c r="A87" t="s">
        <v>102</v>
      </c>
      <c r="B87" t="s">
        <v>13</v>
      </c>
      <c r="C87" t="s">
        <v>11</v>
      </c>
      <c r="D87">
        <v>40</v>
      </c>
      <c r="E87" s="1">
        <v>40337</v>
      </c>
      <c r="F87">
        <v>2010</v>
      </c>
      <c r="G87" t="s">
        <v>5032</v>
      </c>
      <c r="H87">
        <v>8</v>
      </c>
      <c r="I87">
        <v>2.81</v>
      </c>
      <c r="J87">
        <v>11</v>
      </c>
      <c r="K87">
        <v>13315.41</v>
      </c>
      <c r="L87">
        <v>15.4</v>
      </c>
    </row>
    <row r="88" spans="1:12" x14ac:dyDescent="0.3">
      <c r="A88" t="s">
        <v>103</v>
      </c>
      <c r="B88" t="s">
        <v>18</v>
      </c>
      <c r="C88" t="s">
        <v>11</v>
      </c>
      <c r="D88">
        <v>56</v>
      </c>
      <c r="E88" s="1">
        <v>41349</v>
      </c>
      <c r="F88">
        <v>2013</v>
      </c>
      <c r="G88" t="s">
        <v>5035</v>
      </c>
      <c r="H88">
        <v>16</v>
      </c>
      <c r="I88">
        <v>1.75</v>
      </c>
      <c r="J88">
        <v>9</v>
      </c>
      <c r="K88">
        <v>3492.35</v>
      </c>
      <c r="L88">
        <v>12.6</v>
      </c>
    </row>
    <row r="89" spans="1:12" x14ac:dyDescent="0.3">
      <c r="A89" t="s">
        <v>104</v>
      </c>
      <c r="B89" t="s">
        <v>24</v>
      </c>
      <c r="C89" t="s">
        <v>11</v>
      </c>
      <c r="D89">
        <v>50</v>
      </c>
      <c r="E89" s="1">
        <v>45927</v>
      </c>
      <c r="F89">
        <v>2025</v>
      </c>
      <c r="G89" t="s">
        <v>5033</v>
      </c>
      <c r="H89">
        <v>27</v>
      </c>
      <c r="I89">
        <v>2.63</v>
      </c>
      <c r="J89">
        <v>5</v>
      </c>
      <c r="K89">
        <v>5626.69</v>
      </c>
      <c r="L89">
        <v>0.1</v>
      </c>
    </row>
    <row r="90" spans="1:12" x14ac:dyDescent="0.3">
      <c r="A90" t="s">
        <v>105</v>
      </c>
      <c r="B90" t="s">
        <v>16</v>
      </c>
      <c r="C90" t="s">
        <v>11</v>
      </c>
      <c r="D90">
        <v>52</v>
      </c>
      <c r="E90" s="1">
        <v>44319</v>
      </c>
      <c r="F90">
        <v>2021</v>
      </c>
      <c r="G90" t="s">
        <v>5036</v>
      </c>
      <c r="H90">
        <v>3</v>
      </c>
      <c r="I90">
        <v>3.44</v>
      </c>
      <c r="J90">
        <v>8</v>
      </c>
      <c r="K90">
        <v>12346.44</v>
      </c>
      <c r="L90">
        <v>4.5</v>
      </c>
    </row>
    <row r="91" spans="1:12" x14ac:dyDescent="0.3">
      <c r="A91" t="s">
        <v>106</v>
      </c>
      <c r="B91" t="s">
        <v>34</v>
      </c>
      <c r="C91" t="s">
        <v>14</v>
      </c>
      <c r="D91">
        <v>27</v>
      </c>
      <c r="E91" s="1">
        <v>42930</v>
      </c>
      <c r="F91">
        <v>2017</v>
      </c>
      <c r="G91" t="s">
        <v>5034</v>
      </c>
      <c r="H91">
        <v>14</v>
      </c>
      <c r="I91">
        <v>3.69</v>
      </c>
      <c r="J91">
        <v>15</v>
      </c>
      <c r="K91">
        <v>3959.01</v>
      </c>
      <c r="L91">
        <v>8.3000000000000007</v>
      </c>
    </row>
    <row r="92" spans="1:12" x14ac:dyDescent="0.3">
      <c r="A92" t="s">
        <v>107</v>
      </c>
      <c r="B92" t="s">
        <v>18</v>
      </c>
      <c r="C92" t="s">
        <v>11</v>
      </c>
      <c r="D92">
        <v>53</v>
      </c>
      <c r="E92" s="1">
        <v>45212</v>
      </c>
      <c r="F92">
        <v>2023</v>
      </c>
      <c r="G92" t="s">
        <v>5039</v>
      </c>
      <c r="H92">
        <v>13</v>
      </c>
      <c r="I92">
        <v>2.1</v>
      </c>
      <c r="J92">
        <v>1</v>
      </c>
      <c r="K92">
        <v>6691.86</v>
      </c>
      <c r="L92">
        <v>2.1</v>
      </c>
    </row>
    <row r="93" spans="1:12" x14ac:dyDescent="0.3">
      <c r="A93" t="s">
        <v>108</v>
      </c>
      <c r="B93" t="s">
        <v>18</v>
      </c>
      <c r="C93" t="s">
        <v>14</v>
      </c>
      <c r="D93">
        <v>35</v>
      </c>
      <c r="E93" s="1">
        <v>45887</v>
      </c>
      <c r="F93">
        <v>2025</v>
      </c>
      <c r="G93" t="s">
        <v>5031</v>
      </c>
      <c r="H93">
        <v>18</v>
      </c>
      <c r="I93">
        <v>3.91</v>
      </c>
      <c r="J93">
        <v>7</v>
      </c>
      <c r="K93">
        <v>4748.5</v>
      </c>
      <c r="L93">
        <v>0.2</v>
      </c>
    </row>
    <row r="94" spans="1:12" x14ac:dyDescent="0.3">
      <c r="A94" t="s">
        <v>109</v>
      </c>
      <c r="B94" t="s">
        <v>34</v>
      </c>
      <c r="C94" t="s">
        <v>14</v>
      </c>
      <c r="D94">
        <v>22</v>
      </c>
      <c r="E94" s="1">
        <v>40916</v>
      </c>
      <c r="F94">
        <v>2012</v>
      </c>
      <c r="G94" t="s">
        <v>5037</v>
      </c>
      <c r="H94">
        <v>8</v>
      </c>
      <c r="I94">
        <v>4.21</v>
      </c>
      <c r="J94">
        <v>13</v>
      </c>
      <c r="K94">
        <v>6260.18</v>
      </c>
      <c r="L94">
        <v>13.8</v>
      </c>
    </row>
    <row r="95" spans="1:12" x14ac:dyDescent="0.3">
      <c r="A95" t="s">
        <v>110</v>
      </c>
      <c r="B95" t="s">
        <v>24</v>
      </c>
      <c r="C95" t="s">
        <v>11</v>
      </c>
      <c r="D95">
        <v>55</v>
      </c>
      <c r="E95" s="1">
        <v>40891</v>
      </c>
      <c r="F95">
        <v>2011</v>
      </c>
      <c r="G95" t="s">
        <v>5041</v>
      </c>
      <c r="H95">
        <v>14</v>
      </c>
      <c r="I95">
        <v>2.41</v>
      </c>
      <c r="J95">
        <v>14</v>
      </c>
      <c r="K95">
        <v>6970.7</v>
      </c>
      <c r="L95">
        <v>13.9</v>
      </c>
    </row>
    <row r="96" spans="1:12" x14ac:dyDescent="0.3">
      <c r="A96" t="s">
        <v>111</v>
      </c>
      <c r="B96" t="s">
        <v>10</v>
      </c>
      <c r="C96" t="s">
        <v>11</v>
      </c>
      <c r="D96">
        <v>23</v>
      </c>
      <c r="E96" s="1">
        <v>45067</v>
      </c>
      <c r="F96">
        <v>2023</v>
      </c>
      <c r="G96" t="s">
        <v>5036</v>
      </c>
      <c r="H96">
        <v>21</v>
      </c>
      <c r="I96">
        <v>4.6100000000000003</v>
      </c>
      <c r="J96">
        <v>11</v>
      </c>
      <c r="K96">
        <v>6759.8</v>
      </c>
      <c r="L96">
        <v>2.5</v>
      </c>
    </row>
    <row r="97" spans="1:12" x14ac:dyDescent="0.3">
      <c r="A97" t="s">
        <v>112</v>
      </c>
      <c r="B97" t="s">
        <v>10</v>
      </c>
      <c r="C97" t="s">
        <v>11</v>
      </c>
      <c r="D97">
        <v>52</v>
      </c>
      <c r="E97" s="1">
        <v>43961</v>
      </c>
      <c r="F97">
        <v>2020</v>
      </c>
      <c r="G97" t="s">
        <v>5036</v>
      </c>
      <c r="H97">
        <v>10</v>
      </c>
      <c r="I97">
        <v>2.08</v>
      </c>
      <c r="J97">
        <v>3</v>
      </c>
      <c r="K97">
        <v>9404.36</v>
      </c>
      <c r="L97">
        <v>5.5</v>
      </c>
    </row>
    <row r="98" spans="1:12" x14ac:dyDescent="0.3">
      <c r="A98" t="s">
        <v>113</v>
      </c>
      <c r="B98" t="s">
        <v>13</v>
      </c>
      <c r="C98" t="s">
        <v>11</v>
      </c>
      <c r="D98">
        <v>45</v>
      </c>
      <c r="E98" s="1">
        <v>44283</v>
      </c>
      <c r="F98">
        <v>2021</v>
      </c>
      <c r="G98" t="s">
        <v>5035</v>
      </c>
      <c r="H98">
        <v>28</v>
      </c>
      <c r="I98">
        <v>2.67</v>
      </c>
      <c r="J98">
        <v>9</v>
      </c>
      <c r="K98">
        <v>5624.49</v>
      </c>
      <c r="L98">
        <v>4.5999999999999996</v>
      </c>
    </row>
    <row r="99" spans="1:12" x14ac:dyDescent="0.3">
      <c r="A99" t="s">
        <v>114</v>
      </c>
      <c r="B99" t="s">
        <v>16</v>
      </c>
      <c r="C99" t="s">
        <v>11</v>
      </c>
      <c r="D99">
        <v>48</v>
      </c>
      <c r="E99" s="1">
        <v>44622</v>
      </c>
      <c r="F99">
        <v>2022</v>
      </c>
      <c r="G99" t="s">
        <v>5035</v>
      </c>
      <c r="H99">
        <v>2</v>
      </c>
      <c r="I99">
        <v>3.94</v>
      </c>
      <c r="J99">
        <v>15</v>
      </c>
      <c r="K99">
        <v>9839.67</v>
      </c>
      <c r="L99">
        <v>3.7</v>
      </c>
    </row>
    <row r="100" spans="1:12" x14ac:dyDescent="0.3">
      <c r="A100" t="s">
        <v>115</v>
      </c>
      <c r="B100" t="s">
        <v>34</v>
      </c>
      <c r="C100" t="s">
        <v>14</v>
      </c>
      <c r="D100">
        <v>54</v>
      </c>
      <c r="E100" s="1">
        <v>44066</v>
      </c>
      <c r="F100">
        <v>2020</v>
      </c>
      <c r="G100" t="s">
        <v>5031</v>
      </c>
      <c r="H100">
        <v>23</v>
      </c>
      <c r="I100">
        <v>4.33</v>
      </c>
      <c r="J100">
        <v>9</v>
      </c>
      <c r="K100">
        <v>9504.15</v>
      </c>
      <c r="L100">
        <v>5.2</v>
      </c>
    </row>
    <row r="101" spans="1:12" x14ac:dyDescent="0.3">
      <c r="A101" t="s">
        <v>116</v>
      </c>
      <c r="B101" t="s">
        <v>13</v>
      </c>
      <c r="C101" t="s">
        <v>14</v>
      </c>
      <c r="D101">
        <v>31</v>
      </c>
      <c r="E101" s="1">
        <v>40589</v>
      </c>
      <c r="F101">
        <v>2011</v>
      </c>
      <c r="G101" t="s">
        <v>5042</v>
      </c>
      <c r="H101">
        <v>15</v>
      </c>
      <c r="I101">
        <v>3.09</v>
      </c>
      <c r="J101">
        <v>8</v>
      </c>
      <c r="K101">
        <v>11366.02</v>
      </c>
      <c r="L101">
        <v>14.7</v>
      </c>
    </row>
    <row r="102" spans="1:12" x14ac:dyDescent="0.3">
      <c r="A102" t="s">
        <v>117</v>
      </c>
      <c r="B102" t="s">
        <v>10</v>
      </c>
      <c r="C102" t="s">
        <v>14</v>
      </c>
      <c r="D102">
        <v>50</v>
      </c>
      <c r="E102" s="1">
        <v>41588</v>
      </c>
      <c r="F102">
        <v>2013</v>
      </c>
      <c r="G102" t="s">
        <v>5038</v>
      </c>
      <c r="H102">
        <v>10</v>
      </c>
      <c r="I102">
        <v>3.36</v>
      </c>
      <c r="J102">
        <v>11</v>
      </c>
      <c r="K102">
        <v>9615.73</v>
      </c>
      <c r="L102">
        <v>12</v>
      </c>
    </row>
    <row r="103" spans="1:12" x14ac:dyDescent="0.3">
      <c r="A103" t="s">
        <v>118</v>
      </c>
      <c r="B103" t="s">
        <v>10</v>
      </c>
      <c r="C103" t="s">
        <v>11</v>
      </c>
      <c r="D103">
        <v>57</v>
      </c>
      <c r="E103" s="1">
        <v>45942</v>
      </c>
      <c r="F103">
        <v>2025</v>
      </c>
      <c r="G103" t="s">
        <v>5039</v>
      </c>
      <c r="H103">
        <v>12</v>
      </c>
      <c r="I103">
        <v>3.62</v>
      </c>
      <c r="J103">
        <v>2</v>
      </c>
      <c r="K103">
        <v>5361.07</v>
      </c>
      <c r="L103">
        <v>0.1</v>
      </c>
    </row>
    <row r="104" spans="1:12" x14ac:dyDescent="0.3">
      <c r="A104" t="s">
        <v>119</v>
      </c>
      <c r="B104" t="s">
        <v>24</v>
      </c>
      <c r="C104" t="s">
        <v>14</v>
      </c>
      <c r="D104">
        <v>23</v>
      </c>
      <c r="E104" s="1">
        <v>41379</v>
      </c>
      <c r="F104">
        <v>2013</v>
      </c>
      <c r="G104" t="s">
        <v>5040</v>
      </c>
      <c r="H104">
        <v>15</v>
      </c>
      <c r="I104">
        <v>4.41</v>
      </c>
      <c r="J104">
        <v>14</v>
      </c>
      <c r="K104">
        <v>4383.9799999999996</v>
      </c>
      <c r="L104">
        <v>12.6</v>
      </c>
    </row>
    <row r="105" spans="1:12" x14ac:dyDescent="0.3">
      <c r="A105" t="s">
        <v>120</v>
      </c>
      <c r="B105" t="s">
        <v>18</v>
      </c>
      <c r="C105" t="s">
        <v>14</v>
      </c>
      <c r="D105">
        <v>31</v>
      </c>
      <c r="E105" s="1">
        <v>42574</v>
      </c>
      <c r="F105">
        <v>2016</v>
      </c>
      <c r="G105" t="s">
        <v>5034</v>
      </c>
      <c r="H105">
        <v>23</v>
      </c>
      <c r="I105">
        <v>4.7</v>
      </c>
      <c r="J105">
        <v>13</v>
      </c>
      <c r="K105">
        <v>7489.55</v>
      </c>
      <c r="L105">
        <v>9.3000000000000007</v>
      </c>
    </row>
    <row r="106" spans="1:12" x14ac:dyDescent="0.3">
      <c r="A106" t="s">
        <v>121</v>
      </c>
      <c r="B106" t="s">
        <v>13</v>
      </c>
      <c r="C106" t="s">
        <v>11</v>
      </c>
      <c r="D106">
        <v>33</v>
      </c>
      <c r="E106" s="1">
        <v>42543</v>
      </c>
      <c r="F106">
        <v>2016</v>
      </c>
      <c r="G106" t="s">
        <v>5032</v>
      </c>
      <c r="H106">
        <v>22</v>
      </c>
      <c r="I106">
        <v>1.97</v>
      </c>
      <c r="J106">
        <v>11</v>
      </c>
      <c r="K106">
        <v>12887.53</v>
      </c>
      <c r="L106">
        <v>9.4</v>
      </c>
    </row>
    <row r="107" spans="1:12" x14ac:dyDescent="0.3">
      <c r="A107" t="s">
        <v>122</v>
      </c>
      <c r="B107" t="s">
        <v>34</v>
      </c>
      <c r="C107" t="s">
        <v>14</v>
      </c>
      <c r="D107">
        <v>58</v>
      </c>
      <c r="E107" s="1">
        <v>42139</v>
      </c>
      <c r="F107">
        <v>2015</v>
      </c>
      <c r="G107" t="s">
        <v>5036</v>
      </c>
      <c r="H107">
        <v>15</v>
      </c>
      <c r="I107">
        <v>2.54</v>
      </c>
      <c r="J107">
        <v>13</v>
      </c>
      <c r="K107">
        <v>6884.36</v>
      </c>
      <c r="L107">
        <v>10.5</v>
      </c>
    </row>
    <row r="108" spans="1:12" x14ac:dyDescent="0.3">
      <c r="A108" t="s">
        <v>123</v>
      </c>
      <c r="B108" t="s">
        <v>24</v>
      </c>
      <c r="C108" t="s">
        <v>14</v>
      </c>
      <c r="D108">
        <v>37</v>
      </c>
      <c r="E108" s="1">
        <v>41836</v>
      </c>
      <c r="F108">
        <v>2014</v>
      </c>
      <c r="G108" t="s">
        <v>5034</v>
      </c>
      <c r="H108">
        <v>16</v>
      </c>
      <c r="I108">
        <v>2.93</v>
      </c>
      <c r="J108">
        <v>1</v>
      </c>
      <c r="K108">
        <v>6121.44</v>
      </c>
      <c r="L108">
        <v>11.3</v>
      </c>
    </row>
    <row r="109" spans="1:12" x14ac:dyDescent="0.3">
      <c r="A109" t="s">
        <v>124</v>
      </c>
      <c r="B109" t="s">
        <v>13</v>
      </c>
      <c r="C109" t="s">
        <v>14</v>
      </c>
      <c r="D109">
        <v>32</v>
      </c>
      <c r="E109" s="1">
        <v>43869</v>
      </c>
      <c r="F109">
        <v>2020</v>
      </c>
      <c r="G109" t="s">
        <v>5042</v>
      </c>
      <c r="H109">
        <v>8</v>
      </c>
      <c r="I109">
        <v>3.41</v>
      </c>
      <c r="J109">
        <v>14</v>
      </c>
      <c r="K109">
        <v>4969.1099999999997</v>
      </c>
      <c r="L109">
        <v>5.7</v>
      </c>
    </row>
    <row r="110" spans="1:12" x14ac:dyDescent="0.3">
      <c r="A110" t="s">
        <v>125</v>
      </c>
      <c r="B110" t="s">
        <v>10</v>
      </c>
      <c r="C110" t="s">
        <v>14</v>
      </c>
      <c r="D110">
        <v>54</v>
      </c>
      <c r="E110" s="1">
        <v>45540</v>
      </c>
      <c r="F110">
        <v>2024</v>
      </c>
      <c r="G110" t="s">
        <v>5033</v>
      </c>
      <c r="H110">
        <v>5</v>
      </c>
      <c r="I110">
        <v>4.91</v>
      </c>
      <c r="J110">
        <v>5</v>
      </c>
      <c r="K110">
        <v>11529.9</v>
      </c>
      <c r="L110">
        <v>1.2</v>
      </c>
    </row>
    <row r="111" spans="1:12" x14ac:dyDescent="0.3">
      <c r="A111" t="s">
        <v>126</v>
      </c>
      <c r="B111" t="s">
        <v>10</v>
      </c>
      <c r="C111" t="s">
        <v>11</v>
      </c>
      <c r="D111">
        <v>26</v>
      </c>
      <c r="E111" s="1">
        <v>42093</v>
      </c>
      <c r="F111">
        <v>2015</v>
      </c>
      <c r="G111" t="s">
        <v>5035</v>
      </c>
      <c r="H111">
        <v>30</v>
      </c>
      <c r="I111">
        <v>4.9000000000000004</v>
      </c>
      <c r="J111">
        <v>7</v>
      </c>
      <c r="K111">
        <v>5222.3999999999996</v>
      </c>
      <c r="L111">
        <v>10.6</v>
      </c>
    </row>
    <row r="112" spans="1:12" x14ac:dyDescent="0.3">
      <c r="A112" t="s">
        <v>127</v>
      </c>
      <c r="B112" t="s">
        <v>34</v>
      </c>
      <c r="C112" t="s">
        <v>11</v>
      </c>
      <c r="D112">
        <v>51</v>
      </c>
      <c r="E112" s="1">
        <v>40943</v>
      </c>
      <c r="F112">
        <v>2012</v>
      </c>
      <c r="G112" t="s">
        <v>5042</v>
      </c>
      <c r="H112">
        <v>4</v>
      </c>
      <c r="I112">
        <v>4.8</v>
      </c>
      <c r="J112">
        <v>15</v>
      </c>
      <c r="K112">
        <v>8286.39</v>
      </c>
      <c r="L112">
        <v>13.8</v>
      </c>
    </row>
    <row r="113" spans="1:12" x14ac:dyDescent="0.3">
      <c r="A113" t="s">
        <v>128</v>
      </c>
      <c r="B113" t="s">
        <v>34</v>
      </c>
      <c r="C113" t="s">
        <v>14</v>
      </c>
      <c r="D113">
        <v>25</v>
      </c>
      <c r="E113" s="1">
        <v>45948</v>
      </c>
      <c r="F113">
        <v>2025</v>
      </c>
      <c r="G113" t="s">
        <v>5039</v>
      </c>
      <c r="H113">
        <v>18</v>
      </c>
      <c r="I113">
        <v>2.59</v>
      </c>
      <c r="J113">
        <v>0</v>
      </c>
      <c r="K113">
        <v>4809.07</v>
      </c>
      <c r="L113">
        <v>0</v>
      </c>
    </row>
    <row r="114" spans="1:12" x14ac:dyDescent="0.3">
      <c r="A114" t="s">
        <v>129</v>
      </c>
      <c r="B114" t="s">
        <v>34</v>
      </c>
      <c r="C114" t="s">
        <v>11</v>
      </c>
      <c r="D114">
        <v>39</v>
      </c>
      <c r="E114" s="1">
        <v>43938</v>
      </c>
      <c r="F114">
        <v>2020</v>
      </c>
      <c r="G114" t="s">
        <v>5040</v>
      </c>
      <c r="H114">
        <v>17</v>
      </c>
      <c r="I114">
        <v>2.13</v>
      </c>
      <c r="J114">
        <v>6</v>
      </c>
      <c r="K114">
        <v>10125.98</v>
      </c>
      <c r="L114">
        <v>5.5</v>
      </c>
    </row>
    <row r="115" spans="1:12" x14ac:dyDescent="0.3">
      <c r="A115" t="s">
        <v>130</v>
      </c>
      <c r="B115" t="s">
        <v>16</v>
      </c>
      <c r="C115" t="s">
        <v>14</v>
      </c>
      <c r="D115">
        <v>47</v>
      </c>
      <c r="E115" s="1">
        <v>44485</v>
      </c>
      <c r="F115">
        <v>2021</v>
      </c>
      <c r="G115" t="s">
        <v>5039</v>
      </c>
      <c r="H115">
        <v>16</v>
      </c>
      <c r="I115">
        <v>3.11</v>
      </c>
      <c r="J115">
        <v>3</v>
      </c>
      <c r="K115">
        <v>8901.1200000000008</v>
      </c>
      <c r="L115">
        <v>4</v>
      </c>
    </row>
    <row r="116" spans="1:12" x14ac:dyDescent="0.3">
      <c r="A116" t="s">
        <v>131</v>
      </c>
      <c r="B116" t="s">
        <v>18</v>
      </c>
      <c r="C116" t="s">
        <v>11</v>
      </c>
      <c r="D116">
        <v>59</v>
      </c>
      <c r="E116" s="1">
        <v>40771</v>
      </c>
      <c r="F116">
        <v>2011</v>
      </c>
      <c r="G116" t="s">
        <v>5031</v>
      </c>
      <c r="H116">
        <v>16</v>
      </c>
      <c r="I116">
        <v>3.38</v>
      </c>
      <c r="J116">
        <v>12</v>
      </c>
      <c r="K116">
        <v>12740.46</v>
      </c>
      <c r="L116">
        <v>14.2</v>
      </c>
    </row>
    <row r="117" spans="1:12" x14ac:dyDescent="0.3">
      <c r="A117" t="s">
        <v>132</v>
      </c>
      <c r="B117" t="s">
        <v>34</v>
      </c>
      <c r="C117" t="s">
        <v>11</v>
      </c>
      <c r="D117">
        <v>57</v>
      </c>
      <c r="E117" s="1">
        <v>44868</v>
      </c>
      <c r="F117">
        <v>2022</v>
      </c>
      <c r="G117" t="s">
        <v>5038</v>
      </c>
      <c r="H117">
        <v>3</v>
      </c>
      <c r="I117">
        <v>4.1500000000000004</v>
      </c>
      <c r="J117">
        <v>13</v>
      </c>
      <c r="K117">
        <v>6468.29</v>
      </c>
      <c r="L117">
        <v>3</v>
      </c>
    </row>
    <row r="118" spans="1:12" x14ac:dyDescent="0.3">
      <c r="A118" t="s">
        <v>133</v>
      </c>
      <c r="B118" t="s">
        <v>16</v>
      </c>
      <c r="C118" t="s">
        <v>11</v>
      </c>
      <c r="D118">
        <v>36</v>
      </c>
      <c r="E118" s="1">
        <v>45737</v>
      </c>
      <c r="F118">
        <v>2025</v>
      </c>
      <c r="G118" t="s">
        <v>5035</v>
      </c>
      <c r="H118">
        <v>21</v>
      </c>
      <c r="I118">
        <v>4</v>
      </c>
      <c r="J118">
        <v>11</v>
      </c>
      <c r="K118">
        <v>4409.9799999999996</v>
      </c>
      <c r="L118">
        <v>0.6</v>
      </c>
    </row>
    <row r="119" spans="1:12" x14ac:dyDescent="0.3">
      <c r="A119" t="s">
        <v>134</v>
      </c>
      <c r="B119" t="s">
        <v>10</v>
      </c>
      <c r="C119" t="s">
        <v>11</v>
      </c>
      <c r="D119">
        <v>50</v>
      </c>
      <c r="E119" s="1">
        <v>42497</v>
      </c>
      <c r="F119">
        <v>2016</v>
      </c>
      <c r="G119" t="s">
        <v>5036</v>
      </c>
      <c r="H119">
        <v>7</v>
      </c>
      <c r="I119">
        <v>4.62</v>
      </c>
      <c r="J119">
        <v>5</v>
      </c>
      <c r="K119">
        <v>8059.18</v>
      </c>
      <c r="L119">
        <v>9.5</v>
      </c>
    </row>
    <row r="120" spans="1:12" x14ac:dyDescent="0.3">
      <c r="A120" t="s">
        <v>135</v>
      </c>
      <c r="B120" t="s">
        <v>16</v>
      </c>
      <c r="C120" t="s">
        <v>14</v>
      </c>
      <c r="D120">
        <v>42</v>
      </c>
      <c r="E120" s="1">
        <v>45947</v>
      </c>
      <c r="F120">
        <v>2025</v>
      </c>
      <c r="G120" t="s">
        <v>5039</v>
      </c>
      <c r="H120">
        <v>17</v>
      </c>
      <c r="I120">
        <v>1.87</v>
      </c>
      <c r="J120">
        <v>3</v>
      </c>
      <c r="K120">
        <v>5805.84</v>
      </c>
      <c r="L120">
        <v>0</v>
      </c>
    </row>
    <row r="121" spans="1:12" x14ac:dyDescent="0.3">
      <c r="A121" t="s">
        <v>136</v>
      </c>
      <c r="B121" t="s">
        <v>10</v>
      </c>
      <c r="C121" t="s">
        <v>11</v>
      </c>
      <c r="D121">
        <v>37</v>
      </c>
      <c r="E121" s="1">
        <v>40880</v>
      </c>
      <c r="F121">
        <v>2011</v>
      </c>
      <c r="G121" t="s">
        <v>5041</v>
      </c>
      <c r="H121">
        <v>3</v>
      </c>
      <c r="I121">
        <v>4.78</v>
      </c>
      <c r="J121">
        <v>11</v>
      </c>
      <c r="K121">
        <v>9650.43</v>
      </c>
      <c r="L121">
        <v>13.9</v>
      </c>
    </row>
    <row r="122" spans="1:12" x14ac:dyDescent="0.3">
      <c r="A122" t="s">
        <v>137</v>
      </c>
      <c r="B122" t="s">
        <v>13</v>
      </c>
      <c r="C122" t="s">
        <v>11</v>
      </c>
      <c r="D122">
        <v>33</v>
      </c>
      <c r="E122" s="1">
        <v>44138</v>
      </c>
      <c r="F122">
        <v>2020</v>
      </c>
      <c r="G122" t="s">
        <v>5038</v>
      </c>
      <c r="H122">
        <v>3</v>
      </c>
      <c r="I122">
        <v>3.78</v>
      </c>
      <c r="J122">
        <v>6</v>
      </c>
      <c r="K122">
        <v>9014.23</v>
      </c>
      <c r="L122">
        <v>5</v>
      </c>
    </row>
    <row r="123" spans="1:12" x14ac:dyDescent="0.3">
      <c r="A123" t="s">
        <v>138</v>
      </c>
      <c r="B123" t="s">
        <v>10</v>
      </c>
      <c r="C123" t="s">
        <v>14</v>
      </c>
      <c r="D123">
        <v>30</v>
      </c>
      <c r="E123" s="1">
        <v>44838</v>
      </c>
      <c r="F123">
        <v>2022</v>
      </c>
      <c r="G123" t="s">
        <v>5039</v>
      </c>
      <c r="H123">
        <v>4</v>
      </c>
      <c r="I123">
        <v>3.81</v>
      </c>
      <c r="J123">
        <v>15</v>
      </c>
      <c r="K123">
        <v>4413.45</v>
      </c>
      <c r="L123">
        <v>3.1</v>
      </c>
    </row>
    <row r="124" spans="1:12" x14ac:dyDescent="0.3">
      <c r="A124" t="s">
        <v>139</v>
      </c>
      <c r="B124" t="s">
        <v>16</v>
      </c>
      <c r="C124" t="s">
        <v>14</v>
      </c>
      <c r="D124">
        <v>55</v>
      </c>
      <c r="E124" s="1">
        <v>44234</v>
      </c>
      <c r="F124">
        <v>2021</v>
      </c>
      <c r="G124" t="s">
        <v>5042</v>
      </c>
      <c r="H124">
        <v>7</v>
      </c>
      <c r="I124">
        <v>4.8099999999999996</v>
      </c>
      <c r="J124">
        <v>8</v>
      </c>
      <c r="K124">
        <v>4293.83</v>
      </c>
      <c r="L124">
        <v>4.7</v>
      </c>
    </row>
    <row r="125" spans="1:12" x14ac:dyDescent="0.3">
      <c r="A125" t="s">
        <v>140</v>
      </c>
      <c r="B125" t="s">
        <v>34</v>
      </c>
      <c r="C125" t="s">
        <v>11</v>
      </c>
      <c r="D125">
        <v>39</v>
      </c>
      <c r="E125" s="1">
        <v>40472</v>
      </c>
      <c r="F125">
        <v>2010</v>
      </c>
      <c r="G125" t="s">
        <v>5039</v>
      </c>
      <c r="H125">
        <v>21</v>
      </c>
      <c r="I125">
        <v>3.45</v>
      </c>
      <c r="J125">
        <v>1</v>
      </c>
      <c r="K125">
        <v>13005.97</v>
      </c>
      <c r="L125">
        <v>15</v>
      </c>
    </row>
    <row r="126" spans="1:12" x14ac:dyDescent="0.3">
      <c r="A126" t="s">
        <v>141</v>
      </c>
      <c r="B126" t="s">
        <v>13</v>
      </c>
      <c r="C126" t="s">
        <v>14</v>
      </c>
      <c r="D126">
        <v>45</v>
      </c>
      <c r="E126" s="1">
        <v>44468</v>
      </c>
      <c r="F126">
        <v>2021</v>
      </c>
      <c r="G126" t="s">
        <v>5033</v>
      </c>
      <c r="H126">
        <v>29</v>
      </c>
      <c r="I126">
        <v>3.23</v>
      </c>
      <c r="J126">
        <v>5</v>
      </c>
      <c r="K126">
        <v>7433.39</v>
      </c>
      <c r="L126">
        <v>4.0999999999999996</v>
      </c>
    </row>
    <row r="127" spans="1:12" x14ac:dyDescent="0.3">
      <c r="A127" t="s">
        <v>142</v>
      </c>
      <c r="B127" t="s">
        <v>13</v>
      </c>
      <c r="C127" t="s">
        <v>11</v>
      </c>
      <c r="D127">
        <v>33</v>
      </c>
      <c r="E127" s="1">
        <v>40786</v>
      </c>
      <c r="F127">
        <v>2011</v>
      </c>
      <c r="G127" t="s">
        <v>5031</v>
      </c>
      <c r="H127">
        <v>31</v>
      </c>
      <c r="I127">
        <v>1.57</v>
      </c>
      <c r="J127">
        <v>10</v>
      </c>
      <c r="K127">
        <v>6363.42</v>
      </c>
      <c r="L127">
        <v>14.2</v>
      </c>
    </row>
    <row r="128" spans="1:12" x14ac:dyDescent="0.3">
      <c r="A128" t="s">
        <v>143</v>
      </c>
      <c r="B128" t="s">
        <v>34</v>
      </c>
      <c r="C128" t="s">
        <v>11</v>
      </c>
      <c r="D128">
        <v>48</v>
      </c>
      <c r="E128" s="1">
        <v>41621</v>
      </c>
      <c r="F128">
        <v>2013</v>
      </c>
      <c r="G128" t="s">
        <v>5041</v>
      </c>
      <c r="H128">
        <v>13</v>
      </c>
      <c r="I128">
        <v>3.51</v>
      </c>
      <c r="J128">
        <v>9</v>
      </c>
      <c r="K128">
        <v>11052.99</v>
      </c>
      <c r="L128">
        <v>11.9</v>
      </c>
    </row>
    <row r="129" spans="1:12" x14ac:dyDescent="0.3">
      <c r="A129" t="s">
        <v>144</v>
      </c>
      <c r="B129" t="s">
        <v>24</v>
      </c>
      <c r="C129" t="s">
        <v>11</v>
      </c>
      <c r="D129">
        <v>40</v>
      </c>
      <c r="E129" s="1">
        <v>45864</v>
      </c>
      <c r="F129">
        <v>2025</v>
      </c>
      <c r="G129" t="s">
        <v>5034</v>
      </c>
      <c r="H129">
        <v>26</v>
      </c>
      <c r="I129">
        <v>2.97</v>
      </c>
      <c r="J129">
        <v>11</v>
      </c>
      <c r="K129">
        <v>3223.63</v>
      </c>
      <c r="L129">
        <v>0.3</v>
      </c>
    </row>
    <row r="130" spans="1:12" x14ac:dyDescent="0.3">
      <c r="A130" t="s">
        <v>145</v>
      </c>
      <c r="B130" t="s">
        <v>10</v>
      </c>
      <c r="C130" t="s">
        <v>11</v>
      </c>
      <c r="D130">
        <v>33</v>
      </c>
      <c r="E130" s="1">
        <v>40357</v>
      </c>
      <c r="F130">
        <v>2010</v>
      </c>
      <c r="G130" t="s">
        <v>5032</v>
      </c>
      <c r="H130">
        <v>28</v>
      </c>
      <c r="I130">
        <v>4.09</v>
      </c>
      <c r="J130">
        <v>13</v>
      </c>
      <c r="K130">
        <v>4508.43</v>
      </c>
      <c r="L130">
        <v>15.4</v>
      </c>
    </row>
    <row r="131" spans="1:12" x14ac:dyDescent="0.3">
      <c r="A131" t="s">
        <v>146</v>
      </c>
      <c r="B131" t="s">
        <v>24</v>
      </c>
      <c r="C131" t="s">
        <v>11</v>
      </c>
      <c r="D131">
        <v>58</v>
      </c>
      <c r="E131" s="1">
        <v>40753</v>
      </c>
      <c r="F131">
        <v>2011</v>
      </c>
      <c r="G131" t="s">
        <v>5034</v>
      </c>
      <c r="H131">
        <v>29</v>
      </c>
      <c r="I131">
        <v>3.98</v>
      </c>
      <c r="J131">
        <v>2</v>
      </c>
      <c r="K131">
        <v>14628.12</v>
      </c>
      <c r="L131">
        <v>14.3</v>
      </c>
    </row>
    <row r="132" spans="1:12" x14ac:dyDescent="0.3">
      <c r="A132" t="s">
        <v>147</v>
      </c>
      <c r="B132" t="s">
        <v>34</v>
      </c>
      <c r="C132" t="s">
        <v>14</v>
      </c>
      <c r="D132">
        <v>22</v>
      </c>
      <c r="E132" s="1">
        <v>43934</v>
      </c>
      <c r="F132">
        <v>2020</v>
      </c>
      <c r="G132" t="s">
        <v>5040</v>
      </c>
      <c r="H132">
        <v>13</v>
      </c>
      <c r="I132">
        <v>4.5999999999999996</v>
      </c>
      <c r="J132">
        <v>13</v>
      </c>
      <c r="K132">
        <v>12899.11</v>
      </c>
      <c r="L132">
        <v>5.6</v>
      </c>
    </row>
    <row r="133" spans="1:12" x14ac:dyDescent="0.3">
      <c r="A133" t="s">
        <v>148</v>
      </c>
      <c r="B133" t="s">
        <v>16</v>
      </c>
      <c r="C133" t="s">
        <v>11</v>
      </c>
      <c r="D133">
        <v>54</v>
      </c>
      <c r="E133" s="1">
        <v>42420</v>
      </c>
      <c r="F133">
        <v>2016</v>
      </c>
      <c r="G133" t="s">
        <v>5042</v>
      </c>
      <c r="H133">
        <v>20</v>
      </c>
      <c r="I133">
        <v>1.98</v>
      </c>
      <c r="J133">
        <v>6</v>
      </c>
      <c r="K133">
        <v>5666.41</v>
      </c>
      <c r="L133">
        <v>9.6999999999999993</v>
      </c>
    </row>
    <row r="134" spans="1:12" x14ac:dyDescent="0.3">
      <c r="A134" t="s">
        <v>149</v>
      </c>
      <c r="B134" t="s">
        <v>16</v>
      </c>
      <c r="C134" t="s">
        <v>11</v>
      </c>
      <c r="D134">
        <v>57</v>
      </c>
      <c r="E134" s="1">
        <v>44690</v>
      </c>
      <c r="F134">
        <v>2022</v>
      </c>
      <c r="G134" t="s">
        <v>5036</v>
      </c>
      <c r="H134">
        <v>9</v>
      </c>
      <c r="I134">
        <v>4.6399999999999997</v>
      </c>
      <c r="J134">
        <v>10</v>
      </c>
      <c r="K134">
        <v>7365.99</v>
      </c>
      <c r="L134">
        <v>3.5</v>
      </c>
    </row>
    <row r="135" spans="1:12" x14ac:dyDescent="0.3">
      <c r="A135" t="s">
        <v>150</v>
      </c>
      <c r="B135" t="s">
        <v>24</v>
      </c>
      <c r="C135" t="s">
        <v>14</v>
      </c>
      <c r="D135">
        <v>57</v>
      </c>
      <c r="E135" s="1">
        <v>45745</v>
      </c>
      <c r="F135">
        <v>2025</v>
      </c>
      <c r="G135" t="s">
        <v>5035</v>
      </c>
      <c r="H135">
        <v>29</v>
      </c>
      <c r="I135">
        <v>4</v>
      </c>
      <c r="J135">
        <v>11</v>
      </c>
      <c r="K135">
        <v>3267.47</v>
      </c>
      <c r="L135">
        <v>0.6</v>
      </c>
    </row>
    <row r="136" spans="1:12" x14ac:dyDescent="0.3">
      <c r="A136" t="s">
        <v>151</v>
      </c>
      <c r="B136" t="s">
        <v>18</v>
      </c>
      <c r="C136" t="s">
        <v>11</v>
      </c>
      <c r="D136">
        <v>32</v>
      </c>
      <c r="E136" s="1">
        <v>41797</v>
      </c>
      <c r="F136">
        <v>2014</v>
      </c>
      <c r="G136" t="s">
        <v>5032</v>
      </c>
      <c r="H136">
        <v>7</v>
      </c>
      <c r="I136">
        <v>2.09</v>
      </c>
      <c r="J136">
        <v>5</v>
      </c>
      <c r="K136">
        <v>13657.87</v>
      </c>
      <c r="L136">
        <v>11.4</v>
      </c>
    </row>
    <row r="137" spans="1:12" x14ac:dyDescent="0.3">
      <c r="A137" t="s">
        <v>152</v>
      </c>
      <c r="B137" t="s">
        <v>16</v>
      </c>
      <c r="C137" t="s">
        <v>14</v>
      </c>
      <c r="D137">
        <v>39</v>
      </c>
      <c r="E137" s="1">
        <v>40926</v>
      </c>
      <c r="F137">
        <v>2012</v>
      </c>
      <c r="G137" t="s">
        <v>5037</v>
      </c>
      <c r="H137">
        <v>18</v>
      </c>
      <c r="I137">
        <v>2.61</v>
      </c>
      <c r="J137">
        <v>15</v>
      </c>
      <c r="K137">
        <v>14704.64</v>
      </c>
      <c r="L137">
        <v>13.8</v>
      </c>
    </row>
    <row r="138" spans="1:12" x14ac:dyDescent="0.3">
      <c r="A138" t="s">
        <v>153</v>
      </c>
      <c r="B138" t="s">
        <v>13</v>
      </c>
      <c r="C138" t="s">
        <v>14</v>
      </c>
      <c r="D138">
        <v>37</v>
      </c>
      <c r="E138" s="1">
        <v>42929</v>
      </c>
      <c r="F138">
        <v>2017</v>
      </c>
      <c r="G138" t="s">
        <v>5034</v>
      </c>
      <c r="H138">
        <v>13</v>
      </c>
      <c r="I138">
        <v>3.19</v>
      </c>
      <c r="J138">
        <v>4</v>
      </c>
      <c r="K138">
        <v>8567.34</v>
      </c>
      <c r="L138">
        <v>8.3000000000000007</v>
      </c>
    </row>
    <row r="139" spans="1:12" x14ac:dyDescent="0.3">
      <c r="A139" t="s">
        <v>154</v>
      </c>
      <c r="B139" t="s">
        <v>18</v>
      </c>
      <c r="C139" t="s">
        <v>14</v>
      </c>
      <c r="D139">
        <v>22</v>
      </c>
      <c r="E139" s="1">
        <v>43095</v>
      </c>
      <c r="F139">
        <v>2017</v>
      </c>
      <c r="G139" t="s">
        <v>5041</v>
      </c>
      <c r="H139">
        <v>26</v>
      </c>
      <c r="I139">
        <v>3.55</v>
      </c>
      <c r="J139">
        <v>2</v>
      </c>
      <c r="K139">
        <v>10240.870000000001</v>
      </c>
      <c r="L139">
        <v>7.9</v>
      </c>
    </row>
    <row r="140" spans="1:12" x14ac:dyDescent="0.3">
      <c r="A140" t="s">
        <v>155</v>
      </c>
      <c r="B140" t="s">
        <v>10</v>
      </c>
      <c r="C140" t="s">
        <v>14</v>
      </c>
      <c r="D140">
        <v>55</v>
      </c>
      <c r="E140" s="1">
        <v>42884</v>
      </c>
      <c r="F140">
        <v>2017</v>
      </c>
      <c r="G140" t="s">
        <v>5036</v>
      </c>
      <c r="H140">
        <v>29</v>
      </c>
      <c r="I140">
        <v>2.0299999999999998</v>
      </c>
      <c r="J140">
        <v>7</v>
      </c>
      <c r="K140">
        <v>6035.53</v>
      </c>
      <c r="L140">
        <v>8.4</v>
      </c>
    </row>
    <row r="141" spans="1:12" x14ac:dyDescent="0.3">
      <c r="A141" t="s">
        <v>156</v>
      </c>
      <c r="B141" t="s">
        <v>16</v>
      </c>
      <c r="C141" t="s">
        <v>14</v>
      </c>
      <c r="D141">
        <v>53</v>
      </c>
      <c r="E141" s="1">
        <v>44494</v>
      </c>
      <c r="F141">
        <v>2021</v>
      </c>
      <c r="G141" t="s">
        <v>5039</v>
      </c>
      <c r="H141">
        <v>25</v>
      </c>
      <c r="I141">
        <v>2.87</v>
      </c>
      <c r="J141">
        <v>1</v>
      </c>
      <c r="K141">
        <v>14052.96</v>
      </c>
      <c r="L141">
        <v>4</v>
      </c>
    </row>
    <row r="142" spans="1:12" x14ac:dyDescent="0.3">
      <c r="A142" t="s">
        <v>157</v>
      </c>
      <c r="B142" t="s">
        <v>34</v>
      </c>
      <c r="C142" t="s">
        <v>14</v>
      </c>
      <c r="D142">
        <v>47</v>
      </c>
      <c r="E142" s="1">
        <v>45054</v>
      </c>
      <c r="F142">
        <v>2023</v>
      </c>
      <c r="G142" t="s">
        <v>5036</v>
      </c>
      <c r="H142">
        <v>8</v>
      </c>
      <c r="I142">
        <v>3.73</v>
      </c>
      <c r="J142">
        <v>7</v>
      </c>
      <c r="K142">
        <v>5563.07</v>
      </c>
      <c r="L142">
        <v>2.5</v>
      </c>
    </row>
    <row r="143" spans="1:12" x14ac:dyDescent="0.3">
      <c r="A143" t="s">
        <v>158</v>
      </c>
      <c r="B143" t="s">
        <v>34</v>
      </c>
      <c r="C143" t="s">
        <v>14</v>
      </c>
      <c r="D143">
        <v>30</v>
      </c>
      <c r="E143" s="1">
        <v>40427</v>
      </c>
      <c r="F143">
        <v>2010</v>
      </c>
      <c r="G143" t="s">
        <v>5033</v>
      </c>
      <c r="H143">
        <v>6</v>
      </c>
      <c r="I143">
        <v>2.4300000000000002</v>
      </c>
      <c r="J143">
        <v>0</v>
      </c>
      <c r="K143">
        <v>12124.76</v>
      </c>
      <c r="L143">
        <v>15.2</v>
      </c>
    </row>
    <row r="144" spans="1:12" x14ac:dyDescent="0.3">
      <c r="A144" t="s">
        <v>159</v>
      </c>
      <c r="B144" t="s">
        <v>10</v>
      </c>
      <c r="C144" t="s">
        <v>14</v>
      </c>
      <c r="D144">
        <v>59</v>
      </c>
      <c r="E144" s="1">
        <v>40942</v>
      </c>
      <c r="F144">
        <v>2012</v>
      </c>
      <c r="G144" t="s">
        <v>5042</v>
      </c>
      <c r="H144">
        <v>3</v>
      </c>
      <c r="I144">
        <v>4.6900000000000004</v>
      </c>
      <c r="J144">
        <v>12</v>
      </c>
      <c r="K144">
        <v>7714.27</v>
      </c>
      <c r="L144">
        <v>13.8</v>
      </c>
    </row>
    <row r="145" spans="1:12" x14ac:dyDescent="0.3">
      <c r="A145" t="s">
        <v>160</v>
      </c>
      <c r="B145" t="s">
        <v>10</v>
      </c>
      <c r="C145" t="s">
        <v>14</v>
      </c>
      <c r="D145">
        <v>47</v>
      </c>
      <c r="E145" s="1">
        <v>44394</v>
      </c>
      <c r="F145">
        <v>2021</v>
      </c>
      <c r="G145" t="s">
        <v>5034</v>
      </c>
      <c r="H145">
        <v>17</v>
      </c>
      <c r="I145">
        <v>3.42</v>
      </c>
      <c r="J145">
        <v>3</v>
      </c>
      <c r="K145">
        <v>6800.55</v>
      </c>
      <c r="L145">
        <v>4.3</v>
      </c>
    </row>
    <row r="146" spans="1:12" x14ac:dyDescent="0.3">
      <c r="A146" t="s">
        <v>161</v>
      </c>
      <c r="B146" t="s">
        <v>18</v>
      </c>
      <c r="C146" t="s">
        <v>14</v>
      </c>
      <c r="D146">
        <v>46</v>
      </c>
      <c r="E146" s="1">
        <v>41513</v>
      </c>
      <c r="F146">
        <v>2013</v>
      </c>
      <c r="G146" t="s">
        <v>5031</v>
      </c>
      <c r="H146">
        <v>27</v>
      </c>
      <c r="I146">
        <v>2.5</v>
      </c>
      <c r="J146">
        <v>2</v>
      </c>
      <c r="K146">
        <v>4866.88</v>
      </c>
      <c r="L146">
        <v>12.2</v>
      </c>
    </row>
    <row r="147" spans="1:12" x14ac:dyDescent="0.3">
      <c r="A147" t="s">
        <v>162</v>
      </c>
      <c r="B147" t="s">
        <v>10</v>
      </c>
      <c r="C147" t="s">
        <v>14</v>
      </c>
      <c r="D147">
        <v>57</v>
      </c>
      <c r="E147" s="1">
        <v>41867</v>
      </c>
      <c r="F147">
        <v>2014</v>
      </c>
      <c r="G147" t="s">
        <v>5031</v>
      </c>
      <c r="H147">
        <v>16</v>
      </c>
      <c r="I147">
        <v>3.95</v>
      </c>
      <c r="J147">
        <v>0</v>
      </c>
      <c r="K147">
        <v>6690.49</v>
      </c>
      <c r="L147">
        <v>11.2</v>
      </c>
    </row>
    <row r="148" spans="1:12" x14ac:dyDescent="0.3">
      <c r="A148" t="s">
        <v>163</v>
      </c>
      <c r="B148" t="s">
        <v>10</v>
      </c>
      <c r="C148" t="s">
        <v>11</v>
      </c>
      <c r="D148">
        <v>44</v>
      </c>
      <c r="E148" s="1">
        <v>43457</v>
      </c>
      <c r="F148">
        <v>2018</v>
      </c>
      <c r="G148" t="s">
        <v>5041</v>
      </c>
      <c r="H148">
        <v>23</v>
      </c>
      <c r="I148">
        <v>1.83</v>
      </c>
      <c r="J148">
        <v>14</v>
      </c>
      <c r="K148">
        <v>13628.71</v>
      </c>
      <c r="L148">
        <v>6.9</v>
      </c>
    </row>
    <row r="149" spans="1:12" x14ac:dyDescent="0.3">
      <c r="A149" t="s">
        <v>164</v>
      </c>
      <c r="B149" t="s">
        <v>24</v>
      </c>
      <c r="C149" t="s">
        <v>11</v>
      </c>
      <c r="D149">
        <v>36</v>
      </c>
      <c r="E149" s="1">
        <v>44839</v>
      </c>
      <c r="F149">
        <v>2022</v>
      </c>
      <c r="G149" t="s">
        <v>5039</v>
      </c>
      <c r="H149">
        <v>5</v>
      </c>
      <c r="I149">
        <v>4.4400000000000004</v>
      </c>
      <c r="J149">
        <v>6</v>
      </c>
      <c r="K149">
        <v>7644.67</v>
      </c>
      <c r="L149">
        <v>3.1</v>
      </c>
    </row>
    <row r="150" spans="1:12" x14ac:dyDescent="0.3">
      <c r="A150" t="s">
        <v>165</v>
      </c>
      <c r="B150" t="s">
        <v>24</v>
      </c>
      <c r="C150" t="s">
        <v>11</v>
      </c>
      <c r="D150">
        <v>23</v>
      </c>
      <c r="E150" s="1">
        <v>40488</v>
      </c>
      <c r="F150">
        <v>2010</v>
      </c>
      <c r="G150" t="s">
        <v>5038</v>
      </c>
      <c r="H150">
        <v>6</v>
      </c>
      <c r="I150">
        <v>3.15</v>
      </c>
      <c r="J150">
        <v>3</v>
      </c>
      <c r="K150">
        <v>6136.39</v>
      </c>
      <c r="L150">
        <v>15</v>
      </c>
    </row>
    <row r="151" spans="1:12" x14ac:dyDescent="0.3">
      <c r="A151" t="s">
        <v>166</v>
      </c>
      <c r="B151" t="s">
        <v>34</v>
      </c>
      <c r="C151" t="s">
        <v>14</v>
      </c>
      <c r="D151">
        <v>34</v>
      </c>
      <c r="E151" s="1">
        <v>44809</v>
      </c>
      <c r="F151">
        <v>2022</v>
      </c>
      <c r="G151" t="s">
        <v>5033</v>
      </c>
      <c r="H151">
        <v>5</v>
      </c>
      <c r="I151">
        <v>1.53</v>
      </c>
      <c r="J151">
        <v>3</v>
      </c>
      <c r="K151">
        <v>5135.22</v>
      </c>
      <c r="L151">
        <v>3.2</v>
      </c>
    </row>
    <row r="152" spans="1:12" x14ac:dyDescent="0.3">
      <c r="A152" t="s">
        <v>167</v>
      </c>
      <c r="B152" t="s">
        <v>18</v>
      </c>
      <c r="C152" t="s">
        <v>11</v>
      </c>
      <c r="D152">
        <v>59</v>
      </c>
      <c r="E152" s="1">
        <v>41771</v>
      </c>
      <c r="F152">
        <v>2014</v>
      </c>
      <c r="G152" t="s">
        <v>5036</v>
      </c>
      <c r="H152">
        <v>12</v>
      </c>
      <c r="I152">
        <v>2.48</v>
      </c>
      <c r="J152">
        <v>5</v>
      </c>
      <c r="K152">
        <v>7734.39</v>
      </c>
      <c r="L152">
        <v>11.5</v>
      </c>
    </row>
    <row r="153" spans="1:12" x14ac:dyDescent="0.3">
      <c r="A153" t="s">
        <v>168</v>
      </c>
      <c r="B153" t="s">
        <v>16</v>
      </c>
      <c r="C153" t="s">
        <v>11</v>
      </c>
      <c r="D153">
        <v>30</v>
      </c>
      <c r="E153" s="1">
        <v>44420</v>
      </c>
      <c r="F153">
        <v>2021</v>
      </c>
      <c r="G153" t="s">
        <v>5031</v>
      </c>
      <c r="H153">
        <v>12</v>
      </c>
      <c r="I153">
        <v>3.15</v>
      </c>
      <c r="J153">
        <v>10</v>
      </c>
      <c r="K153">
        <v>7891.14</v>
      </c>
      <c r="L153">
        <v>4.2</v>
      </c>
    </row>
    <row r="154" spans="1:12" x14ac:dyDescent="0.3">
      <c r="A154" t="s">
        <v>169</v>
      </c>
      <c r="B154" t="s">
        <v>10</v>
      </c>
      <c r="C154" t="s">
        <v>11</v>
      </c>
      <c r="D154">
        <v>33</v>
      </c>
      <c r="E154" s="1">
        <v>40480</v>
      </c>
      <c r="F154">
        <v>2010</v>
      </c>
      <c r="G154" t="s">
        <v>5039</v>
      </c>
      <c r="H154">
        <v>29</v>
      </c>
      <c r="I154">
        <v>3.68</v>
      </c>
      <c r="J154">
        <v>5</v>
      </c>
      <c r="K154">
        <v>3302.28</v>
      </c>
      <c r="L154">
        <v>15</v>
      </c>
    </row>
    <row r="155" spans="1:12" x14ac:dyDescent="0.3">
      <c r="A155" t="s">
        <v>170</v>
      </c>
      <c r="B155" t="s">
        <v>18</v>
      </c>
      <c r="C155" t="s">
        <v>14</v>
      </c>
      <c r="D155">
        <v>35</v>
      </c>
      <c r="E155" s="1">
        <v>45836</v>
      </c>
      <c r="F155">
        <v>2025</v>
      </c>
      <c r="G155" t="s">
        <v>5032</v>
      </c>
      <c r="H155">
        <v>28</v>
      </c>
      <c r="I155">
        <v>3.05</v>
      </c>
      <c r="J155">
        <v>8</v>
      </c>
      <c r="K155">
        <v>10739.72</v>
      </c>
      <c r="L155">
        <v>0.3</v>
      </c>
    </row>
    <row r="156" spans="1:12" x14ac:dyDescent="0.3">
      <c r="A156" t="s">
        <v>171</v>
      </c>
      <c r="B156" t="s">
        <v>16</v>
      </c>
      <c r="C156" t="s">
        <v>14</v>
      </c>
      <c r="D156">
        <v>29</v>
      </c>
      <c r="E156" s="1">
        <v>43761</v>
      </c>
      <c r="F156">
        <v>2019</v>
      </c>
      <c r="G156" t="s">
        <v>5039</v>
      </c>
      <c r="H156">
        <v>23</v>
      </c>
      <c r="I156">
        <v>2.71</v>
      </c>
      <c r="J156">
        <v>2</v>
      </c>
      <c r="K156">
        <v>9909.39</v>
      </c>
      <c r="L156">
        <v>6</v>
      </c>
    </row>
    <row r="157" spans="1:12" x14ac:dyDescent="0.3">
      <c r="A157" t="s">
        <v>172</v>
      </c>
      <c r="B157" t="s">
        <v>13</v>
      </c>
      <c r="C157" t="s">
        <v>11</v>
      </c>
      <c r="D157">
        <v>36</v>
      </c>
      <c r="E157" s="1">
        <v>41505</v>
      </c>
      <c r="F157">
        <v>2013</v>
      </c>
      <c r="G157" t="s">
        <v>5031</v>
      </c>
      <c r="H157">
        <v>19</v>
      </c>
      <c r="I157">
        <v>4.6399999999999997</v>
      </c>
      <c r="J157">
        <v>4</v>
      </c>
      <c r="K157">
        <v>8543.31</v>
      </c>
      <c r="L157">
        <v>12.2</v>
      </c>
    </row>
    <row r="158" spans="1:12" x14ac:dyDescent="0.3">
      <c r="A158" t="s">
        <v>173</v>
      </c>
      <c r="B158" t="s">
        <v>34</v>
      </c>
      <c r="C158" t="s">
        <v>11</v>
      </c>
      <c r="D158">
        <v>57</v>
      </c>
      <c r="E158" s="1">
        <v>41684</v>
      </c>
      <c r="F158">
        <v>2014</v>
      </c>
      <c r="G158" t="s">
        <v>5042</v>
      </c>
      <c r="H158">
        <v>14</v>
      </c>
      <c r="I158">
        <v>2.93</v>
      </c>
      <c r="J158">
        <v>13</v>
      </c>
      <c r="K158">
        <v>14357.79</v>
      </c>
      <c r="L158">
        <v>11.7</v>
      </c>
    </row>
    <row r="159" spans="1:12" x14ac:dyDescent="0.3">
      <c r="A159" t="s">
        <v>174</v>
      </c>
      <c r="B159" t="s">
        <v>34</v>
      </c>
      <c r="C159" t="s">
        <v>14</v>
      </c>
      <c r="D159">
        <v>56</v>
      </c>
      <c r="E159" s="1">
        <v>43595</v>
      </c>
      <c r="F159">
        <v>2019</v>
      </c>
      <c r="G159" t="s">
        <v>5036</v>
      </c>
      <c r="H159">
        <v>10</v>
      </c>
      <c r="I159">
        <v>4.9800000000000004</v>
      </c>
      <c r="J159">
        <v>5</v>
      </c>
      <c r="K159">
        <v>12936.24</v>
      </c>
      <c r="L159">
        <v>6.5</v>
      </c>
    </row>
    <row r="160" spans="1:12" x14ac:dyDescent="0.3">
      <c r="A160" t="s">
        <v>175</v>
      </c>
      <c r="B160" t="s">
        <v>24</v>
      </c>
      <c r="C160" t="s">
        <v>11</v>
      </c>
      <c r="D160">
        <v>43</v>
      </c>
      <c r="E160" s="1">
        <v>42297</v>
      </c>
      <c r="F160">
        <v>2015</v>
      </c>
      <c r="G160" t="s">
        <v>5039</v>
      </c>
      <c r="H160">
        <v>20</v>
      </c>
      <c r="I160">
        <v>2.2000000000000002</v>
      </c>
      <c r="J160">
        <v>5</v>
      </c>
      <c r="K160">
        <v>7709.43</v>
      </c>
      <c r="L160">
        <v>10</v>
      </c>
    </row>
    <row r="161" spans="1:12" x14ac:dyDescent="0.3">
      <c r="A161" t="s">
        <v>176</v>
      </c>
      <c r="B161" t="s">
        <v>16</v>
      </c>
      <c r="C161" t="s">
        <v>11</v>
      </c>
      <c r="D161">
        <v>51</v>
      </c>
      <c r="E161" s="1">
        <v>43634</v>
      </c>
      <c r="F161">
        <v>2019</v>
      </c>
      <c r="G161" t="s">
        <v>5032</v>
      </c>
      <c r="H161">
        <v>18</v>
      </c>
      <c r="I161">
        <v>4.5199999999999996</v>
      </c>
      <c r="J161">
        <v>12</v>
      </c>
      <c r="K161">
        <v>3626.45</v>
      </c>
      <c r="L161">
        <v>6.4</v>
      </c>
    </row>
    <row r="162" spans="1:12" x14ac:dyDescent="0.3">
      <c r="A162" t="s">
        <v>177</v>
      </c>
      <c r="B162" t="s">
        <v>13</v>
      </c>
      <c r="C162" t="s">
        <v>14</v>
      </c>
      <c r="D162">
        <v>45</v>
      </c>
      <c r="E162" s="1">
        <v>43125</v>
      </c>
      <c r="F162">
        <v>2018</v>
      </c>
      <c r="G162" t="s">
        <v>5037</v>
      </c>
      <c r="H162">
        <v>25</v>
      </c>
      <c r="I162">
        <v>3.72</v>
      </c>
      <c r="J162">
        <v>0</v>
      </c>
      <c r="K162">
        <v>11282.73</v>
      </c>
      <c r="L162">
        <v>7.8</v>
      </c>
    </row>
    <row r="163" spans="1:12" x14ac:dyDescent="0.3">
      <c r="A163" t="s">
        <v>178</v>
      </c>
      <c r="B163" t="s">
        <v>13</v>
      </c>
      <c r="C163" t="s">
        <v>11</v>
      </c>
      <c r="D163">
        <v>53</v>
      </c>
      <c r="E163" s="1">
        <v>40276</v>
      </c>
      <c r="F163">
        <v>2010</v>
      </c>
      <c r="G163" t="s">
        <v>5040</v>
      </c>
      <c r="H163">
        <v>8</v>
      </c>
      <c r="I163">
        <v>2.48</v>
      </c>
      <c r="J163">
        <v>13</v>
      </c>
      <c r="K163">
        <v>5053.38</v>
      </c>
      <c r="L163">
        <v>15.6</v>
      </c>
    </row>
    <row r="164" spans="1:12" x14ac:dyDescent="0.3">
      <c r="A164" t="s">
        <v>179</v>
      </c>
      <c r="B164" t="s">
        <v>13</v>
      </c>
      <c r="C164" t="s">
        <v>14</v>
      </c>
      <c r="D164">
        <v>56</v>
      </c>
      <c r="E164" s="1">
        <v>43644</v>
      </c>
      <c r="F164">
        <v>2019</v>
      </c>
      <c r="G164" t="s">
        <v>5032</v>
      </c>
      <c r="H164">
        <v>28</v>
      </c>
      <c r="I164">
        <v>1.86</v>
      </c>
      <c r="J164">
        <v>8</v>
      </c>
      <c r="K164">
        <v>13481.65</v>
      </c>
      <c r="L164">
        <v>6.4</v>
      </c>
    </row>
    <row r="165" spans="1:12" x14ac:dyDescent="0.3">
      <c r="A165" t="s">
        <v>180</v>
      </c>
      <c r="B165" t="s">
        <v>13</v>
      </c>
      <c r="C165" t="s">
        <v>14</v>
      </c>
      <c r="D165">
        <v>48</v>
      </c>
      <c r="E165" s="1">
        <v>42319</v>
      </c>
      <c r="F165">
        <v>2015</v>
      </c>
      <c r="G165" t="s">
        <v>5038</v>
      </c>
      <c r="H165">
        <v>11</v>
      </c>
      <c r="I165">
        <v>3.13</v>
      </c>
      <c r="J165">
        <v>7</v>
      </c>
      <c r="K165">
        <v>10159.18</v>
      </c>
      <c r="L165">
        <v>10</v>
      </c>
    </row>
    <row r="166" spans="1:12" x14ac:dyDescent="0.3">
      <c r="A166" t="s">
        <v>181</v>
      </c>
      <c r="B166" t="s">
        <v>13</v>
      </c>
      <c r="C166" t="s">
        <v>14</v>
      </c>
      <c r="D166">
        <v>55</v>
      </c>
      <c r="E166" s="1">
        <v>42817</v>
      </c>
      <c r="F166">
        <v>2017</v>
      </c>
      <c r="G166" t="s">
        <v>5035</v>
      </c>
      <c r="H166">
        <v>23</v>
      </c>
      <c r="I166">
        <v>3.31</v>
      </c>
      <c r="J166">
        <v>13</v>
      </c>
      <c r="K166">
        <v>14139.99</v>
      </c>
      <c r="L166">
        <v>8.6</v>
      </c>
    </row>
    <row r="167" spans="1:12" x14ac:dyDescent="0.3">
      <c r="A167" t="s">
        <v>182</v>
      </c>
      <c r="B167" t="s">
        <v>34</v>
      </c>
      <c r="C167" t="s">
        <v>14</v>
      </c>
      <c r="D167">
        <v>45</v>
      </c>
      <c r="E167" s="1">
        <v>45226</v>
      </c>
      <c r="F167">
        <v>2023</v>
      </c>
      <c r="G167" t="s">
        <v>5039</v>
      </c>
      <c r="H167">
        <v>27</v>
      </c>
      <c r="I167">
        <v>2.62</v>
      </c>
      <c r="J167">
        <v>8</v>
      </c>
      <c r="K167">
        <v>3192.36</v>
      </c>
      <c r="L167">
        <v>2</v>
      </c>
    </row>
    <row r="168" spans="1:12" x14ac:dyDescent="0.3">
      <c r="A168" t="s">
        <v>183</v>
      </c>
      <c r="B168" t="s">
        <v>13</v>
      </c>
      <c r="C168" t="s">
        <v>14</v>
      </c>
      <c r="D168">
        <v>42</v>
      </c>
      <c r="E168" s="1">
        <v>43012</v>
      </c>
      <c r="F168">
        <v>2017</v>
      </c>
      <c r="G168" t="s">
        <v>5039</v>
      </c>
      <c r="H168">
        <v>4</v>
      </c>
      <c r="I168">
        <v>3.35</v>
      </c>
      <c r="J168">
        <v>12</v>
      </c>
      <c r="K168">
        <v>7832.15</v>
      </c>
      <c r="L168">
        <v>8.1</v>
      </c>
    </row>
    <row r="169" spans="1:12" x14ac:dyDescent="0.3">
      <c r="A169" t="s">
        <v>184</v>
      </c>
      <c r="B169" t="s">
        <v>34</v>
      </c>
      <c r="C169" t="s">
        <v>11</v>
      </c>
      <c r="D169">
        <v>45</v>
      </c>
      <c r="E169" s="1">
        <v>41117</v>
      </c>
      <c r="F169">
        <v>2012</v>
      </c>
      <c r="G169" t="s">
        <v>5034</v>
      </c>
      <c r="H169">
        <v>27</v>
      </c>
      <c r="I169">
        <v>3.41</v>
      </c>
      <c r="J169">
        <v>1</v>
      </c>
      <c r="K169">
        <v>7452.96</v>
      </c>
      <c r="L169">
        <v>13.3</v>
      </c>
    </row>
    <row r="170" spans="1:12" x14ac:dyDescent="0.3">
      <c r="A170" t="s">
        <v>185</v>
      </c>
      <c r="B170" t="s">
        <v>18</v>
      </c>
      <c r="C170" t="s">
        <v>11</v>
      </c>
      <c r="D170">
        <v>30</v>
      </c>
      <c r="E170" s="1">
        <v>40738</v>
      </c>
      <c r="F170">
        <v>2011</v>
      </c>
      <c r="G170" t="s">
        <v>5034</v>
      </c>
      <c r="H170">
        <v>14</v>
      </c>
      <c r="I170">
        <v>2.39</v>
      </c>
      <c r="J170">
        <v>15</v>
      </c>
      <c r="K170">
        <v>8007.93</v>
      </c>
      <c r="L170">
        <v>14.3</v>
      </c>
    </row>
    <row r="171" spans="1:12" x14ac:dyDescent="0.3">
      <c r="A171" t="s">
        <v>186</v>
      </c>
      <c r="B171" t="s">
        <v>10</v>
      </c>
      <c r="C171" t="s">
        <v>14</v>
      </c>
      <c r="D171">
        <v>34</v>
      </c>
      <c r="E171" s="1">
        <v>44240</v>
      </c>
      <c r="F171">
        <v>2021</v>
      </c>
      <c r="G171" t="s">
        <v>5042</v>
      </c>
      <c r="H171">
        <v>13</v>
      </c>
      <c r="I171">
        <v>4.26</v>
      </c>
      <c r="J171">
        <v>8</v>
      </c>
      <c r="K171">
        <v>9751.27</v>
      </c>
      <c r="L171">
        <v>4.7</v>
      </c>
    </row>
    <row r="172" spans="1:12" x14ac:dyDescent="0.3">
      <c r="A172" t="s">
        <v>187</v>
      </c>
      <c r="B172" t="s">
        <v>16</v>
      </c>
      <c r="C172" t="s">
        <v>14</v>
      </c>
      <c r="D172">
        <v>37</v>
      </c>
      <c r="E172" s="1">
        <v>42038</v>
      </c>
      <c r="F172">
        <v>2015</v>
      </c>
      <c r="G172" t="s">
        <v>5042</v>
      </c>
      <c r="H172">
        <v>3</v>
      </c>
      <c r="I172">
        <v>2.98</v>
      </c>
      <c r="J172">
        <v>11</v>
      </c>
      <c r="K172">
        <v>5102.53</v>
      </c>
      <c r="L172">
        <v>10.8</v>
      </c>
    </row>
    <row r="173" spans="1:12" x14ac:dyDescent="0.3">
      <c r="A173" t="s">
        <v>188</v>
      </c>
      <c r="B173" t="s">
        <v>13</v>
      </c>
      <c r="C173" t="s">
        <v>14</v>
      </c>
      <c r="D173">
        <v>24</v>
      </c>
      <c r="E173" s="1">
        <v>45032</v>
      </c>
      <c r="F173">
        <v>2023</v>
      </c>
      <c r="G173" t="s">
        <v>5040</v>
      </c>
      <c r="H173">
        <v>16</v>
      </c>
      <c r="I173">
        <v>4.84</v>
      </c>
      <c r="J173">
        <v>2</v>
      </c>
      <c r="K173">
        <v>6698.81</v>
      </c>
      <c r="L173">
        <v>2.5</v>
      </c>
    </row>
    <row r="174" spans="1:12" x14ac:dyDescent="0.3">
      <c r="A174" t="s">
        <v>189</v>
      </c>
      <c r="B174" t="s">
        <v>13</v>
      </c>
      <c r="C174" t="s">
        <v>14</v>
      </c>
      <c r="D174">
        <v>46</v>
      </c>
      <c r="E174" s="1">
        <v>41952</v>
      </c>
      <c r="F174">
        <v>2014</v>
      </c>
      <c r="G174" t="s">
        <v>5038</v>
      </c>
      <c r="H174">
        <v>9</v>
      </c>
      <c r="I174">
        <v>3.51</v>
      </c>
      <c r="J174">
        <v>1</v>
      </c>
      <c r="K174">
        <v>12708.04</v>
      </c>
      <c r="L174">
        <v>11</v>
      </c>
    </row>
    <row r="175" spans="1:12" x14ac:dyDescent="0.3">
      <c r="A175" t="s">
        <v>190</v>
      </c>
      <c r="B175" t="s">
        <v>34</v>
      </c>
      <c r="C175" t="s">
        <v>14</v>
      </c>
      <c r="D175">
        <v>47</v>
      </c>
      <c r="E175" s="1">
        <v>42812</v>
      </c>
      <c r="F175">
        <v>2017</v>
      </c>
      <c r="G175" t="s">
        <v>5035</v>
      </c>
      <c r="H175">
        <v>18</v>
      </c>
      <c r="I175">
        <v>4.1100000000000003</v>
      </c>
      <c r="J175">
        <v>1</v>
      </c>
      <c r="K175">
        <v>10710.97</v>
      </c>
      <c r="L175">
        <v>8.6</v>
      </c>
    </row>
    <row r="176" spans="1:12" x14ac:dyDescent="0.3">
      <c r="A176" t="s">
        <v>191</v>
      </c>
      <c r="B176" t="s">
        <v>18</v>
      </c>
      <c r="C176" t="s">
        <v>11</v>
      </c>
      <c r="D176">
        <v>59</v>
      </c>
      <c r="E176" s="1">
        <v>42273</v>
      </c>
      <c r="F176">
        <v>2015</v>
      </c>
      <c r="G176" t="s">
        <v>5033</v>
      </c>
      <c r="H176">
        <v>26</v>
      </c>
      <c r="I176">
        <v>3.09</v>
      </c>
      <c r="J176">
        <v>0</v>
      </c>
      <c r="K176">
        <v>11523.45</v>
      </c>
      <c r="L176">
        <v>10.1</v>
      </c>
    </row>
    <row r="177" spans="1:12" x14ac:dyDescent="0.3">
      <c r="A177" t="s">
        <v>192</v>
      </c>
      <c r="B177" t="s">
        <v>34</v>
      </c>
      <c r="C177" t="s">
        <v>11</v>
      </c>
      <c r="D177">
        <v>22</v>
      </c>
      <c r="E177" s="1">
        <v>43360</v>
      </c>
      <c r="F177">
        <v>2018</v>
      </c>
      <c r="G177" t="s">
        <v>5033</v>
      </c>
      <c r="H177">
        <v>17</v>
      </c>
      <c r="I177">
        <v>3.49</v>
      </c>
      <c r="J177">
        <v>11</v>
      </c>
      <c r="K177">
        <v>11477.64</v>
      </c>
      <c r="L177">
        <v>7.1</v>
      </c>
    </row>
    <row r="178" spans="1:12" x14ac:dyDescent="0.3">
      <c r="A178" t="s">
        <v>193</v>
      </c>
      <c r="B178" t="s">
        <v>34</v>
      </c>
      <c r="C178" t="s">
        <v>11</v>
      </c>
      <c r="D178">
        <v>24</v>
      </c>
      <c r="E178" s="1">
        <v>43559</v>
      </c>
      <c r="F178">
        <v>2019</v>
      </c>
      <c r="G178" t="s">
        <v>5040</v>
      </c>
      <c r="H178">
        <v>4</v>
      </c>
      <c r="I178">
        <v>2.5499999999999998</v>
      </c>
      <c r="J178">
        <v>11</v>
      </c>
      <c r="K178">
        <v>6521.38</v>
      </c>
      <c r="L178">
        <v>6.6</v>
      </c>
    </row>
    <row r="179" spans="1:12" x14ac:dyDescent="0.3">
      <c r="A179" t="s">
        <v>194</v>
      </c>
      <c r="B179" t="s">
        <v>16</v>
      </c>
      <c r="C179" t="s">
        <v>11</v>
      </c>
      <c r="D179">
        <v>28</v>
      </c>
      <c r="E179" s="1">
        <v>43505</v>
      </c>
      <c r="F179">
        <v>2019</v>
      </c>
      <c r="G179" t="s">
        <v>5042</v>
      </c>
      <c r="H179">
        <v>9</v>
      </c>
      <c r="I179">
        <v>2.52</v>
      </c>
      <c r="J179">
        <v>1</v>
      </c>
      <c r="K179">
        <v>9868.26</v>
      </c>
      <c r="L179">
        <v>6.7</v>
      </c>
    </row>
    <row r="180" spans="1:12" x14ac:dyDescent="0.3">
      <c r="A180" t="s">
        <v>195</v>
      </c>
      <c r="B180" t="s">
        <v>18</v>
      </c>
      <c r="C180" t="s">
        <v>14</v>
      </c>
      <c r="D180">
        <v>36</v>
      </c>
      <c r="E180" s="1">
        <v>42048</v>
      </c>
      <c r="F180">
        <v>2015</v>
      </c>
      <c r="G180" t="s">
        <v>5042</v>
      </c>
      <c r="H180">
        <v>13</v>
      </c>
      <c r="I180">
        <v>2.08</v>
      </c>
      <c r="J180">
        <v>7</v>
      </c>
      <c r="K180">
        <v>5625.77</v>
      </c>
      <c r="L180">
        <v>10.7</v>
      </c>
    </row>
    <row r="181" spans="1:12" x14ac:dyDescent="0.3">
      <c r="A181" t="s">
        <v>196</v>
      </c>
      <c r="B181" t="s">
        <v>24</v>
      </c>
      <c r="C181" t="s">
        <v>11</v>
      </c>
      <c r="D181">
        <v>31</v>
      </c>
      <c r="E181" s="1">
        <v>45150</v>
      </c>
      <c r="F181">
        <v>2023</v>
      </c>
      <c r="G181" t="s">
        <v>5031</v>
      </c>
      <c r="H181">
        <v>12</v>
      </c>
      <c r="I181">
        <v>1.63</v>
      </c>
      <c r="J181">
        <v>6</v>
      </c>
      <c r="K181">
        <v>9019.91</v>
      </c>
      <c r="L181">
        <v>2.2000000000000002</v>
      </c>
    </row>
    <row r="182" spans="1:12" x14ac:dyDescent="0.3">
      <c r="A182" t="s">
        <v>197</v>
      </c>
      <c r="B182" t="s">
        <v>10</v>
      </c>
      <c r="C182" t="s">
        <v>14</v>
      </c>
      <c r="D182">
        <v>24</v>
      </c>
      <c r="E182" s="1">
        <v>45703</v>
      </c>
      <c r="F182">
        <v>2025</v>
      </c>
      <c r="G182" t="s">
        <v>5042</v>
      </c>
      <c r="H182">
        <v>15</v>
      </c>
      <c r="I182">
        <v>3.96</v>
      </c>
      <c r="J182">
        <v>8</v>
      </c>
      <c r="K182">
        <v>13198.99</v>
      </c>
      <c r="L182">
        <v>0.7</v>
      </c>
    </row>
    <row r="183" spans="1:12" x14ac:dyDescent="0.3">
      <c r="A183" t="s">
        <v>198</v>
      </c>
      <c r="B183" t="s">
        <v>10</v>
      </c>
      <c r="C183" t="s">
        <v>14</v>
      </c>
      <c r="D183">
        <v>55</v>
      </c>
      <c r="E183" s="1">
        <v>43992</v>
      </c>
      <c r="F183">
        <v>2020</v>
      </c>
      <c r="G183" t="s">
        <v>5032</v>
      </c>
      <c r="H183">
        <v>10</v>
      </c>
      <c r="I183">
        <v>4.76</v>
      </c>
      <c r="J183">
        <v>8</v>
      </c>
      <c r="K183">
        <v>4318.88</v>
      </c>
      <c r="L183">
        <v>5.4</v>
      </c>
    </row>
    <row r="184" spans="1:12" x14ac:dyDescent="0.3">
      <c r="A184" t="s">
        <v>199</v>
      </c>
      <c r="B184" t="s">
        <v>13</v>
      </c>
      <c r="C184" t="s">
        <v>14</v>
      </c>
      <c r="D184">
        <v>32</v>
      </c>
      <c r="E184" s="1">
        <v>42376</v>
      </c>
      <c r="F184">
        <v>2016</v>
      </c>
      <c r="G184" t="s">
        <v>5037</v>
      </c>
      <c r="H184">
        <v>7</v>
      </c>
      <c r="I184">
        <v>4.05</v>
      </c>
      <c r="J184">
        <v>4</v>
      </c>
      <c r="K184">
        <v>11727.74</v>
      </c>
      <c r="L184">
        <v>9.8000000000000007</v>
      </c>
    </row>
    <row r="185" spans="1:12" x14ac:dyDescent="0.3">
      <c r="A185" t="s">
        <v>200</v>
      </c>
      <c r="B185" t="s">
        <v>18</v>
      </c>
      <c r="C185" t="s">
        <v>14</v>
      </c>
      <c r="D185">
        <v>45</v>
      </c>
      <c r="E185" s="1">
        <v>44614</v>
      </c>
      <c r="F185">
        <v>2022</v>
      </c>
      <c r="G185" t="s">
        <v>5042</v>
      </c>
      <c r="H185">
        <v>22</v>
      </c>
      <c r="I185">
        <v>2.34</v>
      </c>
      <c r="J185">
        <v>3</v>
      </c>
      <c r="K185">
        <v>13755.29</v>
      </c>
      <c r="L185">
        <v>3.7</v>
      </c>
    </row>
    <row r="186" spans="1:12" x14ac:dyDescent="0.3">
      <c r="A186" t="s">
        <v>201</v>
      </c>
      <c r="B186" t="s">
        <v>24</v>
      </c>
      <c r="C186" t="s">
        <v>14</v>
      </c>
      <c r="D186">
        <v>28</v>
      </c>
      <c r="E186" s="1">
        <v>42880</v>
      </c>
      <c r="F186">
        <v>2017</v>
      </c>
      <c r="G186" t="s">
        <v>5036</v>
      </c>
      <c r="H186">
        <v>25</v>
      </c>
      <c r="I186">
        <v>2.34</v>
      </c>
      <c r="J186">
        <v>14</v>
      </c>
      <c r="K186">
        <v>10271.42</v>
      </c>
      <c r="L186">
        <v>8.4</v>
      </c>
    </row>
    <row r="187" spans="1:12" x14ac:dyDescent="0.3">
      <c r="A187" t="s">
        <v>202</v>
      </c>
      <c r="B187" t="s">
        <v>24</v>
      </c>
      <c r="C187" t="s">
        <v>11</v>
      </c>
      <c r="D187">
        <v>37</v>
      </c>
      <c r="E187" s="1">
        <v>41376</v>
      </c>
      <c r="F187">
        <v>2013</v>
      </c>
      <c r="G187" t="s">
        <v>5040</v>
      </c>
      <c r="H187">
        <v>12</v>
      </c>
      <c r="I187">
        <v>2.74</v>
      </c>
      <c r="J187">
        <v>3</v>
      </c>
      <c r="K187">
        <v>12409</v>
      </c>
      <c r="L187">
        <v>12.6</v>
      </c>
    </row>
    <row r="188" spans="1:12" x14ac:dyDescent="0.3">
      <c r="A188" t="s">
        <v>203</v>
      </c>
      <c r="B188" t="s">
        <v>10</v>
      </c>
      <c r="C188" t="s">
        <v>11</v>
      </c>
      <c r="D188">
        <v>36</v>
      </c>
      <c r="E188" s="1">
        <v>40692</v>
      </c>
      <c r="F188">
        <v>2011</v>
      </c>
      <c r="G188" t="s">
        <v>5036</v>
      </c>
      <c r="H188">
        <v>29</v>
      </c>
      <c r="I188">
        <v>3.57</v>
      </c>
      <c r="J188">
        <v>8</v>
      </c>
      <c r="K188">
        <v>3814.12</v>
      </c>
      <c r="L188">
        <v>14.4</v>
      </c>
    </row>
    <row r="189" spans="1:12" x14ac:dyDescent="0.3">
      <c r="A189" t="s">
        <v>204</v>
      </c>
      <c r="B189" t="s">
        <v>10</v>
      </c>
      <c r="C189" t="s">
        <v>14</v>
      </c>
      <c r="D189">
        <v>54</v>
      </c>
      <c r="E189" s="1">
        <v>43378</v>
      </c>
      <c r="F189">
        <v>2018</v>
      </c>
      <c r="G189" t="s">
        <v>5039</v>
      </c>
      <c r="H189">
        <v>5</v>
      </c>
      <c r="I189">
        <v>2.56</v>
      </c>
      <c r="J189">
        <v>0</v>
      </c>
      <c r="K189">
        <v>8235.2800000000007</v>
      </c>
      <c r="L189">
        <v>7.1</v>
      </c>
    </row>
    <row r="190" spans="1:12" x14ac:dyDescent="0.3">
      <c r="A190" t="s">
        <v>205</v>
      </c>
      <c r="B190" t="s">
        <v>34</v>
      </c>
      <c r="C190" t="s">
        <v>14</v>
      </c>
      <c r="D190">
        <v>30</v>
      </c>
      <c r="E190" s="1">
        <v>44255</v>
      </c>
      <c r="F190">
        <v>2021</v>
      </c>
      <c r="G190" t="s">
        <v>5042</v>
      </c>
      <c r="H190">
        <v>28</v>
      </c>
      <c r="I190">
        <v>4.32</v>
      </c>
      <c r="J190">
        <v>4</v>
      </c>
      <c r="K190">
        <v>5270.92</v>
      </c>
      <c r="L190">
        <v>4.7</v>
      </c>
    </row>
    <row r="191" spans="1:12" x14ac:dyDescent="0.3">
      <c r="A191" t="s">
        <v>206</v>
      </c>
      <c r="B191" t="s">
        <v>13</v>
      </c>
      <c r="C191" t="s">
        <v>14</v>
      </c>
      <c r="D191">
        <v>41</v>
      </c>
      <c r="E191" s="1">
        <v>45216</v>
      </c>
      <c r="F191">
        <v>2023</v>
      </c>
      <c r="G191" t="s">
        <v>5039</v>
      </c>
      <c r="H191">
        <v>17</v>
      </c>
      <c r="I191">
        <v>1.53</v>
      </c>
      <c r="J191">
        <v>6</v>
      </c>
      <c r="K191">
        <v>9147.23</v>
      </c>
      <c r="L191">
        <v>2</v>
      </c>
    </row>
    <row r="192" spans="1:12" x14ac:dyDescent="0.3">
      <c r="A192" t="s">
        <v>207</v>
      </c>
      <c r="B192" t="s">
        <v>16</v>
      </c>
      <c r="C192" t="s">
        <v>14</v>
      </c>
      <c r="D192">
        <v>24</v>
      </c>
      <c r="E192" s="1">
        <v>44526</v>
      </c>
      <c r="F192">
        <v>2021</v>
      </c>
      <c r="G192" t="s">
        <v>5038</v>
      </c>
      <c r="H192">
        <v>26</v>
      </c>
      <c r="I192">
        <v>2.94</v>
      </c>
      <c r="J192">
        <v>3</v>
      </c>
      <c r="K192">
        <v>11483.31</v>
      </c>
      <c r="L192">
        <v>3.9</v>
      </c>
    </row>
    <row r="193" spans="1:12" x14ac:dyDescent="0.3">
      <c r="A193" t="s">
        <v>208</v>
      </c>
      <c r="B193" t="s">
        <v>13</v>
      </c>
      <c r="C193" t="s">
        <v>11</v>
      </c>
      <c r="D193">
        <v>53</v>
      </c>
      <c r="E193" s="1">
        <v>43818</v>
      </c>
      <c r="F193">
        <v>2019</v>
      </c>
      <c r="G193" t="s">
        <v>5041</v>
      </c>
      <c r="H193">
        <v>19</v>
      </c>
      <c r="I193">
        <v>4.97</v>
      </c>
      <c r="J193">
        <v>5</v>
      </c>
      <c r="K193">
        <v>14491.77</v>
      </c>
      <c r="L193">
        <v>5.9</v>
      </c>
    </row>
    <row r="194" spans="1:12" x14ac:dyDescent="0.3">
      <c r="A194" t="s">
        <v>209</v>
      </c>
      <c r="B194" t="s">
        <v>10</v>
      </c>
      <c r="C194" t="s">
        <v>11</v>
      </c>
      <c r="D194">
        <v>32</v>
      </c>
      <c r="E194" s="1">
        <v>42703</v>
      </c>
      <c r="F194">
        <v>2016</v>
      </c>
      <c r="G194" t="s">
        <v>5038</v>
      </c>
      <c r="H194">
        <v>29</v>
      </c>
      <c r="I194">
        <v>4.53</v>
      </c>
      <c r="J194">
        <v>3</v>
      </c>
      <c r="K194">
        <v>9306.2199999999993</v>
      </c>
      <c r="L194">
        <v>8.9</v>
      </c>
    </row>
    <row r="195" spans="1:12" x14ac:dyDescent="0.3">
      <c r="A195" t="s">
        <v>210</v>
      </c>
      <c r="B195" t="s">
        <v>24</v>
      </c>
      <c r="C195" t="s">
        <v>14</v>
      </c>
      <c r="D195">
        <v>43</v>
      </c>
      <c r="E195" s="1">
        <v>40569</v>
      </c>
      <c r="F195">
        <v>2011</v>
      </c>
      <c r="G195" t="s">
        <v>5037</v>
      </c>
      <c r="H195">
        <v>26</v>
      </c>
      <c r="I195">
        <v>4.3499999999999996</v>
      </c>
      <c r="J195">
        <v>11</v>
      </c>
      <c r="K195">
        <v>6728.24</v>
      </c>
      <c r="L195">
        <v>14.8</v>
      </c>
    </row>
    <row r="196" spans="1:12" x14ac:dyDescent="0.3">
      <c r="A196" t="s">
        <v>211</v>
      </c>
      <c r="B196" t="s">
        <v>13</v>
      </c>
      <c r="C196" t="s">
        <v>11</v>
      </c>
      <c r="D196">
        <v>49</v>
      </c>
      <c r="E196" s="1">
        <v>41177</v>
      </c>
      <c r="F196">
        <v>2012</v>
      </c>
      <c r="G196" t="s">
        <v>5033</v>
      </c>
      <c r="H196">
        <v>25</v>
      </c>
      <c r="I196">
        <v>3.92</v>
      </c>
      <c r="J196">
        <v>0</v>
      </c>
      <c r="K196">
        <v>12814.56</v>
      </c>
      <c r="L196">
        <v>13.1</v>
      </c>
    </row>
    <row r="197" spans="1:12" x14ac:dyDescent="0.3">
      <c r="A197" t="s">
        <v>212</v>
      </c>
      <c r="B197" t="s">
        <v>24</v>
      </c>
      <c r="C197" t="s">
        <v>14</v>
      </c>
      <c r="D197">
        <v>23</v>
      </c>
      <c r="E197" s="1">
        <v>40271</v>
      </c>
      <c r="F197">
        <v>2010</v>
      </c>
      <c r="G197" t="s">
        <v>5040</v>
      </c>
      <c r="H197">
        <v>3</v>
      </c>
      <c r="I197">
        <v>2.0699999999999998</v>
      </c>
      <c r="J197">
        <v>1</v>
      </c>
      <c r="K197">
        <v>10594.67</v>
      </c>
      <c r="L197">
        <v>15.6</v>
      </c>
    </row>
    <row r="198" spans="1:12" x14ac:dyDescent="0.3">
      <c r="A198" t="s">
        <v>213</v>
      </c>
      <c r="B198" t="s">
        <v>10</v>
      </c>
      <c r="C198" t="s">
        <v>14</v>
      </c>
      <c r="D198">
        <v>49</v>
      </c>
      <c r="E198" s="1">
        <v>42328</v>
      </c>
      <c r="F198">
        <v>2015</v>
      </c>
      <c r="G198" t="s">
        <v>5038</v>
      </c>
      <c r="H198">
        <v>20</v>
      </c>
      <c r="I198">
        <v>3.23</v>
      </c>
      <c r="J198">
        <v>6</v>
      </c>
      <c r="K198">
        <v>11017.13</v>
      </c>
      <c r="L198">
        <v>10</v>
      </c>
    </row>
    <row r="199" spans="1:12" x14ac:dyDescent="0.3">
      <c r="A199" t="s">
        <v>214</v>
      </c>
      <c r="B199" t="s">
        <v>10</v>
      </c>
      <c r="C199" t="s">
        <v>11</v>
      </c>
      <c r="D199">
        <v>25</v>
      </c>
      <c r="E199" s="1">
        <v>45088</v>
      </c>
      <c r="F199">
        <v>2023</v>
      </c>
      <c r="G199" t="s">
        <v>5032</v>
      </c>
      <c r="H199">
        <v>11</v>
      </c>
      <c r="I199">
        <v>3.11</v>
      </c>
      <c r="J199">
        <v>14</v>
      </c>
      <c r="K199">
        <v>10690.68</v>
      </c>
      <c r="L199">
        <v>2.4</v>
      </c>
    </row>
    <row r="200" spans="1:12" x14ac:dyDescent="0.3">
      <c r="A200" t="s">
        <v>215</v>
      </c>
      <c r="B200" t="s">
        <v>34</v>
      </c>
      <c r="C200" t="s">
        <v>11</v>
      </c>
      <c r="D200">
        <v>60</v>
      </c>
      <c r="E200" s="1">
        <v>45572</v>
      </c>
      <c r="F200">
        <v>2024</v>
      </c>
      <c r="G200" t="s">
        <v>5039</v>
      </c>
      <c r="H200">
        <v>7</v>
      </c>
      <c r="I200">
        <v>3.07</v>
      </c>
      <c r="J200">
        <v>1</v>
      </c>
      <c r="K200">
        <v>9710.43</v>
      </c>
      <c r="L200">
        <v>1.1000000000000001</v>
      </c>
    </row>
    <row r="201" spans="1:12" x14ac:dyDescent="0.3">
      <c r="A201" t="s">
        <v>216</v>
      </c>
      <c r="B201" t="s">
        <v>24</v>
      </c>
      <c r="C201" t="s">
        <v>14</v>
      </c>
      <c r="D201">
        <v>28</v>
      </c>
      <c r="E201" s="1">
        <v>41323</v>
      </c>
      <c r="F201">
        <v>2013</v>
      </c>
      <c r="G201" t="s">
        <v>5042</v>
      </c>
      <c r="H201">
        <v>18</v>
      </c>
      <c r="I201">
        <v>2.1800000000000002</v>
      </c>
      <c r="J201">
        <v>1</v>
      </c>
      <c r="K201">
        <v>3876.55</v>
      </c>
      <c r="L201">
        <v>12.7</v>
      </c>
    </row>
    <row r="202" spans="1:12" x14ac:dyDescent="0.3">
      <c r="A202" t="s">
        <v>217</v>
      </c>
      <c r="B202" t="s">
        <v>10</v>
      </c>
      <c r="C202" t="s">
        <v>11</v>
      </c>
      <c r="D202">
        <v>26</v>
      </c>
      <c r="E202" s="1">
        <v>44798</v>
      </c>
      <c r="F202">
        <v>2022</v>
      </c>
      <c r="G202" t="s">
        <v>5031</v>
      </c>
      <c r="H202">
        <v>25</v>
      </c>
      <c r="I202">
        <v>1.54</v>
      </c>
      <c r="J202">
        <v>9</v>
      </c>
      <c r="K202">
        <v>13551.38</v>
      </c>
      <c r="L202">
        <v>3.2</v>
      </c>
    </row>
    <row r="203" spans="1:12" x14ac:dyDescent="0.3">
      <c r="A203" t="s">
        <v>218</v>
      </c>
      <c r="B203" t="s">
        <v>10</v>
      </c>
      <c r="C203" t="s">
        <v>14</v>
      </c>
      <c r="D203">
        <v>49</v>
      </c>
      <c r="E203" s="1">
        <v>41918</v>
      </c>
      <c r="F203">
        <v>2014</v>
      </c>
      <c r="G203" t="s">
        <v>5039</v>
      </c>
      <c r="H203">
        <v>6</v>
      </c>
      <c r="I203">
        <v>4.01</v>
      </c>
      <c r="J203">
        <v>7</v>
      </c>
      <c r="K203">
        <v>6685.04</v>
      </c>
      <c r="L203">
        <v>11.1</v>
      </c>
    </row>
    <row r="204" spans="1:12" x14ac:dyDescent="0.3">
      <c r="A204" t="s">
        <v>219</v>
      </c>
      <c r="B204" t="s">
        <v>13</v>
      </c>
      <c r="C204" t="s">
        <v>11</v>
      </c>
      <c r="D204">
        <v>45</v>
      </c>
      <c r="E204" s="1">
        <v>43763</v>
      </c>
      <c r="F204">
        <v>2019</v>
      </c>
      <c r="G204" t="s">
        <v>5039</v>
      </c>
      <c r="H204">
        <v>25</v>
      </c>
      <c r="I204">
        <v>4.5999999999999996</v>
      </c>
      <c r="J204">
        <v>10</v>
      </c>
      <c r="K204">
        <v>11894.16</v>
      </c>
      <c r="L204">
        <v>6</v>
      </c>
    </row>
    <row r="205" spans="1:12" x14ac:dyDescent="0.3">
      <c r="A205" t="s">
        <v>220</v>
      </c>
      <c r="B205" t="s">
        <v>16</v>
      </c>
      <c r="C205" t="s">
        <v>14</v>
      </c>
      <c r="D205">
        <v>52</v>
      </c>
      <c r="E205" s="1">
        <v>45749</v>
      </c>
      <c r="F205">
        <v>2025</v>
      </c>
      <c r="G205" t="s">
        <v>5040</v>
      </c>
      <c r="H205">
        <v>2</v>
      </c>
      <c r="I205">
        <v>2.7</v>
      </c>
      <c r="J205">
        <v>2</v>
      </c>
      <c r="K205">
        <v>13125.76</v>
      </c>
      <c r="L205">
        <v>0.6</v>
      </c>
    </row>
    <row r="206" spans="1:12" x14ac:dyDescent="0.3">
      <c r="A206" t="s">
        <v>221</v>
      </c>
      <c r="B206" t="s">
        <v>10</v>
      </c>
      <c r="C206" t="s">
        <v>14</v>
      </c>
      <c r="D206">
        <v>55</v>
      </c>
      <c r="E206" s="1">
        <v>44007</v>
      </c>
      <c r="F206">
        <v>2020</v>
      </c>
      <c r="G206" t="s">
        <v>5032</v>
      </c>
      <c r="H206">
        <v>25</v>
      </c>
      <c r="I206">
        <v>2.23</v>
      </c>
      <c r="J206">
        <v>3</v>
      </c>
      <c r="K206">
        <v>14019.76</v>
      </c>
      <c r="L206">
        <v>5.4</v>
      </c>
    </row>
    <row r="207" spans="1:12" x14ac:dyDescent="0.3">
      <c r="A207" t="s">
        <v>222</v>
      </c>
      <c r="B207" t="s">
        <v>10</v>
      </c>
      <c r="C207" t="s">
        <v>11</v>
      </c>
      <c r="D207">
        <v>32</v>
      </c>
      <c r="E207" s="1">
        <v>40593</v>
      </c>
      <c r="F207">
        <v>2011</v>
      </c>
      <c r="G207" t="s">
        <v>5042</v>
      </c>
      <c r="H207">
        <v>19</v>
      </c>
      <c r="I207">
        <v>3.31</v>
      </c>
      <c r="J207">
        <v>3</v>
      </c>
      <c r="K207">
        <v>9533.6200000000008</v>
      </c>
      <c r="L207">
        <v>14.7</v>
      </c>
    </row>
    <row r="208" spans="1:12" x14ac:dyDescent="0.3">
      <c r="A208" t="s">
        <v>223</v>
      </c>
      <c r="B208" t="s">
        <v>18</v>
      </c>
      <c r="C208" t="s">
        <v>14</v>
      </c>
      <c r="D208">
        <v>33</v>
      </c>
      <c r="E208" s="1">
        <v>45547</v>
      </c>
      <c r="F208">
        <v>2024</v>
      </c>
      <c r="G208" t="s">
        <v>5033</v>
      </c>
      <c r="H208">
        <v>12</v>
      </c>
      <c r="I208">
        <v>4.3499999999999996</v>
      </c>
      <c r="J208">
        <v>14</v>
      </c>
      <c r="K208">
        <v>11740.23</v>
      </c>
      <c r="L208">
        <v>1.1000000000000001</v>
      </c>
    </row>
    <row r="209" spans="1:12" x14ac:dyDescent="0.3">
      <c r="A209" t="s">
        <v>224</v>
      </c>
      <c r="B209" t="s">
        <v>13</v>
      </c>
      <c r="C209" t="s">
        <v>11</v>
      </c>
      <c r="D209">
        <v>57</v>
      </c>
      <c r="E209" s="1">
        <v>40750</v>
      </c>
      <c r="F209">
        <v>2011</v>
      </c>
      <c r="G209" t="s">
        <v>5034</v>
      </c>
      <c r="H209">
        <v>26</v>
      </c>
      <c r="I209">
        <v>3.91</v>
      </c>
      <c r="J209">
        <v>13</v>
      </c>
      <c r="K209">
        <v>11461.1</v>
      </c>
      <c r="L209">
        <v>14.3</v>
      </c>
    </row>
    <row r="210" spans="1:12" x14ac:dyDescent="0.3">
      <c r="A210" t="s">
        <v>225</v>
      </c>
      <c r="B210" t="s">
        <v>18</v>
      </c>
      <c r="C210" t="s">
        <v>11</v>
      </c>
      <c r="D210">
        <v>41</v>
      </c>
      <c r="E210" s="1">
        <v>42732</v>
      </c>
      <c r="F210">
        <v>2016</v>
      </c>
      <c r="G210" t="s">
        <v>5041</v>
      </c>
      <c r="H210">
        <v>28</v>
      </c>
      <c r="I210">
        <v>2.04</v>
      </c>
      <c r="J210">
        <v>10</v>
      </c>
      <c r="K210">
        <v>7031.26</v>
      </c>
      <c r="L210">
        <v>8.8000000000000007</v>
      </c>
    </row>
    <row r="211" spans="1:12" x14ac:dyDescent="0.3">
      <c r="A211" t="s">
        <v>226</v>
      </c>
      <c r="B211" t="s">
        <v>13</v>
      </c>
      <c r="C211" t="s">
        <v>11</v>
      </c>
      <c r="D211">
        <v>23</v>
      </c>
      <c r="E211" s="1">
        <v>43412</v>
      </c>
      <c r="F211">
        <v>2018</v>
      </c>
      <c r="G211" t="s">
        <v>5038</v>
      </c>
      <c r="H211">
        <v>8</v>
      </c>
      <c r="I211">
        <v>4.3600000000000003</v>
      </c>
      <c r="J211">
        <v>7</v>
      </c>
      <c r="K211">
        <v>11746.82</v>
      </c>
      <c r="L211">
        <v>7</v>
      </c>
    </row>
    <row r="212" spans="1:12" x14ac:dyDescent="0.3">
      <c r="A212" t="s">
        <v>227</v>
      </c>
      <c r="B212" t="s">
        <v>16</v>
      </c>
      <c r="C212" t="s">
        <v>11</v>
      </c>
      <c r="D212">
        <v>40</v>
      </c>
      <c r="E212" s="1">
        <v>45550</v>
      </c>
      <c r="F212">
        <v>2024</v>
      </c>
      <c r="G212" t="s">
        <v>5033</v>
      </c>
      <c r="H212">
        <v>15</v>
      </c>
      <c r="I212">
        <v>4.71</v>
      </c>
      <c r="J212">
        <v>7</v>
      </c>
      <c r="K212">
        <v>14267.13</v>
      </c>
      <c r="L212">
        <v>1.1000000000000001</v>
      </c>
    </row>
    <row r="213" spans="1:12" x14ac:dyDescent="0.3">
      <c r="A213" t="s">
        <v>228</v>
      </c>
      <c r="B213" t="s">
        <v>10</v>
      </c>
      <c r="C213" t="s">
        <v>11</v>
      </c>
      <c r="D213">
        <v>30</v>
      </c>
      <c r="E213" s="1">
        <v>41713</v>
      </c>
      <c r="F213">
        <v>2014</v>
      </c>
      <c r="G213" t="s">
        <v>5035</v>
      </c>
      <c r="H213">
        <v>15</v>
      </c>
      <c r="I213">
        <v>4.2300000000000004</v>
      </c>
      <c r="J213">
        <v>0</v>
      </c>
      <c r="K213">
        <v>13562.37</v>
      </c>
      <c r="L213">
        <v>11.6</v>
      </c>
    </row>
    <row r="214" spans="1:12" x14ac:dyDescent="0.3">
      <c r="A214" t="s">
        <v>229</v>
      </c>
      <c r="B214" t="s">
        <v>24</v>
      </c>
      <c r="C214" t="s">
        <v>11</v>
      </c>
      <c r="D214">
        <v>60</v>
      </c>
      <c r="E214" s="1">
        <v>44738</v>
      </c>
      <c r="F214">
        <v>2022</v>
      </c>
      <c r="G214" t="s">
        <v>5032</v>
      </c>
      <c r="H214">
        <v>26</v>
      </c>
      <c r="I214">
        <v>3.75</v>
      </c>
      <c r="J214">
        <v>12</v>
      </c>
      <c r="K214">
        <v>8613.16</v>
      </c>
      <c r="L214">
        <v>3.4</v>
      </c>
    </row>
    <row r="215" spans="1:12" x14ac:dyDescent="0.3">
      <c r="A215" t="s">
        <v>230</v>
      </c>
      <c r="B215" t="s">
        <v>10</v>
      </c>
      <c r="C215" t="s">
        <v>14</v>
      </c>
      <c r="D215">
        <v>39</v>
      </c>
      <c r="E215" s="1">
        <v>41882</v>
      </c>
      <c r="F215">
        <v>2014</v>
      </c>
      <c r="G215" t="s">
        <v>5031</v>
      </c>
      <c r="H215">
        <v>31</v>
      </c>
      <c r="I215">
        <v>4.29</v>
      </c>
      <c r="J215">
        <v>13</v>
      </c>
      <c r="K215">
        <v>8306.2199999999993</v>
      </c>
      <c r="L215">
        <v>11.2</v>
      </c>
    </row>
    <row r="216" spans="1:12" x14ac:dyDescent="0.3">
      <c r="A216" t="s">
        <v>231</v>
      </c>
      <c r="B216" t="s">
        <v>10</v>
      </c>
      <c r="C216" t="s">
        <v>11</v>
      </c>
      <c r="D216">
        <v>46</v>
      </c>
      <c r="E216" s="1">
        <v>45716</v>
      </c>
      <c r="F216">
        <v>2025</v>
      </c>
      <c r="G216" t="s">
        <v>5042</v>
      </c>
      <c r="H216">
        <v>28</v>
      </c>
      <c r="I216">
        <v>3.38</v>
      </c>
      <c r="J216">
        <v>0</v>
      </c>
      <c r="K216">
        <v>3248.14</v>
      </c>
      <c r="L216">
        <v>0.7</v>
      </c>
    </row>
    <row r="217" spans="1:12" x14ac:dyDescent="0.3">
      <c r="A217" t="s">
        <v>232</v>
      </c>
      <c r="B217" t="s">
        <v>16</v>
      </c>
      <c r="C217" t="s">
        <v>11</v>
      </c>
      <c r="D217">
        <v>23</v>
      </c>
      <c r="E217" s="1">
        <v>41317</v>
      </c>
      <c r="F217">
        <v>2013</v>
      </c>
      <c r="G217" t="s">
        <v>5042</v>
      </c>
      <c r="H217">
        <v>12</v>
      </c>
      <c r="I217">
        <v>4.95</v>
      </c>
      <c r="J217">
        <v>1</v>
      </c>
      <c r="K217">
        <v>13034.89</v>
      </c>
      <c r="L217">
        <v>12.7</v>
      </c>
    </row>
    <row r="218" spans="1:12" x14ac:dyDescent="0.3">
      <c r="A218" t="s">
        <v>233</v>
      </c>
      <c r="B218" t="s">
        <v>13</v>
      </c>
      <c r="C218" t="s">
        <v>11</v>
      </c>
      <c r="D218">
        <v>56</v>
      </c>
      <c r="E218" s="1">
        <v>42472</v>
      </c>
      <c r="F218">
        <v>2016</v>
      </c>
      <c r="G218" t="s">
        <v>5040</v>
      </c>
      <c r="H218">
        <v>12</v>
      </c>
      <c r="I218">
        <v>4</v>
      </c>
      <c r="J218">
        <v>3</v>
      </c>
      <c r="K218">
        <v>7570.79</v>
      </c>
      <c r="L218">
        <v>9.6</v>
      </c>
    </row>
    <row r="219" spans="1:12" x14ac:dyDescent="0.3">
      <c r="A219" t="s">
        <v>234</v>
      </c>
      <c r="B219" t="s">
        <v>18</v>
      </c>
      <c r="C219" t="s">
        <v>14</v>
      </c>
      <c r="D219">
        <v>29</v>
      </c>
      <c r="E219" s="1">
        <v>42345</v>
      </c>
      <c r="F219">
        <v>2015</v>
      </c>
      <c r="G219" t="s">
        <v>5041</v>
      </c>
      <c r="H219">
        <v>7</v>
      </c>
      <c r="I219">
        <v>2.87</v>
      </c>
      <c r="J219">
        <v>6</v>
      </c>
      <c r="K219">
        <v>13812.05</v>
      </c>
      <c r="L219">
        <v>9.9</v>
      </c>
    </row>
    <row r="220" spans="1:12" x14ac:dyDescent="0.3">
      <c r="A220" t="s">
        <v>235</v>
      </c>
      <c r="B220" t="s">
        <v>24</v>
      </c>
      <c r="C220" t="s">
        <v>14</v>
      </c>
      <c r="D220">
        <v>30</v>
      </c>
      <c r="E220" s="1">
        <v>41211</v>
      </c>
      <c r="F220">
        <v>2012</v>
      </c>
      <c r="G220" t="s">
        <v>5039</v>
      </c>
      <c r="H220">
        <v>29</v>
      </c>
      <c r="I220">
        <v>2.78</v>
      </c>
      <c r="J220">
        <v>4</v>
      </c>
      <c r="K220">
        <v>5788.75</v>
      </c>
      <c r="L220">
        <v>13</v>
      </c>
    </row>
    <row r="221" spans="1:12" x14ac:dyDescent="0.3">
      <c r="A221" t="s">
        <v>236</v>
      </c>
      <c r="B221" t="s">
        <v>24</v>
      </c>
      <c r="C221" t="s">
        <v>11</v>
      </c>
      <c r="D221">
        <v>60</v>
      </c>
      <c r="E221" s="1">
        <v>45913</v>
      </c>
      <c r="F221">
        <v>2025</v>
      </c>
      <c r="G221" t="s">
        <v>5033</v>
      </c>
      <c r="H221">
        <v>13</v>
      </c>
      <c r="I221">
        <v>2.71</v>
      </c>
      <c r="J221">
        <v>4</v>
      </c>
      <c r="K221">
        <v>8633.7199999999993</v>
      </c>
      <c r="L221">
        <v>0.1</v>
      </c>
    </row>
    <row r="222" spans="1:12" x14ac:dyDescent="0.3">
      <c r="A222" t="s">
        <v>237</v>
      </c>
      <c r="B222" t="s">
        <v>24</v>
      </c>
      <c r="C222" t="s">
        <v>14</v>
      </c>
      <c r="D222">
        <v>27</v>
      </c>
      <c r="E222" s="1">
        <v>40986</v>
      </c>
      <c r="F222">
        <v>2012</v>
      </c>
      <c r="G222" t="s">
        <v>5035</v>
      </c>
      <c r="H222">
        <v>18</v>
      </c>
      <c r="I222">
        <v>4.4800000000000004</v>
      </c>
      <c r="J222">
        <v>15</v>
      </c>
      <c r="K222">
        <v>13917.05</v>
      </c>
      <c r="L222">
        <v>13.6</v>
      </c>
    </row>
    <row r="223" spans="1:12" x14ac:dyDescent="0.3">
      <c r="A223" t="s">
        <v>238</v>
      </c>
      <c r="B223" t="s">
        <v>18</v>
      </c>
      <c r="C223" t="s">
        <v>11</v>
      </c>
      <c r="D223">
        <v>26</v>
      </c>
      <c r="E223" s="1">
        <v>41191</v>
      </c>
      <c r="F223">
        <v>2012</v>
      </c>
      <c r="G223" t="s">
        <v>5039</v>
      </c>
      <c r="H223">
        <v>9</v>
      </c>
      <c r="I223">
        <v>3.32</v>
      </c>
      <c r="J223">
        <v>11</v>
      </c>
      <c r="K223">
        <v>13853.25</v>
      </c>
      <c r="L223">
        <v>13.1</v>
      </c>
    </row>
    <row r="224" spans="1:12" x14ac:dyDescent="0.3">
      <c r="A224" t="s">
        <v>239</v>
      </c>
      <c r="B224" t="s">
        <v>10</v>
      </c>
      <c r="C224" t="s">
        <v>11</v>
      </c>
      <c r="D224">
        <v>23</v>
      </c>
      <c r="E224" s="1">
        <v>40195</v>
      </c>
      <c r="F224">
        <v>2010</v>
      </c>
      <c r="G224" t="s">
        <v>5037</v>
      </c>
      <c r="H224">
        <v>17</v>
      </c>
      <c r="I224">
        <v>2.97</v>
      </c>
      <c r="J224">
        <v>13</v>
      </c>
      <c r="K224">
        <v>3888.69</v>
      </c>
      <c r="L224">
        <v>15.8</v>
      </c>
    </row>
    <row r="225" spans="1:12" x14ac:dyDescent="0.3">
      <c r="A225" t="s">
        <v>240</v>
      </c>
      <c r="B225" t="s">
        <v>18</v>
      </c>
      <c r="C225" t="s">
        <v>14</v>
      </c>
      <c r="D225">
        <v>24</v>
      </c>
      <c r="E225" s="1">
        <v>42189</v>
      </c>
      <c r="F225">
        <v>2015</v>
      </c>
      <c r="G225" t="s">
        <v>5034</v>
      </c>
      <c r="H225">
        <v>4</v>
      </c>
      <c r="I225">
        <v>3.08</v>
      </c>
      <c r="J225">
        <v>13</v>
      </c>
      <c r="K225">
        <v>8412.0400000000009</v>
      </c>
      <c r="L225">
        <v>10.3</v>
      </c>
    </row>
    <row r="226" spans="1:12" x14ac:dyDescent="0.3">
      <c r="A226" t="s">
        <v>241</v>
      </c>
      <c r="B226" t="s">
        <v>13</v>
      </c>
      <c r="C226" t="s">
        <v>14</v>
      </c>
      <c r="D226">
        <v>43</v>
      </c>
      <c r="E226" s="1">
        <v>45745</v>
      </c>
      <c r="F226">
        <v>2025</v>
      </c>
      <c r="G226" t="s">
        <v>5035</v>
      </c>
      <c r="H226">
        <v>29</v>
      </c>
      <c r="I226">
        <v>3.22</v>
      </c>
      <c r="J226">
        <v>0</v>
      </c>
      <c r="K226">
        <v>10761.78</v>
      </c>
      <c r="L226">
        <v>0.6</v>
      </c>
    </row>
    <row r="227" spans="1:12" x14ac:dyDescent="0.3">
      <c r="A227" t="s">
        <v>242</v>
      </c>
      <c r="B227" t="s">
        <v>13</v>
      </c>
      <c r="C227" t="s">
        <v>14</v>
      </c>
      <c r="D227">
        <v>26</v>
      </c>
      <c r="E227" s="1">
        <v>41448</v>
      </c>
      <c r="F227">
        <v>2013</v>
      </c>
      <c r="G227" t="s">
        <v>5032</v>
      </c>
      <c r="H227">
        <v>23</v>
      </c>
      <c r="I227">
        <v>2.58</v>
      </c>
      <c r="J227">
        <v>3</v>
      </c>
      <c r="K227">
        <v>4357.63</v>
      </c>
      <c r="L227">
        <v>12.4</v>
      </c>
    </row>
    <row r="228" spans="1:12" x14ac:dyDescent="0.3">
      <c r="A228" t="s">
        <v>243</v>
      </c>
      <c r="B228" t="s">
        <v>13</v>
      </c>
      <c r="C228" t="s">
        <v>14</v>
      </c>
      <c r="D228">
        <v>35</v>
      </c>
      <c r="E228" s="1">
        <v>44682</v>
      </c>
      <c r="F228">
        <v>2022</v>
      </c>
      <c r="G228" t="s">
        <v>5036</v>
      </c>
      <c r="H228">
        <v>1</v>
      </c>
      <c r="I228">
        <v>3.58</v>
      </c>
      <c r="J228">
        <v>5</v>
      </c>
      <c r="K228">
        <v>13432.36</v>
      </c>
      <c r="L228">
        <v>3.5</v>
      </c>
    </row>
    <row r="229" spans="1:12" x14ac:dyDescent="0.3">
      <c r="A229" t="s">
        <v>244</v>
      </c>
      <c r="B229" t="s">
        <v>18</v>
      </c>
      <c r="C229" t="s">
        <v>11</v>
      </c>
      <c r="D229">
        <v>57</v>
      </c>
      <c r="E229" s="1">
        <v>44598</v>
      </c>
      <c r="F229">
        <v>2022</v>
      </c>
      <c r="G229" t="s">
        <v>5042</v>
      </c>
      <c r="H229">
        <v>6</v>
      </c>
      <c r="I229">
        <v>4.1900000000000004</v>
      </c>
      <c r="J229">
        <v>2</v>
      </c>
      <c r="K229">
        <v>7965.27</v>
      </c>
      <c r="L229">
        <v>3.7</v>
      </c>
    </row>
    <row r="230" spans="1:12" x14ac:dyDescent="0.3">
      <c r="A230" t="s">
        <v>245</v>
      </c>
      <c r="B230" t="s">
        <v>24</v>
      </c>
      <c r="C230" t="s">
        <v>11</v>
      </c>
      <c r="D230">
        <v>25</v>
      </c>
      <c r="E230" s="1">
        <v>40559</v>
      </c>
      <c r="F230">
        <v>2011</v>
      </c>
      <c r="G230" t="s">
        <v>5037</v>
      </c>
      <c r="H230">
        <v>16</v>
      </c>
      <c r="I230">
        <v>4.08</v>
      </c>
      <c r="J230">
        <v>8</v>
      </c>
      <c r="K230">
        <v>12973.96</v>
      </c>
      <c r="L230">
        <v>14.8</v>
      </c>
    </row>
    <row r="231" spans="1:12" x14ac:dyDescent="0.3">
      <c r="A231" t="s">
        <v>246</v>
      </c>
      <c r="B231" t="s">
        <v>16</v>
      </c>
      <c r="C231" t="s">
        <v>11</v>
      </c>
      <c r="D231">
        <v>55</v>
      </c>
      <c r="E231" s="1">
        <v>41341</v>
      </c>
      <c r="F231">
        <v>2013</v>
      </c>
      <c r="G231" t="s">
        <v>5035</v>
      </c>
      <c r="H231">
        <v>8</v>
      </c>
      <c r="I231">
        <v>2.44</v>
      </c>
      <c r="J231">
        <v>8</v>
      </c>
      <c r="K231">
        <v>8938.8799999999992</v>
      </c>
      <c r="L231">
        <v>12.7</v>
      </c>
    </row>
    <row r="232" spans="1:12" x14ac:dyDescent="0.3">
      <c r="A232" t="s">
        <v>247</v>
      </c>
      <c r="B232" t="s">
        <v>13</v>
      </c>
      <c r="C232" t="s">
        <v>14</v>
      </c>
      <c r="D232">
        <v>28</v>
      </c>
      <c r="E232" s="1">
        <v>43594</v>
      </c>
      <c r="F232">
        <v>2019</v>
      </c>
      <c r="G232" t="s">
        <v>5036</v>
      </c>
      <c r="H232">
        <v>9</v>
      </c>
      <c r="I232">
        <v>3.59</v>
      </c>
      <c r="J232">
        <v>15</v>
      </c>
      <c r="K232">
        <v>11291.19</v>
      </c>
      <c r="L232">
        <v>6.5</v>
      </c>
    </row>
    <row r="233" spans="1:12" x14ac:dyDescent="0.3">
      <c r="A233" t="s">
        <v>248</v>
      </c>
      <c r="B233" t="s">
        <v>13</v>
      </c>
      <c r="C233" t="s">
        <v>14</v>
      </c>
      <c r="D233">
        <v>26</v>
      </c>
      <c r="E233" s="1">
        <v>43362</v>
      </c>
      <c r="F233">
        <v>2018</v>
      </c>
      <c r="G233" t="s">
        <v>5033</v>
      </c>
      <c r="H233">
        <v>19</v>
      </c>
      <c r="I233">
        <v>3.43</v>
      </c>
      <c r="J233">
        <v>6</v>
      </c>
      <c r="K233">
        <v>10577.82</v>
      </c>
      <c r="L233">
        <v>7.1</v>
      </c>
    </row>
    <row r="234" spans="1:12" x14ac:dyDescent="0.3">
      <c r="A234" t="s">
        <v>249</v>
      </c>
      <c r="B234" t="s">
        <v>34</v>
      </c>
      <c r="C234" t="s">
        <v>11</v>
      </c>
      <c r="D234">
        <v>43</v>
      </c>
      <c r="E234" s="1">
        <v>43518</v>
      </c>
      <c r="F234">
        <v>2019</v>
      </c>
      <c r="G234" t="s">
        <v>5042</v>
      </c>
      <c r="H234">
        <v>22</v>
      </c>
      <c r="I234">
        <v>3.77</v>
      </c>
      <c r="J234">
        <v>5</v>
      </c>
      <c r="K234">
        <v>3880.73</v>
      </c>
      <c r="L234">
        <v>6.7</v>
      </c>
    </row>
    <row r="235" spans="1:12" x14ac:dyDescent="0.3">
      <c r="A235" t="s">
        <v>250</v>
      </c>
      <c r="B235" t="s">
        <v>18</v>
      </c>
      <c r="C235" t="s">
        <v>14</v>
      </c>
      <c r="D235">
        <v>44</v>
      </c>
      <c r="E235" s="1">
        <v>40564</v>
      </c>
      <c r="F235">
        <v>2011</v>
      </c>
      <c r="G235" t="s">
        <v>5037</v>
      </c>
      <c r="H235">
        <v>21</v>
      </c>
      <c r="I235">
        <v>3.39</v>
      </c>
      <c r="J235">
        <v>10</v>
      </c>
      <c r="K235">
        <v>5618.26</v>
      </c>
      <c r="L235">
        <v>14.8</v>
      </c>
    </row>
    <row r="236" spans="1:12" x14ac:dyDescent="0.3">
      <c r="A236" t="s">
        <v>251</v>
      </c>
      <c r="B236" t="s">
        <v>24</v>
      </c>
      <c r="C236" t="s">
        <v>11</v>
      </c>
      <c r="D236">
        <v>36</v>
      </c>
      <c r="E236" s="1">
        <v>42908</v>
      </c>
      <c r="F236">
        <v>2017</v>
      </c>
      <c r="G236" t="s">
        <v>5032</v>
      </c>
      <c r="H236">
        <v>22</v>
      </c>
      <c r="I236">
        <v>3.49</v>
      </c>
      <c r="J236">
        <v>4</v>
      </c>
      <c r="K236">
        <v>14057.1</v>
      </c>
      <c r="L236">
        <v>8.4</v>
      </c>
    </row>
    <row r="237" spans="1:12" x14ac:dyDescent="0.3">
      <c r="A237" t="s">
        <v>252</v>
      </c>
      <c r="B237" t="s">
        <v>16</v>
      </c>
      <c r="C237" t="s">
        <v>14</v>
      </c>
      <c r="D237">
        <v>56</v>
      </c>
      <c r="E237" s="1">
        <v>41674</v>
      </c>
      <c r="F237">
        <v>2014</v>
      </c>
      <c r="G237" t="s">
        <v>5042</v>
      </c>
      <c r="H237">
        <v>4</v>
      </c>
      <c r="I237">
        <v>3.31</v>
      </c>
      <c r="J237">
        <v>1</v>
      </c>
      <c r="K237">
        <v>6434.15</v>
      </c>
      <c r="L237">
        <v>11.7</v>
      </c>
    </row>
    <row r="238" spans="1:12" x14ac:dyDescent="0.3">
      <c r="A238" t="s">
        <v>253</v>
      </c>
      <c r="B238" t="s">
        <v>16</v>
      </c>
      <c r="C238" t="s">
        <v>14</v>
      </c>
      <c r="D238">
        <v>48</v>
      </c>
      <c r="E238" s="1">
        <v>40524</v>
      </c>
      <c r="F238">
        <v>2010</v>
      </c>
      <c r="G238" t="s">
        <v>5041</v>
      </c>
      <c r="H238">
        <v>12</v>
      </c>
      <c r="I238">
        <v>2.41</v>
      </c>
      <c r="J238">
        <v>12</v>
      </c>
      <c r="K238">
        <v>10382.64</v>
      </c>
      <c r="L238">
        <v>14.9</v>
      </c>
    </row>
    <row r="239" spans="1:12" x14ac:dyDescent="0.3">
      <c r="A239" t="s">
        <v>254</v>
      </c>
      <c r="B239" t="s">
        <v>18</v>
      </c>
      <c r="C239" t="s">
        <v>11</v>
      </c>
      <c r="D239">
        <v>24</v>
      </c>
      <c r="E239" s="1">
        <v>40315</v>
      </c>
      <c r="F239">
        <v>2010</v>
      </c>
      <c r="G239" t="s">
        <v>5036</v>
      </c>
      <c r="H239">
        <v>17</v>
      </c>
      <c r="I239">
        <v>2.6</v>
      </c>
      <c r="J239">
        <v>15</v>
      </c>
      <c r="K239">
        <v>12358.76</v>
      </c>
      <c r="L239">
        <v>15.5</v>
      </c>
    </row>
    <row r="240" spans="1:12" x14ac:dyDescent="0.3">
      <c r="A240" t="s">
        <v>255</v>
      </c>
      <c r="B240" t="s">
        <v>24</v>
      </c>
      <c r="C240" t="s">
        <v>14</v>
      </c>
      <c r="D240">
        <v>25</v>
      </c>
      <c r="E240" s="1">
        <v>45658</v>
      </c>
      <c r="F240">
        <v>2025</v>
      </c>
      <c r="G240" t="s">
        <v>5037</v>
      </c>
      <c r="H240">
        <v>1</v>
      </c>
      <c r="I240">
        <v>1.76</v>
      </c>
      <c r="J240">
        <v>4</v>
      </c>
      <c r="K240">
        <v>12737</v>
      </c>
      <c r="L240">
        <v>0.8</v>
      </c>
    </row>
    <row r="241" spans="1:12" x14ac:dyDescent="0.3">
      <c r="A241" t="s">
        <v>256</v>
      </c>
      <c r="B241" t="s">
        <v>13</v>
      </c>
      <c r="C241" t="s">
        <v>11</v>
      </c>
      <c r="D241">
        <v>57</v>
      </c>
      <c r="E241" s="1">
        <v>44751</v>
      </c>
      <c r="F241">
        <v>2022</v>
      </c>
      <c r="G241" t="s">
        <v>5034</v>
      </c>
      <c r="H241">
        <v>9</v>
      </c>
      <c r="I241">
        <v>4.8600000000000003</v>
      </c>
      <c r="J241">
        <v>15</v>
      </c>
      <c r="K241">
        <v>8798.18</v>
      </c>
      <c r="L241">
        <v>3.3</v>
      </c>
    </row>
    <row r="242" spans="1:12" x14ac:dyDescent="0.3">
      <c r="A242" t="s">
        <v>257</v>
      </c>
      <c r="B242" t="s">
        <v>16</v>
      </c>
      <c r="C242" t="s">
        <v>14</v>
      </c>
      <c r="D242">
        <v>32</v>
      </c>
      <c r="E242" s="1">
        <v>44637</v>
      </c>
      <c r="F242">
        <v>2022</v>
      </c>
      <c r="G242" t="s">
        <v>5035</v>
      </c>
      <c r="H242">
        <v>17</v>
      </c>
      <c r="I242">
        <v>2.09</v>
      </c>
      <c r="J242">
        <v>6</v>
      </c>
      <c r="K242">
        <v>13617.35</v>
      </c>
      <c r="L242">
        <v>3.6</v>
      </c>
    </row>
    <row r="243" spans="1:12" x14ac:dyDescent="0.3">
      <c r="A243" t="s">
        <v>258</v>
      </c>
      <c r="B243" t="s">
        <v>16</v>
      </c>
      <c r="C243" t="s">
        <v>14</v>
      </c>
      <c r="D243">
        <v>51</v>
      </c>
      <c r="E243" s="1">
        <v>41367</v>
      </c>
      <c r="F243">
        <v>2013</v>
      </c>
      <c r="G243" t="s">
        <v>5040</v>
      </c>
      <c r="H243">
        <v>3</v>
      </c>
      <c r="I243">
        <v>1.6</v>
      </c>
      <c r="J243">
        <v>10</v>
      </c>
      <c r="K243">
        <v>7200.03</v>
      </c>
      <c r="L243">
        <v>12.6</v>
      </c>
    </row>
    <row r="244" spans="1:12" x14ac:dyDescent="0.3">
      <c r="A244" t="s">
        <v>259</v>
      </c>
      <c r="B244" t="s">
        <v>10</v>
      </c>
      <c r="C244" t="s">
        <v>14</v>
      </c>
      <c r="D244">
        <v>27</v>
      </c>
      <c r="E244" s="1">
        <v>44558</v>
      </c>
      <c r="F244">
        <v>2021</v>
      </c>
      <c r="G244" t="s">
        <v>5041</v>
      </c>
      <c r="H244">
        <v>28</v>
      </c>
      <c r="I244">
        <v>1.75</v>
      </c>
      <c r="J244">
        <v>0</v>
      </c>
      <c r="K244">
        <v>3417.34</v>
      </c>
      <c r="L244">
        <v>3.8</v>
      </c>
    </row>
    <row r="245" spans="1:12" x14ac:dyDescent="0.3">
      <c r="A245" t="s">
        <v>260</v>
      </c>
      <c r="B245" t="s">
        <v>16</v>
      </c>
      <c r="C245" t="s">
        <v>11</v>
      </c>
      <c r="D245">
        <v>55</v>
      </c>
      <c r="E245" s="1">
        <v>43526</v>
      </c>
      <c r="F245">
        <v>2019</v>
      </c>
      <c r="G245" t="s">
        <v>5035</v>
      </c>
      <c r="H245">
        <v>2</v>
      </c>
      <c r="I245">
        <v>4.08</v>
      </c>
      <c r="J245">
        <v>2</v>
      </c>
      <c r="K245">
        <v>6603.29</v>
      </c>
      <c r="L245">
        <v>6.7</v>
      </c>
    </row>
    <row r="246" spans="1:12" x14ac:dyDescent="0.3">
      <c r="A246" t="s">
        <v>261</v>
      </c>
      <c r="B246" t="s">
        <v>34</v>
      </c>
      <c r="C246" t="s">
        <v>14</v>
      </c>
      <c r="D246">
        <v>48</v>
      </c>
      <c r="E246" s="1">
        <v>42190</v>
      </c>
      <c r="F246">
        <v>2015</v>
      </c>
      <c r="G246" t="s">
        <v>5034</v>
      </c>
      <c r="H246">
        <v>5</v>
      </c>
      <c r="I246">
        <v>4.4800000000000004</v>
      </c>
      <c r="J246">
        <v>2</v>
      </c>
      <c r="K246">
        <v>12498.29</v>
      </c>
      <c r="L246">
        <v>10.3</v>
      </c>
    </row>
    <row r="247" spans="1:12" x14ac:dyDescent="0.3">
      <c r="A247" t="s">
        <v>262</v>
      </c>
      <c r="B247" t="s">
        <v>16</v>
      </c>
      <c r="C247" t="s">
        <v>14</v>
      </c>
      <c r="D247">
        <v>43</v>
      </c>
      <c r="E247" s="1">
        <v>45279</v>
      </c>
      <c r="F247">
        <v>2023</v>
      </c>
      <c r="G247" t="s">
        <v>5041</v>
      </c>
      <c r="H247">
        <v>19</v>
      </c>
      <c r="I247">
        <v>1.82</v>
      </c>
      <c r="J247">
        <v>8</v>
      </c>
      <c r="K247">
        <v>3002.18</v>
      </c>
      <c r="L247">
        <v>1.9</v>
      </c>
    </row>
    <row r="248" spans="1:12" x14ac:dyDescent="0.3">
      <c r="A248" t="s">
        <v>263</v>
      </c>
      <c r="B248" t="s">
        <v>13</v>
      </c>
      <c r="C248" t="s">
        <v>14</v>
      </c>
      <c r="D248">
        <v>28</v>
      </c>
      <c r="E248" s="1">
        <v>40184</v>
      </c>
      <c r="F248">
        <v>2010</v>
      </c>
      <c r="G248" t="s">
        <v>5037</v>
      </c>
      <c r="H248">
        <v>6</v>
      </c>
      <c r="I248">
        <v>2.39</v>
      </c>
      <c r="J248">
        <v>12</v>
      </c>
      <c r="K248">
        <v>14945.81</v>
      </c>
      <c r="L248">
        <v>15.8</v>
      </c>
    </row>
    <row r="249" spans="1:12" x14ac:dyDescent="0.3">
      <c r="A249" t="s">
        <v>264</v>
      </c>
      <c r="B249" t="s">
        <v>16</v>
      </c>
      <c r="C249" t="s">
        <v>11</v>
      </c>
      <c r="D249">
        <v>32</v>
      </c>
      <c r="E249" s="1">
        <v>43102</v>
      </c>
      <c r="F249">
        <v>2018</v>
      </c>
      <c r="G249" t="s">
        <v>5037</v>
      </c>
      <c r="H249">
        <v>2</v>
      </c>
      <c r="I249">
        <v>2.48</v>
      </c>
      <c r="J249">
        <v>14</v>
      </c>
      <c r="K249">
        <v>10248.65</v>
      </c>
      <c r="L249">
        <v>7.8</v>
      </c>
    </row>
    <row r="250" spans="1:12" x14ac:dyDescent="0.3">
      <c r="A250" t="s">
        <v>265</v>
      </c>
      <c r="B250" t="s">
        <v>16</v>
      </c>
      <c r="C250" t="s">
        <v>11</v>
      </c>
      <c r="D250">
        <v>51</v>
      </c>
      <c r="E250" s="1">
        <v>44633</v>
      </c>
      <c r="F250">
        <v>2022</v>
      </c>
      <c r="G250" t="s">
        <v>5035</v>
      </c>
      <c r="H250">
        <v>13</v>
      </c>
      <c r="I250">
        <v>1.88</v>
      </c>
      <c r="J250">
        <v>9</v>
      </c>
      <c r="K250">
        <v>13083.73</v>
      </c>
      <c r="L250">
        <v>3.6</v>
      </c>
    </row>
    <row r="251" spans="1:12" x14ac:dyDescent="0.3">
      <c r="A251" t="s">
        <v>266</v>
      </c>
      <c r="B251" t="s">
        <v>18</v>
      </c>
      <c r="C251" t="s">
        <v>11</v>
      </c>
      <c r="D251">
        <v>32</v>
      </c>
      <c r="E251" s="1">
        <v>41958</v>
      </c>
      <c r="F251">
        <v>2014</v>
      </c>
      <c r="G251" t="s">
        <v>5038</v>
      </c>
      <c r="H251">
        <v>15</v>
      </c>
      <c r="I251">
        <v>4.99</v>
      </c>
      <c r="J251">
        <v>7</v>
      </c>
      <c r="K251">
        <v>10607.7</v>
      </c>
      <c r="L251">
        <v>11</v>
      </c>
    </row>
    <row r="252" spans="1:12" x14ac:dyDescent="0.3">
      <c r="A252" t="s">
        <v>267</v>
      </c>
      <c r="B252" t="s">
        <v>13</v>
      </c>
      <c r="C252" t="s">
        <v>11</v>
      </c>
      <c r="D252">
        <v>47</v>
      </c>
      <c r="E252" s="1">
        <v>44545</v>
      </c>
      <c r="F252">
        <v>2021</v>
      </c>
      <c r="G252" t="s">
        <v>5041</v>
      </c>
      <c r="H252">
        <v>15</v>
      </c>
      <c r="I252">
        <v>4.47</v>
      </c>
      <c r="J252">
        <v>7</v>
      </c>
      <c r="K252">
        <v>8315.8799999999992</v>
      </c>
      <c r="L252">
        <v>3.9</v>
      </c>
    </row>
    <row r="253" spans="1:12" x14ac:dyDescent="0.3">
      <c r="A253" t="s">
        <v>268</v>
      </c>
      <c r="B253" t="s">
        <v>13</v>
      </c>
      <c r="C253" t="s">
        <v>11</v>
      </c>
      <c r="D253">
        <v>38</v>
      </c>
      <c r="E253" s="1">
        <v>44132</v>
      </c>
      <c r="F253">
        <v>2020</v>
      </c>
      <c r="G253" t="s">
        <v>5039</v>
      </c>
      <c r="H253">
        <v>28</v>
      </c>
      <c r="I253">
        <v>4.16</v>
      </c>
      <c r="J253">
        <v>9</v>
      </c>
      <c r="K253">
        <v>6159.41</v>
      </c>
      <c r="L253">
        <v>5</v>
      </c>
    </row>
    <row r="254" spans="1:12" x14ac:dyDescent="0.3">
      <c r="A254" t="s">
        <v>269</v>
      </c>
      <c r="B254" t="s">
        <v>13</v>
      </c>
      <c r="C254" t="s">
        <v>14</v>
      </c>
      <c r="D254">
        <v>57</v>
      </c>
      <c r="E254" s="1">
        <v>44666</v>
      </c>
      <c r="F254">
        <v>2022</v>
      </c>
      <c r="G254" t="s">
        <v>5040</v>
      </c>
      <c r="H254">
        <v>15</v>
      </c>
      <c r="I254">
        <v>4.1500000000000004</v>
      </c>
      <c r="J254">
        <v>6</v>
      </c>
      <c r="K254">
        <v>12837.85</v>
      </c>
      <c r="L254">
        <v>3.6</v>
      </c>
    </row>
    <row r="255" spans="1:12" x14ac:dyDescent="0.3">
      <c r="A255" t="s">
        <v>270</v>
      </c>
      <c r="B255" t="s">
        <v>13</v>
      </c>
      <c r="C255" t="s">
        <v>11</v>
      </c>
      <c r="D255">
        <v>49</v>
      </c>
      <c r="E255" s="1">
        <v>43064</v>
      </c>
      <c r="F255">
        <v>2017</v>
      </c>
      <c r="G255" t="s">
        <v>5038</v>
      </c>
      <c r="H255">
        <v>25</v>
      </c>
      <c r="I255">
        <v>4.29</v>
      </c>
      <c r="J255">
        <v>13</v>
      </c>
      <c r="K255">
        <v>9288.0300000000007</v>
      </c>
      <c r="L255">
        <v>7.9</v>
      </c>
    </row>
    <row r="256" spans="1:12" x14ac:dyDescent="0.3">
      <c r="A256" t="s">
        <v>271</v>
      </c>
      <c r="B256" t="s">
        <v>18</v>
      </c>
      <c r="C256" t="s">
        <v>11</v>
      </c>
      <c r="D256">
        <v>32</v>
      </c>
      <c r="E256" s="1">
        <v>40326</v>
      </c>
      <c r="F256">
        <v>2010</v>
      </c>
      <c r="G256" t="s">
        <v>5036</v>
      </c>
      <c r="H256">
        <v>28</v>
      </c>
      <c r="I256">
        <v>4.25</v>
      </c>
      <c r="J256">
        <v>5</v>
      </c>
      <c r="K256">
        <v>11683.36</v>
      </c>
      <c r="L256">
        <v>15.4</v>
      </c>
    </row>
    <row r="257" spans="1:12" x14ac:dyDescent="0.3">
      <c r="A257" t="s">
        <v>272</v>
      </c>
      <c r="B257" t="s">
        <v>13</v>
      </c>
      <c r="C257" t="s">
        <v>11</v>
      </c>
      <c r="D257">
        <v>48</v>
      </c>
      <c r="E257" s="1">
        <v>41016</v>
      </c>
      <c r="F257">
        <v>2012</v>
      </c>
      <c r="G257" t="s">
        <v>5040</v>
      </c>
      <c r="H257">
        <v>17</v>
      </c>
      <c r="I257">
        <v>4.26</v>
      </c>
      <c r="J257">
        <v>9</v>
      </c>
      <c r="K257">
        <v>7770.96</v>
      </c>
      <c r="L257">
        <v>13.6</v>
      </c>
    </row>
    <row r="258" spans="1:12" x14ac:dyDescent="0.3">
      <c r="A258" t="s">
        <v>273</v>
      </c>
      <c r="B258" t="s">
        <v>16</v>
      </c>
      <c r="C258" t="s">
        <v>11</v>
      </c>
      <c r="D258">
        <v>38</v>
      </c>
      <c r="E258" s="1">
        <v>40926</v>
      </c>
      <c r="F258">
        <v>2012</v>
      </c>
      <c r="G258" t="s">
        <v>5037</v>
      </c>
      <c r="H258">
        <v>18</v>
      </c>
      <c r="I258">
        <v>2.19</v>
      </c>
      <c r="J258">
        <v>5</v>
      </c>
      <c r="K258">
        <v>13388.12</v>
      </c>
      <c r="L258">
        <v>13.8</v>
      </c>
    </row>
    <row r="259" spans="1:12" x14ac:dyDescent="0.3">
      <c r="A259" t="s">
        <v>274</v>
      </c>
      <c r="B259" t="s">
        <v>10</v>
      </c>
      <c r="C259" t="s">
        <v>11</v>
      </c>
      <c r="D259">
        <v>47</v>
      </c>
      <c r="E259" s="1">
        <v>40599</v>
      </c>
      <c r="F259">
        <v>2011</v>
      </c>
      <c r="G259" t="s">
        <v>5042</v>
      </c>
      <c r="H259">
        <v>25</v>
      </c>
      <c r="I259">
        <v>2.41</v>
      </c>
      <c r="J259">
        <v>7</v>
      </c>
      <c r="K259">
        <v>3196.52</v>
      </c>
      <c r="L259">
        <v>14.7</v>
      </c>
    </row>
    <row r="260" spans="1:12" x14ac:dyDescent="0.3">
      <c r="A260" t="s">
        <v>275</v>
      </c>
      <c r="B260" t="s">
        <v>34</v>
      </c>
      <c r="C260" t="s">
        <v>14</v>
      </c>
      <c r="D260">
        <v>57</v>
      </c>
      <c r="E260" s="1">
        <v>45236</v>
      </c>
      <c r="F260">
        <v>2023</v>
      </c>
      <c r="G260" t="s">
        <v>5038</v>
      </c>
      <c r="H260">
        <v>6</v>
      </c>
      <c r="I260">
        <v>2.63</v>
      </c>
      <c r="J260">
        <v>9</v>
      </c>
      <c r="K260">
        <v>12181.09</v>
      </c>
      <c r="L260">
        <v>2</v>
      </c>
    </row>
    <row r="261" spans="1:12" x14ac:dyDescent="0.3">
      <c r="A261" t="s">
        <v>276</v>
      </c>
      <c r="B261" t="s">
        <v>18</v>
      </c>
      <c r="C261" t="s">
        <v>14</v>
      </c>
      <c r="D261">
        <v>28</v>
      </c>
      <c r="E261" s="1">
        <v>41697</v>
      </c>
      <c r="F261">
        <v>2014</v>
      </c>
      <c r="G261" t="s">
        <v>5042</v>
      </c>
      <c r="H261">
        <v>27</v>
      </c>
      <c r="I261">
        <v>4.66</v>
      </c>
      <c r="J261">
        <v>15</v>
      </c>
      <c r="K261">
        <v>8398.32</v>
      </c>
      <c r="L261">
        <v>11.7</v>
      </c>
    </row>
    <row r="262" spans="1:12" x14ac:dyDescent="0.3">
      <c r="A262" t="s">
        <v>277</v>
      </c>
      <c r="B262" t="s">
        <v>10</v>
      </c>
      <c r="C262" t="s">
        <v>14</v>
      </c>
      <c r="D262">
        <v>23</v>
      </c>
      <c r="E262" s="1">
        <v>40594</v>
      </c>
      <c r="F262">
        <v>2011</v>
      </c>
      <c r="G262" t="s">
        <v>5042</v>
      </c>
      <c r="H262">
        <v>20</v>
      </c>
      <c r="I262">
        <v>2.41</v>
      </c>
      <c r="J262">
        <v>12</v>
      </c>
      <c r="K262">
        <v>14957.65</v>
      </c>
      <c r="L262">
        <v>14.7</v>
      </c>
    </row>
    <row r="263" spans="1:12" x14ac:dyDescent="0.3">
      <c r="A263" t="s">
        <v>278</v>
      </c>
      <c r="B263" t="s">
        <v>16</v>
      </c>
      <c r="C263" t="s">
        <v>14</v>
      </c>
      <c r="D263">
        <v>36</v>
      </c>
      <c r="E263" s="1">
        <v>43778</v>
      </c>
      <c r="F263">
        <v>2019</v>
      </c>
      <c r="G263" t="s">
        <v>5038</v>
      </c>
      <c r="H263">
        <v>9</v>
      </c>
      <c r="I263">
        <v>3.28</v>
      </c>
      <c r="J263">
        <v>10</v>
      </c>
      <c r="K263">
        <v>10097.75</v>
      </c>
      <c r="L263">
        <v>6</v>
      </c>
    </row>
    <row r="264" spans="1:12" x14ac:dyDescent="0.3">
      <c r="A264" t="s">
        <v>279</v>
      </c>
      <c r="B264" t="s">
        <v>16</v>
      </c>
      <c r="C264" t="s">
        <v>11</v>
      </c>
      <c r="D264">
        <v>33</v>
      </c>
      <c r="E264" s="1">
        <v>41189</v>
      </c>
      <c r="F264">
        <v>2012</v>
      </c>
      <c r="G264" t="s">
        <v>5039</v>
      </c>
      <c r="H264">
        <v>7</v>
      </c>
      <c r="I264">
        <v>4.1900000000000004</v>
      </c>
      <c r="J264">
        <v>3</v>
      </c>
      <c r="K264">
        <v>5805.7</v>
      </c>
      <c r="L264">
        <v>13.1</v>
      </c>
    </row>
    <row r="265" spans="1:12" x14ac:dyDescent="0.3">
      <c r="A265" t="s">
        <v>280</v>
      </c>
      <c r="B265" t="s">
        <v>10</v>
      </c>
      <c r="C265" t="s">
        <v>14</v>
      </c>
      <c r="D265">
        <v>36</v>
      </c>
      <c r="E265" s="1">
        <v>41884</v>
      </c>
      <c r="F265">
        <v>2014</v>
      </c>
      <c r="G265" t="s">
        <v>5033</v>
      </c>
      <c r="H265">
        <v>2</v>
      </c>
      <c r="I265">
        <v>4.66</v>
      </c>
      <c r="J265">
        <v>2</v>
      </c>
      <c r="K265">
        <v>8434.31</v>
      </c>
      <c r="L265">
        <v>11.2</v>
      </c>
    </row>
    <row r="266" spans="1:12" x14ac:dyDescent="0.3">
      <c r="A266" t="s">
        <v>281</v>
      </c>
      <c r="B266" t="s">
        <v>18</v>
      </c>
      <c r="C266" t="s">
        <v>14</v>
      </c>
      <c r="D266">
        <v>39</v>
      </c>
      <c r="E266" s="1">
        <v>45278</v>
      </c>
      <c r="F266">
        <v>2023</v>
      </c>
      <c r="G266" t="s">
        <v>5041</v>
      </c>
      <c r="H266">
        <v>18</v>
      </c>
      <c r="I266">
        <v>2.2400000000000002</v>
      </c>
      <c r="J266">
        <v>0</v>
      </c>
      <c r="K266">
        <v>11891.85</v>
      </c>
      <c r="L266">
        <v>1.9</v>
      </c>
    </row>
    <row r="267" spans="1:12" x14ac:dyDescent="0.3">
      <c r="A267" t="s">
        <v>282</v>
      </c>
      <c r="B267" t="s">
        <v>24</v>
      </c>
      <c r="C267" t="s">
        <v>14</v>
      </c>
      <c r="D267">
        <v>28</v>
      </c>
      <c r="E267" s="1">
        <v>42168</v>
      </c>
      <c r="F267">
        <v>2015</v>
      </c>
      <c r="G267" t="s">
        <v>5032</v>
      </c>
      <c r="H267">
        <v>13</v>
      </c>
      <c r="I267">
        <v>3.17</v>
      </c>
      <c r="J267">
        <v>15</v>
      </c>
      <c r="K267">
        <v>10739.38</v>
      </c>
      <c r="L267">
        <v>10.4</v>
      </c>
    </row>
    <row r="268" spans="1:12" x14ac:dyDescent="0.3">
      <c r="A268" t="s">
        <v>283</v>
      </c>
      <c r="B268" t="s">
        <v>18</v>
      </c>
      <c r="C268" t="s">
        <v>14</v>
      </c>
      <c r="D268">
        <v>38</v>
      </c>
      <c r="E268" s="1">
        <v>43610</v>
      </c>
      <c r="F268">
        <v>2019</v>
      </c>
      <c r="G268" t="s">
        <v>5036</v>
      </c>
      <c r="H268">
        <v>25</v>
      </c>
      <c r="I268">
        <v>4.8099999999999996</v>
      </c>
      <c r="J268">
        <v>6</v>
      </c>
      <c r="K268">
        <v>9934.31</v>
      </c>
      <c r="L268">
        <v>6.4</v>
      </c>
    </row>
    <row r="269" spans="1:12" x14ac:dyDescent="0.3">
      <c r="A269" t="s">
        <v>284</v>
      </c>
      <c r="B269" t="s">
        <v>13</v>
      </c>
      <c r="C269" t="s">
        <v>11</v>
      </c>
      <c r="D269">
        <v>54</v>
      </c>
      <c r="E269" s="1">
        <v>43456</v>
      </c>
      <c r="F269">
        <v>2018</v>
      </c>
      <c r="G269" t="s">
        <v>5041</v>
      </c>
      <c r="H269">
        <v>22</v>
      </c>
      <c r="I269">
        <v>2.82</v>
      </c>
      <c r="J269">
        <v>3</v>
      </c>
      <c r="K269">
        <v>7825.34</v>
      </c>
      <c r="L269">
        <v>6.9</v>
      </c>
    </row>
    <row r="270" spans="1:12" x14ac:dyDescent="0.3">
      <c r="A270" t="s">
        <v>285</v>
      </c>
      <c r="B270" t="s">
        <v>24</v>
      </c>
      <c r="C270" t="s">
        <v>14</v>
      </c>
      <c r="D270">
        <v>52</v>
      </c>
      <c r="E270" s="1">
        <v>42303</v>
      </c>
      <c r="F270">
        <v>2015</v>
      </c>
      <c r="G270" t="s">
        <v>5039</v>
      </c>
      <c r="H270">
        <v>26</v>
      </c>
      <c r="I270">
        <v>3.6</v>
      </c>
      <c r="J270">
        <v>1</v>
      </c>
      <c r="K270">
        <v>12292.15</v>
      </c>
      <c r="L270">
        <v>10</v>
      </c>
    </row>
    <row r="271" spans="1:12" x14ac:dyDescent="0.3">
      <c r="A271" t="s">
        <v>286</v>
      </c>
      <c r="B271" t="s">
        <v>13</v>
      </c>
      <c r="C271" t="s">
        <v>11</v>
      </c>
      <c r="D271">
        <v>50</v>
      </c>
      <c r="E271" s="1">
        <v>43568</v>
      </c>
      <c r="F271">
        <v>2019</v>
      </c>
      <c r="G271" t="s">
        <v>5040</v>
      </c>
      <c r="H271">
        <v>13</v>
      </c>
      <c r="I271">
        <v>1.8</v>
      </c>
      <c r="J271">
        <v>8</v>
      </c>
      <c r="K271">
        <v>7871.32</v>
      </c>
      <c r="L271">
        <v>6.6</v>
      </c>
    </row>
    <row r="272" spans="1:12" x14ac:dyDescent="0.3">
      <c r="A272" t="s">
        <v>287</v>
      </c>
      <c r="B272" t="s">
        <v>13</v>
      </c>
      <c r="C272" t="s">
        <v>14</v>
      </c>
      <c r="D272">
        <v>41</v>
      </c>
      <c r="E272" s="1">
        <v>44743</v>
      </c>
      <c r="F272">
        <v>2022</v>
      </c>
      <c r="G272" t="s">
        <v>5034</v>
      </c>
      <c r="H272">
        <v>1</v>
      </c>
      <c r="I272">
        <v>1.7</v>
      </c>
      <c r="J272">
        <v>6</v>
      </c>
      <c r="K272">
        <v>11664.6</v>
      </c>
      <c r="L272">
        <v>3.3</v>
      </c>
    </row>
    <row r="273" spans="1:12" x14ac:dyDescent="0.3">
      <c r="A273" t="s">
        <v>288</v>
      </c>
      <c r="B273" t="s">
        <v>16</v>
      </c>
      <c r="C273" t="s">
        <v>14</v>
      </c>
      <c r="D273">
        <v>40</v>
      </c>
      <c r="E273" s="1">
        <v>44632</v>
      </c>
      <c r="F273">
        <v>2022</v>
      </c>
      <c r="G273" t="s">
        <v>5035</v>
      </c>
      <c r="H273">
        <v>12</v>
      </c>
      <c r="I273">
        <v>2.36</v>
      </c>
      <c r="J273">
        <v>12</v>
      </c>
      <c r="K273">
        <v>10076.25</v>
      </c>
      <c r="L273">
        <v>3.6</v>
      </c>
    </row>
    <row r="274" spans="1:12" x14ac:dyDescent="0.3">
      <c r="A274" t="s">
        <v>289</v>
      </c>
      <c r="B274" t="s">
        <v>10</v>
      </c>
      <c r="C274" t="s">
        <v>11</v>
      </c>
      <c r="D274">
        <v>26</v>
      </c>
      <c r="E274" s="1">
        <v>45032</v>
      </c>
      <c r="F274">
        <v>2023</v>
      </c>
      <c r="G274" t="s">
        <v>5040</v>
      </c>
      <c r="H274">
        <v>16</v>
      </c>
      <c r="I274">
        <v>1.53</v>
      </c>
      <c r="J274">
        <v>3</v>
      </c>
      <c r="K274">
        <v>13573.33</v>
      </c>
      <c r="L274">
        <v>2.5</v>
      </c>
    </row>
    <row r="275" spans="1:12" x14ac:dyDescent="0.3">
      <c r="A275" t="s">
        <v>290</v>
      </c>
      <c r="B275" t="s">
        <v>34</v>
      </c>
      <c r="C275" t="s">
        <v>14</v>
      </c>
      <c r="D275">
        <v>57</v>
      </c>
      <c r="E275" s="1">
        <v>40289</v>
      </c>
      <c r="F275">
        <v>2010</v>
      </c>
      <c r="G275" t="s">
        <v>5040</v>
      </c>
      <c r="H275">
        <v>21</v>
      </c>
      <c r="I275">
        <v>2.09</v>
      </c>
      <c r="J275">
        <v>7</v>
      </c>
      <c r="K275">
        <v>8564.8700000000008</v>
      </c>
      <c r="L275">
        <v>15.5</v>
      </c>
    </row>
    <row r="276" spans="1:12" x14ac:dyDescent="0.3">
      <c r="A276" t="s">
        <v>291</v>
      </c>
      <c r="B276" t="s">
        <v>24</v>
      </c>
      <c r="C276" t="s">
        <v>14</v>
      </c>
      <c r="D276">
        <v>33</v>
      </c>
      <c r="E276" s="1">
        <v>44724</v>
      </c>
      <c r="F276">
        <v>2022</v>
      </c>
      <c r="G276" t="s">
        <v>5032</v>
      </c>
      <c r="H276">
        <v>12</v>
      </c>
      <c r="I276">
        <v>2.2400000000000002</v>
      </c>
      <c r="J276">
        <v>5</v>
      </c>
      <c r="K276">
        <v>5518.11</v>
      </c>
      <c r="L276">
        <v>3.4</v>
      </c>
    </row>
    <row r="277" spans="1:12" x14ac:dyDescent="0.3">
      <c r="A277" t="s">
        <v>292</v>
      </c>
      <c r="B277" t="s">
        <v>13</v>
      </c>
      <c r="C277" t="s">
        <v>11</v>
      </c>
      <c r="D277">
        <v>40</v>
      </c>
      <c r="E277" s="1">
        <v>41686</v>
      </c>
      <c r="F277">
        <v>2014</v>
      </c>
      <c r="G277" t="s">
        <v>5042</v>
      </c>
      <c r="H277">
        <v>16</v>
      </c>
      <c r="I277">
        <v>4.7300000000000004</v>
      </c>
      <c r="J277">
        <v>13</v>
      </c>
      <c r="K277">
        <v>4063.94</v>
      </c>
      <c r="L277">
        <v>11.7</v>
      </c>
    </row>
    <row r="278" spans="1:12" x14ac:dyDescent="0.3">
      <c r="A278" t="s">
        <v>293</v>
      </c>
      <c r="B278" t="s">
        <v>10</v>
      </c>
      <c r="C278" t="s">
        <v>14</v>
      </c>
      <c r="D278">
        <v>60</v>
      </c>
      <c r="E278" s="1">
        <v>44581</v>
      </c>
      <c r="F278">
        <v>2022</v>
      </c>
      <c r="G278" t="s">
        <v>5037</v>
      </c>
      <c r="H278">
        <v>20</v>
      </c>
      <c r="I278">
        <v>4.46</v>
      </c>
      <c r="J278">
        <v>14</v>
      </c>
      <c r="K278">
        <v>7670.34</v>
      </c>
      <c r="L278">
        <v>3.8</v>
      </c>
    </row>
    <row r="279" spans="1:12" x14ac:dyDescent="0.3">
      <c r="A279" t="s">
        <v>294</v>
      </c>
      <c r="B279" t="s">
        <v>34</v>
      </c>
      <c r="C279" t="s">
        <v>14</v>
      </c>
      <c r="D279">
        <v>44</v>
      </c>
      <c r="E279" s="1">
        <v>42675</v>
      </c>
      <c r="F279">
        <v>2016</v>
      </c>
      <c r="G279" t="s">
        <v>5038</v>
      </c>
      <c r="H279">
        <v>1</v>
      </c>
      <c r="I279">
        <v>3.4</v>
      </c>
      <c r="J279">
        <v>5</v>
      </c>
      <c r="K279">
        <v>14702.98</v>
      </c>
      <c r="L279">
        <v>9</v>
      </c>
    </row>
    <row r="280" spans="1:12" x14ac:dyDescent="0.3">
      <c r="A280" t="s">
        <v>295</v>
      </c>
      <c r="B280" t="s">
        <v>24</v>
      </c>
      <c r="C280" t="s">
        <v>14</v>
      </c>
      <c r="D280">
        <v>41</v>
      </c>
      <c r="E280" s="1">
        <v>40400</v>
      </c>
      <c r="F280">
        <v>2010</v>
      </c>
      <c r="G280" t="s">
        <v>5031</v>
      </c>
      <c r="H280">
        <v>10</v>
      </c>
      <c r="I280">
        <v>3.75</v>
      </c>
      <c r="J280">
        <v>2</v>
      </c>
      <c r="K280">
        <v>11418.85</v>
      </c>
      <c r="L280">
        <v>15.2</v>
      </c>
    </row>
    <row r="281" spans="1:12" x14ac:dyDescent="0.3">
      <c r="A281" t="s">
        <v>296</v>
      </c>
      <c r="B281" t="s">
        <v>16</v>
      </c>
      <c r="C281" t="s">
        <v>14</v>
      </c>
      <c r="D281">
        <v>26</v>
      </c>
      <c r="E281" s="1">
        <v>45924</v>
      </c>
      <c r="F281">
        <v>2025</v>
      </c>
      <c r="G281" t="s">
        <v>5033</v>
      </c>
      <c r="H281">
        <v>24</v>
      </c>
      <c r="I281">
        <v>2.0499999999999998</v>
      </c>
      <c r="J281">
        <v>5</v>
      </c>
      <c r="K281">
        <v>13279.35</v>
      </c>
      <c r="L281">
        <v>0.1</v>
      </c>
    </row>
    <row r="282" spans="1:12" x14ac:dyDescent="0.3">
      <c r="A282" t="s">
        <v>297</v>
      </c>
      <c r="B282" t="s">
        <v>34</v>
      </c>
      <c r="C282" t="s">
        <v>14</v>
      </c>
      <c r="D282">
        <v>59</v>
      </c>
      <c r="E282" s="1">
        <v>41463</v>
      </c>
      <c r="F282">
        <v>2013</v>
      </c>
      <c r="G282" t="s">
        <v>5034</v>
      </c>
      <c r="H282">
        <v>8</v>
      </c>
      <c r="I282">
        <v>3.78</v>
      </c>
      <c r="J282">
        <v>12</v>
      </c>
      <c r="K282">
        <v>13278.8</v>
      </c>
      <c r="L282">
        <v>12.3</v>
      </c>
    </row>
    <row r="283" spans="1:12" x14ac:dyDescent="0.3">
      <c r="A283" t="s">
        <v>298</v>
      </c>
      <c r="B283" t="s">
        <v>18</v>
      </c>
      <c r="C283" t="s">
        <v>14</v>
      </c>
      <c r="D283">
        <v>27</v>
      </c>
      <c r="E283" s="1">
        <v>42851</v>
      </c>
      <c r="F283">
        <v>2017</v>
      </c>
      <c r="G283" t="s">
        <v>5040</v>
      </c>
      <c r="H283">
        <v>26</v>
      </c>
      <c r="I283">
        <v>1.95</v>
      </c>
      <c r="J283">
        <v>9</v>
      </c>
      <c r="K283">
        <v>9707.74</v>
      </c>
      <c r="L283">
        <v>8.5</v>
      </c>
    </row>
    <row r="284" spans="1:12" x14ac:dyDescent="0.3">
      <c r="A284" t="s">
        <v>299</v>
      </c>
      <c r="B284" t="s">
        <v>10</v>
      </c>
      <c r="C284" t="s">
        <v>14</v>
      </c>
      <c r="D284">
        <v>37</v>
      </c>
      <c r="E284" s="1">
        <v>42634</v>
      </c>
      <c r="F284">
        <v>2016</v>
      </c>
      <c r="G284" t="s">
        <v>5033</v>
      </c>
      <c r="H284">
        <v>21</v>
      </c>
      <c r="I284">
        <v>1.78</v>
      </c>
      <c r="J284">
        <v>3</v>
      </c>
      <c r="K284">
        <v>3119.66</v>
      </c>
      <c r="L284">
        <v>9.1</v>
      </c>
    </row>
    <row r="285" spans="1:12" x14ac:dyDescent="0.3">
      <c r="A285" t="s">
        <v>300</v>
      </c>
      <c r="B285" t="s">
        <v>18</v>
      </c>
      <c r="C285" t="s">
        <v>14</v>
      </c>
      <c r="D285">
        <v>34</v>
      </c>
      <c r="E285" s="1">
        <v>44163</v>
      </c>
      <c r="F285">
        <v>2020</v>
      </c>
      <c r="G285" t="s">
        <v>5038</v>
      </c>
      <c r="H285">
        <v>28</v>
      </c>
      <c r="I285">
        <v>4.24</v>
      </c>
      <c r="J285">
        <v>11</v>
      </c>
      <c r="K285">
        <v>6771.92</v>
      </c>
      <c r="L285">
        <v>4.9000000000000004</v>
      </c>
    </row>
    <row r="286" spans="1:12" x14ac:dyDescent="0.3">
      <c r="A286" t="s">
        <v>301</v>
      </c>
      <c r="B286" t="s">
        <v>10</v>
      </c>
      <c r="C286" t="s">
        <v>11</v>
      </c>
      <c r="D286">
        <v>35</v>
      </c>
      <c r="E286" s="1">
        <v>40255</v>
      </c>
      <c r="F286">
        <v>2010</v>
      </c>
      <c r="G286" t="s">
        <v>5035</v>
      </c>
      <c r="H286">
        <v>18</v>
      </c>
      <c r="I286">
        <v>3.82</v>
      </c>
      <c r="J286">
        <v>15</v>
      </c>
      <c r="K286">
        <v>14709.39</v>
      </c>
      <c r="L286">
        <v>15.6</v>
      </c>
    </row>
    <row r="287" spans="1:12" x14ac:dyDescent="0.3">
      <c r="A287" t="s">
        <v>302</v>
      </c>
      <c r="B287" t="s">
        <v>16</v>
      </c>
      <c r="C287" t="s">
        <v>11</v>
      </c>
      <c r="D287">
        <v>28</v>
      </c>
      <c r="E287" s="1">
        <v>42122</v>
      </c>
      <c r="F287">
        <v>2015</v>
      </c>
      <c r="G287" t="s">
        <v>5040</v>
      </c>
      <c r="H287">
        <v>28</v>
      </c>
      <c r="I287">
        <v>3.68</v>
      </c>
      <c r="J287">
        <v>6</v>
      </c>
      <c r="K287">
        <v>4828.59</v>
      </c>
      <c r="L287">
        <v>10.5</v>
      </c>
    </row>
    <row r="288" spans="1:12" x14ac:dyDescent="0.3">
      <c r="A288" t="s">
        <v>303</v>
      </c>
      <c r="B288" t="s">
        <v>10</v>
      </c>
      <c r="C288" t="s">
        <v>14</v>
      </c>
      <c r="D288">
        <v>40</v>
      </c>
      <c r="E288" s="1">
        <v>45035</v>
      </c>
      <c r="F288">
        <v>2023</v>
      </c>
      <c r="G288" t="s">
        <v>5040</v>
      </c>
      <c r="H288">
        <v>19</v>
      </c>
      <c r="I288">
        <v>3.38</v>
      </c>
      <c r="J288">
        <v>13</v>
      </c>
      <c r="K288">
        <v>10429.34</v>
      </c>
      <c r="L288">
        <v>2.5</v>
      </c>
    </row>
    <row r="289" spans="1:12" x14ac:dyDescent="0.3">
      <c r="A289" t="s">
        <v>304</v>
      </c>
      <c r="B289" t="s">
        <v>13</v>
      </c>
      <c r="C289" t="s">
        <v>14</v>
      </c>
      <c r="D289">
        <v>56</v>
      </c>
      <c r="E289" s="1">
        <v>40247</v>
      </c>
      <c r="F289">
        <v>2010</v>
      </c>
      <c r="G289" t="s">
        <v>5035</v>
      </c>
      <c r="H289">
        <v>10</v>
      </c>
      <c r="I289">
        <v>2.67</v>
      </c>
      <c r="J289">
        <v>8</v>
      </c>
      <c r="K289">
        <v>10306.959999999999</v>
      </c>
      <c r="L289">
        <v>15.7</v>
      </c>
    </row>
    <row r="290" spans="1:12" x14ac:dyDescent="0.3">
      <c r="A290" t="s">
        <v>305</v>
      </c>
      <c r="B290" t="s">
        <v>24</v>
      </c>
      <c r="C290" t="s">
        <v>11</v>
      </c>
      <c r="D290">
        <v>54</v>
      </c>
      <c r="E290" s="1">
        <v>43748</v>
      </c>
      <c r="F290">
        <v>2019</v>
      </c>
      <c r="G290" t="s">
        <v>5039</v>
      </c>
      <c r="H290">
        <v>10</v>
      </c>
      <c r="I290">
        <v>3.08</v>
      </c>
      <c r="J290">
        <v>1</v>
      </c>
      <c r="K290">
        <v>3343.22</v>
      </c>
      <c r="L290">
        <v>6.1</v>
      </c>
    </row>
    <row r="291" spans="1:12" x14ac:dyDescent="0.3">
      <c r="A291" t="s">
        <v>306</v>
      </c>
      <c r="B291" t="s">
        <v>16</v>
      </c>
      <c r="C291" t="s">
        <v>14</v>
      </c>
      <c r="D291">
        <v>55</v>
      </c>
      <c r="E291" s="1">
        <v>44992</v>
      </c>
      <c r="F291">
        <v>2023</v>
      </c>
      <c r="G291" t="s">
        <v>5035</v>
      </c>
      <c r="H291">
        <v>7</v>
      </c>
      <c r="I291">
        <v>2.4700000000000002</v>
      </c>
      <c r="J291">
        <v>13</v>
      </c>
      <c r="K291">
        <v>3278.61</v>
      </c>
      <c r="L291">
        <v>2.7</v>
      </c>
    </row>
    <row r="292" spans="1:12" x14ac:dyDescent="0.3">
      <c r="A292" t="s">
        <v>307</v>
      </c>
      <c r="B292" t="s">
        <v>18</v>
      </c>
      <c r="C292" t="s">
        <v>14</v>
      </c>
      <c r="D292">
        <v>43</v>
      </c>
      <c r="E292" s="1">
        <v>45155</v>
      </c>
      <c r="F292">
        <v>2023</v>
      </c>
      <c r="G292" t="s">
        <v>5031</v>
      </c>
      <c r="H292">
        <v>17</v>
      </c>
      <c r="I292">
        <v>3.48</v>
      </c>
      <c r="J292">
        <v>2</v>
      </c>
      <c r="K292">
        <v>14061.94</v>
      </c>
      <c r="L292">
        <v>2.2000000000000002</v>
      </c>
    </row>
    <row r="293" spans="1:12" x14ac:dyDescent="0.3">
      <c r="A293" t="s">
        <v>308</v>
      </c>
      <c r="B293" t="s">
        <v>18</v>
      </c>
      <c r="C293" t="s">
        <v>11</v>
      </c>
      <c r="D293">
        <v>30</v>
      </c>
      <c r="E293" s="1">
        <v>43299</v>
      </c>
      <c r="F293">
        <v>2018</v>
      </c>
      <c r="G293" t="s">
        <v>5034</v>
      </c>
      <c r="H293">
        <v>18</v>
      </c>
      <c r="I293">
        <v>1.92</v>
      </c>
      <c r="J293">
        <v>0</v>
      </c>
      <c r="K293">
        <v>12087.97</v>
      </c>
      <c r="L293">
        <v>7.3</v>
      </c>
    </row>
    <row r="294" spans="1:12" x14ac:dyDescent="0.3">
      <c r="A294" t="s">
        <v>309</v>
      </c>
      <c r="B294" t="s">
        <v>13</v>
      </c>
      <c r="C294" t="s">
        <v>11</v>
      </c>
      <c r="D294">
        <v>34</v>
      </c>
      <c r="E294" s="1">
        <v>44029</v>
      </c>
      <c r="F294">
        <v>2020</v>
      </c>
      <c r="G294" t="s">
        <v>5034</v>
      </c>
      <c r="H294">
        <v>17</v>
      </c>
      <c r="I294">
        <v>4.8899999999999997</v>
      </c>
      <c r="J294">
        <v>7</v>
      </c>
      <c r="K294">
        <v>14421.63</v>
      </c>
      <c r="L294">
        <v>5.3</v>
      </c>
    </row>
    <row r="295" spans="1:12" x14ac:dyDescent="0.3">
      <c r="A295" t="s">
        <v>310</v>
      </c>
      <c r="B295" t="s">
        <v>34</v>
      </c>
      <c r="C295" t="s">
        <v>11</v>
      </c>
      <c r="D295">
        <v>24</v>
      </c>
      <c r="E295" s="1">
        <v>40310</v>
      </c>
      <c r="F295">
        <v>2010</v>
      </c>
      <c r="G295" t="s">
        <v>5036</v>
      </c>
      <c r="H295">
        <v>12</v>
      </c>
      <c r="I295">
        <v>3.95</v>
      </c>
      <c r="J295">
        <v>10</v>
      </c>
      <c r="K295">
        <v>12472.38</v>
      </c>
      <c r="L295">
        <v>15.5</v>
      </c>
    </row>
    <row r="296" spans="1:12" x14ac:dyDescent="0.3">
      <c r="A296" t="s">
        <v>311</v>
      </c>
      <c r="B296" t="s">
        <v>13</v>
      </c>
      <c r="C296" t="s">
        <v>14</v>
      </c>
      <c r="D296">
        <v>60</v>
      </c>
      <c r="E296" s="1">
        <v>45177</v>
      </c>
      <c r="F296">
        <v>2023</v>
      </c>
      <c r="G296" t="s">
        <v>5033</v>
      </c>
      <c r="H296">
        <v>8</v>
      </c>
      <c r="I296">
        <v>4.13</v>
      </c>
      <c r="J296">
        <v>13</v>
      </c>
      <c r="K296">
        <v>3204.32</v>
      </c>
      <c r="L296">
        <v>2.2000000000000002</v>
      </c>
    </row>
    <row r="297" spans="1:12" x14ac:dyDescent="0.3">
      <c r="A297" t="s">
        <v>312</v>
      </c>
      <c r="B297" t="s">
        <v>13</v>
      </c>
      <c r="C297" t="s">
        <v>14</v>
      </c>
      <c r="D297">
        <v>45</v>
      </c>
      <c r="E297" s="1">
        <v>43643</v>
      </c>
      <c r="F297">
        <v>2019</v>
      </c>
      <c r="G297" t="s">
        <v>5032</v>
      </c>
      <c r="H297">
        <v>27</v>
      </c>
      <c r="I297">
        <v>2.38</v>
      </c>
      <c r="J297">
        <v>5</v>
      </c>
      <c r="K297">
        <v>6773.45</v>
      </c>
      <c r="L297">
        <v>6.4</v>
      </c>
    </row>
    <row r="298" spans="1:12" x14ac:dyDescent="0.3">
      <c r="A298" t="s">
        <v>313</v>
      </c>
      <c r="B298" t="s">
        <v>16</v>
      </c>
      <c r="C298" t="s">
        <v>11</v>
      </c>
      <c r="D298">
        <v>33</v>
      </c>
      <c r="E298" s="1">
        <v>40542</v>
      </c>
      <c r="F298">
        <v>2010</v>
      </c>
      <c r="G298" t="s">
        <v>5041</v>
      </c>
      <c r="H298">
        <v>30</v>
      </c>
      <c r="I298">
        <v>4.6399999999999997</v>
      </c>
      <c r="J298">
        <v>5</v>
      </c>
      <c r="K298">
        <v>9973.85</v>
      </c>
      <c r="L298">
        <v>14.8</v>
      </c>
    </row>
    <row r="299" spans="1:12" x14ac:dyDescent="0.3">
      <c r="A299" t="s">
        <v>314</v>
      </c>
      <c r="B299" t="s">
        <v>13</v>
      </c>
      <c r="C299" t="s">
        <v>11</v>
      </c>
      <c r="D299">
        <v>40</v>
      </c>
      <c r="E299" s="1">
        <v>41801</v>
      </c>
      <c r="F299">
        <v>2014</v>
      </c>
      <c r="G299" t="s">
        <v>5032</v>
      </c>
      <c r="H299">
        <v>11</v>
      </c>
      <c r="I299">
        <v>3.67</v>
      </c>
      <c r="J299">
        <v>13</v>
      </c>
      <c r="K299">
        <v>6996.55</v>
      </c>
      <c r="L299">
        <v>11.4</v>
      </c>
    </row>
    <row r="300" spans="1:12" x14ac:dyDescent="0.3">
      <c r="A300" t="s">
        <v>315</v>
      </c>
      <c r="B300" t="s">
        <v>16</v>
      </c>
      <c r="C300" t="s">
        <v>11</v>
      </c>
      <c r="D300">
        <v>47</v>
      </c>
      <c r="E300" s="1">
        <v>43879</v>
      </c>
      <c r="F300">
        <v>2020</v>
      </c>
      <c r="G300" t="s">
        <v>5042</v>
      </c>
      <c r="H300">
        <v>18</v>
      </c>
      <c r="I300">
        <v>4.9000000000000004</v>
      </c>
      <c r="J300">
        <v>2</v>
      </c>
      <c r="K300">
        <v>8688.1</v>
      </c>
      <c r="L300">
        <v>5.7</v>
      </c>
    </row>
    <row r="301" spans="1:12" x14ac:dyDescent="0.3">
      <c r="A301" t="s">
        <v>316</v>
      </c>
      <c r="B301" t="s">
        <v>16</v>
      </c>
      <c r="C301" t="s">
        <v>14</v>
      </c>
      <c r="D301">
        <v>34</v>
      </c>
      <c r="E301" s="1">
        <v>43357</v>
      </c>
      <c r="F301">
        <v>2018</v>
      </c>
      <c r="G301" t="s">
        <v>5033</v>
      </c>
      <c r="H301">
        <v>14</v>
      </c>
      <c r="I301">
        <v>4.66</v>
      </c>
      <c r="J301">
        <v>8</v>
      </c>
      <c r="K301">
        <v>9759.16</v>
      </c>
      <c r="L301">
        <v>7.1</v>
      </c>
    </row>
    <row r="302" spans="1:12" x14ac:dyDescent="0.3">
      <c r="A302" t="s">
        <v>317</v>
      </c>
      <c r="B302" t="s">
        <v>16</v>
      </c>
      <c r="C302" t="s">
        <v>11</v>
      </c>
      <c r="D302">
        <v>46</v>
      </c>
      <c r="E302" s="1">
        <v>43281</v>
      </c>
      <c r="F302">
        <v>2018</v>
      </c>
      <c r="G302" t="s">
        <v>5032</v>
      </c>
      <c r="H302">
        <v>30</v>
      </c>
      <c r="I302">
        <v>2.02</v>
      </c>
      <c r="J302">
        <v>6</v>
      </c>
      <c r="K302">
        <v>9584.84</v>
      </c>
      <c r="L302">
        <v>7.3</v>
      </c>
    </row>
    <row r="303" spans="1:12" x14ac:dyDescent="0.3">
      <c r="A303" t="s">
        <v>318</v>
      </c>
      <c r="B303" t="s">
        <v>10</v>
      </c>
      <c r="C303" t="s">
        <v>14</v>
      </c>
      <c r="D303">
        <v>36</v>
      </c>
      <c r="E303" s="1">
        <v>41072</v>
      </c>
      <c r="F303">
        <v>2012</v>
      </c>
      <c r="G303" t="s">
        <v>5032</v>
      </c>
      <c r="H303">
        <v>12</v>
      </c>
      <c r="I303">
        <v>3.48</v>
      </c>
      <c r="J303">
        <v>10</v>
      </c>
      <c r="K303">
        <v>8752.23</v>
      </c>
      <c r="L303">
        <v>13.4</v>
      </c>
    </row>
    <row r="304" spans="1:12" x14ac:dyDescent="0.3">
      <c r="A304" t="s">
        <v>319</v>
      </c>
      <c r="B304" t="s">
        <v>34</v>
      </c>
      <c r="C304" t="s">
        <v>14</v>
      </c>
      <c r="D304">
        <v>32</v>
      </c>
      <c r="E304" s="1">
        <v>44636</v>
      </c>
      <c r="F304">
        <v>2022</v>
      </c>
      <c r="G304" t="s">
        <v>5035</v>
      </c>
      <c r="H304">
        <v>16</v>
      </c>
      <c r="I304">
        <v>4.7300000000000004</v>
      </c>
      <c r="J304">
        <v>1</v>
      </c>
      <c r="K304">
        <v>14964.04</v>
      </c>
      <c r="L304">
        <v>3.6</v>
      </c>
    </row>
    <row r="305" spans="1:12" x14ac:dyDescent="0.3">
      <c r="A305" t="s">
        <v>320</v>
      </c>
      <c r="B305" t="s">
        <v>24</v>
      </c>
      <c r="C305" t="s">
        <v>14</v>
      </c>
      <c r="D305">
        <v>57</v>
      </c>
      <c r="E305" s="1">
        <v>41299</v>
      </c>
      <c r="F305">
        <v>2013</v>
      </c>
      <c r="G305" t="s">
        <v>5037</v>
      </c>
      <c r="H305">
        <v>25</v>
      </c>
      <c r="I305">
        <v>3.4</v>
      </c>
      <c r="J305">
        <v>15</v>
      </c>
      <c r="K305">
        <v>7816.19</v>
      </c>
      <c r="L305">
        <v>12.8</v>
      </c>
    </row>
    <row r="306" spans="1:12" x14ac:dyDescent="0.3">
      <c r="A306" t="s">
        <v>321</v>
      </c>
      <c r="B306" t="s">
        <v>34</v>
      </c>
      <c r="C306" t="s">
        <v>14</v>
      </c>
      <c r="D306">
        <v>27</v>
      </c>
      <c r="E306" s="1">
        <v>43582</v>
      </c>
      <c r="F306">
        <v>2019</v>
      </c>
      <c r="G306" t="s">
        <v>5040</v>
      </c>
      <c r="H306">
        <v>27</v>
      </c>
      <c r="I306">
        <v>3.75</v>
      </c>
      <c r="J306">
        <v>2</v>
      </c>
      <c r="K306">
        <v>7665.64</v>
      </c>
      <c r="L306">
        <v>6.5</v>
      </c>
    </row>
    <row r="307" spans="1:12" x14ac:dyDescent="0.3">
      <c r="A307" t="s">
        <v>322</v>
      </c>
      <c r="B307" t="s">
        <v>34</v>
      </c>
      <c r="C307" t="s">
        <v>11</v>
      </c>
      <c r="D307">
        <v>38</v>
      </c>
      <c r="E307" s="1">
        <v>40610</v>
      </c>
      <c r="F307">
        <v>2011</v>
      </c>
      <c r="G307" t="s">
        <v>5035</v>
      </c>
      <c r="H307">
        <v>8</v>
      </c>
      <c r="I307">
        <v>1.73</v>
      </c>
      <c r="J307">
        <v>8</v>
      </c>
      <c r="K307">
        <v>3223.56</v>
      </c>
      <c r="L307">
        <v>14.7</v>
      </c>
    </row>
    <row r="308" spans="1:12" x14ac:dyDescent="0.3">
      <c r="A308" t="s">
        <v>323</v>
      </c>
      <c r="B308" t="s">
        <v>18</v>
      </c>
      <c r="C308" t="s">
        <v>11</v>
      </c>
      <c r="D308">
        <v>41</v>
      </c>
      <c r="E308" s="1">
        <v>40481</v>
      </c>
      <c r="F308">
        <v>2010</v>
      </c>
      <c r="G308" t="s">
        <v>5039</v>
      </c>
      <c r="H308">
        <v>30</v>
      </c>
      <c r="I308">
        <v>4.09</v>
      </c>
      <c r="J308">
        <v>2</v>
      </c>
      <c r="K308">
        <v>5148.67</v>
      </c>
      <c r="L308">
        <v>15</v>
      </c>
    </row>
    <row r="309" spans="1:12" x14ac:dyDescent="0.3">
      <c r="A309" t="s">
        <v>324</v>
      </c>
      <c r="B309" t="s">
        <v>10</v>
      </c>
      <c r="C309" t="s">
        <v>14</v>
      </c>
      <c r="D309">
        <v>55</v>
      </c>
      <c r="E309" s="1">
        <v>42539</v>
      </c>
      <c r="F309">
        <v>2016</v>
      </c>
      <c r="G309" t="s">
        <v>5032</v>
      </c>
      <c r="H309">
        <v>18</v>
      </c>
      <c r="I309">
        <v>3.31</v>
      </c>
      <c r="J309">
        <v>14</v>
      </c>
      <c r="K309">
        <v>12681.93</v>
      </c>
      <c r="L309">
        <v>9.4</v>
      </c>
    </row>
    <row r="310" spans="1:12" x14ac:dyDescent="0.3">
      <c r="A310" t="s">
        <v>325</v>
      </c>
      <c r="B310" t="s">
        <v>13</v>
      </c>
      <c r="C310" t="s">
        <v>14</v>
      </c>
      <c r="D310">
        <v>39</v>
      </c>
      <c r="E310" s="1">
        <v>41762</v>
      </c>
      <c r="F310">
        <v>2014</v>
      </c>
      <c r="G310" t="s">
        <v>5036</v>
      </c>
      <c r="H310">
        <v>3</v>
      </c>
      <c r="I310">
        <v>4.8600000000000003</v>
      </c>
      <c r="J310">
        <v>1</v>
      </c>
      <c r="K310">
        <v>12662.85</v>
      </c>
      <c r="L310">
        <v>11.5</v>
      </c>
    </row>
    <row r="311" spans="1:12" x14ac:dyDescent="0.3">
      <c r="A311" t="s">
        <v>326</v>
      </c>
      <c r="B311" t="s">
        <v>13</v>
      </c>
      <c r="C311" t="s">
        <v>11</v>
      </c>
      <c r="D311">
        <v>53</v>
      </c>
      <c r="E311" s="1">
        <v>40200</v>
      </c>
      <c r="F311">
        <v>2010</v>
      </c>
      <c r="G311" t="s">
        <v>5037</v>
      </c>
      <c r="H311">
        <v>22</v>
      </c>
      <c r="I311">
        <v>2.56</v>
      </c>
      <c r="J311">
        <v>1</v>
      </c>
      <c r="K311">
        <v>6483.02</v>
      </c>
      <c r="L311">
        <v>15.8</v>
      </c>
    </row>
    <row r="312" spans="1:12" x14ac:dyDescent="0.3">
      <c r="A312" t="s">
        <v>327</v>
      </c>
      <c r="B312" t="s">
        <v>16</v>
      </c>
      <c r="C312" t="s">
        <v>14</v>
      </c>
      <c r="D312">
        <v>36</v>
      </c>
      <c r="E312" s="1">
        <v>41908</v>
      </c>
      <c r="F312">
        <v>2014</v>
      </c>
      <c r="G312" t="s">
        <v>5033</v>
      </c>
      <c r="H312">
        <v>26</v>
      </c>
      <c r="I312">
        <v>3.14</v>
      </c>
      <c r="J312">
        <v>3</v>
      </c>
      <c r="K312">
        <v>10767.16</v>
      </c>
      <c r="L312">
        <v>11.1</v>
      </c>
    </row>
    <row r="313" spans="1:12" x14ac:dyDescent="0.3">
      <c r="A313" t="s">
        <v>328</v>
      </c>
      <c r="B313" t="s">
        <v>34</v>
      </c>
      <c r="C313" t="s">
        <v>11</v>
      </c>
      <c r="D313">
        <v>42</v>
      </c>
      <c r="E313" s="1">
        <v>42278</v>
      </c>
      <c r="F313">
        <v>2015</v>
      </c>
      <c r="G313" t="s">
        <v>5039</v>
      </c>
      <c r="H313">
        <v>1</v>
      </c>
      <c r="I313">
        <v>2.77</v>
      </c>
      <c r="J313">
        <v>10</v>
      </c>
      <c r="K313">
        <v>14308</v>
      </c>
      <c r="L313">
        <v>10.1</v>
      </c>
    </row>
    <row r="314" spans="1:12" x14ac:dyDescent="0.3">
      <c r="A314" t="s">
        <v>329</v>
      </c>
      <c r="B314" t="s">
        <v>13</v>
      </c>
      <c r="C314" t="s">
        <v>11</v>
      </c>
      <c r="D314">
        <v>48</v>
      </c>
      <c r="E314" s="1">
        <v>43714</v>
      </c>
      <c r="F314">
        <v>2019</v>
      </c>
      <c r="G314" t="s">
        <v>5033</v>
      </c>
      <c r="H314">
        <v>6</v>
      </c>
      <c r="I314">
        <v>3.3</v>
      </c>
      <c r="J314">
        <v>10</v>
      </c>
      <c r="K314">
        <v>11524.92</v>
      </c>
      <c r="L314">
        <v>6.2</v>
      </c>
    </row>
    <row r="315" spans="1:12" x14ac:dyDescent="0.3">
      <c r="A315" t="s">
        <v>330</v>
      </c>
      <c r="B315" t="s">
        <v>18</v>
      </c>
      <c r="C315" t="s">
        <v>11</v>
      </c>
      <c r="D315">
        <v>43</v>
      </c>
      <c r="E315" s="1">
        <v>43881</v>
      </c>
      <c r="F315">
        <v>2020</v>
      </c>
      <c r="G315" t="s">
        <v>5042</v>
      </c>
      <c r="H315">
        <v>20</v>
      </c>
      <c r="I315">
        <v>3.9</v>
      </c>
      <c r="J315">
        <v>6</v>
      </c>
      <c r="K315">
        <v>7913.81</v>
      </c>
      <c r="L315">
        <v>5.7</v>
      </c>
    </row>
    <row r="316" spans="1:12" x14ac:dyDescent="0.3">
      <c r="A316" t="s">
        <v>331</v>
      </c>
      <c r="B316" t="s">
        <v>13</v>
      </c>
      <c r="C316" t="s">
        <v>14</v>
      </c>
      <c r="D316">
        <v>22</v>
      </c>
      <c r="E316" s="1">
        <v>44382</v>
      </c>
      <c r="F316">
        <v>2021</v>
      </c>
      <c r="G316" t="s">
        <v>5034</v>
      </c>
      <c r="H316">
        <v>5</v>
      </c>
      <c r="I316">
        <v>1.62</v>
      </c>
      <c r="J316">
        <v>13</v>
      </c>
      <c r="K316">
        <v>13571.01</v>
      </c>
      <c r="L316">
        <v>4.3</v>
      </c>
    </row>
    <row r="317" spans="1:12" x14ac:dyDescent="0.3">
      <c r="A317" t="s">
        <v>332</v>
      </c>
      <c r="B317" t="s">
        <v>13</v>
      </c>
      <c r="C317" t="s">
        <v>11</v>
      </c>
      <c r="D317">
        <v>36</v>
      </c>
      <c r="E317" s="1">
        <v>42058</v>
      </c>
      <c r="F317">
        <v>2015</v>
      </c>
      <c r="G317" t="s">
        <v>5042</v>
      </c>
      <c r="H317">
        <v>23</v>
      </c>
      <c r="I317">
        <v>3.62</v>
      </c>
      <c r="J317">
        <v>0</v>
      </c>
      <c r="K317">
        <v>8105.81</v>
      </c>
      <c r="L317">
        <v>10.7</v>
      </c>
    </row>
    <row r="318" spans="1:12" x14ac:dyDescent="0.3">
      <c r="A318" t="s">
        <v>333</v>
      </c>
      <c r="B318" t="s">
        <v>13</v>
      </c>
      <c r="C318" t="s">
        <v>11</v>
      </c>
      <c r="D318">
        <v>35</v>
      </c>
      <c r="E318" s="1">
        <v>44051</v>
      </c>
      <c r="F318">
        <v>2020</v>
      </c>
      <c r="G318" t="s">
        <v>5031</v>
      </c>
      <c r="H318">
        <v>8</v>
      </c>
      <c r="I318">
        <v>4.0199999999999996</v>
      </c>
      <c r="J318">
        <v>11</v>
      </c>
      <c r="K318">
        <v>5463.38</v>
      </c>
      <c r="L318">
        <v>5.2</v>
      </c>
    </row>
    <row r="319" spans="1:12" x14ac:dyDescent="0.3">
      <c r="A319" t="s">
        <v>334</v>
      </c>
      <c r="B319" t="s">
        <v>34</v>
      </c>
      <c r="C319" t="s">
        <v>11</v>
      </c>
      <c r="D319">
        <v>54</v>
      </c>
      <c r="E319" s="1">
        <v>42004</v>
      </c>
      <c r="F319">
        <v>2014</v>
      </c>
      <c r="G319" t="s">
        <v>5041</v>
      </c>
      <c r="H319">
        <v>31</v>
      </c>
      <c r="I319">
        <v>4.87</v>
      </c>
      <c r="J319">
        <v>14</v>
      </c>
      <c r="K319">
        <v>6855.92</v>
      </c>
      <c r="L319">
        <v>10.8</v>
      </c>
    </row>
    <row r="320" spans="1:12" x14ac:dyDescent="0.3">
      <c r="A320" t="s">
        <v>335</v>
      </c>
      <c r="B320" t="s">
        <v>24</v>
      </c>
      <c r="C320" t="s">
        <v>14</v>
      </c>
      <c r="D320">
        <v>45</v>
      </c>
      <c r="E320" s="1">
        <v>44929</v>
      </c>
      <c r="F320">
        <v>2023</v>
      </c>
      <c r="G320" t="s">
        <v>5037</v>
      </c>
      <c r="H320">
        <v>3</v>
      </c>
      <c r="I320">
        <v>1.97</v>
      </c>
      <c r="J320">
        <v>7</v>
      </c>
      <c r="K320">
        <v>5366.6</v>
      </c>
      <c r="L320">
        <v>2.8</v>
      </c>
    </row>
    <row r="321" spans="1:12" x14ac:dyDescent="0.3">
      <c r="A321" t="s">
        <v>336</v>
      </c>
      <c r="B321" t="s">
        <v>34</v>
      </c>
      <c r="C321" t="s">
        <v>11</v>
      </c>
      <c r="D321">
        <v>40</v>
      </c>
      <c r="E321" s="1">
        <v>40883</v>
      </c>
      <c r="F321">
        <v>2011</v>
      </c>
      <c r="G321" t="s">
        <v>5041</v>
      </c>
      <c r="H321">
        <v>6</v>
      </c>
      <c r="I321">
        <v>3.04</v>
      </c>
      <c r="J321">
        <v>12</v>
      </c>
      <c r="K321">
        <v>5408.17</v>
      </c>
      <c r="L321">
        <v>13.9</v>
      </c>
    </row>
    <row r="322" spans="1:12" x14ac:dyDescent="0.3">
      <c r="A322" t="s">
        <v>337</v>
      </c>
      <c r="B322" t="s">
        <v>16</v>
      </c>
      <c r="C322" t="s">
        <v>14</v>
      </c>
      <c r="D322">
        <v>44</v>
      </c>
      <c r="E322" s="1">
        <v>44772</v>
      </c>
      <c r="F322">
        <v>2022</v>
      </c>
      <c r="G322" t="s">
        <v>5034</v>
      </c>
      <c r="H322">
        <v>30</v>
      </c>
      <c r="I322">
        <v>4.08</v>
      </c>
      <c r="J322">
        <v>2</v>
      </c>
      <c r="K322">
        <v>12806.91</v>
      </c>
      <c r="L322">
        <v>3.3</v>
      </c>
    </row>
    <row r="323" spans="1:12" x14ac:dyDescent="0.3">
      <c r="A323" t="s">
        <v>338</v>
      </c>
      <c r="B323" t="s">
        <v>13</v>
      </c>
      <c r="C323" t="s">
        <v>14</v>
      </c>
      <c r="D323">
        <v>57</v>
      </c>
      <c r="E323" s="1">
        <v>43573</v>
      </c>
      <c r="F323">
        <v>2019</v>
      </c>
      <c r="G323" t="s">
        <v>5040</v>
      </c>
      <c r="H323">
        <v>18</v>
      </c>
      <c r="I323">
        <v>4.71</v>
      </c>
      <c r="J323">
        <v>12</v>
      </c>
      <c r="K323">
        <v>3918.88</v>
      </c>
      <c r="L323">
        <v>6.5</v>
      </c>
    </row>
    <row r="324" spans="1:12" x14ac:dyDescent="0.3">
      <c r="A324" t="s">
        <v>339</v>
      </c>
      <c r="B324" t="s">
        <v>18</v>
      </c>
      <c r="C324" t="s">
        <v>11</v>
      </c>
      <c r="D324">
        <v>40</v>
      </c>
      <c r="E324" s="1">
        <v>44736</v>
      </c>
      <c r="F324">
        <v>2022</v>
      </c>
      <c r="G324" t="s">
        <v>5032</v>
      </c>
      <c r="H324">
        <v>24</v>
      </c>
      <c r="I324">
        <v>3.08</v>
      </c>
      <c r="J324">
        <v>14</v>
      </c>
      <c r="K324">
        <v>14299.02</v>
      </c>
      <c r="L324">
        <v>3.4</v>
      </c>
    </row>
    <row r="325" spans="1:12" x14ac:dyDescent="0.3">
      <c r="A325" t="s">
        <v>340</v>
      </c>
      <c r="B325" t="s">
        <v>34</v>
      </c>
      <c r="C325" t="s">
        <v>11</v>
      </c>
      <c r="D325">
        <v>42</v>
      </c>
      <c r="E325" s="1">
        <v>41117</v>
      </c>
      <c r="F325">
        <v>2012</v>
      </c>
      <c r="G325" t="s">
        <v>5034</v>
      </c>
      <c r="H325">
        <v>27</v>
      </c>
      <c r="I325">
        <v>4.3099999999999996</v>
      </c>
      <c r="J325">
        <v>12</v>
      </c>
      <c r="K325">
        <v>4575.95</v>
      </c>
      <c r="L325">
        <v>13.3</v>
      </c>
    </row>
    <row r="326" spans="1:12" x14ac:dyDescent="0.3">
      <c r="A326" t="s">
        <v>341</v>
      </c>
      <c r="B326" t="s">
        <v>24</v>
      </c>
      <c r="C326" t="s">
        <v>14</v>
      </c>
      <c r="D326">
        <v>38</v>
      </c>
      <c r="E326" s="1">
        <v>43888</v>
      </c>
      <c r="F326">
        <v>2020</v>
      </c>
      <c r="G326" t="s">
        <v>5042</v>
      </c>
      <c r="H326">
        <v>27</v>
      </c>
      <c r="I326">
        <v>2.89</v>
      </c>
      <c r="J326">
        <v>1</v>
      </c>
      <c r="K326">
        <v>14439.02</v>
      </c>
      <c r="L326">
        <v>5.7</v>
      </c>
    </row>
    <row r="327" spans="1:12" x14ac:dyDescent="0.3">
      <c r="A327" t="s">
        <v>342</v>
      </c>
      <c r="B327" t="s">
        <v>13</v>
      </c>
      <c r="C327" t="s">
        <v>14</v>
      </c>
      <c r="D327">
        <v>56</v>
      </c>
      <c r="E327" s="1">
        <v>44367</v>
      </c>
      <c r="F327">
        <v>2021</v>
      </c>
      <c r="G327" t="s">
        <v>5032</v>
      </c>
      <c r="H327">
        <v>20</v>
      </c>
      <c r="I327">
        <v>4.8600000000000003</v>
      </c>
      <c r="J327">
        <v>7</v>
      </c>
      <c r="K327">
        <v>6508.13</v>
      </c>
      <c r="L327">
        <v>4.4000000000000004</v>
      </c>
    </row>
    <row r="328" spans="1:12" x14ac:dyDescent="0.3">
      <c r="A328" t="s">
        <v>343</v>
      </c>
      <c r="B328" t="s">
        <v>18</v>
      </c>
      <c r="C328" t="s">
        <v>11</v>
      </c>
      <c r="D328">
        <v>29</v>
      </c>
      <c r="E328" s="1">
        <v>42609</v>
      </c>
      <c r="F328">
        <v>2016</v>
      </c>
      <c r="G328" t="s">
        <v>5031</v>
      </c>
      <c r="H328">
        <v>27</v>
      </c>
      <c r="I328">
        <v>1.65</v>
      </c>
      <c r="J328">
        <v>8</v>
      </c>
      <c r="K328">
        <v>3669.99</v>
      </c>
      <c r="L328">
        <v>9.1999999999999993</v>
      </c>
    </row>
    <row r="329" spans="1:12" x14ac:dyDescent="0.3">
      <c r="A329" t="s">
        <v>344</v>
      </c>
      <c r="B329" t="s">
        <v>16</v>
      </c>
      <c r="C329" t="s">
        <v>11</v>
      </c>
      <c r="D329">
        <v>40</v>
      </c>
      <c r="E329" s="1">
        <v>40872</v>
      </c>
      <c r="F329">
        <v>2011</v>
      </c>
      <c r="G329" t="s">
        <v>5038</v>
      </c>
      <c r="H329">
        <v>25</v>
      </c>
      <c r="I329">
        <v>2.59</v>
      </c>
      <c r="J329">
        <v>9</v>
      </c>
      <c r="K329">
        <v>11884.49</v>
      </c>
      <c r="L329">
        <v>13.9</v>
      </c>
    </row>
    <row r="330" spans="1:12" x14ac:dyDescent="0.3">
      <c r="A330" t="s">
        <v>345</v>
      </c>
      <c r="B330" t="s">
        <v>13</v>
      </c>
      <c r="C330" t="s">
        <v>14</v>
      </c>
      <c r="D330">
        <v>42</v>
      </c>
      <c r="E330" s="1">
        <v>43486</v>
      </c>
      <c r="F330">
        <v>2019</v>
      </c>
      <c r="G330" t="s">
        <v>5037</v>
      </c>
      <c r="H330">
        <v>21</v>
      </c>
      <c r="I330">
        <v>4.04</v>
      </c>
      <c r="J330">
        <v>2</v>
      </c>
      <c r="K330">
        <v>7300.99</v>
      </c>
      <c r="L330">
        <v>6.8</v>
      </c>
    </row>
    <row r="331" spans="1:12" x14ac:dyDescent="0.3">
      <c r="A331" t="s">
        <v>346</v>
      </c>
      <c r="B331" t="s">
        <v>24</v>
      </c>
      <c r="C331" t="s">
        <v>14</v>
      </c>
      <c r="D331">
        <v>46</v>
      </c>
      <c r="E331" s="1">
        <v>41119</v>
      </c>
      <c r="F331">
        <v>2012</v>
      </c>
      <c r="G331" t="s">
        <v>5034</v>
      </c>
      <c r="H331">
        <v>29</v>
      </c>
      <c r="I331">
        <v>2.0499999999999998</v>
      </c>
      <c r="J331">
        <v>8</v>
      </c>
      <c r="K331">
        <v>13971.65</v>
      </c>
      <c r="L331">
        <v>13.3</v>
      </c>
    </row>
    <row r="332" spans="1:12" x14ac:dyDescent="0.3">
      <c r="A332" t="s">
        <v>347</v>
      </c>
      <c r="B332" t="s">
        <v>24</v>
      </c>
      <c r="C332" t="s">
        <v>11</v>
      </c>
      <c r="D332">
        <v>47</v>
      </c>
      <c r="E332" s="1">
        <v>44147</v>
      </c>
      <c r="F332">
        <v>2020</v>
      </c>
      <c r="G332" t="s">
        <v>5038</v>
      </c>
      <c r="H332">
        <v>12</v>
      </c>
      <c r="I332">
        <v>3.17</v>
      </c>
      <c r="J332">
        <v>15</v>
      </c>
      <c r="K332">
        <v>12085.97</v>
      </c>
      <c r="L332">
        <v>5</v>
      </c>
    </row>
    <row r="333" spans="1:12" x14ac:dyDescent="0.3">
      <c r="A333" t="s">
        <v>348</v>
      </c>
      <c r="B333" t="s">
        <v>24</v>
      </c>
      <c r="C333" t="s">
        <v>14</v>
      </c>
      <c r="D333">
        <v>37</v>
      </c>
      <c r="E333" s="1">
        <v>41943</v>
      </c>
      <c r="F333">
        <v>2014</v>
      </c>
      <c r="G333" t="s">
        <v>5039</v>
      </c>
      <c r="H333">
        <v>31</v>
      </c>
      <c r="I333">
        <v>3.45</v>
      </c>
      <c r="J333">
        <v>0</v>
      </c>
      <c r="K333">
        <v>13480.64</v>
      </c>
      <c r="L333">
        <v>11</v>
      </c>
    </row>
    <row r="334" spans="1:12" x14ac:dyDescent="0.3">
      <c r="A334" t="s">
        <v>349</v>
      </c>
      <c r="B334" t="s">
        <v>13</v>
      </c>
      <c r="C334" t="s">
        <v>14</v>
      </c>
      <c r="D334">
        <v>55</v>
      </c>
      <c r="E334" s="1">
        <v>43223</v>
      </c>
      <c r="F334">
        <v>2018</v>
      </c>
      <c r="G334" t="s">
        <v>5036</v>
      </c>
      <c r="H334">
        <v>3</v>
      </c>
      <c r="I334">
        <v>2.62</v>
      </c>
      <c r="J334">
        <v>10</v>
      </c>
      <c r="K334">
        <v>4907.5</v>
      </c>
      <c r="L334">
        <v>7.5</v>
      </c>
    </row>
    <row r="335" spans="1:12" x14ac:dyDescent="0.3">
      <c r="A335" t="s">
        <v>350</v>
      </c>
      <c r="B335" t="s">
        <v>10</v>
      </c>
      <c r="C335" t="s">
        <v>14</v>
      </c>
      <c r="D335">
        <v>45</v>
      </c>
      <c r="E335" s="1">
        <v>40971</v>
      </c>
      <c r="F335">
        <v>2012</v>
      </c>
      <c r="G335" t="s">
        <v>5035</v>
      </c>
      <c r="H335">
        <v>3</v>
      </c>
      <c r="I335">
        <v>1.98</v>
      </c>
      <c r="J335">
        <v>10</v>
      </c>
      <c r="K335">
        <v>8522.94</v>
      </c>
      <c r="L335">
        <v>13.7</v>
      </c>
    </row>
    <row r="336" spans="1:12" x14ac:dyDescent="0.3">
      <c r="A336" t="s">
        <v>351</v>
      </c>
      <c r="B336" t="s">
        <v>10</v>
      </c>
      <c r="C336" t="s">
        <v>11</v>
      </c>
      <c r="D336">
        <v>54</v>
      </c>
      <c r="E336" s="1">
        <v>41166</v>
      </c>
      <c r="F336">
        <v>2012</v>
      </c>
      <c r="G336" t="s">
        <v>5033</v>
      </c>
      <c r="H336">
        <v>14</v>
      </c>
      <c r="I336">
        <v>4.08</v>
      </c>
      <c r="J336">
        <v>15</v>
      </c>
      <c r="K336">
        <v>11411.78</v>
      </c>
      <c r="L336">
        <v>13.1</v>
      </c>
    </row>
    <row r="337" spans="1:12" x14ac:dyDescent="0.3">
      <c r="A337" t="s">
        <v>352</v>
      </c>
      <c r="B337" t="s">
        <v>34</v>
      </c>
      <c r="C337" t="s">
        <v>14</v>
      </c>
      <c r="D337">
        <v>58</v>
      </c>
      <c r="E337" s="1">
        <v>43308</v>
      </c>
      <c r="F337">
        <v>2018</v>
      </c>
      <c r="G337" t="s">
        <v>5034</v>
      </c>
      <c r="H337">
        <v>27</v>
      </c>
      <c r="I337">
        <v>2.91</v>
      </c>
      <c r="J337">
        <v>5</v>
      </c>
      <c r="K337">
        <v>9424.06</v>
      </c>
      <c r="L337">
        <v>7.3</v>
      </c>
    </row>
    <row r="338" spans="1:12" x14ac:dyDescent="0.3">
      <c r="A338" t="s">
        <v>353</v>
      </c>
      <c r="B338" t="s">
        <v>24</v>
      </c>
      <c r="C338" t="s">
        <v>11</v>
      </c>
      <c r="D338">
        <v>24</v>
      </c>
      <c r="E338" s="1">
        <v>41156</v>
      </c>
      <c r="F338">
        <v>2012</v>
      </c>
      <c r="G338" t="s">
        <v>5033</v>
      </c>
      <c r="H338">
        <v>4</v>
      </c>
      <c r="I338">
        <v>4.04</v>
      </c>
      <c r="J338">
        <v>15</v>
      </c>
      <c r="K338">
        <v>12297.27</v>
      </c>
      <c r="L338">
        <v>13.2</v>
      </c>
    </row>
    <row r="339" spans="1:12" x14ac:dyDescent="0.3">
      <c r="A339" t="s">
        <v>354</v>
      </c>
      <c r="B339" t="s">
        <v>16</v>
      </c>
      <c r="C339" t="s">
        <v>14</v>
      </c>
      <c r="D339">
        <v>31</v>
      </c>
      <c r="E339" s="1">
        <v>43283</v>
      </c>
      <c r="F339">
        <v>2018</v>
      </c>
      <c r="G339" t="s">
        <v>5034</v>
      </c>
      <c r="H339">
        <v>2</v>
      </c>
      <c r="I339">
        <v>2.17</v>
      </c>
      <c r="J339">
        <v>4</v>
      </c>
      <c r="K339">
        <v>14141.18</v>
      </c>
      <c r="L339">
        <v>7.3</v>
      </c>
    </row>
    <row r="340" spans="1:12" x14ac:dyDescent="0.3">
      <c r="A340" t="s">
        <v>355</v>
      </c>
      <c r="B340" t="s">
        <v>18</v>
      </c>
      <c r="C340" t="s">
        <v>11</v>
      </c>
      <c r="D340">
        <v>36</v>
      </c>
      <c r="E340" s="1">
        <v>44089</v>
      </c>
      <c r="F340">
        <v>2020</v>
      </c>
      <c r="G340" t="s">
        <v>5033</v>
      </c>
      <c r="H340">
        <v>15</v>
      </c>
      <c r="I340">
        <v>2.56</v>
      </c>
      <c r="J340">
        <v>3</v>
      </c>
      <c r="K340">
        <v>4706.3500000000004</v>
      </c>
      <c r="L340">
        <v>5.0999999999999996</v>
      </c>
    </row>
    <row r="341" spans="1:12" x14ac:dyDescent="0.3">
      <c r="A341" t="s">
        <v>356</v>
      </c>
      <c r="B341" t="s">
        <v>34</v>
      </c>
      <c r="C341" t="s">
        <v>11</v>
      </c>
      <c r="D341">
        <v>31</v>
      </c>
      <c r="E341" s="1">
        <v>42953</v>
      </c>
      <c r="F341">
        <v>2017</v>
      </c>
      <c r="G341" t="s">
        <v>5031</v>
      </c>
      <c r="H341">
        <v>6</v>
      </c>
      <c r="I341">
        <v>4.9400000000000004</v>
      </c>
      <c r="J341">
        <v>9</v>
      </c>
      <c r="K341">
        <v>7021.06</v>
      </c>
      <c r="L341">
        <v>8.1999999999999993</v>
      </c>
    </row>
    <row r="342" spans="1:12" x14ac:dyDescent="0.3">
      <c r="A342" t="s">
        <v>357</v>
      </c>
      <c r="B342" t="s">
        <v>24</v>
      </c>
      <c r="C342" t="s">
        <v>14</v>
      </c>
      <c r="D342">
        <v>60</v>
      </c>
      <c r="E342" s="1">
        <v>43171</v>
      </c>
      <c r="F342">
        <v>2018</v>
      </c>
      <c r="G342" t="s">
        <v>5035</v>
      </c>
      <c r="H342">
        <v>12</v>
      </c>
      <c r="I342">
        <v>1.67</v>
      </c>
      <c r="J342">
        <v>9</v>
      </c>
      <c r="K342">
        <v>6977.47</v>
      </c>
      <c r="L342">
        <v>7.6</v>
      </c>
    </row>
    <row r="343" spans="1:12" x14ac:dyDescent="0.3">
      <c r="A343" t="s">
        <v>358</v>
      </c>
      <c r="B343" t="s">
        <v>10</v>
      </c>
      <c r="C343" t="s">
        <v>11</v>
      </c>
      <c r="D343">
        <v>37</v>
      </c>
      <c r="E343" s="1">
        <v>45113</v>
      </c>
      <c r="F343">
        <v>2023</v>
      </c>
      <c r="G343" t="s">
        <v>5034</v>
      </c>
      <c r="H343">
        <v>6</v>
      </c>
      <c r="I343">
        <v>4.2300000000000004</v>
      </c>
      <c r="J343">
        <v>8</v>
      </c>
      <c r="K343">
        <v>12192.46</v>
      </c>
      <c r="L343">
        <v>2.2999999999999998</v>
      </c>
    </row>
    <row r="344" spans="1:12" x14ac:dyDescent="0.3">
      <c r="A344" t="s">
        <v>359</v>
      </c>
      <c r="B344" t="s">
        <v>10</v>
      </c>
      <c r="C344" t="s">
        <v>11</v>
      </c>
      <c r="D344">
        <v>39</v>
      </c>
      <c r="E344" s="1">
        <v>42323</v>
      </c>
      <c r="F344">
        <v>2015</v>
      </c>
      <c r="G344" t="s">
        <v>5038</v>
      </c>
      <c r="H344">
        <v>15</v>
      </c>
      <c r="I344">
        <v>2.56</v>
      </c>
      <c r="J344">
        <v>11</v>
      </c>
      <c r="K344">
        <v>7241.35</v>
      </c>
      <c r="L344">
        <v>10</v>
      </c>
    </row>
    <row r="345" spans="1:12" x14ac:dyDescent="0.3">
      <c r="A345" t="s">
        <v>360</v>
      </c>
      <c r="B345" t="s">
        <v>34</v>
      </c>
      <c r="C345" t="s">
        <v>14</v>
      </c>
      <c r="D345">
        <v>47</v>
      </c>
      <c r="E345" s="1">
        <v>40390</v>
      </c>
      <c r="F345">
        <v>2010</v>
      </c>
      <c r="G345" t="s">
        <v>5034</v>
      </c>
      <c r="H345">
        <v>31</v>
      </c>
      <c r="I345">
        <v>3.78</v>
      </c>
      <c r="J345">
        <v>12</v>
      </c>
      <c r="K345">
        <v>10644.78</v>
      </c>
      <c r="L345">
        <v>15.3</v>
      </c>
    </row>
    <row r="346" spans="1:12" x14ac:dyDescent="0.3">
      <c r="A346" t="s">
        <v>361</v>
      </c>
      <c r="B346" t="s">
        <v>16</v>
      </c>
      <c r="C346" t="s">
        <v>14</v>
      </c>
      <c r="D346">
        <v>30</v>
      </c>
      <c r="E346" s="1">
        <v>42310</v>
      </c>
      <c r="F346">
        <v>2015</v>
      </c>
      <c r="G346" t="s">
        <v>5038</v>
      </c>
      <c r="H346">
        <v>2</v>
      </c>
      <c r="I346">
        <v>4.47</v>
      </c>
      <c r="J346">
        <v>15</v>
      </c>
      <c r="K346">
        <v>7526.42</v>
      </c>
      <c r="L346">
        <v>10</v>
      </c>
    </row>
    <row r="347" spans="1:12" x14ac:dyDescent="0.3">
      <c r="A347" t="s">
        <v>362</v>
      </c>
      <c r="B347" t="s">
        <v>13</v>
      </c>
      <c r="C347" t="s">
        <v>11</v>
      </c>
      <c r="D347">
        <v>44</v>
      </c>
      <c r="E347" s="1">
        <v>42872</v>
      </c>
      <c r="F347">
        <v>2017</v>
      </c>
      <c r="G347" t="s">
        <v>5036</v>
      </c>
      <c r="H347">
        <v>17</v>
      </c>
      <c r="I347">
        <v>4.2</v>
      </c>
      <c r="J347">
        <v>7</v>
      </c>
      <c r="K347">
        <v>14214.19</v>
      </c>
      <c r="L347">
        <v>8.5</v>
      </c>
    </row>
    <row r="348" spans="1:12" x14ac:dyDescent="0.3">
      <c r="A348" t="s">
        <v>363</v>
      </c>
      <c r="B348" t="s">
        <v>34</v>
      </c>
      <c r="C348" t="s">
        <v>14</v>
      </c>
      <c r="D348">
        <v>28</v>
      </c>
      <c r="E348" s="1">
        <v>40599</v>
      </c>
      <c r="F348">
        <v>2011</v>
      </c>
      <c r="G348" t="s">
        <v>5042</v>
      </c>
      <c r="H348">
        <v>25</v>
      </c>
      <c r="I348">
        <v>4.18</v>
      </c>
      <c r="J348">
        <v>4</v>
      </c>
      <c r="K348">
        <v>5753.6</v>
      </c>
      <c r="L348">
        <v>14.7</v>
      </c>
    </row>
    <row r="349" spans="1:12" x14ac:dyDescent="0.3">
      <c r="A349" t="s">
        <v>364</v>
      </c>
      <c r="B349" t="s">
        <v>18</v>
      </c>
      <c r="C349" t="s">
        <v>11</v>
      </c>
      <c r="D349">
        <v>46</v>
      </c>
      <c r="E349" s="1">
        <v>44982</v>
      </c>
      <c r="F349">
        <v>2023</v>
      </c>
      <c r="G349" t="s">
        <v>5042</v>
      </c>
      <c r="H349">
        <v>25</v>
      </c>
      <c r="I349">
        <v>2.5</v>
      </c>
      <c r="J349">
        <v>8</v>
      </c>
      <c r="K349">
        <v>10846.41</v>
      </c>
      <c r="L349">
        <v>2.7</v>
      </c>
    </row>
    <row r="350" spans="1:12" x14ac:dyDescent="0.3">
      <c r="A350" t="s">
        <v>365</v>
      </c>
      <c r="B350" t="s">
        <v>13</v>
      </c>
      <c r="C350" t="s">
        <v>11</v>
      </c>
      <c r="D350">
        <v>57</v>
      </c>
      <c r="E350" s="1">
        <v>42392</v>
      </c>
      <c r="F350">
        <v>2016</v>
      </c>
      <c r="G350" t="s">
        <v>5037</v>
      </c>
      <c r="H350">
        <v>23</v>
      </c>
      <c r="I350">
        <v>3.51</v>
      </c>
      <c r="J350">
        <v>12</v>
      </c>
      <c r="K350">
        <v>7612.95</v>
      </c>
      <c r="L350">
        <v>9.8000000000000007</v>
      </c>
    </row>
    <row r="351" spans="1:12" x14ac:dyDescent="0.3">
      <c r="A351" t="s">
        <v>366</v>
      </c>
      <c r="B351" t="s">
        <v>10</v>
      </c>
      <c r="C351" t="s">
        <v>14</v>
      </c>
      <c r="D351">
        <v>56</v>
      </c>
      <c r="E351" s="1">
        <v>40462</v>
      </c>
      <c r="F351">
        <v>2010</v>
      </c>
      <c r="G351" t="s">
        <v>5039</v>
      </c>
      <c r="H351">
        <v>11</v>
      </c>
      <c r="I351">
        <v>4.7300000000000004</v>
      </c>
      <c r="J351">
        <v>14</v>
      </c>
      <c r="K351">
        <v>5554.31</v>
      </c>
      <c r="L351">
        <v>15.1</v>
      </c>
    </row>
    <row r="352" spans="1:12" x14ac:dyDescent="0.3">
      <c r="A352" t="s">
        <v>367</v>
      </c>
      <c r="B352" t="s">
        <v>10</v>
      </c>
      <c r="C352" t="s">
        <v>11</v>
      </c>
      <c r="D352">
        <v>56</v>
      </c>
      <c r="E352" s="1">
        <v>41080</v>
      </c>
      <c r="F352">
        <v>2012</v>
      </c>
      <c r="G352" t="s">
        <v>5032</v>
      </c>
      <c r="H352">
        <v>20</v>
      </c>
      <c r="I352">
        <v>3.91</v>
      </c>
      <c r="J352">
        <v>6</v>
      </c>
      <c r="K352">
        <v>10989.48</v>
      </c>
      <c r="L352">
        <v>13.4</v>
      </c>
    </row>
    <row r="353" spans="1:12" x14ac:dyDescent="0.3">
      <c r="A353" t="s">
        <v>368</v>
      </c>
      <c r="B353" t="s">
        <v>18</v>
      </c>
      <c r="C353" t="s">
        <v>14</v>
      </c>
      <c r="D353">
        <v>23</v>
      </c>
      <c r="E353" s="1">
        <v>43602</v>
      </c>
      <c r="F353">
        <v>2019</v>
      </c>
      <c r="G353" t="s">
        <v>5036</v>
      </c>
      <c r="H353">
        <v>17</v>
      </c>
      <c r="I353">
        <v>2.2200000000000002</v>
      </c>
      <c r="J353">
        <v>0</v>
      </c>
      <c r="K353">
        <v>13832.89</v>
      </c>
      <c r="L353">
        <v>6.5</v>
      </c>
    </row>
    <row r="354" spans="1:12" x14ac:dyDescent="0.3">
      <c r="A354" t="s">
        <v>369</v>
      </c>
      <c r="B354" t="s">
        <v>24</v>
      </c>
      <c r="C354" t="s">
        <v>11</v>
      </c>
      <c r="D354">
        <v>26</v>
      </c>
      <c r="E354" s="1">
        <v>43941</v>
      </c>
      <c r="F354">
        <v>2020</v>
      </c>
      <c r="G354" t="s">
        <v>5040</v>
      </c>
      <c r="H354">
        <v>20</v>
      </c>
      <c r="I354">
        <v>4.57</v>
      </c>
      <c r="J354">
        <v>14</v>
      </c>
      <c r="K354">
        <v>8053.84</v>
      </c>
      <c r="L354">
        <v>5.5</v>
      </c>
    </row>
    <row r="355" spans="1:12" x14ac:dyDescent="0.3">
      <c r="A355" t="s">
        <v>370</v>
      </c>
      <c r="B355" t="s">
        <v>16</v>
      </c>
      <c r="C355" t="s">
        <v>11</v>
      </c>
      <c r="D355">
        <v>33</v>
      </c>
      <c r="E355" s="1">
        <v>40573</v>
      </c>
      <c r="F355">
        <v>2011</v>
      </c>
      <c r="G355" t="s">
        <v>5037</v>
      </c>
      <c r="H355">
        <v>30</v>
      </c>
      <c r="I355">
        <v>3</v>
      </c>
      <c r="J355">
        <v>8</v>
      </c>
      <c r="K355">
        <v>9712.2800000000007</v>
      </c>
      <c r="L355">
        <v>14.8</v>
      </c>
    </row>
    <row r="356" spans="1:12" x14ac:dyDescent="0.3">
      <c r="A356" t="s">
        <v>371</v>
      </c>
      <c r="B356" t="s">
        <v>34</v>
      </c>
      <c r="C356" t="s">
        <v>11</v>
      </c>
      <c r="D356">
        <v>36</v>
      </c>
      <c r="E356" s="1">
        <v>40811</v>
      </c>
      <c r="F356">
        <v>2011</v>
      </c>
      <c r="G356" t="s">
        <v>5033</v>
      </c>
      <c r="H356">
        <v>25</v>
      </c>
      <c r="I356">
        <v>1.92</v>
      </c>
      <c r="J356">
        <v>3</v>
      </c>
      <c r="K356">
        <v>6567.14</v>
      </c>
      <c r="L356">
        <v>14.1</v>
      </c>
    </row>
    <row r="357" spans="1:12" x14ac:dyDescent="0.3">
      <c r="A357" t="s">
        <v>372</v>
      </c>
      <c r="B357" t="s">
        <v>34</v>
      </c>
      <c r="C357" t="s">
        <v>11</v>
      </c>
      <c r="D357">
        <v>33</v>
      </c>
      <c r="E357" s="1">
        <v>42080</v>
      </c>
      <c r="F357">
        <v>2015</v>
      </c>
      <c r="G357" t="s">
        <v>5035</v>
      </c>
      <c r="H357">
        <v>17</v>
      </c>
      <c r="I357">
        <v>2.68</v>
      </c>
      <c r="J357">
        <v>2</v>
      </c>
      <c r="K357">
        <v>4184.7299999999996</v>
      </c>
      <c r="L357">
        <v>10.6</v>
      </c>
    </row>
    <row r="358" spans="1:12" x14ac:dyDescent="0.3">
      <c r="A358" t="s">
        <v>373</v>
      </c>
      <c r="B358" t="s">
        <v>13</v>
      </c>
      <c r="C358" t="s">
        <v>14</v>
      </c>
      <c r="D358">
        <v>47</v>
      </c>
      <c r="E358" s="1">
        <v>41804</v>
      </c>
      <c r="F358">
        <v>2014</v>
      </c>
      <c r="G358" t="s">
        <v>5032</v>
      </c>
      <c r="H358">
        <v>14</v>
      </c>
      <c r="I358">
        <v>4.6399999999999997</v>
      </c>
      <c r="J358">
        <v>9</v>
      </c>
      <c r="K358">
        <v>6113.92</v>
      </c>
      <c r="L358">
        <v>11.4</v>
      </c>
    </row>
    <row r="359" spans="1:12" x14ac:dyDescent="0.3">
      <c r="A359" t="s">
        <v>374</v>
      </c>
      <c r="B359" t="s">
        <v>34</v>
      </c>
      <c r="C359" t="s">
        <v>14</v>
      </c>
      <c r="D359">
        <v>46</v>
      </c>
      <c r="E359" s="1">
        <v>41274</v>
      </c>
      <c r="F359">
        <v>2012</v>
      </c>
      <c r="G359" t="s">
        <v>5041</v>
      </c>
      <c r="H359">
        <v>31</v>
      </c>
      <c r="I359">
        <v>4.33</v>
      </c>
      <c r="J359">
        <v>14</v>
      </c>
      <c r="K359">
        <v>5567.36</v>
      </c>
      <c r="L359">
        <v>12.8</v>
      </c>
    </row>
    <row r="360" spans="1:12" x14ac:dyDescent="0.3">
      <c r="A360" t="s">
        <v>375</v>
      </c>
      <c r="B360" t="s">
        <v>18</v>
      </c>
      <c r="C360" t="s">
        <v>14</v>
      </c>
      <c r="D360">
        <v>58</v>
      </c>
      <c r="E360" s="1">
        <v>40466</v>
      </c>
      <c r="F360">
        <v>2010</v>
      </c>
      <c r="G360" t="s">
        <v>5039</v>
      </c>
      <c r="H360">
        <v>15</v>
      </c>
      <c r="I360">
        <v>3.2</v>
      </c>
      <c r="J360">
        <v>1</v>
      </c>
      <c r="K360">
        <v>9854.41</v>
      </c>
      <c r="L360">
        <v>15.1</v>
      </c>
    </row>
    <row r="361" spans="1:12" x14ac:dyDescent="0.3">
      <c r="A361" t="s">
        <v>376</v>
      </c>
      <c r="B361" t="s">
        <v>24</v>
      </c>
      <c r="C361" t="s">
        <v>11</v>
      </c>
      <c r="D361">
        <v>23</v>
      </c>
      <c r="E361" s="1">
        <v>40211</v>
      </c>
      <c r="F361">
        <v>2010</v>
      </c>
      <c r="G361" t="s">
        <v>5042</v>
      </c>
      <c r="H361">
        <v>2</v>
      </c>
      <c r="I361">
        <v>1.99</v>
      </c>
      <c r="J361">
        <v>0</v>
      </c>
      <c r="K361">
        <v>10941.6</v>
      </c>
      <c r="L361">
        <v>15.8</v>
      </c>
    </row>
    <row r="362" spans="1:12" x14ac:dyDescent="0.3">
      <c r="A362" t="s">
        <v>377</v>
      </c>
      <c r="B362" t="s">
        <v>16</v>
      </c>
      <c r="C362" t="s">
        <v>11</v>
      </c>
      <c r="D362">
        <v>51</v>
      </c>
      <c r="E362" s="1">
        <v>45153</v>
      </c>
      <c r="F362">
        <v>2023</v>
      </c>
      <c r="G362" t="s">
        <v>5031</v>
      </c>
      <c r="H362">
        <v>15</v>
      </c>
      <c r="I362">
        <v>3.23</v>
      </c>
      <c r="J362">
        <v>11</v>
      </c>
      <c r="K362">
        <v>11485.75</v>
      </c>
      <c r="L362">
        <v>2.2000000000000002</v>
      </c>
    </row>
    <row r="363" spans="1:12" x14ac:dyDescent="0.3">
      <c r="A363" t="s">
        <v>378</v>
      </c>
      <c r="B363" t="s">
        <v>18</v>
      </c>
      <c r="C363" t="s">
        <v>14</v>
      </c>
      <c r="D363">
        <v>59</v>
      </c>
      <c r="E363" s="1">
        <v>41136</v>
      </c>
      <c r="F363">
        <v>2012</v>
      </c>
      <c r="G363" t="s">
        <v>5031</v>
      </c>
      <c r="H363">
        <v>15</v>
      </c>
      <c r="I363">
        <v>3.97</v>
      </c>
      <c r="J363">
        <v>4</v>
      </c>
      <c r="K363">
        <v>4912.93</v>
      </c>
      <c r="L363">
        <v>13.2</v>
      </c>
    </row>
    <row r="364" spans="1:12" x14ac:dyDescent="0.3">
      <c r="A364" t="s">
        <v>379</v>
      </c>
      <c r="B364" t="s">
        <v>16</v>
      </c>
      <c r="C364" t="s">
        <v>11</v>
      </c>
      <c r="D364">
        <v>47</v>
      </c>
      <c r="E364" s="1">
        <v>42012</v>
      </c>
      <c r="F364">
        <v>2015</v>
      </c>
      <c r="G364" t="s">
        <v>5037</v>
      </c>
      <c r="H364">
        <v>8</v>
      </c>
      <c r="I364">
        <v>2.74</v>
      </c>
      <c r="J364">
        <v>14</v>
      </c>
      <c r="K364">
        <v>10581.92</v>
      </c>
      <c r="L364">
        <v>10.8</v>
      </c>
    </row>
    <row r="365" spans="1:12" x14ac:dyDescent="0.3">
      <c r="A365" t="s">
        <v>380</v>
      </c>
      <c r="B365" t="s">
        <v>18</v>
      </c>
      <c r="C365" t="s">
        <v>14</v>
      </c>
      <c r="D365">
        <v>50</v>
      </c>
      <c r="E365" s="1">
        <v>44565</v>
      </c>
      <c r="F365">
        <v>2022</v>
      </c>
      <c r="G365" t="s">
        <v>5037</v>
      </c>
      <c r="H365">
        <v>4</v>
      </c>
      <c r="I365">
        <v>4.95</v>
      </c>
      <c r="J365">
        <v>0</v>
      </c>
      <c r="K365">
        <v>11716.94</v>
      </c>
      <c r="L365">
        <v>3.8</v>
      </c>
    </row>
    <row r="366" spans="1:12" x14ac:dyDescent="0.3">
      <c r="A366" t="s">
        <v>381</v>
      </c>
      <c r="B366" t="s">
        <v>24</v>
      </c>
      <c r="C366" t="s">
        <v>14</v>
      </c>
      <c r="D366">
        <v>57</v>
      </c>
      <c r="E366" s="1">
        <v>40981</v>
      </c>
      <c r="F366">
        <v>2012</v>
      </c>
      <c r="G366" t="s">
        <v>5035</v>
      </c>
      <c r="H366">
        <v>13</v>
      </c>
      <c r="I366">
        <v>3.72</v>
      </c>
      <c r="J366">
        <v>14</v>
      </c>
      <c r="K366">
        <v>11812.97</v>
      </c>
      <c r="L366">
        <v>13.6</v>
      </c>
    </row>
    <row r="367" spans="1:12" x14ac:dyDescent="0.3">
      <c r="A367" t="s">
        <v>382</v>
      </c>
      <c r="B367" t="s">
        <v>13</v>
      </c>
      <c r="C367" t="s">
        <v>14</v>
      </c>
      <c r="D367">
        <v>39</v>
      </c>
      <c r="E367" s="1">
        <v>42088</v>
      </c>
      <c r="F367">
        <v>2015</v>
      </c>
      <c r="G367" t="s">
        <v>5035</v>
      </c>
      <c r="H367">
        <v>25</v>
      </c>
      <c r="I367">
        <v>4.51</v>
      </c>
      <c r="J367">
        <v>8</v>
      </c>
      <c r="K367">
        <v>9755.0499999999993</v>
      </c>
      <c r="L367">
        <v>10.6</v>
      </c>
    </row>
    <row r="368" spans="1:12" x14ac:dyDescent="0.3">
      <c r="A368" t="s">
        <v>383</v>
      </c>
      <c r="B368" t="s">
        <v>16</v>
      </c>
      <c r="C368" t="s">
        <v>11</v>
      </c>
      <c r="D368">
        <v>51</v>
      </c>
      <c r="E368" s="1">
        <v>45411</v>
      </c>
      <c r="F368">
        <v>2024</v>
      </c>
      <c r="G368" t="s">
        <v>5040</v>
      </c>
      <c r="H368">
        <v>29</v>
      </c>
      <c r="I368">
        <v>2.68</v>
      </c>
      <c r="J368">
        <v>1</v>
      </c>
      <c r="K368">
        <v>13534.6</v>
      </c>
      <c r="L368">
        <v>1.5</v>
      </c>
    </row>
    <row r="369" spans="1:12" x14ac:dyDescent="0.3">
      <c r="A369" t="s">
        <v>384</v>
      </c>
      <c r="B369" t="s">
        <v>16</v>
      </c>
      <c r="C369" t="s">
        <v>11</v>
      </c>
      <c r="D369">
        <v>32</v>
      </c>
      <c r="E369" s="1">
        <v>43100</v>
      </c>
      <c r="F369">
        <v>2017</v>
      </c>
      <c r="G369" t="s">
        <v>5041</v>
      </c>
      <c r="H369">
        <v>31</v>
      </c>
      <c r="I369">
        <v>2.68</v>
      </c>
      <c r="J369">
        <v>13</v>
      </c>
      <c r="K369">
        <v>10646.82</v>
      </c>
      <c r="L369">
        <v>7.8</v>
      </c>
    </row>
    <row r="370" spans="1:12" x14ac:dyDescent="0.3">
      <c r="A370" t="s">
        <v>385</v>
      </c>
      <c r="B370" t="s">
        <v>16</v>
      </c>
      <c r="C370" t="s">
        <v>14</v>
      </c>
      <c r="D370">
        <v>33</v>
      </c>
      <c r="E370" s="1">
        <v>45126</v>
      </c>
      <c r="F370">
        <v>2023</v>
      </c>
      <c r="G370" t="s">
        <v>5034</v>
      </c>
      <c r="H370">
        <v>19</v>
      </c>
      <c r="I370">
        <v>2.08</v>
      </c>
      <c r="J370">
        <v>15</v>
      </c>
      <c r="K370">
        <v>13261.45</v>
      </c>
      <c r="L370">
        <v>2.2999999999999998</v>
      </c>
    </row>
    <row r="371" spans="1:12" x14ac:dyDescent="0.3">
      <c r="A371" t="s">
        <v>386</v>
      </c>
      <c r="B371" t="s">
        <v>34</v>
      </c>
      <c r="C371" t="s">
        <v>14</v>
      </c>
      <c r="D371">
        <v>32</v>
      </c>
      <c r="E371" s="1">
        <v>40887</v>
      </c>
      <c r="F371">
        <v>2011</v>
      </c>
      <c r="G371" t="s">
        <v>5041</v>
      </c>
      <c r="H371">
        <v>10</v>
      </c>
      <c r="I371">
        <v>2.14</v>
      </c>
      <c r="J371">
        <v>7</v>
      </c>
      <c r="K371">
        <v>3675.42</v>
      </c>
      <c r="L371">
        <v>13.9</v>
      </c>
    </row>
    <row r="372" spans="1:12" x14ac:dyDescent="0.3">
      <c r="A372" t="s">
        <v>387</v>
      </c>
      <c r="B372" t="s">
        <v>13</v>
      </c>
      <c r="C372" t="s">
        <v>14</v>
      </c>
      <c r="D372">
        <v>45</v>
      </c>
      <c r="E372" s="1">
        <v>40893</v>
      </c>
      <c r="F372">
        <v>2011</v>
      </c>
      <c r="G372" t="s">
        <v>5041</v>
      </c>
      <c r="H372">
        <v>16</v>
      </c>
      <c r="I372">
        <v>1.88</v>
      </c>
      <c r="J372">
        <v>6</v>
      </c>
      <c r="K372">
        <v>5315.09</v>
      </c>
      <c r="L372">
        <v>13.9</v>
      </c>
    </row>
    <row r="373" spans="1:12" x14ac:dyDescent="0.3">
      <c r="A373" t="s">
        <v>388</v>
      </c>
      <c r="B373" t="s">
        <v>13</v>
      </c>
      <c r="C373" t="s">
        <v>14</v>
      </c>
      <c r="D373">
        <v>23</v>
      </c>
      <c r="E373" s="1">
        <v>41273</v>
      </c>
      <c r="F373">
        <v>2012</v>
      </c>
      <c r="G373" t="s">
        <v>5041</v>
      </c>
      <c r="H373">
        <v>30</v>
      </c>
      <c r="I373">
        <v>4.32</v>
      </c>
      <c r="J373">
        <v>12</v>
      </c>
      <c r="K373">
        <v>10346.870000000001</v>
      </c>
      <c r="L373">
        <v>12.8</v>
      </c>
    </row>
    <row r="374" spans="1:12" x14ac:dyDescent="0.3">
      <c r="A374" t="s">
        <v>389</v>
      </c>
      <c r="B374" t="s">
        <v>34</v>
      </c>
      <c r="C374" t="s">
        <v>14</v>
      </c>
      <c r="D374">
        <v>54</v>
      </c>
      <c r="E374" s="1">
        <v>44322</v>
      </c>
      <c r="F374">
        <v>2021</v>
      </c>
      <c r="G374" t="s">
        <v>5036</v>
      </c>
      <c r="H374">
        <v>6</v>
      </c>
      <c r="I374">
        <v>4.03</v>
      </c>
      <c r="J374">
        <v>9</v>
      </c>
      <c r="K374">
        <v>3128.85</v>
      </c>
      <c r="L374">
        <v>4.5</v>
      </c>
    </row>
    <row r="375" spans="1:12" x14ac:dyDescent="0.3">
      <c r="A375" t="s">
        <v>390</v>
      </c>
      <c r="B375" t="s">
        <v>34</v>
      </c>
      <c r="C375" t="s">
        <v>11</v>
      </c>
      <c r="D375">
        <v>44</v>
      </c>
      <c r="E375" s="1">
        <v>43027</v>
      </c>
      <c r="F375">
        <v>2017</v>
      </c>
      <c r="G375" t="s">
        <v>5039</v>
      </c>
      <c r="H375">
        <v>19</v>
      </c>
      <c r="I375">
        <v>1.73</v>
      </c>
      <c r="J375">
        <v>13</v>
      </c>
      <c r="K375">
        <v>13149.67</v>
      </c>
      <c r="L375">
        <v>8</v>
      </c>
    </row>
    <row r="376" spans="1:12" x14ac:dyDescent="0.3">
      <c r="A376" t="s">
        <v>391</v>
      </c>
      <c r="B376" t="s">
        <v>16</v>
      </c>
      <c r="C376" t="s">
        <v>14</v>
      </c>
      <c r="D376">
        <v>33</v>
      </c>
      <c r="E376" s="1">
        <v>43213</v>
      </c>
      <c r="F376">
        <v>2018</v>
      </c>
      <c r="G376" t="s">
        <v>5040</v>
      </c>
      <c r="H376">
        <v>23</v>
      </c>
      <c r="I376">
        <v>4.5999999999999996</v>
      </c>
      <c r="J376">
        <v>0</v>
      </c>
      <c r="K376">
        <v>4611.1499999999996</v>
      </c>
      <c r="L376">
        <v>7.5</v>
      </c>
    </row>
    <row r="377" spans="1:12" x14ac:dyDescent="0.3">
      <c r="A377" t="s">
        <v>392</v>
      </c>
      <c r="B377" t="s">
        <v>16</v>
      </c>
      <c r="C377" t="s">
        <v>11</v>
      </c>
      <c r="D377">
        <v>54</v>
      </c>
      <c r="E377" s="1">
        <v>45521</v>
      </c>
      <c r="F377">
        <v>2024</v>
      </c>
      <c r="G377" t="s">
        <v>5031</v>
      </c>
      <c r="H377">
        <v>17</v>
      </c>
      <c r="I377">
        <v>3.94</v>
      </c>
      <c r="J377">
        <v>0</v>
      </c>
      <c r="K377">
        <v>6462.09</v>
      </c>
      <c r="L377">
        <v>1.2</v>
      </c>
    </row>
    <row r="378" spans="1:12" x14ac:dyDescent="0.3">
      <c r="A378" t="s">
        <v>393</v>
      </c>
      <c r="B378" t="s">
        <v>16</v>
      </c>
      <c r="C378" t="s">
        <v>11</v>
      </c>
      <c r="D378">
        <v>56</v>
      </c>
      <c r="E378" s="1">
        <v>40613</v>
      </c>
      <c r="F378">
        <v>2011</v>
      </c>
      <c r="G378" t="s">
        <v>5035</v>
      </c>
      <c r="H378">
        <v>11</v>
      </c>
      <c r="I378">
        <v>4.83</v>
      </c>
      <c r="J378">
        <v>1</v>
      </c>
      <c r="K378">
        <v>5292.3</v>
      </c>
      <c r="L378">
        <v>14.7</v>
      </c>
    </row>
    <row r="379" spans="1:12" x14ac:dyDescent="0.3">
      <c r="A379" t="s">
        <v>394</v>
      </c>
      <c r="B379" t="s">
        <v>18</v>
      </c>
      <c r="C379" t="s">
        <v>11</v>
      </c>
      <c r="D379">
        <v>55</v>
      </c>
      <c r="E379" s="1">
        <v>43297</v>
      </c>
      <c r="F379">
        <v>2018</v>
      </c>
      <c r="G379" t="s">
        <v>5034</v>
      </c>
      <c r="H379">
        <v>16</v>
      </c>
      <c r="I379">
        <v>4.17</v>
      </c>
      <c r="J379">
        <v>0</v>
      </c>
      <c r="K379">
        <v>4153.74</v>
      </c>
      <c r="L379">
        <v>7.3</v>
      </c>
    </row>
    <row r="380" spans="1:12" x14ac:dyDescent="0.3">
      <c r="A380" t="s">
        <v>395</v>
      </c>
      <c r="B380" t="s">
        <v>16</v>
      </c>
      <c r="C380" t="s">
        <v>14</v>
      </c>
      <c r="D380">
        <v>59</v>
      </c>
      <c r="E380" s="1">
        <v>40839</v>
      </c>
      <c r="F380">
        <v>2011</v>
      </c>
      <c r="G380" t="s">
        <v>5039</v>
      </c>
      <c r="H380">
        <v>23</v>
      </c>
      <c r="I380">
        <v>2.61</v>
      </c>
      <c r="J380">
        <v>10</v>
      </c>
      <c r="K380">
        <v>4804.37</v>
      </c>
      <c r="L380">
        <v>14</v>
      </c>
    </row>
    <row r="381" spans="1:12" x14ac:dyDescent="0.3">
      <c r="A381" t="s">
        <v>396</v>
      </c>
      <c r="B381" t="s">
        <v>24</v>
      </c>
      <c r="C381" t="s">
        <v>14</v>
      </c>
      <c r="D381">
        <v>34</v>
      </c>
      <c r="E381" s="1">
        <v>42529</v>
      </c>
      <c r="F381">
        <v>2016</v>
      </c>
      <c r="G381" t="s">
        <v>5032</v>
      </c>
      <c r="H381">
        <v>8</v>
      </c>
      <c r="I381">
        <v>4.26</v>
      </c>
      <c r="J381">
        <v>5</v>
      </c>
      <c r="K381">
        <v>13196.87</v>
      </c>
      <c r="L381">
        <v>9.4</v>
      </c>
    </row>
    <row r="382" spans="1:12" x14ac:dyDescent="0.3">
      <c r="A382" t="s">
        <v>397</v>
      </c>
      <c r="B382" t="s">
        <v>10</v>
      </c>
      <c r="C382" t="s">
        <v>11</v>
      </c>
      <c r="D382">
        <v>23</v>
      </c>
      <c r="E382" s="1">
        <v>42457</v>
      </c>
      <c r="F382">
        <v>2016</v>
      </c>
      <c r="G382" t="s">
        <v>5035</v>
      </c>
      <c r="H382">
        <v>28</v>
      </c>
      <c r="I382">
        <v>4.71</v>
      </c>
      <c r="J382">
        <v>8</v>
      </c>
      <c r="K382">
        <v>13518.56</v>
      </c>
      <c r="L382">
        <v>9.6</v>
      </c>
    </row>
    <row r="383" spans="1:12" x14ac:dyDescent="0.3">
      <c r="A383" t="s">
        <v>398</v>
      </c>
      <c r="B383" t="s">
        <v>18</v>
      </c>
      <c r="C383" t="s">
        <v>11</v>
      </c>
      <c r="D383">
        <v>56</v>
      </c>
      <c r="E383" s="1">
        <v>42423</v>
      </c>
      <c r="F383">
        <v>2016</v>
      </c>
      <c r="G383" t="s">
        <v>5042</v>
      </c>
      <c r="H383">
        <v>23</v>
      </c>
      <c r="I383">
        <v>3.26</v>
      </c>
      <c r="J383">
        <v>3</v>
      </c>
      <c r="K383">
        <v>7747.97</v>
      </c>
      <c r="L383">
        <v>9.6999999999999993</v>
      </c>
    </row>
    <row r="384" spans="1:12" x14ac:dyDescent="0.3">
      <c r="A384" t="s">
        <v>399</v>
      </c>
      <c r="B384" t="s">
        <v>13</v>
      </c>
      <c r="C384" t="s">
        <v>14</v>
      </c>
      <c r="D384">
        <v>35</v>
      </c>
      <c r="E384" s="1">
        <v>40459</v>
      </c>
      <c r="F384">
        <v>2010</v>
      </c>
      <c r="G384" t="s">
        <v>5039</v>
      </c>
      <c r="H384">
        <v>8</v>
      </c>
      <c r="I384">
        <v>3.85</v>
      </c>
      <c r="J384">
        <v>7</v>
      </c>
      <c r="K384">
        <v>9508.4500000000007</v>
      </c>
      <c r="L384">
        <v>15.1</v>
      </c>
    </row>
    <row r="385" spans="1:12" x14ac:dyDescent="0.3">
      <c r="A385" t="s">
        <v>400</v>
      </c>
      <c r="B385" t="s">
        <v>34</v>
      </c>
      <c r="C385" t="s">
        <v>11</v>
      </c>
      <c r="D385">
        <v>23</v>
      </c>
      <c r="E385" s="1">
        <v>45499</v>
      </c>
      <c r="F385">
        <v>2024</v>
      </c>
      <c r="G385" t="s">
        <v>5034</v>
      </c>
      <c r="H385">
        <v>26</v>
      </c>
      <c r="I385">
        <v>1.58</v>
      </c>
      <c r="J385">
        <v>1</v>
      </c>
      <c r="K385">
        <v>9128.7999999999993</v>
      </c>
      <c r="L385">
        <v>1.3</v>
      </c>
    </row>
    <row r="386" spans="1:12" x14ac:dyDescent="0.3">
      <c r="A386" t="s">
        <v>401</v>
      </c>
      <c r="B386" t="s">
        <v>10</v>
      </c>
      <c r="C386" t="s">
        <v>11</v>
      </c>
      <c r="D386">
        <v>22</v>
      </c>
      <c r="E386" s="1">
        <v>43768</v>
      </c>
      <c r="F386">
        <v>2019</v>
      </c>
      <c r="G386" t="s">
        <v>5039</v>
      </c>
      <c r="H386">
        <v>30</v>
      </c>
      <c r="I386">
        <v>4.63</v>
      </c>
      <c r="J386">
        <v>7</v>
      </c>
      <c r="K386">
        <v>14922.75</v>
      </c>
      <c r="L386">
        <v>6</v>
      </c>
    </row>
    <row r="387" spans="1:12" x14ac:dyDescent="0.3">
      <c r="A387" t="s">
        <v>402</v>
      </c>
      <c r="B387" t="s">
        <v>10</v>
      </c>
      <c r="C387" t="s">
        <v>11</v>
      </c>
      <c r="D387">
        <v>38</v>
      </c>
      <c r="E387" s="1">
        <v>42247</v>
      </c>
      <c r="F387">
        <v>2015</v>
      </c>
      <c r="G387" t="s">
        <v>5031</v>
      </c>
      <c r="H387">
        <v>31</v>
      </c>
      <c r="I387">
        <v>4.8</v>
      </c>
      <c r="J387">
        <v>9</v>
      </c>
      <c r="K387">
        <v>14088.26</v>
      </c>
      <c r="L387">
        <v>10.199999999999999</v>
      </c>
    </row>
    <row r="388" spans="1:12" x14ac:dyDescent="0.3">
      <c r="A388" t="s">
        <v>403</v>
      </c>
      <c r="B388" t="s">
        <v>10</v>
      </c>
      <c r="C388" t="s">
        <v>11</v>
      </c>
      <c r="D388">
        <v>56</v>
      </c>
      <c r="E388" s="1">
        <v>42759</v>
      </c>
      <c r="F388">
        <v>2017</v>
      </c>
      <c r="G388" t="s">
        <v>5037</v>
      </c>
      <c r="H388">
        <v>24</v>
      </c>
      <c r="I388">
        <v>3.72</v>
      </c>
      <c r="J388">
        <v>4</v>
      </c>
      <c r="K388">
        <v>9112.5400000000009</v>
      </c>
      <c r="L388">
        <v>8.8000000000000007</v>
      </c>
    </row>
    <row r="389" spans="1:12" x14ac:dyDescent="0.3">
      <c r="A389" t="s">
        <v>404</v>
      </c>
      <c r="B389" t="s">
        <v>16</v>
      </c>
      <c r="C389" t="s">
        <v>14</v>
      </c>
      <c r="D389">
        <v>42</v>
      </c>
      <c r="E389" s="1">
        <v>43509</v>
      </c>
      <c r="F389">
        <v>2019</v>
      </c>
      <c r="G389" t="s">
        <v>5042</v>
      </c>
      <c r="H389">
        <v>13</v>
      </c>
      <c r="I389">
        <v>2.89</v>
      </c>
      <c r="J389">
        <v>12</v>
      </c>
      <c r="K389">
        <v>3734.72</v>
      </c>
      <c r="L389">
        <v>6.7</v>
      </c>
    </row>
    <row r="390" spans="1:12" x14ac:dyDescent="0.3">
      <c r="A390" t="s">
        <v>405</v>
      </c>
      <c r="B390" t="s">
        <v>10</v>
      </c>
      <c r="C390" t="s">
        <v>14</v>
      </c>
      <c r="D390">
        <v>51</v>
      </c>
      <c r="E390" s="1">
        <v>44723</v>
      </c>
      <c r="F390">
        <v>2022</v>
      </c>
      <c r="G390" t="s">
        <v>5032</v>
      </c>
      <c r="H390">
        <v>11</v>
      </c>
      <c r="I390">
        <v>4.4000000000000004</v>
      </c>
      <c r="J390">
        <v>5</v>
      </c>
      <c r="K390">
        <v>9767.85</v>
      </c>
      <c r="L390">
        <v>3.4</v>
      </c>
    </row>
    <row r="391" spans="1:12" x14ac:dyDescent="0.3">
      <c r="A391" t="s">
        <v>406</v>
      </c>
      <c r="B391" t="s">
        <v>10</v>
      </c>
      <c r="C391" t="s">
        <v>11</v>
      </c>
      <c r="D391">
        <v>42</v>
      </c>
      <c r="E391" s="1">
        <v>41065</v>
      </c>
      <c r="F391">
        <v>2012</v>
      </c>
      <c r="G391" t="s">
        <v>5032</v>
      </c>
      <c r="H391">
        <v>5</v>
      </c>
      <c r="I391">
        <v>4.76</v>
      </c>
      <c r="J391">
        <v>7</v>
      </c>
      <c r="K391">
        <v>11842.86</v>
      </c>
      <c r="L391">
        <v>13.4</v>
      </c>
    </row>
    <row r="392" spans="1:12" x14ac:dyDescent="0.3">
      <c r="A392" t="s">
        <v>407</v>
      </c>
      <c r="B392" t="s">
        <v>10</v>
      </c>
      <c r="C392" t="s">
        <v>11</v>
      </c>
      <c r="D392">
        <v>23</v>
      </c>
      <c r="E392" s="1">
        <v>42349</v>
      </c>
      <c r="F392">
        <v>2015</v>
      </c>
      <c r="G392" t="s">
        <v>5041</v>
      </c>
      <c r="H392">
        <v>11</v>
      </c>
      <c r="I392">
        <v>2.2999999999999998</v>
      </c>
      <c r="J392">
        <v>0</v>
      </c>
      <c r="K392">
        <v>5669.52</v>
      </c>
      <c r="L392">
        <v>9.9</v>
      </c>
    </row>
    <row r="393" spans="1:12" x14ac:dyDescent="0.3">
      <c r="A393" t="s">
        <v>408</v>
      </c>
      <c r="B393" t="s">
        <v>13</v>
      </c>
      <c r="C393" t="s">
        <v>11</v>
      </c>
      <c r="D393">
        <v>49</v>
      </c>
      <c r="E393" s="1">
        <v>45275</v>
      </c>
      <c r="F393">
        <v>2023</v>
      </c>
      <c r="G393" t="s">
        <v>5041</v>
      </c>
      <c r="H393">
        <v>15</v>
      </c>
      <c r="I393">
        <v>3.49</v>
      </c>
      <c r="J393">
        <v>1</v>
      </c>
      <c r="K393">
        <v>7956.48</v>
      </c>
      <c r="L393">
        <v>1.9</v>
      </c>
    </row>
    <row r="394" spans="1:12" x14ac:dyDescent="0.3">
      <c r="A394" t="s">
        <v>409</v>
      </c>
      <c r="B394" t="s">
        <v>34</v>
      </c>
      <c r="C394" t="s">
        <v>11</v>
      </c>
      <c r="D394">
        <v>43</v>
      </c>
      <c r="E394" s="1">
        <v>42874</v>
      </c>
      <c r="F394">
        <v>2017</v>
      </c>
      <c r="G394" t="s">
        <v>5036</v>
      </c>
      <c r="H394">
        <v>19</v>
      </c>
      <c r="I394">
        <v>4.92</v>
      </c>
      <c r="J394">
        <v>4</v>
      </c>
      <c r="K394">
        <v>11944.49</v>
      </c>
      <c r="L394">
        <v>8.5</v>
      </c>
    </row>
    <row r="395" spans="1:12" x14ac:dyDescent="0.3">
      <c r="A395" t="s">
        <v>410</v>
      </c>
      <c r="B395" t="s">
        <v>13</v>
      </c>
      <c r="C395" t="s">
        <v>14</v>
      </c>
      <c r="D395">
        <v>55</v>
      </c>
      <c r="E395" s="1">
        <v>41271</v>
      </c>
      <c r="F395">
        <v>2012</v>
      </c>
      <c r="G395" t="s">
        <v>5041</v>
      </c>
      <c r="H395">
        <v>28</v>
      </c>
      <c r="I395">
        <v>4.1900000000000004</v>
      </c>
      <c r="J395">
        <v>2</v>
      </c>
      <c r="K395">
        <v>6455.44</v>
      </c>
      <c r="L395">
        <v>12.9</v>
      </c>
    </row>
    <row r="396" spans="1:12" x14ac:dyDescent="0.3">
      <c r="A396" t="s">
        <v>411</v>
      </c>
      <c r="B396" t="s">
        <v>13</v>
      </c>
      <c r="C396" t="s">
        <v>14</v>
      </c>
      <c r="D396">
        <v>31</v>
      </c>
      <c r="E396" s="1">
        <v>44097</v>
      </c>
      <c r="F396">
        <v>2020</v>
      </c>
      <c r="G396" t="s">
        <v>5033</v>
      </c>
      <c r="H396">
        <v>23</v>
      </c>
      <c r="I396">
        <v>4.2699999999999996</v>
      </c>
      <c r="J396">
        <v>13</v>
      </c>
      <c r="K396">
        <v>4630.8900000000003</v>
      </c>
      <c r="L396">
        <v>5.0999999999999996</v>
      </c>
    </row>
    <row r="397" spans="1:12" x14ac:dyDescent="0.3">
      <c r="A397" t="s">
        <v>412</v>
      </c>
      <c r="B397" t="s">
        <v>34</v>
      </c>
      <c r="C397" t="s">
        <v>11</v>
      </c>
      <c r="D397">
        <v>25</v>
      </c>
      <c r="E397" s="1">
        <v>43582</v>
      </c>
      <c r="F397">
        <v>2019</v>
      </c>
      <c r="G397" t="s">
        <v>5040</v>
      </c>
      <c r="H397">
        <v>27</v>
      </c>
      <c r="I397">
        <v>1.51</v>
      </c>
      <c r="J397">
        <v>8</v>
      </c>
      <c r="K397">
        <v>11557.43</v>
      </c>
      <c r="L397">
        <v>6.5</v>
      </c>
    </row>
    <row r="398" spans="1:12" x14ac:dyDescent="0.3">
      <c r="A398" t="s">
        <v>413</v>
      </c>
      <c r="B398" t="s">
        <v>18</v>
      </c>
      <c r="C398" t="s">
        <v>14</v>
      </c>
      <c r="D398">
        <v>28</v>
      </c>
      <c r="E398" s="1">
        <v>44522</v>
      </c>
      <c r="F398">
        <v>2021</v>
      </c>
      <c r="G398" t="s">
        <v>5038</v>
      </c>
      <c r="H398">
        <v>22</v>
      </c>
      <c r="I398">
        <v>3.67</v>
      </c>
      <c r="J398">
        <v>9</v>
      </c>
      <c r="K398">
        <v>4217.78</v>
      </c>
      <c r="L398">
        <v>3.9</v>
      </c>
    </row>
    <row r="399" spans="1:12" x14ac:dyDescent="0.3">
      <c r="A399" t="s">
        <v>414</v>
      </c>
      <c r="B399" t="s">
        <v>24</v>
      </c>
      <c r="C399" t="s">
        <v>14</v>
      </c>
      <c r="D399">
        <v>38</v>
      </c>
      <c r="E399" s="1">
        <v>40442</v>
      </c>
      <c r="F399">
        <v>2010</v>
      </c>
      <c r="G399" t="s">
        <v>5033</v>
      </c>
      <c r="H399">
        <v>21</v>
      </c>
      <c r="I399">
        <v>3.18</v>
      </c>
      <c r="J399">
        <v>3</v>
      </c>
      <c r="K399">
        <v>11287.84</v>
      </c>
      <c r="L399">
        <v>15.1</v>
      </c>
    </row>
    <row r="400" spans="1:12" x14ac:dyDescent="0.3">
      <c r="A400" t="s">
        <v>415</v>
      </c>
      <c r="B400" t="s">
        <v>10</v>
      </c>
      <c r="C400" t="s">
        <v>14</v>
      </c>
      <c r="D400">
        <v>26</v>
      </c>
      <c r="E400" s="1">
        <v>45784</v>
      </c>
      <c r="F400">
        <v>2025</v>
      </c>
      <c r="G400" t="s">
        <v>5036</v>
      </c>
      <c r="H400">
        <v>7</v>
      </c>
      <c r="I400">
        <v>4.18</v>
      </c>
      <c r="J400">
        <v>14</v>
      </c>
      <c r="K400">
        <v>8344.8799999999992</v>
      </c>
      <c r="L400">
        <v>0.5</v>
      </c>
    </row>
    <row r="401" spans="1:12" x14ac:dyDescent="0.3">
      <c r="A401" t="s">
        <v>416</v>
      </c>
      <c r="B401" t="s">
        <v>34</v>
      </c>
      <c r="C401" t="s">
        <v>14</v>
      </c>
      <c r="D401">
        <v>26</v>
      </c>
      <c r="E401" s="1">
        <v>42641</v>
      </c>
      <c r="F401">
        <v>2016</v>
      </c>
      <c r="G401" t="s">
        <v>5033</v>
      </c>
      <c r="H401">
        <v>28</v>
      </c>
      <c r="I401">
        <v>3.17</v>
      </c>
      <c r="J401">
        <v>3</v>
      </c>
      <c r="K401">
        <v>9174.83</v>
      </c>
      <c r="L401">
        <v>9.1</v>
      </c>
    </row>
    <row r="402" spans="1:12" x14ac:dyDescent="0.3">
      <c r="A402" t="s">
        <v>417</v>
      </c>
      <c r="B402" t="s">
        <v>24</v>
      </c>
      <c r="C402" t="s">
        <v>14</v>
      </c>
      <c r="D402">
        <v>23</v>
      </c>
      <c r="E402" s="1">
        <v>42981</v>
      </c>
      <c r="F402">
        <v>2017</v>
      </c>
      <c r="G402" t="s">
        <v>5033</v>
      </c>
      <c r="H402">
        <v>3</v>
      </c>
      <c r="I402">
        <v>3.29</v>
      </c>
      <c r="J402">
        <v>4</v>
      </c>
      <c r="K402">
        <v>9057.9</v>
      </c>
      <c r="L402">
        <v>8.1999999999999993</v>
      </c>
    </row>
    <row r="403" spans="1:12" x14ac:dyDescent="0.3">
      <c r="A403" t="s">
        <v>418</v>
      </c>
      <c r="B403" t="s">
        <v>34</v>
      </c>
      <c r="C403" t="s">
        <v>11</v>
      </c>
      <c r="D403">
        <v>27</v>
      </c>
      <c r="E403" s="1">
        <v>45611</v>
      </c>
      <c r="F403">
        <v>2024</v>
      </c>
      <c r="G403" t="s">
        <v>5038</v>
      </c>
      <c r="H403">
        <v>15</v>
      </c>
      <c r="I403">
        <v>3.03</v>
      </c>
      <c r="J403">
        <v>14</v>
      </c>
      <c r="K403">
        <v>8777.73</v>
      </c>
      <c r="L403">
        <v>1</v>
      </c>
    </row>
    <row r="404" spans="1:12" x14ac:dyDescent="0.3">
      <c r="A404" t="s">
        <v>419</v>
      </c>
      <c r="B404" t="s">
        <v>16</v>
      </c>
      <c r="C404" t="s">
        <v>11</v>
      </c>
      <c r="D404">
        <v>47</v>
      </c>
      <c r="E404" s="1">
        <v>43273</v>
      </c>
      <c r="F404">
        <v>2018</v>
      </c>
      <c r="G404" t="s">
        <v>5032</v>
      </c>
      <c r="H404">
        <v>22</v>
      </c>
      <c r="I404">
        <v>3.1</v>
      </c>
      <c r="J404">
        <v>4</v>
      </c>
      <c r="K404">
        <v>9147.06</v>
      </c>
      <c r="L404">
        <v>7.4</v>
      </c>
    </row>
    <row r="405" spans="1:12" x14ac:dyDescent="0.3">
      <c r="A405" t="s">
        <v>420</v>
      </c>
      <c r="B405" t="s">
        <v>18</v>
      </c>
      <c r="C405" t="s">
        <v>11</v>
      </c>
      <c r="D405">
        <v>46</v>
      </c>
      <c r="E405" s="1">
        <v>45852</v>
      </c>
      <c r="F405">
        <v>2025</v>
      </c>
      <c r="G405" t="s">
        <v>5034</v>
      </c>
      <c r="H405">
        <v>14</v>
      </c>
      <c r="I405">
        <v>4.12</v>
      </c>
      <c r="J405">
        <v>13</v>
      </c>
      <c r="K405">
        <v>13154.8</v>
      </c>
      <c r="L405">
        <v>0.3</v>
      </c>
    </row>
    <row r="406" spans="1:12" x14ac:dyDescent="0.3">
      <c r="A406" t="s">
        <v>421</v>
      </c>
      <c r="B406" t="s">
        <v>13</v>
      </c>
      <c r="C406" t="s">
        <v>14</v>
      </c>
      <c r="D406">
        <v>52</v>
      </c>
      <c r="E406" s="1">
        <v>43409</v>
      </c>
      <c r="F406">
        <v>2018</v>
      </c>
      <c r="G406" t="s">
        <v>5038</v>
      </c>
      <c r="H406">
        <v>5</v>
      </c>
      <c r="I406">
        <v>2.4500000000000002</v>
      </c>
      <c r="J406">
        <v>1</v>
      </c>
      <c r="K406">
        <v>8332.52</v>
      </c>
      <c r="L406">
        <v>7</v>
      </c>
    </row>
    <row r="407" spans="1:12" x14ac:dyDescent="0.3">
      <c r="A407" t="s">
        <v>422</v>
      </c>
      <c r="B407" t="s">
        <v>34</v>
      </c>
      <c r="C407" t="s">
        <v>11</v>
      </c>
      <c r="D407">
        <v>33</v>
      </c>
      <c r="E407" s="1">
        <v>45005</v>
      </c>
      <c r="F407">
        <v>2023</v>
      </c>
      <c r="G407" t="s">
        <v>5035</v>
      </c>
      <c r="H407">
        <v>20</v>
      </c>
      <c r="I407">
        <v>1.96</v>
      </c>
      <c r="J407">
        <v>1</v>
      </c>
      <c r="K407">
        <v>11176.02</v>
      </c>
      <c r="L407">
        <v>2.6</v>
      </c>
    </row>
    <row r="408" spans="1:12" x14ac:dyDescent="0.3">
      <c r="A408" t="s">
        <v>423</v>
      </c>
      <c r="B408" t="s">
        <v>18</v>
      </c>
      <c r="C408" t="s">
        <v>11</v>
      </c>
      <c r="D408">
        <v>38</v>
      </c>
      <c r="E408" s="1">
        <v>40615</v>
      </c>
      <c r="F408">
        <v>2011</v>
      </c>
      <c r="G408" t="s">
        <v>5035</v>
      </c>
      <c r="H408">
        <v>13</v>
      </c>
      <c r="I408">
        <v>4.34</v>
      </c>
      <c r="J408">
        <v>12</v>
      </c>
      <c r="K408">
        <v>13556.34</v>
      </c>
      <c r="L408">
        <v>14.6</v>
      </c>
    </row>
    <row r="409" spans="1:12" x14ac:dyDescent="0.3">
      <c r="A409" t="s">
        <v>424</v>
      </c>
      <c r="B409" t="s">
        <v>13</v>
      </c>
      <c r="C409" t="s">
        <v>11</v>
      </c>
      <c r="D409">
        <v>40</v>
      </c>
      <c r="E409" s="1">
        <v>42436</v>
      </c>
      <c r="F409">
        <v>2016</v>
      </c>
      <c r="G409" t="s">
        <v>5035</v>
      </c>
      <c r="H409">
        <v>7</v>
      </c>
      <c r="I409">
        <v>3.82</v>
      </c>
      <c r="J409">
        <v>6</v>
      </c>
      <c r="K409">
        <v>3176.29</v>
      </c>
      <c r="L409">
        <v>9.6999999999999993</v>
      </c>
    </row>
    <row r="410" spans="1:12" x14ac:dyDescent="0.3">
      <c r="A410" t="s">
        <v>425</v>
      </c>
      <c r="B410" t="s">
        <v>24</v>
      </c>
      <c r="C410" t="s">
        <v>14</v>
      </c>
      <c r="D410">
        <v>42</v>
      </c>
      <c r="E410" s="1">
        <v>43146</v>
      </c>
      <c r="F410">
        <v>2018</v>
      </c>
      <c r="G410" t="s">
        <v>5042</v>
      </c>
      <c r="H410">
        <v>15</v>
      </c>
      <c r="I410">
        <v>4.78</v>
      </c>
      <c r="J410">
        <v>10</v>
      </c>
      <c r="K410">
        <v>5755.19</v>
      </c>
      <c r="L410">
        <v>7.7</v>
      </c>
    </row>
    <row r="411" spans="1:12" x14ac:dyDescent="0.3">
      <c r="A411" t="s">
        <v>426</v>
      </c>
      <c r="B411" t="s">
        <v>34</v>
      </c>
      <c r="C411" t="s">
        <v>14</v>
      </c>
      <c r="D411">
        <v>27</v>
      </c>
      <c r="E411" s="1">
        <v>43012</v>
      </c>
      <c r="F411">
        <v>2017</v>
      </c>
      <c r="G411" t="s">
        <v>5039</v>
      </c>
      <c r="H411">
        <v>4</v>
      </c>
      <c r="I411">
        <v>4.18</v>
      </c>
      <c r="J411">
        <v>4</v>
      </c>
      <c r="K411">
        <v>14608.71</v>
      </c>
      <c r="L411">
        <v>8.1</v>
      </c>
    </row>
    <row r="412" spans="1:12" x14ac:dyDescent="0.3">
      <c r="A412" t="s">
        <v>427</v>
      </c>
      <c r="B412" t="s">
        <v>34</v>
      </c>
      <c r="C412" t="s">
        <v>11</v>
      </c>
      <c r="D412">
        <v>22</v>
      </c>
      <c r="E412" s="1">
        <v>41115</v>
      </c>
      <c r="F412">
        <v>2012</v>
      </c>
      <c r="G412" t="s">
        <v>5034</v>
      </c>
      <c r="H412">
        <v>25</v>
      </c>
      <c r="I412">
        <v>2.4700000000000002</v>
      </c>
      <c r="J412">
        <v>5</v>
      </c>
      <c r="K412">
        <v>6810.62</v>
      </c>
      <c r="L412">
        <v>13.3</v>
      </c>
    </row>
    <row r="413" spans="1:12" x14ac:dyDescent="0.3">
      <c r="A413" t="s">
        <v>428</v>
      </c>
      <c r="B413" t="s">
        <v>13</v>
      </c>
      <c r="C413" t="s">
        <v>11</v>
      </c>
      <c r="D413">
        <v>50</v>
      </c>
      <c r="E413" s="1">
        <v>42749</v>
      </c>
      <c r="F413">
        <v>2017</v>
      </c>
      <c r="G413" t="s">
        <v>5037</v>
      </c>
      <c r="H413">
        <v>14</v>
      </c>
      <c r="I413">
        <v>4.72</v>
      </c>
      <c r="J413">
        <v>10</v>
      </c>
      <c r="K413">
        <v>14100.46</v>
      </c>
      <c r="L413">
        <v>8.8000000000000007</v>
      </c>
    </row>
    <row r="414" spans="1:12" x14ac:dyDescent="0.3">
      <c r="A414" t="s">
        <v>429</v>
      </c>
      <c r="B414" t="s">
        <v>18</v>
      </c>
      <c r="C414" t="s">
        <v>11</v>
      </c>
      <c r="D414">
        <v>37</v>
      </c>
      <c r="E414" s="1">
        <v>42515</v>
      </c>
      <c r="F414">
        <v>2016</v>
      </c>
      <c r="G414" t="s">
        <v>5036</v>
      </c>
      <c r="H414">
        <v>25</v>
      </c>
      <c r="I414">
        <v>2.72</v>
      </c>
      <c r="J414">
        <v>5</v>
      </c>
      <c r="K414">
        <v>3464.85</v>
      </c>
      <c r="L414">
        <v>9.4</v>
      </c>
    </row>
    <row r="415" spans="1:12" x14ac:dyDescent="0.3">
      <c r="A415" t="s">
        <v>430</v>
      </c>
      <c r="B415" t="s">
        <v>16</v>
      </c>
      <c r="C415" t="s">
        <v>14</v>
      </c>
      <c r="D415">
        <v>28</v>
      </c>
      <c r="E415" s="1">
        <v>42110</v>
      </c>
      <c r="F415">
        <v>2015</v>
      </c>
      <c r="G415" t="s">
        <v>5040</v>
      </c>
      <c r="H415">
        <v>16</v>
      </c>
      <c r="I415">
        <v>3.94</v>
      </c>
      <c r="J415">
        <v>1</v>
      </c>
      <c r="K415">
        <v>10733.88</v>
      </c>
      <c r="L415">
        <v>10.6</v>
      </c>
    </row>
    <row r="416" spans="1:12" x14ac:dyDescent="0.3">
      <c r="A416" t="s">
        <v>431</v>
      </c>
      <c r="B416" t="s">
        <v>16</v>
      </c>
      <c r="C416" t="s">
        <v>11</v>
      </c>
      <c r="D416">
        <v>47</v>
      </c>
      <c r="E416" s="1">
        <v>42903</v>
      </c>
      <c r="F416">
        <v>2017</v>
      </c>
      <c r="G416" t="s">
        <v>5032</v>
      </c>
      <c r="H416">
        <v>17</v>
      </c>
      <c r="I416">
        <v>2.23</v>
      </c>
      <c r="J416">
        <v>2</v>
      </c>
      <c r="K416">
        <v>8426.1200000000008</v>
      </c>
      <c r="L416">
        <v>8.4</v>
      </c>
    </row>
    <row r="417" spans="1:12" x14ac:dyDescent="0.3">
      <c r="A417" t="s">
        <v>432</v>
      </c>
      <c r="B417" t="s">
        <v>13</v>
      </c>
      <c r="C417" t="s">
        <v>11</v>
      </c>
      <c r="D417">
        <v>60</v>
      </c>
      <c r="E417" s="1">
        <v>45116</v>
      </c>
      <c r="F417">
        <v>2023</v>
      </c>
      <c r="G417" t="s">
        <v>5034</v>
      </c>
      <c r="H417">
        <v>9</v>
      </c>
      <c r="I417">
        <v>3.81</v>
      </c>
      <c r="J417">
        <v>7</v>
      </c>
      <c r="K417">
        <v>8698.41</v>
      </c>
      <c r="L417">
        <v>2.2999999999999998</v>
      </c>
    </row>
    <row r="418" spans="1:12" x14ac:dyDescent="0.3">
      <c r="A418" t="s">
        <v>433</v>
      </c>
      <c r="B418" t="s">
        <v>13</v>
      </c>
      <c r="C418" t="s">
        <v>11</v>
      </c>
      <c r="D418">
        <v>58</v>
      </c>
      <c r="E418" s="1">
        <v>45912</v>
      </c>
      <c r="F418">
        <v>2025</v>
      </c>
      <c r="G418" t="s">
        <v>5033</v>
      </c>
      <c r="H418">
        <v>12</v>
      </c>
      <c r="I418">
        <v>3.6</v>
      </c>
      <c r="J418">
        <v>12</v>
      </c>
      <c r="K418">
        <v>7376.43</v>
      </c>
      <c r="L418">
        <v>0.1</v>
      </c>
    </row>
    <row r="419" spans="1:12" x14ac:dyDescent="0.3">
      <c r="A419" t="s">
        <v>434</v>
      </c>
      <c r="B419" t="s">
        <v>18</v>
      </c>
      <c r="C419" t="s">
        <v>11</v>
      </c>
      <c r="D419">
        <v>36</v>
      </c>
      <c r="E419" s="1">
        <v>45895</v>
      </c>
      <c r="F419">
        <v>2025</v>
      </c>
      <c r="G419" t="s">
        <v>5031</v>
      </c>
      <c r="H419">
        <v>26</v>
      </c>
      <c r="I419">
        <v>3.41</v>
      </c>
      <c r="J419">
        <v>10</v>
      </c>
      <c r="K419">
        <v>10805.6</v>
      </c>
      <c r="L419">
        <v>0.2</v>
      </c>
    </row>
    <row r="420" spans="1:12" x14ac:dyDescent="0.3">
      <c r="A420" t="s">
        <v>435</v>
      </c>
      <c r="B420" t="s">
        <v>10</v>
      </c>
      <c r="C420" t="s">
        <v>14</v>
      </c>
      <c r="D420">
        <v>39</v>
      </c>
      <c r="E420" s="1">
        <v>45058</v>
      </c>
      <c r="F420">
        <v>2023</v>
      </c>
      <c r="G420" t="s">
        <v>5036</v>
      </c>
      <c r="H420">
        <v>12</v>
      </c>
      <c r="I420">
        <v>3.55</v>
      </c>
      <c r="J420">
        <v>4</v>
      </c>
      <c r="K420">
        <v>8562.5300000000007</v>
      </c>
      <c r="L420">
        <v>2.5</v>
      </c>
    </row>
    <row r="421" spans="1:12" x14ac:dyDescent="0.3">
      <c r="A421" t="s">
        <v>436</v>
      </c>
      <c r="B421" t="s">
        <v>24</v>
      </c>
      <c r="C421" t="s">
        <v>14</v>
      </c>
      <c r="D421">
        <v>41</v>
      </c>
      <c r="E421" s="1">
        <v>42620</v>
      </c>
      <c r="F421">
        <v>2016</v>
      </c>
      <c r="G421" t="s">
        <v>5033</v>
      </c>
      <c r="H421">
        <v>7</v>
      </c>
      <c r="I421">
        <v>4.6100000000000003</v>
      </c>
      <c r="J421">
        <v>4</v>
      </c>
      <c r="K421">
        <v>10622.3</v>
      </c>
      <c r="L421">
        <v>9.1999999999999993</v>
      </c>
    </row>
    <row r="422" spans="1:12" x14ac:dyDescent="0.3">
      <c r="A422" t="s">
        <v>437</v>
      </c>
      <c r="B422" t="s">
        <v>16</v>
      </c>
      <c r="C422" t="s">
        <v>14</v>
      </c>
      <c r="D422">
        <v>54</v>
      </c>
      <c r="E422" s="1">
        <v>45158</v>
      </c>
      <c r="F422">
        <v>2023</v>
      </c>
      <c r="G422" t="s">
        <v>5031</v>
      </c>
      <c r="H422">
        <v>20</v>
      </c>
      <c r="I422">
        <v>2.15</v>
      </c>
      <c r="J422">
        <v>12</v>
      </c>
      <c r="K422">
        <v>10663.48</v>
      </c>
      <c r="L422">
        <v>2.2000000000000002</v>
      </c>
    </row>
    <row r="423" spans="1:12" x14ac:dyDescent="0.3">
      <c r="A423" t="s">
        <v>438</v>
      </c>
      <c r="B423" t="s">
        <v>24</v>
      </c>
      <c r="C423" t="s">
        <v>14</v>
      </c>
      <c r="D423">
        <v>53</v>
      </c>
      <c r="E423" s="1">
        <v>40299</v>
      </c>
      <c r="F423">
        <v>2010</v>
      </c>
      <c r="G423" t="s">
        <v>5036</v>
      </c>
      <c r="H423">
        <v>1</v>
      </c>
      <c r="I423">
        <v>2.91</v>
      </c>
      <c r="J423">
        <v>14</v>
      </c>
      <c r="K423">
        <v>8406.76</v>
      </c>
      <c r="L423">
        <v>15.5</v>
      </c>
    </row>
    <row r="424" spans="1:12" x14ac:dyDescent="0.3">
      <c r="A424" t="s">
        <v>439</v>
      </c>
      <c r="B424" t="s">
        <v>24</v>
      </c>
      <c r="C424" t="s">
        <v>11</v>
      </c>
      <c r="D424">
        <v>37</v>
      </c>
      <c r="E424" s="1">
        <v>44719</v>
      </c>
      <c r="F424">
        <v>2022</v>
      </c>
      <c r="G424" t="s">
        <v>5032</v>
      </c>
      <c r="H424">
        <v>7</v>
      </c>
      <c r="I424">
        <v>1.86</v>
      </c>
      <c r="J424">
        <v>13</v>
      </c>
      <c r="K424">
        <v>3603.92</v>
      </c>
      <c r="L424">
        <v>3.4</v>
      </c>
    </row>
    <row r="425" spans="1:12" x14ac:dyDescent="0.3">
      <c r="A425" t="s">
        <v>440</v>
      </c>
      <c r="B425" t="s">
        <v>16</v>
      </c>
      <c r="C425" t="s">
        <v>14</v>
      </c>
      <c r="D425">
        <v>49</v>
      </c>
      <c r="E425" s="1">
        <v>43784</v>
      </c>
      <c r="F425">
        <v>2019</v>
      </c>
      <c r="G425" t="s">
        <v>5038</v>
      </c>
      <c r="H425">
        <v>15</v>
      </c>
      <c r="I425">
        <v>4.12</v>
      </c>
      <c r="J425">
        <v>11</v>
      </c>
      <c r="K425">
        <v>10463.83</v>
      </c>
      <c r="L425">
        <v>6</v>
      </c>
    </row>
    <row r="426" spans="1:12" x14ac:dyDescent="0.3">
      <c r="A426" t="s">
        <v>441</v>
      </c>
      <c r="B426" t="s">
        <v>34</v>
      </c>
      <c r="C426" t="s">
        <v>11</v>
      </c>
      <c r="D426">
        <v>28</v>
      </c>
      <c r="E426" s="1">
        <v>43157</v>
      </c>
      <c r="F426">
        <v>2018</v>
      </c>
      <c r="G426" t="s">
        <v>5042</v>
      </c>
      <c r="H426">
        <v>26</v>
      </c>
      <c r="I426">
        <v>2.4900000000000002</v>
      </c>
      <c r="J426">
        <v>7</v>
      </c>
      <c r="K426">
        <v>13165.23</v>
      </c>
      <c r="L426">
        <v>7.7</v>
      </c>
    </row>
    <row r="427" spans="1:12" x14ac:dyDescent="0.3">
      <c r="A427" t="s">
        <v>442</v>
      </c>
      <c r="B427" t="s">
        <v>34</v>
      </c>
      <c r="C427" t="s">
        <v>14</v>
      </c>
      <c r="D427">
        <v>53</v>
      </c>
      <c r="E427" s="1">
        <v>42550</v>
      </c>
      <c r="F427">
        <v>2016</v>
      </c>
      <c r="G427" t="s">
        <v>5032</v>
      </c>
      <c r="H427">
        <v>29</v>
      </c>
      <c r="I427">
        <v>2.27</v>
      </c>
      <c r="J427">
        <v>15</v>
      </c>
      <c r="K427">
        <v>10468.950000000001</v>
      </c>
      <c r="L427">
        <v>9.3000000000000007</v>
      </c>
    </row>
    <row r="428" spans="1:12" x14ac:dyDescent="0.3">
      <c r="A428" t="s">
        <v>443</v>
      </c>
      <c r="B428" t="s">
        <v>34</v>
      </c>
      <c r="C428" t="s">
        <v>14</v>
      </c>
      <c r="D428">
        <v>36</v>
      </c>
      <c r="E428" s="1">
        <v>41540</v>
      </c>
      <c r="F428">
        <v>2013</v>
      </c>
      <c r="G428" t="s">
        <v>5033</v>
      </c>
      <c r="H428">
        <v>23</v>
      </c>
      <c r="I428">
        <v>1.69</v>
      </c>
      <c r="J428">
        <v>7</v>
      </c>
      <c r="K428">
        <v>13651.84</v>
      </c>
      <c r="L428">
        <v>12.1</v>
      </c>
    </row>
    <row r="429" spans="1:12" x14ac:dyDescent="0.3">
      <c r="A429" t="s">
        <v>444</v>
      </c>
      <c r="B429" t="s">
        <v>18</v>
      </c>
      <c r="C429" t="s">
        <v>11</v>
      </c>
      <c r="D429">
        <v>37</v>
      </c>
      <c r="E429" s="1">
        <v>44748</v>
      </c>
      <c r="F429">
        <v>2022</v>
      </c>
      <c r="G429" t="s">
        <v>5034</v>
      </c>
      <c r="H429">
        <v>6</v>
      </c>
      <c r="I429">
        <v>3.26</v>
      </c>
      <c r="J429">
        <v>8</v>
      </c>
      <c r="K429">
        <v>13688.81</v>
      </c>
      <c r="L429">
        <v>3.3</v>
      </c>
    </row>
    <row r="430" spans="1:12" x14ac:dyDescent="0.3">
      <c r="A430" t="s">
        <v>445</v>
      </c>
      <c r="B430" t="s">
        <v>13</v>
      </c>
      <c r="C430" t="s">
        <v>14</v>
      </c>
      <c r="D430">
        <v>23</v>
      </c>
      <c r="E430" s="1">
        <v>41243</v>
      </c>
      <c r="F430">
        <v>2012</v>
      </c>
      <c r="G430" t="s">
        <v>5038</v>
      </c>
      <c r="H430">
        <v>30</v>
      </c>
      <c r="I430">
        <v>2.1</v>
      </c>
      <c r="J430">
        <v>10</v>
      </c>
      <c r="K430">
        <v>9959.06</v>
      </c>
      <c r="L430">
        <v>12.9</v>
      </c>
    </row>
    <row r="431" spans="1:12" x14ac:dyDescent="0.3">
      <c r="A431" t="s">
        <v>446</v>
      </c>
      <c r="B431" t="s">
        <v>13</v>
      </c>
      <c r="C431" t="s">
        <v>11</v>
      </c>
      <c r="D431">
        <v>45</v>
      </c>
      <c r="E431" s="1">
        <v>44676</v>
      </c>
      <c r="F431">
        <v>2022</v>
      </c>
      <c r="G431" t="s">
        <v>5040</v>
      </c>
      <c r="H431">
        <v>25</v>
      </c>
      <c r="I431">
        <v>4.68</v>
      </c>
      <c r="J431">
        <v>9</v>
      </c>
      <c r="K431">
        <v>5306.58</v>
      </c>
      <c r="L431">
        <v>3.5</v>
      </c>
    </row>
    <row r="432" spans="1:12" x14ac:dyDescent="0.3">
      <c r="A432" t="s">
        <v>447</v>
      </c>
      <c r="B432" t="s">
        <v>34</v>
      </c>
      <c r="C432" t="s">
        <v>14</v>
      </c>
      <c r="D432">
        <v>56</v>
      </c>
      <c r="E432" s="1">
        <v>44472</v>
      </c>
      <c r="F432">
        <v>2021</v>
      </c>
      <c r="G432" t="s">
        <v>5039</v>
      </c>
      <c r="H432">
        <v>3</v>
      </c>
      <c r="I432">
        <v>4.28</v>
      </c>
      <c r="J432">
        <v>12</v>
      </c>
      <c r="K432">
        <v>4876.57</v>
      </c>
      <c r="L432">
        <v>4.0999999999999996</v>
      </c>
    </row>
    <row r="433" spans="1:12" x14ac:dyDescent="0.3">
      <c r="A433" t="s">
        <v>448</v>
      </c>
      <c r="B433" t="s">
        <v>13</v>
      </c>
      <c r="C433" t="s">
        <v>11</v>
      </c>
      <c r="D433">
        <v>55</v>
      </c>
      <c r="E433" s="1">
        <v>42903</v>
      </c>
      <c r="F433">
        <v>2017</v>
      </c>
      <c r="G433" t="s">
        <v>5032</v>
      </c>
      <c r="H433">
        <v>17</v>
      </c>
      <c r="I433">
        <v>1.96</v>
      </c>
      <c r="J433">
        <v>3</v>
      </c>
      <c r="K433">
        <v>13364.15</v>
      </c>
      <c r="L433">
        <v>8.4</v>
      </c>
    </row>
    <row r="434" spans="1:12" x14ac:dyDescent="0.3">
      <c r="A434" t="s">
        <v>449</v>
      </c>
      <c r="B434" t="s">
        <v>13</v>
      </c>
      <c r="C434" t="s">
        <v>11</v>
      </c>
      <c r="D434">
        <v>22</v>
      </c>
      <c r="E434" s="1">
        <v>42806</v>
      </c>
      <c r="F434">
        <v>2017</v>
      </c>
      <c r="G434" t="s">
        <v>5035</v>
      </c>
      <c r="H434">
        <v>12</v>
      </c>
      <c r="I434">
        <v>4.7</v>
      </c>
      <c r="J434">
        <v>3</v>
      </c>
      <c r="K434">
        <v>12375.14</v>
      </c>
      <c r="L434">
        <v>8.6</v>
      </c>
    </row>
    <row r="435" spans="1:12" x14ac:dyDescent="0.3">
      <c r="A435" t="s">
        <v>450</v>
      </c>
      <c r="B435" t="s">
        <v>34</v>
      </c>
      <c r="C435" t="s">
        <v>14</v>
      </c>
      <c r="D435">
        <v>46</v>
      </c>
      <c r="E435" s="1">
        <v>40747</v>
      </c>
      <c r="F435">
        <v>2011</v>
      </c>
      <c r="G435" t="s">
        <v>5034</v>
      </c>
      <c r="H435">
        <v>23</v>
      </c>
      <c r="I435">
        <v>3.65</v>
      </c>
      <c r="J435">
        <v>8</v>
      </c>
      <c r="K435">
        <v>4763.16</v>
      </c>
      <c r="L435">
        <v>14.3</v>
      </c>
    </row>
    <row r="436" spans="1:12" x14ac:dyDescent="0.3">
      <c r="A436" t="s">
        <v>451</v>
      </c>
      <c r="B436" t="s">
        <v>18</v>
      </c>
      <c r="C436" t="s">
        <v>11</v>
      </c>
      <c r="D436">
        <v>32</v>
      </c>
      <c r="E436" s="1">
        <v>44838</v>
      </c>
      <c r="F436">
        <v>2022</v>
      </c>
      <c r="G436" t="s">
        <v>5039</v>
      </c>
      <c r="H436">
        <v>4</v>
      </c>
      <c r="I436">
        <v>4.03</v>
      </c>
      <c r="J436">
        <v>8</v>
      </c>
      <c r="K436">
        <v>12941.15</v>
      </c>
      <c r="L436">
        <v>3.1</v>
      </c>
    </row>
    <row r="437" spans="1:12" x14ac:dyDescent="0.3">
      <c r="A437" t="s">
        <v>452</v>
      </c>
      <c r="B437" t="s">
        <v>34</v>
      </c>
      <c r="C437" t="s">
        <v>14</v>
      </c>
      <c r="D437">
        <v>33</v>
      </c>
      <c r="E437" s="1">
        <v>40883</v>
      </c>
      <c r="F437">
        <v>2011</v>
      </c>
      <c r="G437" t="s">
        <v>5041</v>
      </c>
      <c r="H437">
        <v>6</v>
      </c>
      <c r="I437">
        <v>3.34</v>
      </c>
      <c r="J437">
        <v>10</v>
      </c>
      <c r="K437">
        <v>4690.91</v>
      </c>
      <c r="L437">
        <v>13.9</v>
      </c>
    </row>
    <row r="438" spans="1:12" x14ac:dyDescent="0.3">
      <c r="A438" t="s">
        <v>453</v>
      </c>
      <c r="B438" t="s">
        <v>18</v>
      </c>
      <c r="C438" t="s">
        <v>11</v>
      </c>
      <c r="D438">
        <v>29</v>
      </c>
      <c r="E438" s="1">
        <v>45598</v>
      </c>
      <c r="F438">
        <v>2024</v>
      </c>
      <c r="G438" t="s">
        <v>5038</v>
      </c>
      <c r="H438">
        <v>2</v>
      </c>
      <c r="I438">
        <v>4.7300000000000004</v>
      </c>
      <c r="J438">
        <v>7</v>
      </c>
      <c r="K438">
        <v>14476.24</v>
      </c>
      <c r="L438">
        <v>1</v>
      </c>
    </row>
    <row r="439" spans="1:12" x14ac:dyDescent="0.3">
      <c r="A439" t="s">
        <v>454</v>
      </c>
      <c r="B439" t="s">
        <v>18</v>
      </c>
      <c r="C439" t="s">
        <v>11</v>
      </c>
      <c r="D439">
        <v>58</v>
      </c>
      <c r="E439" s="1">
        <v>44742</v>
      </c>
      <c r="F439">
        <v>2022</v>
      </c>
      <c r="G439" t="s">
        <v>5032</v>
      </c>
      <c r="H439">
        <v>30</v>
      </c>
      <c r="I439">
        <v>2.79</v>
      </c>
      <c r="J439">
        <v>11</v>
      </c>
      <c r="K439">
        <v>8626.2900000000009</v>
      </c>
      <c r="L439">
        <v>3.3</v>
      </c>
    </row>
    <row r="440" spans="1:12" x14ac:dyDescent="0.3">
      <c r="A440" t="s">
        <v>455</v>
      </c>
      <c r="B440" t="s">
        <v>10</v>
      </c>
      <c r="C440" t="s">
        <v>14</v>
      </c>
      <c r="D440">
        <v>52</v>
      </c>
      <c r="E440" s="1">
        <v>43958</v>
      </c>
      <c r="F440">
        <v>2020</v>
      </c>
      <c r="G440" t="s">
        <v>5036</v>
      </c>
      <c r="H440">
        <v>7</v>
      </c>
      <c r="I440">
        <v>1.74</v>
      </c>
      <c r="J440">
        <v>3</v>
      </c>
      <c r="K440">
        <v>5769.38</v>
      </c>
      <c r="L440">
        <v>5.5</v>
      </c>
    </row>
    <row r="441" spans="1:12" x14ac:dyDescent="0.3">
      <c r="A441" t="s">
        <v>456</v>
      </c>
      <c r="B441" t="s">
        <v>34</v>
      </c>
      <c r="C441" t="s">
        <v>11</v>
      </c>
      <c r="D441">
        <v>26</v>
      </c>
      <c r="E441" s="1">
        <v>44814</v>
      </c>
      <c r="F441">
        <v>2022</v>
      </c>
      <c r="G441" t="s">
        <v>5033</v>
      </c>
      <c r="H441">
        <v>10</v>
      </c>
      <c r="I441">
        <v>3.89</v>
      </c>
      <c r="J441">
        <v>2</v>
      </c>
      <c r="K441">
        <v>9052.3700000000008</v>
      </c>
      <c r="L441">
        <v>3.1</v>
      </c>
    </row>
    <row r="442" spans="1:12" x14ac:dyDescent="0.3">
      <c r="A442" t="s">
        <v>457</v>
      </c>
      <c r="B442" t="s">
        <v>16</v>
      </c>
      <c r="C442" t="s">
        <v>14</v>
      </c>
      <c r="D442">
        <v>51</v>
      </c>
      <c r="E442" s="1">
        <v>43358</v>
      </c>
      <c r="F442">
        <v>2018</v>
      </c>
      <c r="G442" t="s">
        <v>5033</v>
      </c>
      <c r="H442">
        <v>15</v>
      </c>
      <c r="I442">
        <v>4.99</v>
      </c>
      <c r="J442">
        <v>1</v>
      </c>
      <c r="K442">
        <v>8691.6</v>
      </c>
      <c r="L442">
        <v>7.1</v>
      </c>
    </row>
    <row r="443" spans="1:12" x14ac:dyDescent="0.3">
      <c r="A443" t="s">
        <v>458</v>
      </c>
      <c r="B443" t="s">
        <v>34</v>
      </c>
      <c r="C443" t="s">
        <v>14</v>
      </c>
      <c r="D443">
        <v>24</v>
      </c>
      <c r="E443" s="1">
        <v>45400</v>
      </c>
      <c r="F443">
        <v>2024</v>
      </c>
      <c r="G443" t="s">
        <v>5040</v>
      </c>
      <c r="H443">
        <v>18</v>
      </c>
      <c r="I443">
        <v>4.42</v>
      </c>
      <c r="J443">
        <v>1</v>
      </c>
      <c r="K443">
        <v>4202.7700000000004</v>
      </c>
      <c r="L443">
        <v>1.5</v>
      </c>
    </row>
    <row r="444" spans="1:12" x14ac:dyDescent="0.3">
      <c r="A444" t="s">
        <v>459</v>
      </c>
      <c r="B444" t="s">
        <v>18</v>
      </c>
      <c r="C444" t="s">
        <v>14</v>
      </c>
      <c r="D444">
        <v>25</v>
      </c>
      <c r="E444" s="1">
        <v>40950</v>
      </c>
      <c r="F444">
        <v>2012</v>
      </c>
      <c r="G444" t="s">
        <v>5042</v>
      </c>
      <c r="H444">
        <v>11</v>
      </c>
      <c r="I444">
        <v>2.0099999999999998</v>
      </c>
      <c r="J444">
        <v>0</v>
      </c>
      <c r="K444">
        <v>11017.6</v>
      </c>
      <c r="L444">
        <v>13.7</v>
      </c>
    </row>
    <row r="445" spans="1:12" x14ac:dyDescent="0.3">
      <c r="A445" t="s">
        <v>460</v>
      </c>
      <c r="B445" t="s">
        <v>24</v>
      </c>
      <c r="C445" t="s">
        <v>11</v>
      </c>
      <c r="D445">
        <v>29</v>
      </c>
      <c r="E445" s="1">
        <v>42690</v>
      </c>
      <c r="F445">
        <v>2016</v>
      </c>
      <c r="G445" t="s">
        <v>5038</v>
      </c>
      <c r="H445">
        <v>16</v>
      </c>
      <c r="I445">
        <v>2.74</v>
      </c>
      <c r="J445">
        <v>15</v>
      </c>
      <c r="K445">
        <v>3761.39</v>
      </c>
      <c r="L445">
        <v>9</v>
      </c>
    </row>
    <row r="446" spans="1:12" x14ac:dyDescent="0.3">
      <c r="A446" t="s">
        <v>461</v>
      </c>
      <c r="B446" t="s">
        <v>13</v>
      </c>
      <c r="C446" t="s">
        <v>14</v>
      </c>
      <c r="D446">
        <v>44</v>
      </c>
      <c r="E446" s="1">
        <v>44790</v>
      </c>
      <c r="F446">
        <v>2022</v>
      </c>
      <c r="G446" t="s">
        <v>5031</v>
      </c>
      <c r="H446">
        <v>17</v>
      </c>
      <c r="I446">
        <v>2.37</v>
      </c>
      <c r="J446">
        <v>2</v>
      </c>
      <c r="K446">
        <v>12577.6</v>
      </c>
      <c r="L446">
        <v>3.2</v>
      </c>
    </row>
    <row r="447" spans="1:12" x14ac:dyDescent="0.3">
      <c r="A447" t="s">
        <v>462</v>
      </c>
      <c r="B447" t="s">
        <v>10</v>
      </c>
      <c r="C447" t="s">
        <v>11</v>
      </c>
      <c r="D447">
        <v>56</v>
      </c>
      <c r="E447" s="1">
        <v>44894</v>
      </c>
      <c r="F447">
        <v>2022</v>
      </c>
      <c r="G447" t="s">
        <v>5038</v>
      </c>
      <c r="H447">
        <v>29</v>
      </c>
      <c r="I447">
        <v>2.81</v>
      </c>
      <c r="J447">
        <v>1</v>
      </c>
      <c r="K447">
        <v>9872.42</v>
      </c>
      <c r="L447">
        <v>2.9</v>
      </c>
    </row>
    <row r="448" spans="1:12" x14ac:dyDescent="0.3">
      <c r="A448" t="s">
        <v>463</v>
      </c>
      <c r="B448" t="s">
        <v>34</v>
      </c>
      <c r="C448" t="s">
        <v>11</v>
      </c>
      <c r="D448">
        <v>60</v>
      </c>
      <c r="E448" s="1">
        <v>42814</v>
      </c>
      <c r="F448">
        <v>2017</v>
      </c>
      <c r="G448" t="s">
        <v>5035</v>
      </c>
      <c r="H448">
        <v>20</v>
      </c>
      <c r="I448">
        <v>3.91</v>
      </c>
      <c r="J448">
        <v>8</v>
      </c>
      <c r="K448">
        <v>5120.46</v>
      </c>
      <c r="L448">
        <v>8.6</v>
      </c>
    </row>
    <row r="449" spans="1:12" x14ac:dyDescent="0.3">
      <c r="A449" t="s">
        <v>464</v>
      </c>
      <c r="B449" t="s">
        <v>18</v>
      </c>
      <c r="C449" t="s">
        <v>11</v>
      </c>
      <c r="D449">
        <v>24</v>
      </c>
      <c r="E449" s="1">
        <v>45403</v>
      </c>
      <c r="F449">
        <v>2024</v>
      </c>
      <c r="G449" t="s">
        <v>5040</v>
      </c>
      <c r="H449">
        <v>21</v>
      </c>
      <c r="I449">
        <v>2.2599999999999998</v>
      </c>
      <c r="J449">
        <v>7</v>
      </c>
      <c r="K449">
        <v>11088.66</v>
      </c>
      <c r="L449">
        <v>1.5</v>
      </c>
    </row>
    <row r="450" spans="1:12" x14ac:dyDescent="0.3">
      <c r="A450" t="s">
        <v>465</v>
      </c>
      <c r="B450" t="s">
        <v>24</v>
      </c>
      <c r="C450" t="s">
        <v>11</v>
      </c>
      <c r="D450">
        <v>58</v>
      </c>
      <c r="E450" s="1">
        <v>43575</v>
      </c>
      <c r="F450">
        <v>2019</v>
      </c>
      <c r="G450" t="s">
        <v>5040</v>
      </c>
      <c r="H450">
        <v>20</v>
      </c>
      <c r="I450">
        <v>4.92</v>
      </c>
      <c r="J450">
        <v>2</v>
      </c>
      <c r="K450">
        <v>11000.3</v>
      </c>
      <c r="L450">
        <v>6.5</v>
      </c>
    </row>
    <row r="451" spans="1:12" x14ac:dyDescent="0.3">
      <c r="A451" t="s">
        <v>466</v>
      </c>
      <c r="B451" t="s">
        <v>34</v>
      </c>
      <c r="C451" t="s">
        <v>14</v>
      </c>
      <c r="D451">
        <v>43</v>
      </c>
      <c r="E451" s="1">
        <v>43151</v>
      </c>
      <c r="F451">
        <v>2018</v>
      </c>
      <c r="G451" t="s">
        <v>5042</v>
      </c>
      <c r="H451">
        <v>20</v>
      </c>
      <c r="I451">
        <v>4.5</v>
      </c>
      <c r="J451">
        <v>13</v>
      </c>
      <c r="K451">
        <v>14161.04</v>
      </c>
      <c r="L451">
        <v>7.7</v>
      </c>
    </row>
    <row r="452" spans="1:12" x14ac:dyDescent="0.3">
      <c r="A452" t="s">
        <v>467</v>
      </c>
      <c r="B452" t="s">
        <v>13</v>
      </c>
      <c r="C452" t="s">
        <v>14</v>
      </c>
      <c r="D452">
        <v>43</v>
      </c>
      <c r="E452" s="1">
        <v>43408</v>
      </c>
      <c r="F452">
        <v>2018</v>
      </c>
      <c r="G452" t="s">
        <v>5038</v>
      </c>
      <c r="H452">
        <v>4</v>
      </c>
      <c r="I452">
        <v>4.53</v>
      </c>
      <c r="J452">
        <v>11</v>
      </c>
      <c r="K452">
        <v>9002.66</v>
      </c>
      <c r="L452">
        <v>7</v>
      </c>
    </row>
    <row r="453" spans="1:12" x14ac:dyDescent="0.3">
      <c r="A453" t="s">
        <v>468</v>
      </c>
      <c r="B453" t="s">
        <v>10</v>
      </c>
      <c r="C453" t="s">
        <v>11</v>
      </c>
      <c r="D453">
        <v>45</v>
      </c>
      <c r="E453" s="1">
        <v>43886</v>
      </c>
      <c r="F453">
        <v>2020</v>
      </c>
      <c r="G453" t="s">
        <v>5042</v>
      </c>
      <c r="H453">
        <v>25</v>
      </c>
      <c r="I453">
        <v>3.66</v>
      </c>
      <c r="J453">
        <v>3</v>
      </c>
      <c r="K453">
        <v>12667.79</v>
      </c>
      <c r="L453">
        <v>5.7</v>
      </c>
    </row>
    <row r="454" spans="1:12" x14ac:dyDescent="0.3">
      <c r="A454" t="s">
        <v>469</v>
      </c>
      <c r="B454" t="s">
        <v>24</v>
      </c>
      <c r="C454" t="s">
        <v>11</v>
      </c>
      <c r="D454">
        <v>54</v>
      </c>
      <c r="E454" s="1">
        <v>42255</v>
      </c>
      <c r="F454">
        <v>2015</v>
      </c>
      <c r="G454" t="s">
        <v>5033</v>
      </c>
      <c r="H454">
        <v>8</v>
      </c>
      <c r="I454">
        <v>2.14</v>
      </c>
      <c r="J454">
        <v>15</v>
      </c>
      <c r="K454">
        <v>6676.22</v>
      </c>
      <c r="L454">
        <v>10.199999999999999</v>
      </c>
    </row>
    <row r="455" spans="1:12" x14ac:dyDescent="0.3">
      <c r="A455" t="s">
        <v>470</v>
      </c>
      <c r="B455" t="s">
        <v>24</v>
      </c>
      <c r="C455" t="s">
        <v>11</v>
      </c>
      <c r="D455">
        <v>30</v>
      </c>
      <c r="E455" s="1">
        <v>41259</v>
      </c>
      <c r="F455">
        <v>2012</v>
      </c>
      <c r="G455" t="s">
        <v>5041</v>
      </c>
      <c r="H455">
        <v>16</v>
      </c>
      <c r="I455">
        <v>2.34</v>
      </c>
      <c r="J455">
        <v>7</v>
      </c>
      <c r="K455">
        <v>13042.77</v>
      </c>
      <c r="L455">
        <v>12.9</v>
      </c>
    </row>
    <row r="456" spans="1:12" x14ac:dyDescent="0.3">
      <c r="A456" t="s">
        <v>471</v>
      </c>
      <c r="B456" t="s">
        <v>18</v>
      </c>
      <c r="C456" t="s">
        <v>11</v>
      </c>
      <c r="D456">
        <v>42</v>
      </c>
      <c r="E456" s="1">
        <v>44542</v>
      </c>
      <c r="F456">
        <v>2021</v>
      </c>
      <c r="G456" t="s">
        <v>5041</v>
      </c>
      <c r="H456">
        <v>12</v>
      </c>
      <c r="I456">
        <v>3.11</v>
      </c>
      <c r="J456">
        <v>5</v>
      </c>
      <c r="K456">
        <v>6580.28</v>
      </c>
      <c r="L456">
        <v>3.9</v>
      </c>
    </row>
    <row r="457" spans="1:12" x14ac:dyDescent="0.3">
      <c r="A457" t="s">
        <v>472</v>
      </c>
      <c r="B457" t="s">
        <v>16</v>
      </c>
      <c r="C457" t="s">
        <v>11</v>
      </c>
      <c r="D457">
        <v>43</v>
      </c>
      <c r="E457" s="1">
        <v>43774</v>
      </c>
      <c r="F457">
        <v>2019</v>
      </c>
      <c r="G457" t="s">
        <v>5038</v>
      </c>
      <c r="H457">
        <v>5</v>
      </c>
      <c r="I457">
        <v>1.68</v>
      </c>
      <c r="J457">
        <v>2</v>
      </c>
      <c r="K457">
        <v>3111.36</v>
      </c>
      <c r="L457">
        <v>6</v>
      </c>
    </row>
    <row r="458" spans="1:12" x14ac:dyDescent="0.3">
      <c r="A458" t="s">
        <v>473</v>
      </c>
      <c r="B458" t="s">
        <v>16</v>
      </c>
      <c r="C458" t="s">
        <v>11</v>
      </c>
      <c r="D458">
        <v>39</v>
      </c>
      <c r="E458" s="1">
        <v>40986</v>
      </c>
      <c r="F458">
        <v>2012</v>
      </c>
      <c r="G458" t="s">
        <v>5035</v>
      </c>
      <c r="H458">
        <v>18</v>
      </c>
      <c r="I458">
        <v>2.67</v>
      </c>
      <c r="J458">
        <v>0</v>
      </c>
      <c r="K458">
        <v>11747.82</v>
      </c>
      <c r="L458">
        <v>13.6</v>
      </c>
    </row>
    <row r="459" spans="1:12" x14ac:dyDescent="0.3">
      <c r="A459" t="s">
        <v>474</v>
      </c>
      <c r="B459" t="s">
        <v>24</v>
      </c>
      <c r="C459" t="s">
        <v>11</v>
      </c>
      <c r="D459">
        <v>35</v>
      </c>
      <c r="E459" s="1">
        <v>41777</v>
      </c>
      <c r="F459">
        <v>2014</v>
      </c>
      <c r="G459" t="s">
        <v>5036</v>
      </c>
      <c r="H459">
        <v>18</v>
      </c>
      <c r="I459">
        <v>4.5999999999999996</v>
      </c>
      <c r="J459">
        <v>7</v>
      </c>
      <c r="K459">
        <v>9539.41</v>
      </c>
      <c r="L459">
        <v>11.5</v>
      </c>
    </row>
    <row r="460" spans="1:12" x14ac:dyDescent="0.3">
      <c r="A460" t="s">
        <v>475</v>
      </c>
      <c r="B460" t="s">
        <v>34</v>
      </c>
      <c r="C460" t="s">
        <v>11</v>
      </c>
      <c r="D460">
        <v>43</v>
      </c>
      <c r="E460" s="1">
        <v>40570</v>
      </c>
      <c r="F460">
        <v>2011</v>
      </c>
      <c r="G460" t="s">
        <v>5037</v>
      </c>
      <c r="H460">
        <v>27</v>
      </c>
      <c r="I460">
        <v>2.98</v>
      </c>
      <c r="J460">
        <v>12</v>
      </c>
      <c r="K460">
        <v>7986.39</v>
      </c>
      <c r="L460">
        <v>14.8</v>
      </c>
    </row>
    <row r="461" spans="1:12" x14ac:dyDescent="0.3">
      <c r="A461" t="s">
        <v>476</v>
      </c>
      <c r="B461" t="s">
        <v>16</v>
      </c>
      <c r="C461" t="s">
        <v>14</v>
      </c>
      <c r="D461">
        <v>43</v>
      </c>
      <c r="E461" s="1">
        <v>45472</v>
      </c>
      <c r="F461">
        <v>2024</v>
      </c>
      <c r="G461" t="s">
        <v>5032</v>
      </c>
      <c r="H461">
        <v>29</v>
      </c>
      <c r="I461">
        <v>1.73</v>
      </c>
      <c r="J461">
        <v>12</v>
      </c>
      <c r="K461">
        <v>13758.78</v>
      </c>
      <c r="L461">
        <v>1.3</v>
      </c>
    </row>
    <row r="462" spans="1:12" x14ac:dyDescent="0.3">
      <c r="A462" t="s">
        <v>477</v>
      </c>
      <c r="B462" t="s">
        <v>34</v>
      </c>
      <c r="C462" t="s">
        <v>14</v>
      </c>
      <c r="D462">
        <v>32</v>
      </c>
      <c r="E462" s="1">
        <v>44894</v>
      </c>
      <c r="F462">
        <v>2022</v>
      </c>
      <c r="G462" t="s">
        <v>5038</v>
      </c>
      <c r="H462">
        <v>29</v>
      </c>
      <c r="I462">
        <v>2.42</v>
      </c>
      <c r="J462">
        <v>3</v>
      </c>
      <c r="K462">
        <v>12780.89</v>
      </c>
      <c r="L462">
        <v>2.9</v>
      </c>
    </row>
    <row r="463" spans="1:12" x14ac:dyDescent="0.3">
      <c r="A463" t="s">
        <v>478</v>
      </c>
      <c r="B463" t="s">
        <v>13</v>
      </c>
      <c r="C463" t="s">
        <v>14</v>
      </c>
      <c r="D463">
        <v>53</v>
      </c>
      <c r="E463" s="1">
        <v>41541</v>
      </c>
      <c r="F463">
        <v>2013</v>
      </c>
      <c r="G463" t="s">
        <v>5033</v>
      </c>
      <c r="H463">
        <v>24</v>
      </c>
      <c r="I463">
        <v>2.65</v>
      </c>
      <c r="J463">
        <v>1</v>
      </c>
      <c r="K463">
        <v>8423.32</v>
      </c>
      <c r="L463">
        <v>12.1</v>
      </c>
    </row>
    <row r="464" spans="1:12" x14ac:dyDescent="0.3">
      <c r="A464" t="s">
        <v>479</v>
      </c>
      <c r="B464" t="s">
        <v>16</v>
      </c>
      <c r="C464" t="s">
        <v>11</v>
      </c>
      <c r="D464">
        <v>26</v>
      </c>
      <c r="E464" s="1">
        <v>42581</v>
      </c>
      <c r="F464">
        <v>2016</v>
      </c>
      <c r="G464" t="s">
        <v>5034</v>
      </c>
      <c r="H464">
        <v>30</v>
      </c>
      <c r="I464">
        <v>2.44</v>
      </c>
      <c r="J464">
        <v>15</v>
      </c>
      <c r="K464">
        <v>11184.84</v>
      </c>
      <c r="L464">
        <v>9.3000000000000007</v>
      </c>
    </row>
    <row r="465" spans="1:12" x14ac:dyDescent="0.3">
      <c r="A465" t="s">
        <v>480</v>
      </c>
      <c r="B465" t="s">
        <v>18</v>
      </c>
      <c r="C465" t="s">
        <v>14</v>
      </c>
      <c r="D465">
        <v>28</v>
      </c>
      <c r="E465" s="1">
        <v>44804</v>
      </c>
      <c r="F465">
        <v>2022</v>
      </c>
      <c r="G465" t="s">
        <v>5031</v>
      </c>
      <c r="H465">
        <v>31</v>
      </c>
      <c r="I465">
        <v>3.36</v>
      </c>
      <c r="J465">
        <v>5</v>
      </c>
      <c r="K465">
        <v>5399.61</v>
      </c>
      <c r="L465">
        <v>3.2</v>
      </c>
    </row>
    <row r="466" spans="1:12" x14ac:dyDescent="0.3">
      <c r="A466" t="s">
        <v>481</v>
      </c>
      <c r="B466" t="s">
        <v>10</v>
      </c>
      <c r="C466" t="s">
        <v>11</v>
      </c>
      <c r="D466">
        <v>52</v>
      </c>
      <c r="E466" s="1">
        <v>44103</v>
      </c>
      <c r="F466">
        <v>2020</v>
      </c>
      <c r="G466" t="s">
        <v>5033</v>
      </c>
      <c r="H466">
        <v>29</v>
      </c>
      <c r="I466">
        <v>3.09</v>
      </c>
      <c r="J466">
        <v>13</v>
      </c>
      <c r="K466">
        <v>12005.09</v>
      </c>
      <c r="L466">
        <v>5.0999999999999996</v>
      </c>
    </row>
    <row r="467" spans="1:12" x14ac:dyDescent="0.3">
      <c r="A467" t="s">
        <v>482</v>
      </c>
      <c r="B467" t="s">
        <v>10</v>
      </c>
      <c r="C467" t="s">
        <v>11</v>
      </c>
      <c r="D467">
        <v>33</v>
      </c>
      <c r="E467" s="1">
        <v>40472</v>
      </c>
      <c r="F467">
        <v>2010</v>
      </c>
      <c r="G467" t="s">
        <v>5039</v>
      </c>
      <c r="H467">
        <v>21</v>
      </c>
      <c r="I467">
        <v>3.69</v>
      </c>
      <c r="J467">
        <v>5</v>
      </c>
      <c r="K467">
        <v>14868.11</v>
      </c>
      <c r="L467">
        <v>15</v>
      </c>
    </row>
    <row r="468" spans="1:12" x14ac:dyDescent="0.3">
      <c r="A468" t="s">
        <v>483</v>
      </c>
      <c r="B468" t="s">
        <v>24</v>
      </c>
      <c r="C468" t="s">
        <v>11</v>
      </c>
      <c r="D468">
        <v>47</v>
      </c>
      <c r="E468" s="1">
        <v>42054</v>
      </c>
      <c r="F468">
        <v>2015</v>
      </c>
      <c r="G468" t="s">
        <v>5042</v>
      </c>
      <c r="H468">
        <v>19</v>
      </c>
      <c r="I468">
        <v>1.83</v>
      </c>
      <c r="J468">
        <v>3</v>
      </c>
      <c r="K468">
        <v>10196.01</v>
      </c>
      <c r="L468">
        <v>10.7</v>
      </c>
    </row>
    <row r="469" spans="1:12" x14ac:dyDescent="0.3">
      <c r="A469" t="s">
        <v>484</v>
      </c>
      <c r="B469" t="s">
        <v>16</v>
      </c>
      <c r="C469" t="s">
        <v>14</v>
      </c>
      <c r="D469">
        <v>40</v>
      </c>
      <c r="E469" s="1">
        <v>42732</v>
      </c>
      <c r="F469">
        <v>2016</v>
      </c>
      <c r="G469" t="s">
        <v>5041</v>
      </c>
      <c r="H469">
        <v>28</v>
      </c>
      <c r="I469">
        <v>2.19</v>
      </c>
      <c r="J469">
        <v>3</v>
      </c>
      <c r="K469">
        <v>4041.39</v>
      </c>
      <c r="L469">
        <v>8.8000000000000007</v>
      </c>
    </row>
    <row r="470" spans="1:12" x14ac:dyDescent="0.3">
      <c r="A470" t="s">
        <v>485</v>
      </c>
      <c r="B470" t="s">
        <v>13</v>
      </c>
      <c r="C470" t="s">
        <v>11</v>
      </c>
      <c r="D470">
        <v>31</v>
      </c>
      <c r="E470" s="1">
        <v>43349</v>
      </c>
      <c r="F470">
        <v>2018</v>
      </c>
      <c r="G470" t="s">
        <v>5033</v>
      </c>
      <c r="H470">
        <v>6</v>
      </c>
      <c r="I470">
        <v>4.07</v>
      </c>
      <c r="J470">
        <v>9</v>
      </c>
      <c r="K470">
        <v>5798.46</v>
      </c>
      <c r="L470">
        <v>7.2</v>
      </c>
    </row>
    <row r="471" spans="1:12" x14ac:dyDescent="0.3">
      <c r="A471" t="s">
        <v>486</v>
      </c>
      <c r="B471" t="s">
        <v>24</v>
      </c>
      <c r="C471" t="s">
        <v>14</v>
      </c>
      <c r="D471">
        <v>47</v>
      </c>
      <c r="E471" s="1">
        <v>43074</v>
      </c>
      <c r="F471">
        <v>2017</v>
      </c>
      <c r="G471" t="s">
        <v>5041</v>
      </c>
      <c r="H471">
        <v>5</v>
      </c>
      <c r="I471">
        <v>4.37</v>
      </c>
      <c r="J471">
        <v>4</v>
      </c>
      <c r="K471">
        <v>13645.34</v>
      </c>
      <c r="L471">
        <v>7.9</v>
      </c>
    </row>
    <row r="472" spans="1:12" x14ac:dyDescent="0.3">
      <c r="A472" t="s">
        <v>487</v>
      </c>
      <c r="B472" t="s">
        <v>24</v>
      </c>
      <c r="C472" t="s">
        <v>11</v>
      </c>
      <c r="D472">
        <v>23</v>
      </c>
      <c r="E472" s="1">
        <v>43980</v>
      </c>
      <c r="F472">
        <v>2020</v>
      </c>
      <c r="G472" t="s">
        <v>5036</v>
      </c>
      <c r="H472">
        <v>29</v>
      </c>
      <c r="I472">
        <v>2.37</v>
      </c>
      <c r="J472">
        <v>14</v>
      </c>
      <c r="K472">
        <v>11033.94</v>
      </c>
      <c r="L472">
        <v>5.4</v>
      </c>
    </row>
    <row r="473" spans="1:12" x14ac:dyDescent="0.3">
      <c r="A473" t="s">
        <v>488</v>
      </c>
      <c r="B473" t="s">
        <v>34</v>
      </c>
      <c r="C473" t="s">
        <v>11</v>
      </c>
      <c r="D473">
        <v>59</v>
      </c>
      <c r="E473" s="1">
        <v>44859</v>
      </c>
      <c r="F473">
        <v>2022</v>
      </c>
      <c r="G473" t="s">
        <v>5039</v>
      </c>
      <c r="H473">
        <v>25</v>
      </c>
      <c r="I473">
        <v>4.5199999999999996</v>
      </c>
      <c r="J473">
        <v>14</v>
      </c>
      <c r="K473">
        <v>13097.49</v>
      </c>
      <c r="L473">
        <v>3</v>
      </c>
    </row>
    <row r="474" spans="1:12" x14ac:dyDescent="0.3">
      <c r="A474" t="s">
        <v>489</v>
      </c>
      <c r="B474" t="s">
        <v>34</v>
      </c>
      <c r="C474" t="s">
        <v>11</v>
      </c>
      <c r="D474">
        <v>40</v>
      </c>
      <c r="E474" s="1">
        <v>40529</v>
      </c>
      <c r="F474">
        <v>2010</v>
      </c>
      <c r="G474" t="s">
        <v>5041</v>
      </c>
      <c r="H474">
        <v>17</v>
      </c>
      <c r="I474">
        <v>3.77</v>
      </c>
      <c r="J474">
        <v>14</v>
      </c>
      <c r="K474">
        <v>11329.39</v>
      </c>
      <c r="L474">
        <v>14.9</v>
      </c>
    </row>
    <row r="475" spans="1:12" x14ac:dyDescent="0.3">
      <c r="A475" t="s">
        <v>490</v>
      </c>
      <c r="B475" t="s">
        <v>16</v>
      </c>
      <c r="C475" t="s">
        <v>11</v>
      </c>
      <c r="D475">
        <v>57</v>
      </c>
      <c r="E475" s="1">
        <v>42469</v>
      </c>
      <c r="F475">
        <v>2016</v>
      </c>
      <c r="G475" t="s">
        <v>5040</v>
      </c>
      <c r="H475">
        <v>9</v>
      </c>
      <c r="I475">
        <v>4.47</v>
      </c>
      <c r="J475">
        <v>12</v>
      </c>
      <c r="K475">
        <v>8465.73</v>
      </c>
      <c r="L475">
        <v>9.6</v>
      </c>
    </row>
    <row r="476" spans="1:12" x14ac:dyDescent="0.3">
      <c r="A476" t="s">
        <v>491</v>
      </c>
      <c r="B476" t="s">
        <v>24</v>
      </c>
      <c r="C476" t="s">
        <v>11</v>
      </c>
      <c r="D476">
        <v>55</v>
      </c>
      <c r="E476" s="1">
        <v>44685</v>
      </c>
      <c r="F476">
        <v>2022</v>
      </c>
      <c r="G476" t="s">
        <v>5036</v>
      </c>
      <c r="H476">
        <v>4</v>
      </c>
      <c r="I476">
        <v>3.16</v>
      </c>
      <c r="J476">
        <v>13</v>
      </c>
      <c r="K476">
        <v>8707.1299999999992</v>
      </c>
      <c r="L476">
        <v>3.5</v>
      </c>
    </row>
    <row r="477" spans="1:12" x14ac:dyDescent="0.3">
      <c r="A477" t="s">
        <v>492</v>
      </c>
      <c r="B477" t="s">
        <v>18</v>
      </c>
      <c r="C477" t="s">
        <v>14</v>
      </c>
      <c r="D477">
        <v>28</v>
      </c>
      <c r="E477" s="1">
        <v>41272</v>
      </c>
      <c r="F477">
        <v>2012</v>
      </c>
      <c r="G477" t="s">
        <v>5041</v>
      </c>
      <c r="H477">
        <v>29</v>
      </c>
      <c r="I477">
        <v>1.62</v>
      </c>
      <c r="J477">
        <v>0</v>
      </c>
      <c r="K477">
        <v>3653.82</v>
      </c>
      <c r="L477">
        <v>12.8</v>
      </c>
    </row>
    <row r="478" spans="1:12" x14ac:dyDescent="0.3">
      <c r="A478" t="s">
        <v>493</v>
      </c>
      <c r="B478" t="s">
        <v>18</v>
      </c>
      <c r="C478" t="s">
        <v>14</v>
      </c>
      <c r="D478">
        <v>39</v>
      </c>
      <c r="E478" s="1">
        <v>41000</v>
      </c>
      <c r="F478">
        <v>2012</v>
      </c>
      <c r="G478" t="s">
        <v>5040</v>
      </c>
      <c r="H478">
        <v>1</v>
      </c>
      <c r="I478">
        <v>1.57</v>
      </c>
      <c r="J478">
        <v>15</v>
      </c>
      <c r="K478">
        <v>6739.31</v>
      </c>
      <c r="L478">
        <v>13.6</v>
      </c>
    </row>
    <row r="479" spans="1:12" x14ac:dyDescent="0.3">
      <c r="A479" t="s">
        <v>494</v>
      </c>
      <c r="B479" t="s">
        <v>18</v>
      </c>
      <c r="C479" t="s">
        <v>14</v>
      </c>
      <c r="D479">
        <v>40</v>
      </c>
      <c r="E479" s="1">
        <v>40353</v>
      </c>
      <c r="F479">
        <v>2010</v>
      </c>
      <c r="G479" t="s">
        <v>5032</v>
      </c>
      <c r="H479">
        <v>24</v>
      </c>
      <c r="I479">
        <v>3.97</v>
      </c>
      <c r="J479">
        <v>9</v>
      </c>
      <c r="K479">
        <v>8609.57</v>
      </c>
      <c r="L479">
        <v>15.4</v>
      </c>
    </row>
    <row r="480" spans="1:12" x14ac:dyDescent="0.3">
      <c r="A480" t="s">
        <v>495</v>
      </c>
      <c r="B480" t="s">
        <v>13</v>
      </c>
      <c r="C480" t="s">
        <v>14</v>
      </c>
      <c r="D480">
        <v>49</v>
      </c>
      <c r="E480" s="1">
        <v>42475</v>
      </c>
      <c r="F480">
        <v>2016</v>
      </c>
      <c r="G480" t="s">
        <v>5040</v>
      </c>
      <c r="H480">
        <v>15</v>
      </c>
      <c r="I480">
        <v>3.43</v>
      </c>
      <c r="J480">
        <v>5</v>
      </c>
      <c r="K480">
        <v>6636.5</v>
      </c>
      <c r="L480">
        <v>9.6</v>
      </c>
    </row>
    <row r="481" spans="1:12" x14ac:dyDescent="0.3">
      <c r="A481" t="s">
        <v>496</v>
      </c>
      <c r="B481" t="s">
        <v>13</v>
      </c>
      <c r="C481" t="s">
        <v>11</v>
      </c>
      <c r="D481">
        <v>40</v>
      </c>
      <c r="E481" s="1">
        <v>41307</v>
      </c>
      <c r="F481">
        <v>2013</v>
      </c>
      <c r="G481" t="s">
        <v>5042</v>
      </c>
      <c r="H481">
        <v>2</v>
      </c>
      <c r="I481">
        <v>1.63</v>
      </c>
      <c r="J481">
        <v>5</v>
      </c>
      <c r="K481">
        <v>6814.29</v>
      </c>
      <c r="L481">
        <v>12.8</v>
      </c>
    </row>
    <row r="482" spans="1:12" x14ac:dyDescent="0.3">
      <c r="A482" t="s">
        <v>497</v>
      </c>
      <c r="B482" t="s">
        <v>34</v>
      </c>
      <c r="C482" t="s">
        <v>11</v>
      </c>
      <c r="D482">
        <v>28</v>
      </c>
      <c r="E482" s="1">
        <v>44900</v>
      </c>
      <c r="F482">
        <v>2022</v>
      </c>
      <c r="G482" t="s">
        <v>5041</v>
      </c>
      <c r="H482">
        <v>5</v>
      </c>
      <c r="I482">
        <v>3.24</v>
      </c>
      <c r="J482">
        <v>15</v>
      </c>
      <c r="K482">
        <v>5291.97</v>
      </c>
      <c r="L482">
        <v>2.9</v>
      </c>
    </row>
    <row r="483" spans="1:12" x14ac:dyDescent="0.3">
      <c r="A483" t="s">
        <v>498</v>
      </c>
      <c r="B483" t="s">
        <v>34</v>
      </c>
      <c r="C483" t="s">
        <v>11</v>
      </c>
      <c r="D483">
        <v>29</v>
      </c>
      <c r="E483" s="1">
        <v>40440</v>
      </c>
      <c r="F483">
        <v>2010</v>
      </c>
      <c r="G483" t="s">
        <v>5033</v>
      </c>
      <c r="H483">
        <v>19</v>
      </c>
      <c r="I483">
        <v>4.43</v>
      </c>
      <c r="J483">
        <v>13</v>
      </c>
      <c r="K483">
        <v>6180.11</v>
      </c>
      <c r="L483">
        <v>15.1</v>
      </c>
    </row>
    <row r="484" spans="1:12" x14ac:dyDescent="0.3">
      <c r="A484" t="s">
        <v>499</v>
      </c>
      <c r="B484" t="s">
        <v>24</v>
      </c>
      <c r="C484" t="s">
        <v>11</v>
      </c>
      <c r="D484">
        <v>33</v>
      </c>
      <c r="E484" s="1">
        <v>41724</v>
      </c>
      <c r="F484">
        <v>2014</v>
      </c>
      <c r="G484" t="s">
        <v>5035</v>
      </c>
      <c r="H484">
        <v>26</v>
      </c>
      <c r="I484">
        <v>1.69</v>
      </c>
      <c r="J484">
        <v>9</v>
      </c>
      <c r="K484">
        <v>9384.0400000000009</v>
      </c>
      <c r="L484">
        <v>11.6</v>
      </c>
    </row>
    <row r="485" spans="1:12" x14ac:dyDescent="0.3">
      <c r="A485" t="s">
        <v>500</v>
      </c>
      <c r="B485" t="s">
        <v>34</v>
      </c>
      <c r="C485" t="s">
        <v>11</v>
      </c>
      <c r="D485">
        <v>25</v>
      </c>
      <c r="E485" s="1">
        <v>45612</v>
      </c>
      <c r="F485">
        <v>2024</v>
      </c>
      <c r="G485" t="s">
        <v>5038</v>
      </c>
      <c r="H485">
        <v>16</v>
      </c>
      <c r="I485">
        <v>4.9400000000000004</v>
      </c>
      <c r="J485">
        <v>8</v>
      </c>
      <c r="K485">
        <v>8908.2999999999993</v>
      </c>
      <c r="L485">
        <v>1</v>
      </c>
    </row>
    <row r="486" spans="1:12" x14ac:dyDescent="0.3">
      <c r="A486" t="s">
        <v>501</v>
      </c>
      <c r="B486" t="s">
        <v>34</v>
      </c>
      <c r="C486" t="s">
        <v>11</v>
      </c>
      <c r="D486">
        <v>52</v>
      </c>
      <c r="E486" s="1">
        <v>40253</v>
      </c>
      <c r="F486">
        <v>2010</v>
      </c>
      <c r="G486" t="s">
        <v>5035</v>
      </c>
      <c r="H486">
        <v>16</v>
      </c>
      <c r="I486">
        <v>2.02</v>
      </c>
      <c r="J486">
        <v>0</v>
      </c>
      <c r="K486">
        <v>7351.78</v>
      </c>
      <c r="L486">
        <v>15.6</v>
      </c>
    </row>
    <row r="487" spans="1:12" x14ac:dyDescent="0.3">
      <c r="A487" t="s">
        <v>502</v>
      </c>
      <c r="B487" t="s">
        <v>34</v>
      </c>
      <c r="C487" t="s">
        <v>14</v>
      </c>
      <c r="D487">
        <v>25</v>
      </c>
      <c r="E487" s="1">
        <v>45144</v>
      </c>
      <c r="F487">
        <v>2023</v>
      </c>
      <c r="G487" t="s">
        <v>5031</v>
      </c>
      <c r="H487">
        <v>6</v>
      </c>
      <c r="I487">
        <v>4.9800000000000004</v>
      </c>
      <c r="J487">
        <v>7</v>
      </c>
      <c r="K487">
        <v>5188.96</v>
      </c>
      <c r="L487">
        <v>2.2000000000000002</v>
      </c>
    </row>
    <row r="488" spans="1:12" x14ac:dyDescent="0.3">
      <c r="A488" t="s">
        <v>503</v>
      </c>
      <c r="B488" t="s">
        <v>16</v>
      </c>
      <c r="C488" t="s">
        <v>14</v>
      </c>
      <c r="D488">
        <v>51</v>
      </c>
      <c r="E488" s="1">
        <v>43330</v>
      </c>
      <c r="F488">
        <v>2018</v>
      </c>
      <c r="G488" t="s">
        <v>5031</v>
      </c>
      <c r="H488">
        <v>18</v>
      </c>
      <c r="I488">
        <v>4</v>
      </c>
      <c r="J488">
        <v>14</v>
      </c>
      <c r="K488">
        <v>13934.98</v>
      </c>
      <c r="L488">
        <v>7.2</v>
      </c>
    </row>
    <row r="489" spans="1:12" x14ac:dyDescent="0.3">
      <c r="A489" t="s">
        <v>504</v>
      </c>
      <c r="B489" t="s">
        <v>24</v>
      </c>
      <c r="C489" t="s">
        <v>14</v>
      </c>
      <c r="D489">
        <v>36</v>
      </c>
      <c r="E489" s="1">
        <v>43840</v>
      </c>
      <c r="F489">
        <v>2020</v>
      </c>
      <c r="G489" t="s">
        <v>5037</v>
      </c>
      <c r="H489">
        <v>10</v>
      </c>
      <c r="I489">
        <v>3.45</v>
      </c>
      <c r="J489">
        <v>11</v>
      </c>
      <c r="K489">
        <v>12220.75</v>
      </c>
      <c r="L489">
        <v>5.8</v>
      </c>
    </row>
    <row r="490" spans="1:12" x14ac:dyDescent="0.3">
      <c r="A490" t="s">
        <v>505</v>
      </c>
      <c r="B490" t="s">
        <v>16</v>
      </c>
      <c r="C490" t="s">
        <v>11</v>
      </c>
      <c r="D490">
        <v>36</v>
      </c>
      <c r="E490" s="1">
        <v>45326</v>
      </c>
      <c r="F490">
        <v>2024</v>
      </c>
      <c r="G490" t="s">
        <v>5042</v>
      </c>
      <c r="H490">
        <v>4</v>
      </c>
      <c r="I490">
        <v>3.4</v>
      </c>
      <c r="J490">
        <v>14</v>
      </c>
      <c r="K490">
        <v>3000.36</v>
      </c>
      <c r="L490">
        <v>1.7</v>
      </c>
    </row>
    <row r="491" spans="1:12" x14ac:dyDescent="0.3">
      <c r="A491" t="s">
        <v>506</v>
      </c>
      <c r="B491" t="s">
        <v>24</v>
      </c>
      <c r="C491" t="s">
        <v>14</v>
      </c>
      <c r="D491">
        <v>32</v>
      </c>
      <c r="E491" s="1">
        <v>45784</v>
      </c>
      <c r="F491">
        <v>2025</v>
      </c>
      <c r="G491" t="s">
        <v>5036</v>
      </c>
      <c r="H491">
        <v>7</v>
      </c>
      <c r="I491">
        <v>3.52</v>
      </c>
      <c r="J491">
        <v>3</v>
      </c>
      <c r="K491">
        <v>5490.28</v>
      </c>
      <c r="L491">
        <v>0.5</v>
      </c>
    </row>
    <row r="492" spans="1:12" x14ac:dyDescent="0.3">
      <c r="A492" t="s">
        <v>507</v>
      </c>
      <c r="B492" t="s">
        <v>34</v>
      </c>
      <c r="C492" t="s">
        <v>14</v>
      </c>
      <c r="D492">
        <v>29</v>
      </c>
      <c r="E492" s="1">
        <v>45390</v>
      </c>
      <c r="F492">
        <v>2024</v>
      </c>
      <c r="G492" t="s">
        <v>5040</v>
      </c>
      <c r="H492">
        <v>8</v>
      </c>
      <c r="I492">
        <v>4.33</v>
      </c>
      <c r="J492">
        <v>9</v>
      </c>
      <c r="K492">
        <v>11965.47</v>
      </c>
      <c r="L492">
        <v>1.6</v>
      </c>
    </row>
    <row r="493" spans="1:12" x14ac:dyDescent="0.3">
      <c r="A493" t="s">
        <v>508</v>
      </c>
      <c r="B493" t="s">
        <v>18</v>
      </c>
      <c r="C493" t="s">
        <v>11</v>
      </c>
      <c r="D493">
        <v>53</v>
      </c>
      <c r="E493" s="1">
        <v>41445</v>
      </c>
      <c r="F493">
        <v>2013</v>
      </c>
      <c r="G493" t="s">
        <v>5032</v>
      </c>
      <c r="H493">
        <v>20</v>
      </c>
      <c r="I493">
        <v>1.54</v>
      </c>
      <c r="J493">
        <v>15</v>
      </c>
      <c r="K493">
        <v>3243.1</v>
      </c>
      <c r="L493">
        <v>12.4</v>
      </c>
    </row>
    <row r="494" spans="1:12" x14ac:dyDescent="0.3">
      <c r="A494" t="s">
        <v>509</v>
      </c>
      <c r="B494" t="s">
        <v>13</v>
      </c>
      <c r="C494" t="s">
        <v>14</v>
      </c>
      <c r="D494">
        <v>28</v>
      </c>
      <c r="E494" s="1">
        <v>44576</v>
      </c>
      <c r="F494">
        <v>2022</v>
      </c>
      <c r="G494" t="s">
        <v>5037</v>
      </c>
      <c r="H494">
        <v>15</v>
      </c>
      <c r="I494">
        <v>2.1800000000000002</v>
      </c>
      <c r="J494">
        <v>8</v>
      </c>
      <c r="K494">
        <v>11469.43</v>
      </c>
      <c r="L494">
        <v>3.8</v>
      </c>
    </row>
    <row r="495" spans="1:12" x14ac:dyDescent="0.3">
      <c r="A495" t="s">
        <v>510</v>
      </c>
      <c r="B495" t="s">
        <v>34</v>
      </c>
      <c r="C495" t="s">
        <v>11</v>
      </c>
      <c r="D495">
        <v>51</v>
      </c>
      <c r="E495" s="1">
        <v>41431</v>
      </c>
      <c r="F495">
        <v>2013</v>
      </c>
      <c r="G495" t="s">
        <v>5032</v>
      </c>
      <c r="H495">
        <v>6</v>
      </c>
      <c r="I495">
        <v>2.14</v>
      </c>
      <c r="J495">
        <v>14</v>
      </c>
      <c r="K495">
        <v>8707.1299999999992</v>
      </c>
      <c r="L495">
        <v>12.4</v>
      </c>
    </row>
    <row r="496" spans="1:12" x14ac:dyDescent="0.3">
      <c r="A496" t="s">
        <v>511</v>
      </c>
      <c r="B496" t="s">
        <v>18</v>
      </c>
      <c r="C496" t="s">
        <v>11</v>
      </c>
      <c r="D496">
        <v>25</v>
      </c>
      <c r="E496" s="1">
        <v>41227</v>
      </c>
      <c r="F496">
        <v>2012</v>
      </c>
      <c r="G496" t="s">
        <v>5038</v>
      </c>
      <c r="H496">
        <v>14</v>
      </c>
      <c r="I496">
        <v>3.97</v>
      </c>
      <c r="J496">
        <v>14</v>
      </c>
      <c r="K496">
        <v>8616.08</v>
      </c>
      <c r="L496">
        <v>13</v>
      </c>
    </row>
    <row r="497" spans="1:12" x14ac:dyDescent="0.3">
      <c r="A497" t="s">
        <v>512</v>
      </c>
      <c r="B497" t="s">
        <v>18</v>
      </c>
      <c r="C497" t="s">
        <v>14</v>
      </c>
      <c r="D497">
        <v>47</v>
      </c>
      <c r="E497" s="1">
        <v>45633</v>
      </c>
      <c r="F497">
        <v>2024</v>
      </c>
      <c r="G497" t="s">
        <v>5041</v>
      </c>
      <c r="H497">
        <v>7</v>
      </c>
      <c r="I497">
        <v>3.48</v>
      </c>
      <c r="J497">
        <v>2</v>
      </c>
      <c r="K497">
        <v>4345.33</v>
      </c>
      <c r="L497">
        <v>0.9</v>
      </c>
    </row>
    <row r="498" spans="1:12" x14ac:dyDescent="0.3">
      <c r="A498" t="s">
        <v>513</v>
      </c>
      <c r="B498" t="s">
        <v>34</v>
      </c>
      <c r="C498" t="s">
        <v>14</v>
      </c>
      <c r="D498">
        <v>23</v>
      </c>
      <c r="E498" s="1">
        <v>41826</v>
      </c>
      <c r="F498">
        <v>2014</v>
      </c>
      <c r="G498" t="s">
        <v>5034</v>
      </c>
      <c r="H498">
        <v>6</v>
      </c>
      <c r="I498">
        <v>3.83</v>
      </c>
      <c r="J498">
        <v>1</v>
      </c>
      <c r="K498">
        <v>8156.67</v>
      </c>
      <c r="L498">
        <v>11.3</v>
      </c>
    </row>
    <row r="499" spans="1:12" x14ac:dyDescent="0.3">
      <c r="A499" t="s">
        <v>514</v>
      </c>
      <c r="B499" t="s">
        <v>18</v>
      </c>
      <c r="C499" t="s">
        <v>11</v>
      </c>
      <c r="D499">
        <v>60</v>
      </c>
      <c r="E499" s="1">
        <v>42514</v>
      </c>
      <c r="F499">
        <v>2016</v>
      </c>
      <c r="G499" t="s">
        <v>5036</v>
      </c>
      <c r="H499">
        <v>24</v>
      </c>
      <c r="I499">
        <v>3.48</v>
      </c>
      <c r="J499">
        <v>6</v>
      </c>
      <c r="K499">
        <v>8127.1</v>
      </c>
      <c r="L499">
        <v>9.4</v>
      </c>
    </row>
    <row r="500" spans="1:12" x14ac:dyDescent="0.3">
      <c r="A500" t="s">
        <v>515</v>
      </c>
      <c r="B500" t="s">
        <v>24</v>
      </c>
      <c r="C500" t="s">
        <v>14</v>
      </c>
      <c r="D500">
        <v>50</v>
      </c>
      <c r="E500" s="1">
        <v>44718</v>
      </c>
      <c r="F500">
        <v>2022</v>
      </c>
      <c r="G500" t="s">
        <v>5032</v>
      </c>
      <c r="H500">
        <v>6</v>
      </c>
      <c r="I500">
        <v>1.85</v>
      </c>
      <c r="J500">
        <v>14</v>
      </c>
      <c r="K500">
        <v>12291.58</v>
      </c>
      <c r="L500">
        <v>3.4</v>
      </c>
    </row>
    <row r="501" spans="1:12" x14ac:dyDescent="0.3">
      <c r="A501" t="s">
        <v>516</v>
      </c>
      <c r="B501" t="s">
        <v>24</v>
      </c>
      <c r="C501" t="s">
        <v>11</v>
      </c>
      <c r="D501">
        <v>49</v>
      </c>
      <c r="E501" s="1">
        <v>45835</v>
      </c>
      <c r="F501">
        <v>2025</v>
      </c>
      <c r="G501" t="s">
        <v>5032</v>
      </c>
      <c r="H501">
        <v>27</v>
      </c>
      <c r="I501">
        <v>3.91</v>
      </c>
      <c r="J501">
        <v>3</v>
      </c>
      <c r="K501">
        <v>14813.88</v>
      </c>
      <c r="L501">
        <v>0.3</v>
      </c>
    </row>
    <row r="502" spans="1:12" x14ac:dyDescent="0.3">
      <c r="A502" t="s">
        <v>517</v>
      </c>
      <c r="B502" t="s">
        <v>24</v>
      </c>
      <c r="C502" t="s">
        <v>11</v>
      </c>
      <c r="D502">
        <v>53</v>
      </c>
      <c r="E502" s="1">
        <v>41269</v>
      </c>
      <c r="F502">
        <v>2012</v>
      </c>
      <c r="G502" t="s">
        <v>5041</v>
      </c>
      <c r="H502">
        <v>26</v>
      </c>
      <c r="I502">
        <v>2.5499999999999998</v>
      </c>
      <c r="J502">
        <v>10</v>
      </c>
      <c r="K502">
        <v>13890.28</v>
      </c>
      <c r="L502">
        <v>12.9</v>
      </c>
    </row>
    <row r="503" spans="1:12" x14ac:dyDescent="0.3">
      <c r="A503" t="s">
        <v>518</v>
      </c>
      <c r="B503" t="s">
        <v>34</v>
      </c>
      <c r="C503" t="s">
        <v>11</v>
      </c>
      <c r="D503">
        <v>31</v>
      </c>
      <c r="E503" s="1">
        <v>44023</v>
      </c>
      <c r="F503">
        <v>2020</v>
      </c>
      <c r="G503" t="s">
        <v>5034</v>
      </c>
      <c r="H503">
        <v>11</v>
      </c>
      <c r="I503">
        <v>1.53</v>
      </c>
      <c r="J503">
        <v>12</v>
      </c>
      <c r="K503">
        <v>5281.52</v>
      </c>
      <c r="L503">
        <v>5.3</v>
      </c>
    </row>
    <row r="504" spans="1:12" x14ac:dyDescent="0.3">
      <c r="A504" t="s">
        <v>519</v>
      </c>
      <c r="B504" t="s">
        <v>18</v>
      </c>
      <c r="C504" t="s">
        <v>11</v>
      </c>
      <c r="D504">
        <v>28</v>
      </c>
      <c r="E504" s="1">
        <v>43237</v>
      </c>
      <c r="F504">
        <v>2018</v>
      </c>
      <c r="G504" t="s">
        <v>5036</v>
      </c>
      <c r="H504">
        <v>17</v>
      </c>
      <c r="I504">
        <v>3.47</v>
      </c>
      <c r="J504">
        <v>5</v>
      </c>
      <c r="K504">
        <v>4731.2299999999996</v>
      </c>
      <c r="L504">
        <v>7.5</v>
      </c>
    </row>
    <row r="505" spans="1:12" x14ac:dyDescent="0.3">
      <c r="A505" t="s">
        <v>520</v>
      </c>
      <c r="B505" t="s">
        <v>24</v>
      </c>
      <c r="C505" t="s">
        <v>14</v>
      </c>
      <c r="D505">
        <v>60</v>
      </c>
      <c r="E505" s="1">
        <v>45444</v>
      </c>
      <c r="F505">
        <v>2024</v>
      </c>
      <c r="G505" t="s">
        <v>5032</v>
      </c>
      <c r="H505">
        <v>1</v>
      </c>
      <c r="I505">
        <v>1.51</v>
      </c>
      <c r="J505">
        <v>11</v>
      </c>
      <c r="K505">
        <v>12305.09</v>
      </c>
      <c r="L505">
        <v>1.4</v>
      </c>
    </row>
    <row r="506" spans="1:12" x14ac:dyDescent="0.3">
      <c r="A506" t="s">
        <v>521</v>
      </c>
      <c r="B506" t="s">
        <v>13</v>
      </c>
      <c r="C506" t="s">
        <v>11</v>
      </c>
      <c r="D506">
        <v>24</v>
      </c>
      <c r="E506" s="1">
        <v>44084</v>
      </c>
      <c r="F506">
        <v>2020</v>
      </c>
      <c r="G506" t="s">
        <v>5033</v>
      </c>
      <c r="H506">
        <v>10</v>
      </c>
      <c r="I506">
        <v>3.19</v>
      </c>
      <c r="J506">
        <v>3</v>
      </c>
      <c r="K506">
        <v>12274.07</v>
      </c>
      <c r="L506">
        <v>5.0999999999999996</v>
      </c>
    </row>
    <row r="507" spans="1:12" x14ac:dyDescent="0.3">
      <c r="A507" t="s">
        <v>522</v>
      </c>
      <c r="B507" t="s">
        <v>10</v>
      </c>
      <c r="C507" t="s">
        <v>14</v>
      </c>
      <c r="D507">
        <v>42</v>
      </c>
      <c r="E507" s="1">
        <v>45595</v>
      </c>
      <c r="F507">
        <v>2024</v>
      </c>
      <c r="G507" t="s">
        <v>5039</v>
      </c>
      <c r="H507">
        <v>30</v>
      </c>
      <c r="I507">
        <v>2.71</v>
      </c>
      <c r="J507">
        <v>2</v>
      </c>
      <c r="K507">
        <v>11328.79</v>
      </c>
      <c r="L507">
        <v>1</v>
      </c>
    </row>
    <row r="508" spans="1:12" x14ac:dyDescent="0.3">
      <c r="A508" t="s">
        <v>523</v>
      </c>
      <c r="B508" t="s">
        <v>16</v>
      </c>
      <c r="C508" t="s">
        <v>14</v>
      </c>
      <c r="D508">
        <v>29</v>
      </c>
      <c r="E508" s="1">
        <v>44969</v>
      </c>
      <c r="F508">
        <v>2023</v>
      </c>
      <c r="G508" t="s">
        <v>5042</v>
      </c>
      <c r="H508">
        <v>12</v>
      </c>
      <c r="I508">
        <v>3.53</v>
      </c>
      <c r="J508">
        <v>8</v>
      </c>
      <c r="K508">
        <v>8448.76</v>
      </c>
      <c r="L508">
        <v>2.7</v>
      </c>
    </row>
    <row r="509" spans="1:12" x14ac:dyDescent="0.3">
      <c r="A509" t="s">
        <v>524</v>
      </c>
      <c r="B509" t="s">
        <v>34</v>
      </c>
      <c r="C509" t="s">
        <v>11</v>
      </c>
      <c r="D509">
        <v>60</v>
      </c>
      <c r="E509" s="1">
        <v>42823</v>
      </c>
      <c r="F509">
        <v>2017</v>
      </c>
      <c r="G509" t="s">
        <v>5035</v>
      </c>
      <c r="H509">
        <v>29</v>
      </c>
      <c r="I509">
        <v>4.49</v>
      </c>
      <c r="J509">
        <v>13</v>
      </c>
      <c r="K509">
        <v>7931.71</v>
      </c>
      <c r="L509">
        <v>8.6</v>
      </c>
    </row>
    <row r="510" spans="1:12" x14ac:dyDescent="0.3">
      <c r="A510" t="s">
        <v>525</v>
      </c>
      <c r="B510" t="s">
        <v>10</v>
      </c>
      <c r="C510" t="s">
        <v>11</v>
      </c>
      <c r="D510">
        <v>45</v>
      </c>
      <c r="E510" s="1">
        <v>41640</v>
      </c>
      <c r="F510">
        <v>2014</v>
      </c>
      <c r="G510" t="s">
        <v>5037</v>
      </c>
      <c r="H510">
        <v>1</v>
      </c>
      <c r="I510">
        <v>1.51</v>
      </c>
      <c r="J510">
        <v>15</v>
      </c>
      <c r="K510">
        <v>14904.19</v>
      </c>
      <c r="L510">
        <v>11.8</v>
      </c>
    </row>
    <row r="511" spans="1:12" x14ac:dyDescent="0.3">
      <c r="A511" t="s">
        <v>526</v>
      </c>
      <c r="B511" t="s">
        <v>34</v>
      </c>
      <c r="C511" t="s">
        <v>11</v>
      </c>
      <c r="D511">
        <v>29</v>
      </c>
      <c r="E511" s="1">
        <v>43152</v>
      </c>
      <c r="F511">
        <v>2018</v>
      </c>
      <c r="G511" t="s">
        <v>5042</v>
      </c>
      <c r="H511">
        <v>21</v>
      </c>
      <c r="I511">
        <v>4.9800000000000004</v>
      </c>
      <c r="J511">
        <v>14</v>
      </c>
      <c r="K511">
        <v>5771.25</v>
      </c>
      <c r="L511">
        <v>7.7</v>
      </c>
    </row>
    <row r="512" spans="1:12" x14ac:dyDescent="0.3">
      <c r="A512" t="s">
        <v>527</v>
      </c>
      <c r="B512" t="s">
        <v>16</v>
      </c>
      <c r="C512" t="s">
        <v>14</v>
      </c>
      <c r="D512">
        <v>59</v>
      </c>
      <c r="E512" s="1">
        <v>42760</v>
      </c>
      <c r="F512">
        <v>2017</v>
      </c>
      <c r="G512" t="s">
        <v>5037</v>
      </c>
      <c r="H512">
        <v>25</v>
      </c>
      <c r="I512">
        <v>3.32</v>
      </c>
      <c r="J512">
        <v>10</v>
      </c>
      <c r="K512">
        <v>8292.35</v>
      </c>
      <c r="L512">
        <v>8.8000000000000007</v>
      </c>
    </row>
    <row r="513" spans="1:12" x14ac:dyDescent="0.3">
      <c r="A513" t="s">
        <v>528</v>
      </c>
      <c r="B513" t="s">
        <v>24</v>
      </c>
      <c r="C513" t="s">
        <v>11</v>
      </c>
      <c r="D513">
        <v>49</v>
      </c>
      <c r="E513" s="1">
        <v>40194</v>
      </c>
      <c r="F513">
        <v>2010</v>
      </c>
      <c r="G513" t="s">
        <v>5037</v>
      </c>
      <c r="H513">
        <v>16</v>
      </c>
      <c r="I513">
        <v>4.59</v>
      </c>
      <c r="J513">
        <v>6</v>
      </c>
      <c r="K513">
        <v>13513.13</v>
      </c>
      <c r="L513">
        <v>15.8</v>
      </c>
    </row>
    <row r="514" spans="1:12" x14ac:dyDescent="0.3">
      <c r="A514" t="s">
        <v>529</v>
      </c>
      <c r="B514" t="s">
        <v>18</v>
      </c>
      <c r="C514" t="s">
        <v>11</v>
      </c>
      <c r="D514">
        <v>54</v>
      </c>
      <c r="E514" s="1">
        <v>44810</v>
      </c>
      <c r="F514">
        <v>2022</v>
      </c>
      <c r="G514" t="s">
        <v>5033</v>
      </c>
      <c r="H514">
        <v>6</v>
      </c>
      <c r="I514">
        <v>2.67</v>
      </c>
      <c r="J514">
        <v>8</v>
      </c>
      <c r="K514">
        <v>12352.62</v>
      </c>
      <c r="L514">
        <v>3.2</v>
      </c>
    </row>
    <row r="515" spans="1:12" x14ac:dyDescent="0.3">
      <c r="A515" t="s">
        <v>530</v>
      </c>
      <c r="B515" t="s">
        <v>24</v>
      </c>
      <c r="C515" t="s">
        <v>14</v>
      </c>
      <c r="D515">
        <v>31</v>
      </c>
      <c r="E515" s="1">
        <v>44166</v>
      </c>
      <c r="F515">
        <v>2020</v>
      </c>
      <c r="G515" t="s">
        <v>5041</v>
      </c>
      <c r="H515">
        <v>1</v>
      </c>
      <c r="I515">
        <v>2.71</v>
      </c>
      <c r="J515">
        <v>14</v>
      </c>
      <c r="K515">
        <v>12089.16</v>
      </c>
      <c r="L515">
        <v>4.9000000000000004</v>
      </c>
    </row>
    <row r="516" spans="1:12" x14ac:dyDescent="0.3">
      <c r="A516" t="s">
        <v>531</v>
      </c>
      <c r="B516" t="s">
        <v>10</v>
      </c>
      <c r="C516" t="s">
        <v>14</v>
      </c>
      <c r="D516">
        <v>25</v>
      </c>
      <c r="E516" s="1">
        <v>40484</v>
      </c>
      <c r="F516">
        <v>2010</v>
      </c>
      <c r="G516" t="s">
        <v>5038</v>
      </c>
      <c r="H516">
        <v>2</v>
      </c>
      <c r="I516">
        <v>2.2200000000000002</v>
      </c>
      <c r="J516">
        <v>12</v>
      </c>
      <c r="K516">
        <v>6999.59</v>
      </c>
      <c r="L516">
        <v>15</v>
      </c>
    </row>
    <row r="517" spans="1:12" x14ac:dyDescent="0.3">
      <c r="A517" t="s">
        <v>532</v>
      </c>
      <c r="B517" t="s">
        <v>34</v>
      </c>
      <c r="C517" t="s">
        <v>11</v>
      </c>
      <c r="D517">
        <v>52</v>
      </c>
      <c r="E517" s="1">
        <v>45648</v>
      </c>
      <c r="F517">
        <v>2024</v>
      </c>
      <c r="G517" t="s">
        <v>5041</v>
      </c>
      <c r="H517">
        <v>22</v>
      </c>
      <c r="I517">
        <v>3.56</v>
      </c>
      <c r="J517">
        <v>15</v>
      </c>
      <c r="K517">
        <v>4787.25</v>
      </c>
      <c r="L517">
        <v>0.9</v>
      </c>
    </row>
    <row r="518" spans="1:12" x14ac:dyDescent="0.3">
      <c r="A518" t="s">
        <v>533</v>
      </c>
      <c r="B518" t="s">
        <v>34</v>
      </c>
      <c r="C518" t="s">
        <v>11</v>
      </c>
      <c r="D518">
        <v>40</v>
      </c>
      <c r="E518" s="1">
        <v>40290</v>
      </c>
      <c r="F518">
        <v>2010</v>
      </c>
      <c r="G518" t="s">
        <v>5040</v>
      </c>
      <c r="H518">
        <v>22</v>
      </c>
      <c r="I518">
        <v>2.81</v>
      </c>
      <c r="J518">
        <v>14</v>
      </c>
      <c r="K518">
        <v>10016.61</v>
      </c>
      <c r="L518">
        <v>15.5</v>
      </c>
    </row>
    <row r="519" spans="1:12" x14ac:dyDescent="0.3">
      <c r="A519" t="s">
        <v>534</v>
      </c>
      <c r="B519" t="s">
        <v>18</v>
      </c>
      <c r="C519" t="s">
        <v>11</v>
      </c>
      <c r="D519">
        <v>46</v>
      </c>
      <c r="E519" s="1">
        <v>40434</v>
      </c>
      <c r="F519">
        <v>2010</v>
      </c>
      <c r="G519" t="s">
        <v>5033</v>
      </c>
      <c r="H519">
        <v>13</v>
      </c>
      <c r="I519">
        <v>2.2799999999999998</v>
      </c>
      <c r="J519">
        <v>11</v>
      </c>
      <c r="K519">
        <v>11919.14</v>
      </c>
      <c r="L519">
        <v>15.1</v>
      </c>
    </row>
    <row r="520" spans="1:12" x14ac:dyDescent="0.3">
      <c r="A520" t="s">
        <v>535</v>
      </c>
      <c r="B520" t="s">
        <v>34</v>
      </c>
      <c r="C520" t="s">
        <v>14</v>
      </c>
      <c r="D520">
        <v>40</v>
      </c>
      <c r="E520" s="1">
        <v>41160</v>
      </c>
      <c r="F520">
        <v>2012</v>
      </c>
      <c r="G520" t="s">
        <v>5033</v>
      </c>
      <c r="H520">
        <v>8</v>
      </c>
      <c r="I520">
        <v>3.31</v>
      </c>
      <c r="J520">
        <v>10</v>
      </c>
      <c r="K520">
        <v>6056.96</v>
      </c>
      <c r="L520">
        <v>13.2</v>
      </c>
    </row>
    <row r="521" spans="1:12" x14ac:dyDescent="0.3">
      <c r="A521" t="s">
        <v>536</v>
      </c>
      <c r="B521" t="s">
        <v>24</v>
      </c>
      <c r="C521" t="s">
        <v>14</v>
      </c>
      <c r="D521">
        <v>33</v>
      </c>
      <c r="E521" s="1">
        <v>41071</v>
      </c>
      <c r="F521">
        <v>2012</v>
      </c>
      <c r="G521" t="s">
        <v>5032</v>
      </c>
      <c r="H521">
        <v>11</v>
      </c>
      <c r="I521">
        <v>2.33</v>
      </c>
      <c r="J521">
        <v>11</v>
      </c>
      <c r="K521">
        <v>4429.49</v>
      </c>
      <c r="L521">
        <v>13.4</v>
      </c>
    </row>
    <row r="522" spans="1:12" x14ac:dyDescent="0.3">
      <c r="A522" t="s">
        <v>537</v>
      </c>
      <c r="B522" t="s">
        <v>34</v>
      </c>
      <c r="C522" t="s">
        <v>11</v>
      </c>
      <c r="D522">
        <v>23</v>
      </c>
      <c r="E522" s="1">
        <v>40492</v>
      </c>
      <c r="F522">
        <v>2010</v>
      </c>
      <c r="G522" t="s">
        <v>5038</v>
      </c>
      <c r="H522">
        <v>10</v>
      </c>
      <c r="I522">
        <v>1.83</v>
      </c>
      <c r="J522">
        <v>4</v>
      </c>
      <c r="K522">
        <v>10734.7</v>
      </c>
      <c r="L522">
        <v>15</v>
      </c>
    </row>
    <row r="523" spans="1:12" x14ac:dyDescent="0.3">
      <c r="A523" t="s">
        <v>538</v>
      </c>
      <c r="B523" t="s">
        <v>10</v>
      </c>
      <c r="C523" t="s">
        <v>14</v>
      </c>
      <c r="D523">
        <v>60</v>
      </c>
      <c r="E523" s="1">
        <v>45390</v>
      </c>
      <c r="F523">
        <v>2024</v>
      </c>
      <c r="G523" t="s">
        <v>5040</v>
      </c>
      <c r="H523">
        <v>8</v>
      </c>
      <c r="I523">
        <v>2.25</v>
      </c>
      <c r="J523">
        <v>3</v>
      </c>
      <c r="K523">
        <v>13860.19</v>
      </c>
      <c r="L523">
        <v>1.6</v>
      </c>
    </row>
    <row r="524" spans="1:12" x14ac:dyDescent="0.3">
      <c r="A524" t="s">
        <v>539</v>
      </c>
      <c r="B524" t="s">
        <v>16</v>
      </c>
      <c r="C524" t="s">
        <v>11</v>
      </c>
      <c r="D524">
        <v>54</v>
      </c>
      <c r="E524" s="1">
        <v>44027</v>
      </c>
      <c r="F524">
        <v>2020</v>
      </c>
      <c r="G524" t="s">
        <v>5034</v>
      </c>
      <c r="H524">
        <v>15</v>
      </c>
      <c r="I524">
        <v>4.84</v>
      </c>
      <c r="J524">
        <v>1</v>
      </c>
      <c r="K524">
        <v>5385.1</v>
      </c>
      <c r="L524">
        <v>5.3</v>
      </c>
    </row>
    <row r="525" spans="1:12" x14ac:dyDescent="0.3">
      <c r="A525" t="s">
        <v>540</v>
      </c>
      <c r="B525" t="s">
        <v>34</v>
      </c>
      <c r="C525" t="s">
        <v>14</v>
      </c>
      <c r="D525">
        <v>56</v>
      </c>
      <c r="E525" s="1">
        <v>42999</v>
      </c>
      <c r="F525">
        <v>2017</v>
      </c>
      <c r="G525" t="s">
        <v>5033</v>
      </c>
      <c r="H525">
        <v>21</v>
      </c>
      <c r="I525">
        <v>3.34</v>
      </c>
      <c r="J525">
        <v>11</v>
      </c>
      <c r="K525">
        <v>9543.61</v>
      </c>
      <c r="L525">
        <v>8.1</v>
      </c>
    </row>
    <row r="526" spans="1:12" x14ac:dyDescent="0.3">
      <c r="A526" t="s">
        <v>541</v>
      </c>
      <c r="B526" t="s">
        <v>16</v>
      </c>
      <c r="C526" t="s">
        <v>14</v>
      </c>
      <c r="D526">
        <v>26</v>
      </c>
      <c r="E526" s="1">
        <v>43332</v>
      </c>
      <c r="F526">
        <v>2018</v>
      </c>
      <c r="G526" t="s">
        <v>5031</v>
      </c>
      <c r="H526">
        <v>20</v>
      </c>
      <c r="I526">
        <v>4.0199999999999996</v>
      </c>
      <c r="J526">
        <v>10</v>
      </c>
      <c r="K526">
        <v>12173.92</v>
      </c>
      <c r="L526">
        <v>7.2</v>
      </c>
    </row>
    <row r="527" spans="1:12" x14ac:dyDescent="0.3">
      <c r="A527" t="s">
        <v>542</v>
      </c>
      <c r="B527" t="s">
        <v>10</v>
      </c>
      <c r="C527" t="s">
        <v>14</v>
      </c>
      <c r="D527">
        <v>25</v>
      </c>
      <c r="E527" s="1">
        <v>42121</v>
      </c>
      <c r="F527">
        <v>2015</v>
      </c>
      <c r="G527" t="s">
        <v>5040</v>
      </c>
      <c r="H527">
        <v>27</v>
      </c>
      <c r="I527">
        <v>2.99</v>
      </c>
      <c r="J527">
        <v>15</v>
      </c>
      <c r="K527">
        <v>5449.68</v>
      </c>
      <c r="L527">
        <v>10.5</v>
      </c>
    </row>
    <row r="528" spans="1:12" x14ac:dyDescent="0.3">
      <c r="A528" t="s">
        <v>543</v>
      </c>
      <c r="B528" t="s">
        <v>16</v>
      </c>
      <c r="C528" t="s">
        <v>11</v>
      </c>
      <c r="D528">
        <v>37</v>
      </c>
      <c r="E528" s="1">
        <v>41770</v>
      </c>
      <c r="F528">
        <v>2014</v>
      </c>
      <c r="G528" t="s">
        <v>5036</v>
      </c>
      <c r="H528">
        <v>11</v>
      </c>
      <c r="I528">
        <v>4.5599999999999996</v>
      </c>
      <c r="J528">
        <v>9</v>
      </c>
      <c r="K528">
        <v>7538.63</v>
      </c>
      <c r="L528">
        <v>11.5</v>
      </c>
    </row>
    <row r="529" spans="1:12" x14ac:dyDescent="0.3">
      <c r="A529" t="s">
        <v>544</v>
      </c>
      <c r="B529" t="s">
        <v>10</v>
      </c>
      <c r="C529" t="s">
        <v>11</v>
      </c>
      <c r="D529">
        <v>46</v>
      </c>
      <c r="E529" s="1">
        <v>44721</v>
      </c>
      <c r="F529">
        <v>2022</v>
      </c>
      <c r="G529" t="s">
        <v>5032</v>
      </c>
      <c r="H529">
        <v>9</v>
      </c>
      <c r="I529">
        <v>4.67</v>
      </c>
      <c r="J529">
        <v>15</v>
      </c>
      <c r="K529">
        <v>8648.01</v>
      </c>
      <c r="L529">
        <v>3.4</v>
      </c>
    </row>
    <row r="530" spans="1:12" x14ac:dyDescent="0.3">
      <c r="A530" t="s">
        <v>545</v>
      </c>
      <c r="B530" t="s">
        <v>24</v>
      </c>
      <c r="C530" t="s">
        <v>14</v>
      </c>
      <c r="D530">
        <v>53</v>
      </c>
      <c r="E530" s="1">
        <v>44213</v>
      </c>
      <c r="F530">
        <v>2021</v>
      </c>
      <c r="G530" t="s">
        <v>5037</v>
      </c>
      <c r="H530">
        <v>17</v>
      </c>
      <c r="I530">
        <v>4.72</v>
      </c>
      <c r="J530">
        <v>3</v>
      </c>
      <c r="K530">
        <v>3949.88</v>
      </c>
      <c r="L530">
        <v>4.8</v>
      </c>
    </row>
    <row r="531" spans="1:12" x14ac:dyDescent="0.3">
      <c r="A531" t="s">
        <v>546</v>
      </c>
      <c r="B531" t="s">
        <v>16</v>
      </c>
      <c r="C531" t="s">
        <v>14</v>
      </c>
      <c r="D531">
        <v>41</v>
      </c>
      <c r="E531" s="1">
        <v>41472</v>
      </c>
      <c r="F531">
        <v>2013</v>
      </c>
      <c r="G531" t="s">
        <v>5034</v>
      </c>
      <c r="H531">
        <v>17</v>
      </c>
      <c r="I531">
        <v>4.1100000000000003</v>
      </c>
      <c r="J531">
        <v>4</v>
      </c>
      <c r="K531">
        <v>9026.49</v>
      </c>
      <c r="L531">
        <v>12.3</v>
      </c>
    </row>
    <row r="532" spans="1:12" x14ac:dyDescent="0.3">
      <c r="A532" t="s">
        <v>547</v>
      </c>
      <c r="B532" t="s">
        <v>34</v>
      </c>
      <c r="C532" t="s">
        <v>11</v>
      </c>
      <c r="D532">
        <v>58</v>
      </c>
      <c r="E532" s="1">
        <v>44692</v>
      </c>
      <c r="F532">
        <v>2022</v>
      </c>
      <c r="G532" t="s">
        <v>5036</v>
      </c>
      <c r="H532">
        <v>11</v>
      </c>
      <c r="I532">
        <v>2.08</v>
      </c>
      <c r="J532">
        <v>7</v>
      </c>
      <c r="K532">
        <v>13242.56</v>
      </c>
      <c r="L532">
        <v>3.5</v>
      </c>
    </row>
    <row r="533" spans="1:12" x14ac:dyDescent="0.3">
      <c r="A533" t="s">
        <v>548</v>
      </c>
      <c r="B533" t="s">
        <v>13</v>
      </c>
      <c r="C533" t="s">
        <v>11</v>
      </c>
      <c r="D533">
        <v>30</v>
      </c>
      <c r="E533" s="1">
        <v>43899</v>
      </c>
      <c r="F533">
        <v>2020</v>
      </c>
      <c r="G533" t="s">
        <v>5035</v>
      </c>
      <c r="H533">
        <v>9</v>
      </c>
      <c r="I533">
        <v>4.6500000000000004</v>
      </c>
      <c r="J533">
        <v>7</v>
      </c>
      <c r="K533">
        <v>13802.34</v>
      </c>
      <c r="L533">
        <v>5.7</v>
      </c>
    </row>
    <row r="534" spans="1:12" x14ac:dyDescent="0.3">
      <c r="A534" t="s">
        <v>549</v>
      </c>
      <c r="B534" t="s">
        <v>18</v>
      </c>
      <c r="C534" t="s">
        <v>14</v>
      </c>
      <c r="D534">
        <v>36</v>
      </c>
      <c r="E534" s="1">
        <v>41780</v>
      </c>
      <c r="F534">
        <v>2014</v>
      </c>
      <c r="G534" t="s">
        <v>5036</v>
      </c>
      <c r="H534">
        <v>21</v>
      </c>
      <c r="I534">
        <v>3.6</v>
      </c>
      <c r="J534">
        <v>12</v>
      </c>
      <c r="K534">
        <v>6639.65</v>
      </c>
      <c r="L534">
        <v>11.5</v>
      </c>
    </row>
    <row r="535" spans="1:12" x14ac:dyDescent="0.3">
      <c r="A535" t="s">
        <v>550</v>
      </c>
      <c r="B535" t="s">
        <v>13</v>
      </c>
      <c r="C535" t="s">
        <v>11</v>
      </c>
      <c r="D535">
        <v>51</v>
      </c>
      <c r="E535" s="1">
        <v>43891</v>
      </c>
      <c r="F535">
        <v>2020</v>
      </c>
      <c r="G535" t="s">
        <v>5035</v>
      </c>
      <c r="H535">
        <v>1</v>
      </c>
      <c r="I535">
        <v>4.34</v>
      </c>
      <c r="J535">
        <v>8</v>
      </c>
      <c r="K535">
        <v>13639.52</v>
      </c>
      <c r="L535">
        <v>5.7</v>
      </c>
    </row>
    <row r="536" spans="1:12" x14ac:dyDescent="0.3">
      <c r="A536" t="s">
        <v>551</v>
      </c>
      <c r="B536" t="s">
        <v>24</v>
      </c>
      <c r="C536" t="s">
        <v>11</v>
      </c>
      <c r="D536">
        <v>41</v>
      </c>
      <c r="E536" s="1">
        <v>43885</v>
      </c>
      <c r="F536">
        <v>2020</v>
      </c>
      <c r="G536" t="s">
        <v>5042</v>
      </c>
      <c r="H536">
        <v>24</v>
      </c>
      <c r="I536">
        <v>2.52</v>
      </c>
      <c r="J536">
        <v>13</v>
      </c>
      <c r="K536">
        <v>11524.61</v>
      </c>
      <c r="L536">
        <v>5.7</v>
      </c>
    </row>
    <row r="537" spans="1:12" x14ac:dyDescent="0.3">
      <c r="A537" t="s">
        <v>552</v>
      </c>
      <c r="B537" t="s">
        <v>18</v>
      </c>
      <c r="C537" t="s">
        <v>14</v>
      </c>
      <c r="D537">
        <v>56</v>
      </c>
      <c r="E537" s="1">
        <v>40282</v>
      </c>
      <c r="F537">
        <v>2010</v>
      </c>
      <c r="G537" t="s">
        <v>5040</v>
      </c>
      <c r="H537">
        <v>14</v>
      </c>
      <c r="I537">
        <v>3.7</v>
      </c>
      <c r="J537">
        <v>11</v>
      </c>
      <c r="K537">
        <v>4134.4799999999996</v>
      </c>
      <c r="L537">
        <v>15.6</v>
      </c>
    </row>
    <row r="538" spans="1:12" x14ac:dyDescent="0.3">
      <c r="A538" t="s">
        <v>553</v>
      </c>
      <c r="B538" t="s">
        <v>10</v>
      </c>
      <c r="C538" t="s">
        <v>14</v>
      </c>
      <c r="D538">
        <v>46</v>
      </c>
      <c r="E538" s="1">
        <v>40568</v>
      </c>
      <c r="F538">
        <v>2011</v>
      </c>
      <c r="G538" t="s">
        <v>5037</v>
      </c>
      <c r="H538">
        <v>25</v>
      </c>
      <c r="I538">
        <v>4.01</v>
      </c>
      <c r="J538">
        <v>15</v>
      </c>
      <c r="K538">
        <v>14969.93</v>
      </c>
      <c r="L538">
        <v>14.8</v>
      </c>
    </row>
    <row r="539" spans="1:12" x14ac:dyDescent="0.3">
      <c r="A539" t="s">
        <v>554</v>
      </c>
      <c r="B539" t="s">
        <v>16</v>
      </c>
      <c r="C539" t="s">
        <v>11</v>
      </c>
      <c r="D539">
        <v>43</v>
      </c>
      <c r="E539" s="1">
        <v>42160</v>
      </c>
      <c r="F539">
        <v>2015</v>
      </c>
      <c r="G539" t="s">
        <v>5032</v>
      </c>
      <c r="H539">
        <v>5</v>
      </c>
      <c r="I539">
        <v>3.55</v>
      </c>
      <c r="J539">
        <v>2</v>
      </c>
      <c r="K539">
        <v>7908.54</v>
      </c>
      <c r="L539">
        <v>10.4</v>
      </c>
    </row>
    <row r="540" spans="1:12" x14ac:dyDescent="0.3">
      <c r="A540" t="s">
        <v>555</v>
      </c>
      <c r="B540" t="s">
        <v>10</v>
      </c>
      <c r="C540" t="s">
        <v>11</v>
      </c>
      <c r="D540">
        <v>56</v>
      </c>
      <c r="E540" s="1">
        <v>43048</v>
      </c>
      <c r="F540">
        <v>2017</v>
      </c>
      <c r="G540" t="s">
        <v>5038</v>
      </c>
      <c r="H540">
        <v>9</v>
      </c>
      <c r="I540">
        <v>1.95</v>
      </c>
      <c r="J540">
        <v>1</v>
      </c>
      <c r="K540">
        <v>4364.6099999999997</v>
      </c>
      <c r="L540">
        <v>8</v>
      </c>
    </row>
    <row r="541" spans="1:12" x14ac:dyDescent="0.3">
      <c r="A541" t="s">
        <v>556</v>
      </c>
      <c r="B541" t="s">
        <v>24</v>
      </c>
      <c r="C541" t="s">
        <v>11</v>
      </c>
      <c r="D541">
        <v>36</v>
      </c>
      <c r="E541" s="1">
        <v>40455</v>
      </c>
      <c r="F541">
        <v>2010</v>
      </c>
      <c r="G541" t="s">
        <v>5039</v>
      </c>
      <c r="H541">
        <v>4</v>
      </c>
      <c r="I541">
        <v>3.6</v>
      </c>
      <c r="J541">
        <v>3</v>
      </c>
      <c r="K541">
        <v>10616.29</v>
      </c>
      <c r="L541">
        <v>15.1</v>
      </c>
    </row>
    <row r="542" spans="1:12" x14ac:dyDescent="0.3">
      <c r="A542" t="s">
        <v>557</v>
      </c>
      <c r="B542" t="s">
        <v>16</v>
      </c>
      <c r="C542" t="s">
        <v>11</v>
      </c>
      <c r="D542">
        <v>36</v>
      </c>
      <c r="E542" s="1">
        <v>40428</v>
      </c>
      <c r="F542">
        <v>2010</v>
      </c>
      <c r="G542" t="s">
        <v>5033</v>
      </c>
      <c r="H542">
        <v>7</v>
      </c>
      <c r="I542">
        <v>4.6100000000000003</v>
      </c>
      <c r="J542">
        <v>1</v>
      </c>
      <c r="K542">
        <v>12031.5</v>
      </c>
      <c r="L542">
        <v>15.2</v>
      </c>
    </row>
    <row r="543" spans="1:12" x14ac:dyDescent="0.3">
      <c r="A543" t="s">
        <v>558</v>
      </c>
      <c r="B543" t="s">
        <v>13</v>
      </c>
      <c r="C543" t="s">
        <v>14</v>
      </c>
      <c r="D543">
        <v>44</v>
      </c>
      <c r="E543" s="1">
        <v>44546</v>
      </c>
      <c r="F543">
        <v>2021</v>
      </c>
      <c r="G543" t="s">
        <v>5041</v>
      </c>
      <c r="H543">
        <v>16</v>
      </c>
      <c r="I543">
        <v>4.43</v>
      </c>
      <c r="J543">
        <v>12</v>
      </c>
      <c r="K543">
        <v>5995.87</v>
      </c>
      <c r="L543">
        <v>3.9</v>
      </c>
    </row>
    <row r="544" spans="1:12" x14ac:dyDescent="0.3">
      <c r="A544" t="s">
        <v>559</v>
      </c>
      <c r="B544" t="s">
        <v>18</v>
      </c>
      <c r="C544" t="s">
        <v>11</v>
      </c>
      <c r="D544">
        <v>23</v>
      </c>
      <c r="E544" s="1">
        <v>40916</v>
      </c>
      <c r="F544">
        <v>2012</v>
      </c>
      <c r="G544" t="s">
        <v>5037</v>
      </c>
      <c r="H544">
        <v>8</v>
      </c>
      <c r="I544">
        <v>4.5599999999999996</v>
      </c>
      <c r="J544">
        <v>14</v>
      </c>
      <c r="K544">
        <v>12668.97</v>
      </c>
      <c r="L544">
        <v>13.8</v>
      </c>
    </row>
    <row r="545" spans="1:12" x14ac:dyDescent="0.3">
      <c r="A545" t="s">
        <v>560</v>
      </c>
      <c r="B545" t="s">
        <v>34</v>
      </c>
      <c r="C545" t="s">
        <v>14</v>
      </c>
      <c r="D545">
        <v>31</v>
      </c>
      <c r="E545" s="1">
        <v>40332</v>
      </c>
      <c r="F545">
        <v>2010</v>
      </c>
      <c r="G545" t="s">
        <v>5032</v>
      </c>
      <c r="H545">
        <v>3</v>
      </c>
      <c r="I545">
        <v>2.79</v>
      </c>
      <c r="J545">
        <v>12</v>
      </c>
      <c r="K545">
        <v>12608.55</v>
      </c>
      <c r="L545">
        <v>15.4</v>
      </c>
    </row>
    <row r="546" spans="1:12" x14ac:dyDescent="0.3">
      <c r="A546" t="s">
        <v>561</v>
      </c>
      <c r="B546" t="s">
        <v>24</v>
      </c>
      <c r="C546" t="s">
        <v>14</v>
      </c>
      <c r="D546">
        <v>54</v>
      </c>
      <c r="E546" s="1">
        <v>42934</v>
      </c>
      <c r="F546">
        <v>2017</v>
      </c>
      <c r="G546" t="s">
        <v>5034</v>
      </c>
      <c r="H546">
        <v>18</v>
      </c>
      <c r="I546">
        <v>1.78</v>
      </c>
      <c r="J546">
        <v>7</v>
      </c>
      <c r="K546">
        <v>11439.04</v>
      </c>
      <c r="L546">
        <v>8.3000000000000007</v>
      </c>
    </row>
    <row r="547" spans="1:12" x14ac:dyDescent="0.3">
      <c r="A547" t="s">
        <v>562</v>
      </c>
      <c r="B547" t="s">
        <v>34</v>
      </c>
      <c r="C547" t="s">
        <v>14</v>
      </c>
      <c r="D547">
        <v>42</v>
      </c>
      <c r="E547" s="1">
        <v>40382</v>
      </c>
      <c r="F547">
        <v>2010</v>
      </c>
      <c r="G547" t="s">
        <v>5034</v>
      </c>
      <c r="H547">
        <v>23</v>
      </c>
      <c r="I547">
        <v>2.16</v>
      </c>
      <c r="J547">
        <v>3</v>
      </c>
      <c r="K547">
        <v>6179.12</v>
      </c>
      <c r="L547">
        <v>15.3</v>
      </c>
    </row>
    <row r="548" spans="1:12" x14ac:dyDescent="0.3">
      <c r="A548" t="s">
        <v>563</v>
      </c>
      <c r="B548" t="s">
        <v>16</v>
      </c>
      <c r="C548" t="s">
        <v>11</v>
      </c>
      <c r="D548">
        <v>22</v>
      </c>
      <c r="E548" s="1">
        <v>42775</v>
      </c>
      <c r="F548">
        <v>2017</v>
      </c>
      <c r="G548" t="s">
        <v>5042</v>
      </c>
      <c r="H548">
        <v>9</v>
      </c>
      <c r="I548">
        <v>3.83</v>
      </c>
      <c r="J548">
        <v>14</v>
      </c>
      <c r="K548">
        <v>3201.95</v>
      </c>
      <c r="L548">
        <v>8.6999999999999993</v>
      </c>
    </row>
    <row r="549" spans="1:12" x14ac:dyDescent="0.3">
      <c r="A549" t="s">
        <v>564</v>
      </c>
      <c r="B549" t="s">
        <v>34</v>
      </c>
      <c r="C549" t="s">
        <v>14</v>
      </c>
      <c r="D549">
        <v>42</v>
      </c>
      <c r="E549" s="1">
        <v>44836</v>
      </c>
      <c r="F549">
        <v>2022</v>
      </c>
      <c r="G549" t="s">
        <v>5039</v>
      </c>
      <c r="H549">
        <v>2</v>
      </c>
      <c r="I549">
        <v>3.56</v>
      </c>
      <c r="J549">
        <v>11</v>
      </c>
      <c r="K549">
        <v>3954.89</v>
      </c>
      <c r="L549">
        <v>3.1</v>
      </c>
    </row>
    <row r="550" spans="1:12" x14ac:dyDescent="0.3">
      <c r="A550" t="s">
        <v>565</v>
      </c>
      <c r="B550" t="s">
        <v>10</v>
      </c>
      <c r="C550" t="s">
        <v>11</v>
      </c>
      <c r="D550">
        <v>52</v>
      </c>
      <c r="E550" s="1">
        <v>45839</v>
      </c>
      <c r="F550">
        <v>2025</v>
      </c>
      <c r="G550" t="s">
        <v>5034</v>
      </c>
      <c r="H550">
        <v>1</v>
      </c>
      <c r="I550">
        <v>3.04</v>
      </c>
      <c r="J550">
        <v>8</v>
      </c>
      <c r="K550">
        <v>7207.39</v>
      </c>
      <c r="L550">
        <v>0.3</v>
      </c>
    </row>
    <row r="551" spans="1:12" x14ac:dyDescent="0.3">
      <c r="A551" t="s">
        <v>566</v>
      </c>
      <c r="B551" t="s">
        <v>18</v>
      </c>
      <c r="C551" t="s">
        <v>11</v>
      </c>
      <c r="D551">
        <v>58</v>
      </c>
      <c r="E551" s="1">
        <v>41251</v>
      </c>
      <c r="F551">
        <v>2012</v>
      </c>
      <c r="G551" t="s">
        <v>5041</v>
      </c>
      <c r="H551">
        <v>8</v>
      </c>
      <c r="I551">
        <v>3.76</v>
      </c>
      <c r="J551">
        <v>4</v>
      </c>
      <c r="K551">
        <v>14808.98</v>
      </c>
      <c r="L551">
        <v>12.9</v>
      </c>
    </row>
    <row r="552" spans="1:12" x14ac:dyDescent="0.3">
      <c r="A552" t="s">
        <v>567</v>
      </c>
      <c r="B552" t="s">
        <v>13</v>
      </c>
      <c r="C552" t="s">
        <v>11</v>
      </c>
      <c r="D552">
        <v>35</v>
      </c>
      <c r="E552" s="1">
        <v>42099</v>
      </c>
      <c r="F552">
        <v>2015</v>
      </c>
      <c r="G552" t="s">
        <v>5040</v>
      </c>
      <c r="H552">
        <v>5</v>
      </c>
      <c r="I552">
        <v>3.78</v>
      </c>
      <c r="J552">
        <v>12</v>
      </c>
      <c r="K552">
        <v>9016.24</v>
      </c>
      <c r="L552">
        <v>10.6</v>
      </c>
    </row>
    <row r="553" spans="1:12" x14ac:dyDescent="0.3">
      <c r="A553" t="s">
        <v>568</v>
      </c>
      <c r="B553" t="s">
        <v>13</v>
      </c>
      <c r="C553" t="s">
        <v>11</v>
      </c>
      <c r="D553">
        <v>58</v>
      </c>
      <c r="E553" s="1">
        <v>45861</v>
      </c>
      <c r="F553">
        <v>2025</v>
      </c>
      <c r="G553" t="s">
        <v>5034</v>
      </c>
      <c r="H553">
        <v>23</v>
      </c>
      <c r="I553">
        <v>3.36</v>
      </c>
      <c r="J553">
        <v>9</v>
      </c>
      <c r="K553">
        <v>5402.33</v>
      </c>
      <c r="L553">
        <v>0.3</v>
      </c>
    </row>
    <row r="554" spans="1:12" x14ac:dyDescent="0.3">
      <c r="A554" t="s">
        <v>569</v>
      </c>
      <c r="B554" t="s">
        <v>16</v>
      </c>
      <c r="C554" t="s">
        <v>14</v>
      </c>
      <c r="D554">
        <v>55</v>
      </c>
      <c r="E554" s="1">
        <v>40893</v>
      </c>
      <c r="F554">
        <v>2011</v>
      </c>
      <c r="G554" t="s">
        <v>5041</v>
      </c>
      <c r="H554">
        <v>16</v>
      </c>
      <c r="I554">
        <v>4.9800000000000004</v>
      </c>
      <c r="J554">
        <v>14</v>
      </c>
      <c r="K554">
        <v>14990.29</v>
      </c>
      <c r="L554">
        <v>13.9</v>
      </c>
    </row>
    <row r="555" spans="1:12" x14ac:dyDescent="0.3">
      <c r="A555" t="s">
        <v>570</v>
      </c>
      <c r="B555" t="s">
        <v>34</v>
      </c>
      <c r="C555" t="s">
        <v>14</v>
      </c>
      <c r="D555">
        <v>45</v>
      </c>
      <c r="E555" s="1">
        <v>41250</v>
      </c>
      <c r="F555">
        <v>2012</v>
      </c>
      <c r="G555" t="s">
        <v>5041</v>
      </c>
      <c r="H555">
        <v>7</v>
      </c>
      <c r="I555">
        <v>4.21</v>
      </c>
      <c r="J555">
        <v>15</v>
      </c>
      <c r="K555">
        <v>13702.56</v>
      </c>
      <c r="L555">
        <v>12.9</v>
      </c>
    </row>
    <row r="556" spans="1:12" x14ac:dyDescent="0.3">
      <c r="A556" t="s">
        <v>571</v>
      </c>
      <c r="B556" t="s">
        <v>34</v>
      </c>
      <c r="C556" t="s">
        <v>14</v>
      </c>
      <c r="D556">
        <v>30</v>
      </c>
      <c r="E556" s="1">
        <v>40917</v>
      </c>
      <c r="F556">
        <v>2012</v>
      </c>
      <c r="G556" t="s">
        <v>5037</v>
      </c>
      <c r="H556">
        <v>9</v>
      </c>
      <c r="I556">
        <v>1.94</v>
      </c>
      <c r="J556">
        <v>6</v>
      </c>
      <c r="K556">
        <v>14529.21</v>
      </c>
      <c r="L556">
        <v>13.8</v>
      </c>
    </row>
    <row r="557" spans="1:12" x14ac:dyDescent="0.3">
      <c r="A557" t="s">
        <v>572</v>
      </c>
      <c r="B557" t="s">
        <v>16</v>
      </c>
      <c r="C557" t="s">
        <v>11</v>
      </c>
      <c r="D557">
        <v>25</v>
      </c>
      <c r="E557" s="1">
        <v>44506</v>
      </c>
      <c r="F557">
        <v>2021</v>
      </c>
      <c r="G557" t="s">
        <v>5038</v>
      </c>
      <c r="H557">
        <v>6</v>
      </c>
      <c r="I557">
        <v>3.38</v>
      </c>
      <c r="J557">
        <v>1</v>
      </c>
      <c r="K557">
        <v>4923.2</v>
      </c>
      <c r="L557">
        <v>4</v>
      </c>
    </row>
    <row r="558" spans="1:12" x14ac:dyDescent="0.3">
      <c r="A558" t="s">
        <v>573</v>
      </c>
      <c r="B558" t="s">
        <v>10</v>
      </c>
      <c r="C558" t="s">
        <v>14</v>
      </c>
      <c r="D558">
        <v>32</v>
      </c>
      <c r="E558" s="1">
        <v>41873</v>
      </c>
      <c r="F558">
        <v>2014</v>
      </c>
      <c r="G558" t="s">
        <v>5031</v>
      </c>
      <c r="H558">
        <v>22</v>
      </c>
      <c r="I558">
        <v>3.43</v>
      </c>
      <c r="J558">
        <v>10</v>
      </c>
      <c r="K558">
        <v>4893.42</v>
      </c>
      <c r="L558">
        <v>11.2</v>
      </c>
    </row>
    <row r="559" spans="1:12" x14ac:dyDescent="0.3">
      <c r="A559" t="s">
        <v>574</v>
      </c>
      <c r="B559" t="s">
        <v>34</v>
      </c>
      <c r="C559" t="s">
        <v>14</v>
      </c>
      <c r="D559">
        <v>25</v>
      </c>
      <c r="E559" s="1">
        <v>44449</v>
      </c>
      <c r="F559">
        <v>2021</v>
      </c>
      <c r="G559" t="s">
        <v>5033</v>
      </c>
      <c r="H559">
        <v>10</v>
      </c>
      <c r="I559">
        <v>2.7</v>
      </c>
      <c r="J559">
        <v>0</v>
      </c>
      <c r="K559">
        <v>13585.31</v>
      </c>
      <c r="L559">
        <v>4.0999999999999996</v>
      </c>
    </row>
    <row r="560" spans="1:12" x14ac:dyDescent="0.3">
      <c r="A560" t="s">
        <v>575</v>
      </c>
      <c r="B560" t="s">
        <v>10</v>
      </c>
      <c r="C560" t="s">
        <v>14</v>
      </c>
      <c r="D560">
        <v>58</v>
      </c>
      <c r="E560" s="1">
        <v>43335</v>
      </c>
      <c r="F560">
        <v>2018</v>
      </c>
      <c r="G560" t="s">
        <v>5031</v>
      </c>
      <c r="H560">
        <v>23</v>
      </c>
      <c r="I560">
        <v>3.1</v>
      </c>
      <c r="J560">
        <v>10</v>
      </c>
      <c r="K560">
        <v>14544.4</v>
      </c>
      <c r="L560">
        <v>7.2</v>
      </c>
    </row>
    <row r="561" spans="1:12" x14ac:dyDescent="0.3">
      <c r="A561" t="s">
        <v>576</v>
      </c>
      <c r="B561" t="s">
        <v>18</v>
      </c>
      <c r="C561" t="s">
        <v>11</v>
      </c>
      <c r="D561">
        <v>44</v>
      </c>
      <c r="E561" s="1">
        <v>45138</v>
      </c>
      <c r="F561">
        <v>2023</v>
      </c>
      <c r="G561" t="s">
        <v>5034</v>
      </c>
      <c r="H561">
        <v>31</v>
      </c>
      <c r="I561">
        <v>2.76</v>
      </c>
      <c r="J561">
        <v>2</v>
      </c>
      <c r="K561">
        <v>12624.25</v>
      </c>
      <c r="L561">
        <v>2.2999999999999998</v>
      </c>
    </row>
    <row r="562" spans="1:12" x14ac:dyDescent="0.3">
      <c r="A562" t="s">
        <v>577</v>
      </c>
      <c r="B562" t="s">
        <v>16</v>
      </c>
      <c r="C562" t="s">
        <v>14</v>
      </c>
      <c r="D562">
        <v>49</v>
      </c>
      <c r="E562" s="1">
        <v>42758</v>
      </c>
      <c r="F562">
        <v>2017</v>
      </c>
      <c r="G562" t="s">
        <v>5037</v>
      </c>
      <c r="H562">
        <v>23</v>
      </c>
      <c r="I562">
        <v>4.6399999999999997</v>
      </c>
      <c r="J562">
        <v>15</v>
      </c>
      <c r="K562">
        <v>11130.42</v>
      </c>
      <c r="L562">
        <v>8.8000000000000007</v>
      </c>
    </row>
    <row r="563" spans="1:12" x14ac:dyDescent="0.3">
      <c r="A563" t="s">
        <v>578</v>
      </c>
      <c r="B563" t="s">
        <v>24</v>
      </c>
      <c r="C563" t="s">
        <v>14</v>
      </c>
      <c r="D563">
        <v>26</v>
      </c>
      <c r="E563" s="1">
        <v>40397</v>
      </c>
      <c r="F563">
        <v>2010</v>
      </c>
      <c r="G563" t="s">
        <v>5031</v>
      </c>
      <c r="H563">
        <v>7</v>
      </c>
      <c r="I563">
        <v>2.09</v>
      </c>
      <c r="J563">
        <v>3</v>
      </c>
      <c r="K563">
        <v>12661.39</v>
      </c>
      <c r="L563">
        <v>15.2</v>
      </c>
    </row>
    <row r="564" spans="1:12" x14ac:dyDescent="0.3">
      <c r="A564" t="s">
        <v>579</v>
      </c>
      <c r="B564" t="s">
        <v>16</v>
      </c>
      <c r="C564" t="s">
        <v>14</v>
      </c>
      <c r="D564">
        <v>32</v>
      </c>
      <c r="E564" s="1">
        <v>41815</v>
      </c>
      <c r="F564">
        <v>2014</v>
      </c>
      <c r="G564" t="s">
        <v>5032</v>
      </c>
      <c r="H564">
        <v>25</v>
      </c>
      <c r="I564">
        <v>1.72</v>
      </c>
      <c r="J564">
        <v>1</v>
      </c>
      <c r="K564">
        <v>10744.7</v>
      </c>
      <c r="L564">
        <v>11.4</v>
      </c>
    </row>
    <row r="565" spans="1:12" x14ac:dyDescent="0.3">
      <c r="A565" t="s">
        <v>580</v>
      </c>
      <c r="B565" t="s">
        <v>24</v>
      </c>
      <c r="C565" t="s">
        <v>11</v>
      </c>
      <c r="D565">
        <v>39</v>
      </c>
      <c r="E565" s="1">
        <v>41766</v>
      </c>
      <c r="F565">
        <v>2014</v>
      </c>
      <c r="G565" t="s">
        <v>5036</v>
      </c>
      <c r="H565">
        <v>7</v>
      </c>
      <c r="I565">
        <v>4.96</v>
      </c>
      <c r="J565">
        <v>11</v>
      </c>
      <c r="K565">
        <v>4432.57</v>
      </c>
      <c r="L565">
        <v>11.5</v>
      </c>
    </row>
    <row r="566" spans="1:12" x14ac:dyDescent="0.3">
      <c r="A566" t="s">
        <v>581</v>
      </c>
      <c r="B566" t="s">
        <v>10</v>
      </c>
      <c r="C566" t="s">
        <v>14</v>
      </c>
      <c r="D566">
        <v>60</v>
      </c>
      <c r="E566" s="1">
        <v>43828</v>
      </c>
      <c r="F566">
        <v>2019</v>
      </c>
      <c r="G566" t="s">
        <v>5041</v>
      </c>
      <c r="H566">
        <v>29</v>
      </c>
      <c r="I566">
        <v>4.38</v>
      </c>
      <c r="J566">
        <v>9</v>
      </c>
      <c r="K566">
        <v>8793.85</v>
      </c>
      <c r="L566">
        <v>5.8</v>
      </c>
    </row>
    <row r="567" spans="1:12" x14ac:dyDescent="0.3">
      <c r="A567" t="s">
        <v>582</v>
      </c>
      <c r="B567" t="s">
        <v>34</v>
      </c>
      <c r="C567" t="s">
        <v>11</v>
      </c>
      <c r="D567">
        <v>37</v>
      </c>
      <c r="E567" s="1">
        <v>40573</v>
      </c>
      <c r="F567">
        <v>2011</v>
      </c>
      <c r="G567" t="s">
        <v>5037</v>
      </c>
      <c r="H567">
        <v>30</v>
      </c>
      <c r="I567">
        <v>1.83</v>
      </c>
      <c r="J567">
        <v>1</v>
      </c>
      <c r="K567">
        <v>7578.14</v>
      </c>
      <c r="L567">
        <v>14.8</v>
      </c>
    </row>
    <row r="568" spans="1:12" x14ac:dyDescent="0.3">
      <c r="A568" t="s">
        <v>583</v>
      </c>
      <c r="B568" t="s">
        <v>13</v>
      </c>
      <c r="C568" t="s">
        <v>14</v>
      </c>
      <c r="D568">
        <v>44</v>
      </c>
      <c r="E568" s="1">
        <v>44013</v>
      </c>
      <c r="F568">
        <v>2020</v>
      </c>
      <c r="G568" t="s">
        <v>5034</v>
      </c>
      <c r="H568">
        <v>1</v>
      </c>
      <c r="I568">
        <v>3.71</v>
      </c>
      <c r="J568">
        <v>7</v>
      </c>
      <c r="K568">
        <v>14665.2</v>
      </c>
      <c r="L568">
        <v>5.3</v>
      </c>
    </row>
    <row r="569" spans="1:12" x14ac:dyDescent="0.3">
      <c r="A569" t="s">
        <v>584</v>
      </c>
      <c r="B569" t="s">
        <v>10</v>
      </c>
      <c r="C569" t="s">
        <v>14</v>
      </c>
      <c r="D569">
        <v>53</v>
      </c>
      <c r="E569" s="1">
        <v>41454</v>
      </c>
      <c r="F569">
        <v>2013</v>
      </c>
      <c r="G569" t="s">
        <v>5032</v>
      </c>
      <c r="H569">
        <v>29</v>
      </c>
      <c r="I569">
        <v>3</v>
      </c>
      <c r="J569">
        <v>13</v>
      </c>
      <c r="K569">
        <v>12021.55</v>
      </c>
      <c r="L569">
        <v>12.4</v>
      </c>
    </row>
    <row r="570" spans="1:12" x14ac:dyDescent="0.3">
      <c r="A570" t="s">
        <v>585</v>
      </c>
      <c r="B570" t="s">
        <v>16</v>
      </c>
      <c r="C570" t="s">
        <v>11</v>
      </c>
      <c r="D570">
        <v>40</v>
      </c>
      <c r="E570" s="1">
        <v>43123</v>
      </c>
      <c r="F570">
        <v>2018</v>
      </c>
      <c r="G570" t="s">
        <v>5037</v>
      </c>
      <c r="H570">
        <v>23</v>
      </c>
      <c r="I570">
        <v>4.4800000000000004</v>
      </c>
      <c r="J570">
        <v>0</v>
      </c>
      <c r="K570">
        <v>11060.66</v>
      </c>
      <c r="L570">
        <v>7.8</v>
      </c>
    </row>
    <row r="571" spans="1:12" x14ac:dyDescent="0.3">
      <c r="A571" t="s">
        <v>586</v>
      </c>
      <c r="B571" t="s">
        <v>34</v>
      </c>
      <c r="C571" t="s">
        <v>14</v>
      </c>
      <c r="D571">
        <v>32</v>
      </c>
      <c r="E571" s="1">
        <v>41386</v>
      </c>
      <c r="F571">
        <v>2013</v>
      </c>
      <c r="G571" t="s">
        <v>5040</v>
      </c>
      <c r="H571">
        <v>22</v>
      </c>
      <c r="I571">
        <v>2.14</v>
      </c>
      <c r="J571">
        <v>13</v>
      </c>
      <c r="K571">
        <v>7750.16</v>
      </c>
      <c r="L571">
        <v>12.5</v>
      </c>
    </row>
    <row r="572" spans="1:12" x14ac:dyDescent="0.3">
      <c r="A572" t="s">
        <v>587</v>
      </c>
      <c r="B572" t="s">
        <v>34</v>
      </c>
      <c r="C572" t="s">
        <v>14</v>
      </c>
      <c r="D572">
        <v>34</v>
      </c>
      <c r="E572" s="1">
        <v>45779</v>
      </c>
      <c r="F572">
        <v>2025</v>
      </c>
      <c r="G572" t="s">
        <v>5036</v>
      </c>
      <c r="H572">
        <v>2</v>
      </c>
      <c r="I572">
        <v>4.76</v>
      </c>
      <c r="J572">
        <v>15</v>
      </c>
      <c r="K572">
        <v>10161.540000000001</v>
      </c>
      <c r="L572">
        <v>0.5</v>
      </c>
    </row>
    <row r="573" spans="1:12" x14ac:dyDescent="0.3">
      <c r="A573" t="s">
        <v>588</v>
      </c>
      <c r="B573" t="s">
        <v>10</v>
      </c>
      <c r="C573" t="s">
        <v>11</v>
      </c>
      <c r="D573">
        <v>51</v>
      </c>
      <c r="E573" s="1">
        <v>42780</v>
      </c>
      <c r="F573">
        <v>2017</v>
      </c>
      <c r="G573" t="s">
        <v>5042</v>
      </c>
      <c r="H573">
        <v>14</v>
      </c>
      <c r="I573">
        <v>3.47</v>
      </c>
      <c r="J573">
        <v>3</v>
      </c>
      <c r="K573">
        <v>14600.98</v>
      </c>
      <c r="L573">
        <v>8.6999999999999993</v>
      </c>
    </row>
    <row r="574" spans="1:12" x14ac:dyDescent="0.3">
      <c r="A574" t="s">
        <v>589</v>
      </c>
      <c r="B574" t="s">
        <v>18</v>
      </c>
      <c r="C574" t="s">
        <v>14</v>
      </c>
      <c r="D574">
        <v>56</v>
      </c>
      <c r="E574" s="1">
        <v>43020</v>
      </c>
      <c r="F574">
        <v>2017</v>
      </c>
      <c r="G574" t="s">
        <v>5039</v>
      </c>
      <c r="H574">
        <v>12</v>
      </c>
      <c r="I574">
        <v>3.04</v>
      </c>
      <c r="J574">
        <v>8</v>
      </c>
      <c r="K574">
        <v>13707.57</v>
      </c>
      <c r="L574">
        <v>8.1</v>
      </c>
    </row>
    <row r="575" spans="1:12" x14ac:dyDescent="0.3">
      <c r="A575" t="s">
        <v>590</v>
      </c>
      <c r="B575" t="s">
        <v>13</v>
      </c>
      <c r="C575" t="s">
        <v>11</v>
      </c>
      <c r="D575">
        <v>28</v>
      </c>
      <c r="E575" s="1">
        <v>41050</v>
      </c>
      <c r="F575">
        <v>2012</v>
      </c>
      <c r="G575" t="s">
        <v>5036</v>
      </c>
      <c r="H575">
        <v>21</v>
      </c>
      <c r="I575">
        <v>1.67</v>
      </c>
      <c r="J575">
        <v>0</v>
      </c>
      <c r="K575">
        <v>11858.09</v>
      </c>
      <c r="L575">
        <v>13.5</v>
      </c>
    </row>
    <row r="576" spans="1:12" x14ac:dyDescent="0.3">
      <c r="A576" t="s">
        <v>591</v>
      </c>
      <c r="B576" t="s">
        <v>18</v>
      </c>
      <c r="C576" t="s">
        <v>11</v>
      </c>
      <c r="D576">
        <v>23</v>
      </c>
      <c r="E576" s="1">
        <v>43281</v>
      </c>
      <c r="F576">
        <v>2018</v>
      </c>
      <c r="G576" t="s">
        <v>5032</v>
      </c>
      <c r="H576">
        <v>30</v>
      </c>
      <c r="I576">
        <v>2.65</v>
      </c>
      <c r="J576">
        <v>8</v>
      </c>
      <c r="K576">
        <v>8851.42</v>
      </c>
      <c r="L576">
        <v>7.3</v>
      </c>
    </row>
    <row r="577" spans="1:12" x14ac:dyDescent="0.3">
      <c r="A577" t="s">
        <v>592</v>
      </c>
      <c r="B577" t="s">
        <v>18</v>
      </c>
      <c r="C577" t="s">
        <v>11</v>
      </c>
      <c r="D577">
        <v>45</v>
      </c>
      <c r="E577" s="1">
        <v>43952</v>
      </c>
      <c r="F577">
        <v>2020</v>
      </c>
      <c r="G577" t="s">
        <v>5036</v>
      </c>
      <c r="H577">
        <v>1</v>
      </c>
      <c r="I577">
        <v>2.58</v>
      </c>
      <c r="J577">
        <v>8</v>
      </c>
      <c r="K577">
        <v>14051.44</v>
      </c>
      <c r="L577">
        <v>5.5</v>
      </c>
    </row>
    <row r="578" spans="1:12" x14ac:dyDescent="0.3">
      <c r="A578" t="s">
        <v>593</v>
      </c>
      <c r="B578" t="s">
        <v>18</v>
      </c>
      <c r="C578" t="s">
        <v>11</v>
      </c>
      <c r="D578">
        <v>41</v>
      </c>
      <c r="E578" s="1">
        <v>45524</v>
      </c>
      <c r="F578">
        <v>2024</v>
      </c>
      <c r="G578" t="s">
        <v>5031</v>
      </c>
      <c r="H578">
        <v>20</v>
      </c>
      <c r="I578">
        <v>1.5</v>
      </c>
      <c r="J578">
        <v>14</v>
      </c>
      <c r="K578">
        <v>14343.32</v>
      </c>
      <c r="L578">
        <v>1.2</v>
      </c>
    </row>
    <row r="579" spans="1:12" x14ac:dyDescent="0.3">
      <c r="A579" t="s">
        <v>594</v>
      </c>
      <c r="B579" t="s">
        <v>10</v>
      </c>
      <c r="C579" t="s">
        <v>11</v>
      </c>
      <c r="D579">
        <v>27</v>
      </c>
      <c r="E579" s="1">
        <v>40480</v>
      </c>
      <c r="F579">
        <v>2010</v>
      </c>
      <c r="G579" t="s">
        <v>5039</v>
      </c>
      <c r="H579">
        <v>29</v>
      </c>
      <c r="I579">
        <v>4.8899999999999997</v>
      </c>
      <c r="J579">
        <v>14</v>
      </c>
      <c r="K579">
        <v>11714.77</v>
      </c>
      <c r="L579">
        <v>15</v>
      </c>
    </row>
    <row r="580" spans="1:12" x14ac:dyDescent="0.3">
      <c r="A580" t="s">
        <v>595</v>
      </c>
      <c r="B580" t="s">
        <v>13</v>
      </c>
      <c r="C580" t="s">
        <v>14</v>
      </c>
      <c r="D580">
        <v>43</v>
      </c>
      <c r="E580" s="1">
        <v>43613</v>
      </c>
      <c r="F580">
        <v>2019</v>
      </c>
      <c r="G580" t="s">
        <v>5036</v>
      </c>
      <c r="H580">
        <v>28</v>
      </c>
      <c r="I580">
        <v>4.4800000000000004</v>
      </c>
      <c r="J580">
        <v>11</v>
      </c>
      <c r="K580">
        <v>11450.41</v>
      </c>
      <c r="L580">
        <v>6.4</v>
      </c>
    </row>
    <row r="581" spans="1:12" x14ac:dyDescent="0.3">
      <c r="A581" t="s">
        <v>596</v>
      </c>
      <c r="B581" t="s">
        <v>10</v>
      </c>
      <c r="C581" t="s">
        <v>14</v>
      </c>
      <c r="D581">
        <v>44</v>
      </c>
      <c r="E581" s="1">
        <v>42020</v>
      </c>
      <c r="F581">
        <v>2015</v>
      </c>
      <c r="G581" t="s">
        <v>5037</v>
      </c>
      <c r="H581">
        <v>16</v>
      </c>
      <c r="I581">
        <v>4.46</v>
      </c>
      <c r="J581">
        <v>7</v>
      </c>
      <c r="K581">
        <v>10322.89</v>
      </c>
      <c r="L581">
        <v>10.8</v>
      </c>
    </row>
    <row r="582" spans="1:12" x14ac:dyDescent="0.3">
      <c r="A582" t="s">
        <v>597</v>
      </c>
      <c r="B582" t="s">
        <v>16</v>
      </c>
      <c r="C582" t="s">
        <v>11</v>
      </c>
      <c r="D582">
        <v>36</v>
      </c>
      <c r="E582" s="1">
        <v>45933</v>
      </c>
      <c r="F582">
        <v>2025</v>
      </c>
      <c r="G582" t="s">
        <v>5039</v>
      </c>
      <c r="H582">
        <v>3</v>
      </c>
      <c r="I582">
        <v>2.66</v>
      </c>
      <c r="J582">
        <v>9</v>
      </c>
      <c r="K582">
        <v>7395.82</v>
      </c>
      <c r="L582">
        <v>0.1</v>
      </c>
    </row>
    <row r="583" spans="1:12" x14ac:dyDescent="0.3">
      <c r="A583" t="s">
        <v>598</v>
      </c>
      <c r="B583" t="s">
        <v>13</v>
      </c>
      <c r="C583" t="s">
        <v>14</v>
      </c>
      <c r="D583">
        <v>43</v>
      </c>
      <c r="E583" s="1">
        <v>42372</v>
      </c>
      <c r="F583">
        <v>2016</v>
      </c>
      <c r="G583" t="s">
        <v>5037</v>
      </c>
      <c r="H583">
        <v>3</v>
      </c>
      <c r="I583">
        <v>3.44</v>
      </c>
      <c r="J583">
        <v>6</v>
      </c>
      <c r="K583">
        <v>12376.97</v>
      </c>
      <c r="L583">
        <v>9.8000000000000007</v>
      </c>
    </row>
    <row r="584" spans="1:12" x14ac:dyDescent="0.3">
      <c r="A584" t="s">
        <v>599</v>
      </c>
      <c r="B584" t="s">
        <v>13</v>
      </c>
      <c r="C584" t="s">
        <v>14</v>
      </c>
      <c r="D584">
        <v>54</v>
      </c>
      <c r="E584" s="1">
        <v>42364</v>
      </c>
      <c r="F584">
        <v>2015</v>
      </c>
      <c r="G584" t="s">
        <v>5041</v>
      </c>
      <c r="H584">
        <v>26</v>
      </c>
      <c r="I584">
        <v>2.76</v>
      </c>
      <c r="J584">
        <v>1</v>
      </c>
      <c r="K584">
        <v>13287.33</v>
      </c>
      <c r="L584">
        <v>9.9</v>
      </c>
    </row>
    <row r="585" spans="1:12" x14ac:dyDescent="0.3">
      <c r="A585" t="s">
        <v>600</v>
      </c>
      <c r="B585" t="s">
        <v>24</v>
      </c>
      <c r="C585" t="s">
        <v>11</v>
      </c>
      <c r="D585">
        <v>53</v>
      </c>
      <c r="E585" s="1">
        <v>42739</v>
      </c>
      <c r="F585">
        <v>2017</v>
      </c>
      <c r="G585" t="s">
        <v>5037</v>
      </c>
      <c r="H585">
        <v>4</v>
      </c>
      <c r="I585">
        <v>4.7699999999999996</v>
      </c>
      <c r="J585">
        <v>10</v>
      </c>
      <c r="K585">
        <v>7501.47</v>
      </c>
      <c r="L585">
        <v>8.8000000000000007</v>
      </c>
    </row>
    <row r="586" spans="1:12" x14ac:dyDescent="0.3">
      <c r="A586" t="s">
        <v>601</v>
      </c>
      <c r="B586" t="s">
        <v>18</v>
      </c>
      <c r="C586" t="s">
        <v>11</v>
      </c>
      <c r="D586">
        <v>35</v>
      </c>
      <c r="E586" s="1">
        <v>45707</v>
      </c>
      <c r="F586">
        <v>2025</v>
      </c>
      <c r="G586" t="s">
        <v>5042</v>
      </c>
      <c r="H586">
        <v>19</v>
      </c>
      <c r="I586">
        <v>3.06</v>
      </c>
      <c r="J586">
        <v>8</v>
      </c>
      <c r="K586">
        <v>8867</v>
      </c>
      <c r="L586">
        <v>0.7</v>
      </c>
    </row>
    <row r="587" spans="1:12" x14ac:dyDescent="0.3">
      <c r="A587" t="s">
        <v>602</v>
      </c>
      <c r="B587" t="s">
        <v>24</v>
      </c>
      <c r="C587" t="s">
        <v>14</v>
      </c>
      <c r="D587">
        <v>39</v>
      </c>
      <c r="E587" s="1">
        <v>45754</v>
      </c>
      <c r="F587">
        <v>2025</v>
      </c>
      <c r="G587" t="s">
        <v>5040</v>
      </c>
      <c r="H587">
        <v>7</v>
      </c>
      <c r="I587">
        <v>2.61</v>
      </c>
      <c r="J587">
        <v>15</v>
      </c>
      <c r="K587">
        <v>4135.38</v>
      </c>
      <c r="L587">
        <v>0.6</v>
      </c>
    </row>
    <row r="588" spans="1:12" x14ac:dyDescent="0.3">
      <c r="A588" t="s">
        <v>603</v>
      </c>
      <c r="B588" t="s">
        <v>10</v>
      </c>
      <c r="C588" t="s">
        <v>11</v>
      </c>
      <c r="D588">
        <v>26</v>
      </c>
      <c r="E588" s="1">
        <v>44070</v>
      </c>
      <c r="F588">
        <v>2020</v>
      </c>
      <c r="G588" t="s">
        <v>5031</v>
      </c>
      <c r="H588">
        <v>27</v>
      </c>
      <c r="I588">
        <v>3.59</v>
      </c>
      <c r="J588">
        <v>11</v>
      </c>
      <c r="K588">
        <v>4228.6499999999996</v>
      </c>
      <c r="L588">
        <v>5.2</v>
      </c>
    </row>
    <row r="589" spans="1:12" x14ac:dyDescent="0.3">
      <c r="A589" t="s">
        <v>604</v>
      </c>
      <c r="B589" t="s">
        <v>34</v>
      </c>
      <c r="C589" t="s">
        <v>14</v>
      </c>
      <c r="D589">
        <v>46</v>
      </c>
      <c r="E589" s="1">
        <v>42200</v>
      </c>
      <c r="F589">
        <v>2015</v>
      </c>
      <c r="G589" t="s">
        <v>5034</v>
      </c>
      <c r="H589">
        <v>15</v>
      </c>
      <c r="I589">
        <v>5</v>
      </c>
      <c r="J589">
        <v>8</v>
      </c>
      <c r="K589">
        <v>7758.85</v>
      </c>
      <c r="L589">
        <v>10.3</v>
      </c>
    </row>
    <row r="590" spans="1:12" x14ac:dyDescent="0.3">
      <c r="A590" t="s">
        <v>605</v>
      </c>
      <c r="B590" t="s">
        <v>24</v>
      </c>
      <c r="C590" t="s">
        <v>14</v>
      </c>
      <c r="D590">
        <v>59</v>
      </c>
      <c r="E590" s="1">
        <v>42542</v>
      </c>
      <c r="F590">
        <v>2016</v>
      </c>
      <c r="G590" t="s">
        <v>5032</v>
      </c>
      <c r="H590">
        <v>21</v>
      </c>
      <c r="I590">
        <v>3.82</v>
      </c>
      <c r="J590">
        <v>10</v>
      </c>
      <c r="K590">
        <v>13657.48</v>
      </c>
      <c r="L590">
        <v>9.4</v>
      </c>
    </row>
    <row r="591" spans="1:12" x14ac:dyDescent="0.3">
      <c r="A591" t="s">
        <v>606</v>
      </c>
      <c r="B591" t="s">
        <v>34</v>
      </c>
      <c r="C591" t="s">
        <v>11</v>
      </c>
      <c r="D591">
        <v>40</v>
      </c>
      <c r="E591" s="1">
        <v>44281</v>
      </c>
      <c r="F591">
        <v>2021</v>
      </c>
      <c r="G591" t="s">
        <v>5035</v>
      </c>
      <c r="H591">
        <v>26</v>
      </c>
      <c r="I591">
        <v>4.2699999999999996</v>
      </c>
      <c r="J591">
        <v>8</v>
      </c>
      <c r="K591">
        <v>3322.05</v>
      </c>
      <c r="L591">
        <v>4.5999999999999996</v>
      </c>
    </row>
    <row r="592" spans="1:12" x14ac:dyDescent="0.3">
      <c r="A592" t="s">
        <v>607</v>
      </c>
      <c r="B592" t="s">
        <v>24</v>
      </c>
      <c r="C592" t="s">
        <v>11</v>
      </c>
      <c r="D592">
        <v>29</v>
      </c>
      <c r="E592" s="1">
        <v>42405</v>
      </c>
      <c r="F592">
        <v>2016</v>
      </c>
      <c r="G592" t="s">
        <v>5042</v>
      </c>
      <c r="H592">
        <v>5</v>
      </c>
      <c r="I592">
        <v>2.85</v>
      </c>
      <c r="J592">
        <v>14</v>
      </c>
      <c r="K592">
        <v>11638.2</v>
      </c>
      <c r="L592">
        <v>9.6999999999999993</v>
      </c>
    </row>
    <row r="593" spans="1:12" x14ac:dyDescent="0.3">
      <c r="A593" t="s">
        <v>608</v>
      </c>
      <c r="B593" t="s">
        <v>18</v>
      </c>
      <c r="C593" t="s">
        <v>11</v>
      </c>
      <c r="D593">
        <v>56</v>
      </c>
      <c r="E593" s="1">
        <v>44499</v>
      </c>
      <c r="F593">
        <v>2021</v>
      </c>
      <c r="G593" t="s">
        <v>5039</v>
      </c>
      <c r="H593">
        <v>30</v>
      </c>
      <c r="I593">
        <v>2.2999999999999998</v>
      </c>
      <c r="J593">
        <v>7</v>
      </c>
      <c r="K593">
        <v>10605.17</v>
      </c>
      <c r="L593">
        <v>4</v>
      </c>
    </row>
    <row r="594" spans="1:12" x14ac:dyDescent="0.3">
      <c r="A594" t="s">
        <v>609</v>
      </c>
      <c r="B594" t="s">
        <v>16</v>
      </c>
      <c r="C594" t="s">
        <v>11</v>
      </c>
      <c r="D594">
        <v>39</v>
      </c>
      <c r="E594" s="1">
        <v>42227</v>
      </c>
      <c r="F594">
        <v>2015</v>
      </c>
      <c r="G594" t="s">
        <v>5031</v>
      </c>
      <c r="H594">
        <v>11</v>
      </c>
      <c r="I594">
        <v>2.11</v>
      </c>
      <c r="J594">
        <v>13</v>
      </c>
      <c r="K594">
        <v>8711.86</v>
      </c>
      <c r="L594">
        <v>10.199999999999999</v>
      </c>
    </row>
    <row r="595" spans="1:12" x14ac:dyDescent="0.3">
      <c r="A595" t="s">
        <v>610</v>
      </c>
      <c r="B595" t="s">
        <v>18</v>
      </c>
      <c r="C595" t="s">
        <v>14</v>
      </c>
      <c r="D595">
        <v>28</v>
      </c>
      <c r="E595" s="1">
        <v>40617</v>
      </c>
      <c r="F595">
        <v>2011</v>
      </c>
      <c r="G595" t="s">
        <v>5035</v>
      </c>
      <c r="H595">
        <v>15</v>
      </c>
      <c r="I595">
        <v>4.74</v>
      </c>
      <c r="J595">
        <v>1</v>
      </c>
      <c r="K595">
        <v>7280.23</v>
      </c>
      <c r="L595">
        <v>14.6</v>
      </c>
    </row>
    <row r="596" spans="1:12" x14ac:dyDescent="0.3">
      <c r="A596" t="s">
        <v>611</v>
      </c>
      <c r="B596" t="s">
        <v>10</v>
      </c>
      <c r="C596" t="s">
        <v>14</v>
      </c>
      <c r="D596">
        <v>51</v>
      </c>
      <c r="E596" s="1">
        <v>44336</v>
      </c>
      <c r="F596">
        <v>2021</v>
      </c>
      <c r="G596" t="s">
        <v>5036</v>
      </c>
      <c r="H596">
        <v>20</v>
      </c>
      <c r="I596">
        <v>4.08</v>
      </c>
      <c r="J596">
        <v>12</v>
      </c>
      <c r="K596">
        <v>14591.95</v>
      </c>
      <c r="L596">
        <v>4.5</v>
      </c>
    </row>
    <row r="597" spans="1:12" x14ac:dyDescent="0.3">
      <c r="A597" t="s">
        <v>612</v>
      </c>
      <c r="B597" t="s">
        <v>18</v>
      </c>
      <c r="C597" t="s">
        <v>14</v>
      </c>
      <c r="D597">
        <v>46</v>
      </c>
      <c r="E597" s="1">
        <v>43755</v>
      </c>
      <c r="F597">
        <v>2019</v>
      </c>
      <c r="G597" t="s">
        <v>5039</v>
      </c>
      <c r="H597">
        <v>17</v>
      </c>
      <c r="I597">
        <v>4.99</v>
      </c>
      <c r="J597">
        <v>2</v>
      </c>
      <c r="K597">
        <v>5872.03</v>
      </c>
      <c r="L597">
        <v>6</v>
      </c>
    </row>
    <row r="598" spans="1:12" x14ac:dyDescent="0.3">
      <c r="A598" t="s">
        <v>613</v>
      </c>
      <c r="B598" t="s">
        <v>24</v>
      </c>
      <c r="C598" t="s">
        <v>11</v>
      </c>
      <c r="D598">
        <v>43</v>
      </c>
      <c r="E598" s="1">
        <v>42948</v>
      </c>
      <c r="F598">
        <v>2017</v>
      </c>
      <c r="G598" t="s">
        <v>5031</v>
      </c>
      <c r="H598">
        <v>1</v>
      </c>
      <c r="I598">
        <v>2.59</v>
      </c>
      <c r="J598">
        <v>5</v>
      </c>
      <c r="K598">
        <v>13211.22</v>
      </c>
      <c r="L598">
        <v>8.3000000000000007</v>
      </c>
    </row>
    <row r="599" spans="1:12" x14ac:dyDescent="0.3">
      <c r="A599" t="s">
        <v>614</v>
      </c>
      <c r="B599" t="s">
        <v>18</v>
      </c>
      <c r="C599" t="s">
        <v>14</v>
      </c>
      <c r="D599">
        <v>36</v>
      </c>
      <c r="E599" s="1">
        <v>43232</v>
      </c>
      <c r="F599">
        <v>2018</v>
      </c>
      <c r="G599" t="s">
        <v>5036</v>
      </c>
      <c r="H599">
        <v>12</v>
      </c>
      <c r="I599">
        <v>4.5999999999999996</v>
      </c>
      <c r="J599">
        <v>12</v>
      </c>
      <c r="K599">
        <v>4705.63</v>
      </c>
      <c r="L599">
        <v>7.5</v>
      </c>
    </row>
    <row r="600" spans="1:12" x14ac:dyDescent="0.3">
      <c r="A600" t="s">
        <v>615</v>
      </c>
      <c r="B600" t="s">
        <v>24</v>
      </c>
      <c r="C600" t="s">
        <v>11</v>
      </c>
      <c r="D600">
        <v>49</v>
      </c>
      <c r="E600" s="1">
        <v>41780</v>
      </c>
      <c r="F600">
        <v>2014</v>
      </c>
      <c r="G600" t="s">
        <v>5036</v>
      </c>
      <c r="H600">
        <v>21</v>
      </c>
      <c r="I600">
        <v>3.35</v>
      </c>
      <c r="J600">
        <v>13</v>
      </c>
      <c r="K600">
        <v>4207.17</v>
      </c>
      <c r="L600">
        <v>11.5</v>
      </c>
    </row>
    <row r="601" spans="1:12" x14ac:dyDescent="0.3">
      <c r="A601" t="s">
        <v>616</v>
      </c>
      <c r="B601" t="s">
        <v>10</v>
      </c>
      <c r="C601" t="s">
        <v>11</v>
      </c>
      <c r="D601">
        <v>47</v>
      </c>
      <c r="E601" s="1">
        <v>42176</v>
      </c>
      <c r="F601">
        <v>2015</v>
      </c>
      <c r="G601" t="s">
        <v>5032</v>
      </c>
      <c r="H601">
        <v>21</v>
      </c>
      <c r="I601">
        <v>2.88</v>
      </c>
      <c r="J601">
        <v>2</v>
      </c>
      <c r="K601">
        <v>8088.22</v>
      </c>
      <c r="L601">
        <v>10.4</v>
      </c>
    </row>
    <row r="602" spans="1:12" x14ac:dyDescent="0.3">
      <c r="A602" t="s">
        <v>617</v>
      </c>
      <c r="B602" t="s">
        <v>18</v>
      </c>
      <c r="C602" t="s">
        <v>14</v>
      </c>
      <c r="D602">
        <v>45</v>
      </c>
      <c r="E602" s="1">
        <v>42349</v>
      </c>
      <c r="F602">
        <v>2015</v>
      </c>
      <c r="G602" t="s">
        <v>5041</v>
      </c>
      <c r="H602">
        <v>11</v>
      </c>
      <c r="I602">
        <v>2.12</v>
      </c>
      <c r="J602">
        <v>4</v>
      </c>
      <c r="K602">
        <v>12639.77</v>
      </c>
      <c r="L602">
        <v>9.9</v>
      </c>
    </row>
    <row r="603" spans="1:12" x14ac:dyDescent="0.3">
      <c r="A603" t="s">
        <v>618</v>
      </c>
      <c r="B603" t="s">
        <v>10</v>
      </c>
      <c r="C603" t="s">
        <v>11</v>
      </c>
      <c r="D603">
        <v>54</v>
      </c>
      <c r="E603" s="1">
        <v>41285</v>
      </c>
      <c r="F603">
        <v>2013</v>
      </c>
      <c r="G603" t="s">
        <v>5037</v>
      </c>
      <c r="H603">
        <v>11</v>
      </c>
      <c r="I603">
        <v>4.7</v>
      </c>
      <c r="J603">
        <v>7</v>
      </c>
      <c r="K603">
        <v>3163.16</v>
      </c>
      <c r="L603">
        <v>12.8</v>
      </c>
    </row>
    <row r="604" spans="1:12" x14ac:dyDescent="0.3">
      <c r="A604" t="s">
        <v>619</v>
      </c>
      <c r="B604" t="s">
        <v>34</v>
      </c>
      <c r="C604" t="s">
        <v>11</v>
      </c>
      <c r="D604">
        <v>44</v>
      </c>
      <c r="E604" s="1">
        <v>44394</v>
      </c>
      <c r="F604">
        <v>2021</v>
      </c>
      <c r="G604" t="s">
        <v>5034</v>
      </c>
      <c r="H604">
        <v>17</v>
      </c>
      <c r="I604">
        <v>2.82</v>
      </c>
      <c r="J604">
        <v>10</v>
      </c>
      <c r="K604">
        <v>12819.57</v>
      </c>
      <c r="L604">
        <v>4.3</v>
      </c>
    </row>
    <row r="605" spans="1:12" x14ac:dyDescent="0.3">
      <c r="A605" t="s">
        <v>620</v>
      </c>
      <c r="B605" t="s">
        <v>24</v>
      </c>
      <c r="C605" t="s">
        <v>14</v>
      </c>
      <c r="D605">
        <v>57</v>
      </c>
      <c r="E605" s="1">
        <v>42598</v>
      </c>
      <c r="F605">
        <v>2016</v>
      </c>
      <c r="G605" t="s">
        <v>5031</v>
      </c>
      <c r="H605">
        <v>16</v>
      </c>
      <c r="I605">
        <v>3.25</v>
      </c>
      <c r="J605">
        <v>12</v>
      </c>
      <c r="K605">
        <v>3883.3</v>
      </c>
      <c r="L605">
        <v>9.1999999999999993</v>
      </c>
    </row>
    <row r="606" spans="1:12" x14ac:dyDescent="0.3">
      <c r="A606" t="s">
        <v>621</v>
      </c>
      <c r="B606" t="s">
        <v>34</v>
      </c>
      <c r="C606" t="s">
        <v>14</v>
      </c>
      <c r="D606">
        <v>47</v>
      </c>
      <c r="E606" s="1">
        <v>44250</v>
      </c>
      <c r="F606">
        <v>2021</v>
      </c>
      <c r="G606" t="s">
        <v>5042</v>
      </c>
      <c r="H606">
        <v>23</v>
      </c>
      <c r="I606">
        <v>3.58</v>
      </c>
      <c r="J606">
        <v>5</v>
      </c>
      <c r="K606">
        <v>11915.86</v>
      </c>
      <c r="L606">
        <v>4.7</v>
      </c>
    </row>
    <row r="607" spans="1:12" x14ac:dyDescent="0.3">
      <c r="A607" t="s">
        <v>622</v>
      </c>
      <c r="B607" t="s">
        <v>16</v>
      </c>
      <c r="C607" t="s">
        <v>14</v>
      </c>
      <c r="D607">
        <v>58</v>
      </c>
      <c r="E607" s="1">
        <v>42165</v>
      </c>
      <c r="F607">
        <v>2015</v>
      </c>
      <c r="G607" t="s">
        <v>5032</v>
      </c>
      <c r="H607">
        <v>10</v>
      </c>
      <c r="I607">
        <v>2.1</v>
      </c>
      <c r="J607">
        <v>5</v>
      </c>
      <c r="K607">
        <v>12745.44</v>
      </c>
      <c r="L607">
        <v>10.4</v>
      </c>
    </row>
    <row r="608" spans="1:12" x14ac:dyDescent="0.3">
      <c r="A608" t="s">
        <v>623</v>
      </c>
      <c r="B608" t="s">
        <v>24</v>
      </c>
      <c r="C608" t="s">
        <v>14</v>
      </c>
      <c r="D608">
        <v>25</v>
      </c>
      <c r="E608" s="1">
        <v>41287</v>
      </c>
      <c r="F608">
        <v>2013</v>
      </c>
      <c r="G608" t="s">
        <v>5037</v>
      </c>
      <c r="H608">
        <v>13</v>
      </c>
      <c r="I608">
        <v>3.11</v>
      </c>
      <c r="J608">
        <v>4</v>
      </c>
      <c r="K608">
        <v>13271.99</v>
      </c>
      <c r="L608">
        <v>12.8</v>
      </c>
    </row>
    <row r="609" spans="1:12" x14ac:dyDescent="0.3">
      <c r="A609" t="s">
        <v>624</v>
      </c>
      <c r="B609" t="s">
        <v>24</v>
      </c>
      <c r="C609" t="s">
        <v>14</v>
      </c>
      <c r="D609">
        <v>24</v>
      </c>
      <c r="E609" s="1">
        <v>44139</v>
      </c>
      <c r="F609">
        <v>2020</v>
      </c>
      <c r="G609" t="s">
        <v>5038</v>
      </c>
      <c r="H609">
        <v>4</v>
      </c>
      <c r="I609">
        <v>3.33</v>
      </c>
      <c r="J609">
        <v>11</v>
      </c>
      <c r="K609">
        <v>4639.3</v>
      </c>
      <c r="L609">
        <v>5</v>
      </c>
    </row>
    <row r="610" spans="1:12" x14ac:dyDescent="0.3">
      <c r="A610" t="s">
        <v>625</v>
      </c>
      <c r="B610" t="s">
        <v>16</v>
      </c>
      <c r="C610" t="s">
        <v>14</v>
      </c>
      <c r="D610">
        <v>29</v>
      </c>
      <c r="E610" s="1">
        <v>42743</v>
      </c>
      <c r="F610">
        <v>2017</v>
      </c>
      <c r="G610" t="s">
        <v>5037</v>
      </c>
      <c r="H610">
        <v>8</v>
      </c>
      <c r="I610">
        <v>3.63</v>
      </c>
      <c r="J610">
        <v>3</v>
      </c>
      <c r="K610">
        <v>9166.17</v>
      </c>
      <c r="L610">
        <v>8.8000000000000007</v>
      </c>
    </row>
    <row r="611" spans="1:12" x14ac:dyDescent="0.3">
      <c r="A611" t="s">
        <v>626</v>
      </c>
      <c r="B611" t="s">
        <v>24</v>
      </c>
      <c r="C611" t="s">
        <v>14</v>
      </c>
      <c r="D611">
        <v>31</v>
      </c>
      <c r="E611" s="1">
        <v>43146</v>
      </c>
      <c r="F611">
        <v>2018</v>
      </c>
      <c r="G611" t="s">
        <v>5042</v>
      </c>
      <c r="H611">
        <v>15</v>
      </c>
      <c r="I611">
        <v>2.2999999999999998</v>
      </c>
      <c r="J611">
        <v>8</v>
      </c>
      <c r="K611">
        <v>6492.8</v>
      </c>
      <c r="L611">
        <v>7.7</v>
      </c>
    </row>
    <row r="612" spans="1:12" x14ac:dyDescent="0.3">
      <c r="A612" t="s">
        <v>627</v>
      </c>
      <c r="B612" t="s">
        <v>18</v>
      </c>
      <c r="C612" t="s">
        <v>14</v>
      </c>
      <c r="D612">
        <v>37</v>
      </c>
      <c r="E612" s="1">
        <v>41304</v>
      </c>
      <c r="F612">
        <v>2013</v>
      </c>
      <c r="G612" t="s">
        <v>5037</v>
      </c>
      <c r="H612">
        <v>30</v>
      </c>
      <c r="I612">
        <v>4.63</v>
      </c>
      <c r="J612">
        <v>11</v>
      </c>
      <c r="K612">
        <v>4346.5200000000004</v>
      </c>
      <c r="L612">
        <v>12.8</v>
      </c>
    </row>
    <row r="613" spans="1:12" x14ac:dyDescent="0.3">
      <c r="A613" t="s">
        <v>628</v>
      </c>
      <c r="B613" t="s">
        <v>24</v>
      </c>
      <c r="C613" t="s">
        <v>14</v>
      </c>
      <c r="D613">
        <v>30</v>
      </c>
      <c r="E613" s="1">
        <v>43447</v>
      </c>
      <c r="F613">
        <v>2018</v>
      </c>
      <c r="G613" t="s">
        <v>5041</v>
      </c>
      <c r="H613">
        <v>13</v>
      </c>
      <c r="I613">
        <v>4.1399999999999997</v>
      </c>
      <c r="J613">
        <v>0</v>
      </c>
      <c r="K613">
        <v>3110.49</v>
      </c>
      <c r="L613">
        <v>6.9</v>
      </c>
    </row>
    <row r="614" spans="1:12" x14ac:dyDescent="0.3">
      <c r="A614" t="s">
        <v>629</v>
      </c>
      <c r="B614" t="s">
        <v>13</v>
      </c>
      <c r="C614" t="s">
        <v>11</v>
      </c>
      <c r="D614">
        <v>34</v>
      </c>
      <c r="E614" s="1">
        <v>41209</v>
      </c>
      <c r="F614">
        <v>2012</v>
      </c>
      <c r="G614" t="s">
        <v>5039</v>
      </c>
      <c r="H614">
        <v>27</v>
      </c>
      <c r="I614">
        <v>3.89</v>
      </c>
      <c r="J614">
        <v>6</v>
      </c>
      <c r="K614">
        <v>8193.31</v>
      </c>
      <c r="L614">
        <v>13</v>
      </c>
    </row>
    <row r="615" spans="1:12" x14ac:dyDescent="0.3">
      <c r="A615" t="s">
        <v>630</v>
      </c>
      <c r="B615" t="s">
        <v>34</v>
      </c>
      <c r="C615" t="s">
        <v>14</v>
      </c>
      <c r="D615">
        <v>32</v>
      </c>
      <c r="E615" s="1">
        <v>42955</v>
      </c>
      <c r="F615">
        <v>2017</v>
      </c>
      <c r="G615" t="s">
        <v>5031</v>
      </c>
      <c r="H615">
        <v>8</v>
      </c>
      <c r="I615">
        <v>4.7300000000000004</v>
      </c>
      <c r="J615">
        <v>0</v>
      </c>
      <c r="K615">
        <v>14192.23</v>
      </c>
      <c r="L615">
        <v>8.1999999999999993</v>
      </c>
    </row>
    <row r="616" spans="1:12" x14ac:dyDescent="0.3">
      <c r="A616" t="s">
        <v>631</v>
      </c>
      <c r="B616" t="s">
        <v>18</v>
      </c>
      <c r="C616" t="s">
        <v>14</v>
      </c>
      <c r="D616">
        <v>41</v>
      </c>
      <c r="E616" s="1">
        <v>42466</v>
      </c>
      <c r="F616">
        <v>2016</v>
      </c>
      <c r="G616" t="s">
        <v>5040</v>
      </c>
      <c r="H616">
        <v>6</v>
      </c>
      <c r="I616">
        <v>4.5199999999999996</v>
      </c>
      <c r="J616">
        <v>7</v>
      </c>
      <c r="K616">
        <v>11136.54</v>
      </c>
      <c r="L616">
        <v>9.6</v>
      </c>
    </row>
    <row r="617" spans="1:12" x14ac:dyDescent="0.3">
      <c r="A617" t="s">
        <v>632</v>
      </c>
      <c r="B617" t="s">
        <v>16</v>
      </c>
      <c r="C617" t="s">
        <v>11</v>
      </c>
      <c r="D617">
        <v>47</v>
      </c>
      <c r="E617" s="1">
        <v>44377</v>
      </c>
      <c r="F617">
        <v>2021</v>
      </c>
      <c r="G617" t="s">
        <v>5032</v>
      </c>
      <c r="H617">
        <v>30</v>
      </c>
      <c r="I617">
        <v>4.67</v>
      </c>
      <c r="J617">
        <v>6</v>
      </c>
      <c r="K617">
        <v>7618.82</v>
      </c>
      <c r="L617">
        <v>4.3</v>
      </c>
    </row>
    <row r="618" spans="1:12" x14ac:dyDescent="0.3">
      <c r="A618" t="s">
        <v>633</v>
      </c>
      <c r="B618" t="s">
        <v>24</v>
      </c>
      <c r="C618" t="s">
        <v>11</v>
      </c>
      <c r="D618">
        <v>33</v>
      </c>
      <c r="E618" s="1">
        <v>44665</v>
      </c>
      <c r="F618">
        <v>2022</v>
      </c>
      <c r="G618" t="s">
        <v>5040</v>
      </c>
      <c r="H618">
        <v>14</v>
      </c>
      <c r="I618">
        <v>4.9800000000000004</v>
      </c>
      <c r="J618">
        <v>9</v>
      </c>
      <c r="K618">
        <v>5213.25</v>
      </c>
      <c r="L618">
        <v>3.6</v>
      </c>
    </row>
    <row r="619" spans="1:12" x14ac:dyDescent="0.3">
      <c r="A619" t="s">
        <v>634</v>
      </c>
      <c r="B619" t="s">
        <v>13</v>
      </c>
      <c r="C619" t="s">
        <v>11</v>
      </c>
      <c r="D619">
        <v>45</v>
      </c>
      <c r="E619" s="1">
        <v>42779</v>
      </c>
      <c r="F619">
        <v>2017</v>
      </c>
      <c r="G619" t="s">
        <v>5042</v>
      </c>
      <c r="H619">
        <v>13</v>
      </c>
      <c r="I619">
        <v>2.11</v>
      </c>
      <c r="J619">
        <v>11</v>
      </c>
      <c r="K619">
        <v>9343.2900000000009</v>
      </c>
      <c r="L619">
        <v>8.6999999999999993</v>
      </c>
    </row>
    <row r="620" spans="1:12" x14ac:dyDescent="0.3">
      <c r="A620" t="s">
        <v>635</v>
      </c>
      <c r="B620" t="s">
        <v>34</v>
      </c>
      <c r="C620" t="s">
        <v>14</v>
      </c>
      <c r="D620">
        <v>36</v>
      </c>
      <c r="E620" s="1">
        <v>45841</v>
      </c>
      <c r="F620">
        <v>2025</v>
      </c>
      <c r="G620" t="s">
        <v>5034</v>
      </c>
      <c r="H620">
        <v>3</v>
      </c>
      <c r="I620">
        <v>3.79</v>
      </c>
      <c r="J620">
        <v>12</v>
      </c>
      <c r="K620">
        <v>13385.69</v>
      </c>
      <c r="L620">
        <v>0.3</v>
      </c>
    </row>
    <row r="621" spans="1:12" x14ac:dyDescent="0.3">
      <c r="A621" t="s">
        <v>636</v>
      </c>
      <c r="B621" t="s">
        <v>24</v>
      </c>
      <c r="C621" t="s">
        <v>14</v>
      </c>
      <c r="D621">
        <v>40</v>
      </c>
      <c r="E621" s="1">
        <v>44649</v>
      </c>
      <c r="F621">
        <v>2022</v>
      </c>
      <c r="G621" t="s">
        <v>5035</v>
      </c>
      <c r="H621">
        <v>29</v>
      </c>
      <c r="I621">
        <v>2.93</v>
      </c>
      <c r="J621">
        <v>2</v>
      </c>
      <c r="K621">
        <v>13817.76</v>
      </c>
      <c r="L621">
        <v>3.6</v>
      </c>
    </row>
    <row r="622" spans="1:12" x14ac:dyDescent="0.3">
      <c r="A622" t="s">
        <v>637</v>
      </c>
      <c r="B622" t="s">
        <v>10</v>
      </c>
      <c r="C622" t="s">
        <v>11</v>
      </c>
      <c r="D622">
        <v>22</v>
      </c>
      <c r="E622" s="1">
        <v>43689</v>
      </c>
      <c r="F622">
        <v>2019</v>
      </c>
      <c r="G622" t="s">
        <v>5031</v>
      </c>
      <c r="H622">
        <v>12</v>
      </c>
      <c r="I622">
        <v>4.5599999999999996</v>
      </c>
      <c r="J622">
        <v>3</v>
      </c>
      <c r="K622">
        <v>8532.4</v>
      </c>
      <c r="L622">
        <v>6.2</v>
      </c>
    </row>
    <row r="623" spans="1:12" x14ac:dyDescent="0.3">
      <c r="A623" t="s">
        <v>638</v>
      </c>
      <c r="B623" t="s">
        <v>34</v>
      </c>
      <c r="C623" t="s">
        <v>14</v>
      </c>
      <c r="D623">
        <v>40</v>
      </c>
      <c r="E623" s="1">
        <v>43705</v>
      </c>
      <c r="F623">
        <v>2019</v>
      </c>
      <c r="G623" t="s">
        <v>5031</v>
      </c>
      <c r="H623">
        <v>28</v>
      </c>
      <c r="I623">
        <v>4.53</v>
      </c>
      <c r="J623">
        <v>9</v>
      </c>
      <c r="K623">
        <v>11126.04</v>
      </c>
      <c r="L623">
        <v>6.2</v>
      </c>
    </row>
    <row r="624" spans="1:12" x14ac:dyDescent="0.3">
      <c r="A624" t="s">
        <v>639</v>
      </c>
      <c r="B624" t="s">
        <v>18</v>
      </c>
      <c r="C624" t="s">
        <v>14</v>
      </c>
      <c r="D624">
        <v>41</v>
      </c>
      <c r="E624" s="1">
        <v>44269</v>
      </c>
      <c r="F624">
        <v>2021</v>
      </c>
      <c r="G624" t="s">
        <v>5035</v>
      </c>
      <c r="H624">
        <v>14</v>
      </c>
      <c r="I624">
        <v>1.96</v>
      </c>
      <c r="J624">
        <v>4</v>
      </c>
      <c r="K624">
        <v>8479.5499999999993</v>
      </c>
      <c r="L624">
        <v>4.5999999999999996</v>
      </c>
    </row>
    <row r="625" spans="1:12" x14ac:dyDescent="0.3">
      <c r="A625" t="s">
        <v>640</v>
      </c>
      <c r="B625" t="s">
        <v>24</v>
      </c>
      <c r="C625" t="s">
        <v>11</v>
      </c>
      <c r="D625">
        <v>60</v>
      </c>
      <c r="E625" s="1">
        <v>45119</v>
      </c>
      <c r="F625">
        <v>2023</v>
      </c>
      <c r="G625" t="s">
        <v>5034</v>
      </c>
      <c r="H625">
        <v>12</v>
      </c>
      <c r="I625">
        <v>2.35</v>
      </c>
      <c r="J625">
        <v>15</v>
      </c>
      <c r="K625">
        <v>14557.19</v>
      </c>
      <c r="L625">
        <v>2.2999999999999998</v>
      </c>
    </row>
    <row r="626" spans="1:12" x14ac:dyDescent="0.3">
      <c r="A626" t="s">
        <v>641</v>
      </c>
      <c r="B626" t="s">
        <v>16</v>
      </c>
      <c r="C626" t="s">
        <v>14</v>
      </c>
      <c r="D626">
        <v>58</v>
      </c>
      <c r="E626" s="1">
        <v>42337</v>
      </c>
      <c r="F626">
        <v>2015</v>
      </c>
      <c r="G626" t="s">
        <v>5038</v>
      </c>
      <c r="H626">
        <v>29</v>
      </c>
      <c r="I626">
        <v>4.37</v>
      </c>
      <c r="J626">
        <v>4</v>
      </c>
      <c r="K626">
        <v>14093.37</v>
      </c>
      <c r="L626">
        <v>9.9</v>
      </c>
    </row>
    <row r="627" spans="1:12" x14ac:dyDescent="0.3">
      <c r="A627" t="s">
        <v>642</v>
      </c>
      <c r="B627" t="s">
        <v>24</v>
      </c>
      <c r="C627" t="s">
        <v>11</v>
      </c>
      <c r="D627">
        <v>42</v>
      </c>
      <c r="E627" s="1">
        <v>41691</v>
      </c>
      <c r="F627">
        <v>2014</v>
      </c>
      <c r="G627" t="s">
        <v>5042</v>
      </c>
      <c r="H627">
        <v>21</v>
      </c>
      <c r="I627">
        <v>1.53</v>
      </c>
      <c r="J627">
        <v>12</v>
      </c>
      <c r="K627">
        <v>11098.1</v>
      </c>
      <c r="L627">
        <v>11.7</v>
      </c>
    </row>
    <row r="628" spans="1:12" x14ac:dyDescent="0.3">
      <c r="A628" t="s">
        <v>643</v>
      </c>
      <c r="B628" t="s">
        <v>34</v>
      </c>
      <c r="C628" t="s">
        <v>11</v>
      </c>
      <c r="D628">
        <v>34</v>
      </c>
      <c r="E628" s="1">
        <v>45734</v>
      </c>
      <c r="F628">
        <v>2025</v>
      </c>
      <c r="G628" t="s">
        <v>5035</v>
      </c>
      <c r="H628">
        <v>18</v>
      </c>
      <c r="I628">
        <v>2.89</v>
      </c>
      <c r="J628">
        <v>14</v>
      </c>
      <c r="K628">
        <v>13790</v>
      </c>
      <c r="L628">
        <v>0.6</v>
      </c>
    </row>
    <row r="629" spans="1:12" x14ac:dyDescent="0.3">
      <c r="A629" t="s">
        <v>644</v>
      </c>
      <c r="B629" t="s">
        <v>18</v>
      </c>
      <c r="C629" t="s">
        <v>11</v>
      </c>
      <c r="D629">
        <v>22</v>
      </c>
      <c r="E629" s="1">
        <v>42582</v>
      </c>
      <c r="F629">
        <v>2016</v>
      </c>
      <c r="G629" t="s">
        <v>5034</v>
      </c>
      <c r="H629">
        <v>31</v>
      </c>
      <c r="I629">
        <v>2.58</v>
      </c>
      <c r="J629">
        <v>2</v>
      </c>
      <c r="K629">
        <v>6513.15</v>
      </c>
      <c r="L629">
        <v>9.3000000000000007</v>
      </c>
    </row>
    <row r="630" spans="1:12" x14ac:dyDescent="0.3">
      <c r="A630" t="s">
        <v>645</v>
      </c>
      <c r="B630" t="s">
        <v>34</v>
      </c>
      <c r="C630" t="s">
        <v>11</v>
      </c>
      <c r="D630">
        <v>27</v>
      </c>
      <c r="E630" s="1">
        <v>40755</v>
      </c>
      <c r="F630">
        <v>2011</v>
      </c>
      <c r="G630" t="s">
        <v>5034</v>
      </c>
      <c r="H630">
        <v>31</v>
      </c>
      <c r="I630">
        <v>2.71</v>
      </c>
      <c r="J630">
        <v>12</v>
      </c>
      <c r="K630">
        <v>7945.09</v>
      </c>
      <c r="L630">
        <v>14.3</v>
      </c>
    </row>
    <row r="631" spans="1:12" x14ac:dyDescent="0.3">
      <c r="A631" t="s">
        <v>646</v>
      </c>
      <c r="B631" t="s">
        <v>10</v>
      </c>
      <c r="C631" t="s">
        <v>11</v>
      </c>
      <c r="D631">
        <v>60</v>
      </c>
      <c r="E631" s="1">
        <v>40642</v>
      </c>
      <c r="F631">
        <v>2011</v>
      </c>
      <c r="G631" t="s">
        <v>5040</v>
      </c>
      <c r="H631">
        <v>9</v>
      </c>
      <c r="I631">
        <v>2.29</v>
      </c>
      <c r="J631">
        <v>3</v>
      </c>
      <c r="K631">
        <v>4408.58</v>
      </c>
      <c r="L631">
        <v>14.6</v>
      </c>
    </row>
    <row r="632" spans="1:12" x14ac:dyDescent="0.3">
      <c r="A632" t="s">
        <v>647</v>
      </c>
      <c r="B632" t="s">
        <v>18</v>
      </c>
      <c r="C632" t="s">
        <v>14</v>
      </c>
      <c r="D632">
        <v>45</v>
      </c>
      <c r="E632" s="1">
        <v>43272</v>
      </c>
      <c r="F632">
        <v>2018</v>
      </c>
      <c r="G632" t="s">
        <v>5032</v>
      </c>
      <c r="H632">
        <v>21</v>
      </c>
      <c r="I632">
        <v>3.99</v>
      </c>
      <c r="J632">
        <v>11</v>
      </c>
      <c r="K632">
        <v>5624.42</v>
      </c>
      <c r="L632">
        <v>7.4</v>
      </c>
    </row>
    <row r="633" spans="1:12" x14ac:dyDescent="0.3">
      <c r="A633" t="s">
        <v>648</v>
      </c>
      <c r="B633" t="s">
        <v>13</v>
      </c>
      <c r="C633" t="s">
        <v>14</v>
      </c>
      <c r="D633">
        <v>40</v>
      </c>
      <c r="E633" s="1">
        <v>42284</v>
      </c>
      <c r="F633">
        <v>2015</v>
      </c>
      <c r="G633" t="s">
        <v>5039</v>
      </c>
      <c r="H633">
        <v>7</v>
      </c>
      <c r="I633">
        <v>3.01</v>
      </c>
      <c r="J633">
        <v>13</v>
      </c>
      <c r="K633">
        <v>8599.31</v>
      </c>
      <c r="L633">
        <v>10.1</v>
      </c>
    </row>
    <row r="634" spans="1:12" x14ac:dyDescent="0.3">
      <c r="A634" t="s">
        <v>649</v>
      </c>
      <c r="B634" t="s">
        <v>24</v>
      </c>
      <c r="C634" t="s">
        <v>14</v>
      </c>
      <c r="D634">
        <v>32</v>
      </c>
      <c r="E634" s="1">
        <v>40994</v>
      </c>
      <c r="F634">
        <v>2012</v>
      </c>
      <c r="G634" t="s">
        <v>5035</v>
      </c>
      <c r="H634">
        <v>26</v>
      </c>
      <c r="I634">
        <v>2.35</v>
      </c>
      <c r="J634">
        <v>1</v>
      </c>
      <c r="K634">
        <v>13561.68</v>
      </c>
      <c r="L634">
        <v>13.6</v>
      </c>
    </row>
    <row r="635" spans="1:12" x14ac:dyDescent="0.3">
      <c r="A635" t="s">
        <v>650</v>
      </c>
      <c r="B635" t="s">
        <v>16</v>
      </c>
      <c r="C635" t="s">
        <v>14</v>
      </c>
      <c r="D635">
        <v>53</v>
      </c>
      <c r="E635" s="1">
        <v>45426</v>
      </c>
      <c r="F635">
        <v>2024</v>
      </c>
      <c r="G635" t="s">
        <v>5036</v>
      </c>
      <c r="H635">
        <v>14</v>
      </c>
      <c r="I635">
        <v>3.94</v>
      </c>
      <c r="J635">
        <v>1</v>
      </c>
      <c r="K635">
        <v>11747.1</v>
      </c>
      <c r="L635">
        <v>1.5</v>
      </c>
    </row>
    <row r="636" spans="1:12" x14ac:dyDescent="0.3">
      <c r="A636" t="s">
        <v>651</v>
      </c>
      <c r="B636" t="s">
        <v>18</v>
      </c>
      <c r="C636" t="s">
        <v>14</v>
      </c>
      <c r="D636">
        <v>49</v>
      </c>
      <c r="E636" s="1">
        <v>42540</v>
      </c>
      <c r="F636">
        <v>2016</v>
      </c>
      <c r="G636" t="s">
        <v>5032</v>
      </c>
      <c r="H636">
        <v>19</v>
      </c>
      <c r="I636">
        <v>4.59</v>
      </c>
      <c r="J636">
        <v>12</v>
      </c>
      <c r="K636">
        <v>5992.89</v>
      </c>
      <c r="L636">
        <v>9.4</v>
      </c>
    </row>
    <row r="637" spans="1:12" x14ac:dyDescent="0.3">
      <c r="A637" t="s">
        <v>652</v>
      </c>
      <c r="B637" t="s">
        <v>24</v>
      </c>
      <c r="C637" t="s">
        <v>11</v>
      </c>
      <c r="D637">
        <v>55</v>
      </c>
      <c r="E637" s="1">
        <v>44827</v>
      </c>
      <c r="F637">
        <v>2022</v>
      </c>
      <c r="G637" t="s">
        <v>5033</v>
      </c>
      <c r="H637">
        <v>23</v>
      </c>
      <c r="I637">
        <v>1.85</v>
      </c>
      <c r="J637">
        <v>11</v>
      </c>
      <c r="K637">
        <v>14121.55</v>
      </c>
      <c r="L637">
        <v>3.1</v>
      </c>
    </row>
    <row r="638" spans="1:12" x14ac:dyDescent="0.3">
      <c r="A638" t="s">
        <v>653</v>
      </c>
      <c r="B638" t="s">
        <v>10</v>
      </c>
      <c r="C638" t="s">
        <v>14</v>
      </c>
      <c r="D638">
        <v>31</v>
      </c>
      <c r="E638" s="1">
        <v>44359</v>
      </c>
      <c r="F638">
        <v>2021</v>
      </c>
      <c r="G638" t="s">
        <v>5032</v>
      </c>
      <c r="H638">
        <v>12</v>
      </c>
      <c r="I638">
        <v>4.78</v>
      </c>
      <c r="J638">
        <v>11</v>
      </c>
      <c r="K638">
        <v>5123.8500000000004</v>
      </c>
      <c r="L638">
        <v>4.4000000000000004</v>
      </c>
    </row>
    <row r="639" spans="1:12" x14ac:dyDescent="0.3">
      <c r="A639" t="s">
        <v>654</v>
      </c>
      <c r="B639" t="s">
        <v>34</v>
      </c>
      <c r="C639" t="s">
        <v>14</v>
      </c>
      <c r="D639">
        <v>57</v>
      </c>
      <c r="E639" s="1">
        <v>44563</v>
      </c>
      <c r="F639">
        <v>2022</v>
      </c>
      <c r="G639" t="s">
        <v>5037</v>
      </c>
      <c r="H639">
        <v>2</v>
      </c>
      <c r="I639">
        <v>4.58</v>
      </c>
      <c r="J639">
        <v>2</v>
      </c>
      <c r="K639">
        <v>5315.76</v>
      </c>
      <c r="L639">
        <v>3.8</v>
      </c>
    </row>
    <row r="640" spans="1:12" x14ac:dyDescent="0.3">
      <c r="A640" t="s">
        <v>655</v>
      </c>
      <c r="B640" t="s">
        <v>10</v>
      </c>
      <c r="C640" t="s">
        <v>11</v>
      </c>
      <c r="D640">
        <v>24</v>
      </c>
      <c r="E640" s="1">
        <v>43267</v>
      </c>
      <c r="F640">
        <v>2018</v>
      </c>
      <c r="G640" t="s">
        <v>5032</v>
      </c>
      <c r="H640">
        <v>16</v>
      </c>
      <c r="I640">
        <v>2.3199999999999998</v>
      </c>
      <c r="J640">
        <v>2</v>
      </c>
      <c r="K640">
        <v>14500.42</v>
      </c>
      <c r="L640">
        <v>7.4</v>
      </c>
    </row>
    <row r="641" spans="1:12" x14ac:dyDescent="0.3">
      <c r="A641" t="s">
        <v>656</v>
      </c>
      <c r="B641" t="s">
        <v>24</v>
      </c>
      <c r="C641" t="s">
        <v>14</v>
      </c>
      <c r="D641">
        <v>37</v>
      </c>
      <c r="E641" s="1">
        <v>44071</v>
      </c>
      <c r="F641">
        <v>2020</v>
      </c>
      <c r="G641" t="s">
        <v>5031</v>
      </c>
      <c r="H641">
        <v>28</v>
      </c>
      <c r="I641">
        <v>2.64</v>
      </c>
      <c r="J641">
        <v>3</v>
      </c>
      <c r="K641">
        <v>9297.02</v>
      </c>
      <c r="L641">
        <v>5.2</v>
      </c>
    </row>
    <row r="642" spans="1:12" x14ac:dyDescent="0.3">
      <c r="A642" t="s">
        <v>657</v>
      </c>
      <c r="B642" t="s">
        <v>34</v>
      </c>
      <c r="C642" t="s">
        <v>14</v>
      </c>
      <c r="D642">
        <v>56</v>
      </c>
      <c r="E642" s="1">
        <v>41659</v>
      </c>
      <c r="F642">
        <v>2014</v>
      </c>
      <c r="G642" t="s">
        <v>5037</v>
      </c>
      <c r="H642">
        <v>20</v>
      </c>
      <c r="I642">
        <v>2.48</v>
      </c>
      <c r="J642">
        <v>4</v>
      </c>
      <c r="K642">
        <v>7402.83</v>
      </c>
      <c r="L642">
        <v>11.8</v>
      </c>
    </row>
    <row r="643" spans="1:12" x14ac:dyDescent="0.3">
      <c r="A643" t="s">
        <v>658</v>
      </c>
      <c r="B643" t="s">
        <v>24</v>
      </c>
      <c r="C643" t="s">
        <v>14</v>
      </c>
      <c r="D643">
        <v>43</v>
      </c>
      <c r="E643" s="1">
        <v>41498</v>
      </c>
      <c r="F643">
        <v>2013</v>
      </c>
      <c r="G643" t="s">
        <v>5031</v>
      </c>
      <c r="H643">
        <v>12</v>
      </c>
      <c r="I643">
        <v>4.17</v>
      </c>
      <c r="J643">
        <v>6</v>
      </c>
      <c r="K643">
        <v>5396.17</v>
      </c>
      <c r="L643">
        <v>12.2</v>
      </c>
    </row>
    <row r="644" spans="1:12" x14ac:dyDescent="0.3">
      <c r="A644" t="s">
        <v>659</v>
      </c>
      <c r="B644" t="s">
        <v>10</v>
      </c>
      <c r="C644" t="s">
        <v>14</v>
      </c>
      <c r="D644">
        <v>32</v>
      </c>
      <c r="E644" s="1">
        <v>43900</v>
      </c>
      <c r="F644">
        <v>2020</v>
      </c>
      <c r="G644" t="s">
        <v>5035</v>
      </c>
      <c r="H644">
        <v>10</v>
      </c>
      <c r="I644">
        <v>3.76</v>
      </c>
      <c r="J644">
        <v>4</v>
      </c>
      <c r="K644">
        <v>5879.01</v>
      </c>
      <c r="L644">
        <v>5.6</v>
      </c>
    </row>
    <row r="645" spans="1:12" x14ac:dyDescent="0.3">
      <c r="A645" t="s">
        <v>660</v>
      </c>
      <c r="B645" t="s">
        <v>24</v>
      </c>
      <c r="C645" t="s">
        <v>11</v>
      </c>
      <c r="D645">
        <v>25</v>
      </c>
      <c r="E645" s="1">
        <v>40713</v>
      </c>
      <c r="F645">
        <v>2011</v>
      </c>
      <c r="G645" t="s">
        <v>5032</v>
      </c>
      <c r="H645">
        <v>19</v>
      </c>
      <c r="I645">
        <v>3.18</v>
      </c>
      <c r="J645">
        <v>2</v>
      </c>
      <c r="K645">
        <v>8474.34</v>
      </c>
      <c r="L645">
        <v>14.4</v>
      </c>
    </row>
    <row r="646" spans="1:12" x14ac:dyDescent="0.3">
      <c r="A646" t="s">
        <v>661</v>
      </c>
      <c r="B646" t="s">
        <v>13</v>
      </c>
      <c r="C646" t="s">
        <v>11</v>
      </c>
      <c r="D646">
        <v>44</v>
      </c>
      <c r="E646" s="1">
        <v>42591</v>
      </c>
      <c r="F646">
        <v>2016</v>
      </c>
      <c r="G646" t="s">
        <v>5031</v>
      </c>
      <c r="H646">
        <v>9</v>
      </c>
      <c r="I646">
        <v>1.85</v>
      </c>
      <c r="J646">
        <v>3</v>
      </c>
      <c r="K646">
        <v>4362.53</v>
      </c>
      <c r="L646">
        <v>9.1999999999999993</v>
      </c>
    </row>
    <row r="647" spans="1:12" x14ac:dyDescent="0.3">
      <c r="A647" t="s">
        <v>662</v>
      </c>
      <c r="B647" t="s">
        <v>16</v>
      </c>
      <c r="C647" t="s">
        <v>11</v>
      </c>
      <c r="D647">
        <v>27</v>
      </c>
      <c r="E647" s="1">
        <v>41988</v>
      </c>
      <c r="F647">
        <v>2014</v>
      </c>
      <c r="G647" t="s">
        <v>5041</v>
      </c>
      <c r="H647">
        <v>15</v>
      </c>
      <c r="I647">
        <v>3.99</v>
      </c>
      <c r="J647">
        <v>15</v>
      </c>
      <c r="K647">
        <v>8540.25</v>
      </c>
      <c r="L647">
        <v>10.9</v>
      </c>
    </row>
    <row r="648" spans="1:12" x14ac:dyDescent="0.3">
      <c r="A648" t="s">
        <v>663</v>
      </c>
      <c r="B648" t="s">
        <v>18</v>
      </c>
      <c r="C648" t="s">
        <v>14</v>
      </c>
      <c r="D648">
        <v>39</v>
      </c>
      <c r="E648" s="1">
        <v>42593</v>
      </c>
      <c r="F648">
        <v>2016</v>
      </c>
      <c r="G648" t="s">
        <v>5031</v>
      </c>
      <c r="H648">
        <v>11</v>
      </c>
      <c r="I648">
        <v>2.4500000000000002</v>
      </c>
      <c r="J648">
        <v>7</v>
      </c>
      <c r="K648">
        <v>9180.68</v>
      </c>
      <c r="L648">
        <v>9.1999999999999993</v>
      </c>
    </row>
    <row r="649" spans="1:12" x14ac:dyDescent="0.3">
      <c r="A649" t="s">
        <v>664</v>
      </c>
      <c r="B649" t="s">
        <v>34</v>
      </c>
      <c r="C649" t="s">
        <v>11</v>
      </c>
      <c r="D649">
        <v>56</v>
      </c>
      <c r="E649" s="1">
        <v>45038</v>
      </c>
      <c r="F649">
        <v>2023</v>
      </c>
      <c r="G649" t="s">
        <v>5040</v>
      </c>
      <c r="H649">
        <v>22</v>
      </c>
      <c r="I649">
        <v>2.85</v>
      </c>
      <c r="J649">
        <v>9</v>
      </c>
      <c r="K649">
        <v>8792.92</v>
      </c>
      <c r="L649">
        <v>2.5</v>
      </c>
    </row>
    <row r="650" spans="1:12" x14ac:dyDescent="0.3">
      <c r="A650" t="s">
        <v>665</v>
      </c>
      <c r="B650" t="s">
        <v>18</v>
      </c>
      <c r="C650" t="s">
        <v>14</v>
      </c>
      <c r="D650">
        <v>22</v>
      </c>
      <c r="E650" s="1">
        <v>44387</v>
      </c>
      <c r="F650">
        <v>2021</v>
      </c>
      <c r="G650" t="s">
        <v>5034</v>
      </c>
      <c r="H650">
        <v>10</v>
      </c>
      <c r="I650">
        <v>4.34</v>
      </c>
      <c r="J650">
        <v>0</v>
      </c>
      <c r="K650">
        <v>5800.68</v>
      </c>
      <c r="L650">
        <v>4.3</v>
      </c>
    </row>
    <row r="651" spans="1:12" x14ac:dyDescent="0.3">
      <c r="A651" t="s">
        <v>666</v>
      </c>
      <c r="B651" t="s">
        <v>13</v>
      </c>
      <c r="C651" t="s">
        <v>11</v>
      </c>
      <c r="D651">
        <v>60</v>
      </c>
      <c r="E651" s="1">
        <v>45606</v>
      </c>
      <c r="F651">
        <v>2024</v>
      </c>
      <c r="G651" t="s">
        <v>5038</v>
      </c>
      <c r="H651">
        <v>10</v>
      </c>
      <c r="I651">
        <v>4.93</v>
      </c>
      <c r="J651">
        <v>6</v>
      </c>
      <c r="K651">
        <v>10524.55</v>
      </c>
      <c r="L651">
        <v>1</v>
      </c>
    </row>
    <row r="652" spans="1:12" x14ac:dyDescent="0.3">
      <c r="A652" t="s">
        <v>667</v>
      </c>
      <c r="B652" t="s">
        <v>24</v>
      </c>
      <c r="C652" t="s">
        <v>14</v>
      </c>
      <c r="D652">
        <v>50</v>
      </c>
      <c r="E652" s="1">
        <v>43308</v>
      </c>
      <c r="F652">
        <v>2018</v>
      </c>
      <c r="G652" t="s">
        <v>5034</v>
      </c>
      <c r="H652">
        <v>27</v>
      </c>
      <c r="I652">
        <v>2.59</v>
      </c>
      <c r="J652">
        <v>4</v>
      </c>
      <c r="K652">
        <v>10753.75</v>
      </c>
      <c r="L652">
        <v>7.3</v>
      </c>
    </row>
    <row r="653" spans="1:12" x14ac:dyDescent="0.3">
      <c r="A653" t="s">
        <v>668</v>
      </c>
      <c r="B653" t="s">
        <v>24</v>
      </c>
      <c r="C653" t="s">
        <v>14</v>
      </c>
      <c r="D653">
        <v>52</v>
      </c>
      <c r="E653" s="1">
        <v>44991</v>
      </c>
      <c r="F653">
        <v>2023</v>
      </c>
      <c r="G653" t="s">
        <v>5035</v>
      </c>
      <c r="H653">
        <v>6</v>
      </c>
      <c r="I653">
        <v>3.01</v>
      </c>
      <c r="J653">
        <v>1</v>
      </c>
      <c r="K653">
        <v>10146.75</v>
      </c>
      <c r="L653">
        <v>2.7</v>
      </c>
    </row>
    <row r="654" spans="1:12" x14ac:dyDescent="0.3">
      <c r="A654" t="s">
        <v>669</v>
      </c>
      <c r="B654" t="s">
        <v>10</v>
      </c>
      <c r="C654" t="s">
        <v>11</v>
      </c>
      <c r="D654">
        <v>44</v>
      </c>
      <c r="E654" s="1">
        <v>42917</v>
      </c>
      <c r="F654">
        <v>2017</v>
      </c>
      <c r="G654" t="s">
        <v>5034</v>
      </c>
      <c r="H654">
        <v>1</v>
      </c>
      <c r="I654">
        <v>1.55</v>
      </c>
      <c r="J654">
        <v>3</v>
      </c>
      <c r="K654">
        <v>13146.96</v>
      </c>
      <c r="L654">
        <v>8.3000000000000007</v>
      </c>
    </row>
    <row r="655" spans="1:12" x14ac:dyDescent="0.3">
      <c r="A655" t="s">
        <v>670</v>
      </c>
      <c r="B655" t="s">
        <v>24</v>
      </c>
      <c r="C655" t="s">
        <v>11</v>
      </c>
      <c r="D655">
        <v>28</v>
      </c>
      <c r="E655" s="1">
        <v>44009</v>
      </c>
      <c r="F655">
        <v>2020</v>
      </c>
      <c r="G655" t="s">
        <v>5032</v>
      </c>
      <c r="H655">
        <v>27</v>
      </c>
      <c r="I655">
        <v>4.05</v>
      </c>
      <c r="J655">
        <v>3</v>
      </c>
      <c r="K655">
        <v>10764.76</v>
      </c>
      <c r="L655">
        <v>5.4</v>
      </c>
    </row>
    <row r="656" spans="1:12" x14ac:dyDescent="0.3">
      <c r="A656" t="s">
        <v>671</v>
      </c>
      <c r="B656" t="s">
        <v>10</v>
      </c>
      <c r="C656" t="s">
        <v>14</v>
      </c>
      <c r="D656">
        <v>42</v>
      </c>
      <c r="E656" s="1">
        <v>41559</v>
      </c>
      <c r="F656">
        <v>2013</v>
      </c>
      <c r="G656" t="s">
        <v>5039</v>
      </c>
      <c r="H656">
        <v>12</v>
      </c>
      <c r="I656">
        <v>4.5599999999999996</v>
      </c>
      <c r="J656">
        <v>7</v>
      </c>
      <c r="K656">
        <v>14254.6</v>
      </c>
      <c r="L656">
        <v>12.1</v>
      </c>
    </row>
    <row r="657" spans="1:12" x14ac:dyDescent="0.3">
      <c r="A657" t="s">
        <v>672</v>
      </c>
      <c r="B657" t="s">
        <v>18</v>
      </c>
      <c r="C657" t="s">
        <v>14</v>
      </c>
      <c r="D657">
        <v>24</v>
      </c>
      <c r="E657" s="1">
        <v>40877</v>
      </c>
      <c r="F657">
        <v>2011</v>
      </c>
      <c r="G657" t="s">
        <v>5038</v>
      </c>
      <c r="H657">
        <v>30</v>
      </c>
      <c r="I657">
        <v>2.4</v>
      </c>
      <c r="J657">
        <v>2</v>
      </c>
      <c r="K657">
        <v>10962.46</v>
      </c>
      <c r="L657">
        <v>13.9</v>
      </c>
    </row>
    <row r="658" spans="1:12" x14ac:dyDescent="0.3">
      <c r="A658" t="s">
        <v>673</v>
      </c>
      <c r="B658" t="s">
        <v>18</v>
      </c>
      <c r="C658" t="s">
        <v>14</v>
      </c>
      <c r="D658">
        <v>33</v>
      </c>
      <c r="E658" s="1">
        <v>41931</v>
      </c>
      <c r="F658">
        <v>2014</v>
      </c>
      <c r="G658" t="s">
        <v>5039</v>
      </c>
      <c r="H658">
        <v>19</v>
      </c>
      <c r="I658">
        <v>3.1</v>
      </c>
      <c r="J658">
        <v>0</v>
      </c>
      <c r="K658">
        <v>11613.16</v>
      </c>
      <c r="L658">
        <v>11</v>
      </c>
    </row>
    <row r="659" spans="1:12" x14ac:dyDescent="0.3">
      <c r="A659" t="s">
        <v>674</v>
      </c>
      <c r="B659" t="s">
        <v>24</v>
      </c>
      <c r="C659" t="s">
        <v>14</v>
      </c>
      <c r="D659">
        <v>26</v>
      </c>
      <c r="E659" s="1">
        <v>41770</v>
      </c>
      <c r="F659">
        <v>2014</v>
      </c>
      <c r="G659" t="s">
        <v>5036</v>
      </c>
      <c r="H659">
        <v>11</v>
      </c>
      <c r="I659">
        <v>3.29</v>
      </c>
      <c r="J659">
        <v>13</v>
      </c>
      <c r="K659">
        <v>11956.07</v>
      </c>
      <c r="L659">
        <v>11.5</v>
      </c>
    </row>
    <row r="660" spans="1:12" x14ac:dyDescent="0.3">
      <c r="A660" t="s">
        <v>675</v>
      </c>
      <c r="B660" t="s">
        <v>18</v>
      </c>
      <c r="C660" t="s">
        <v>11</v>
      </c>
      <c r="D660">
        <v>43</v>
      </c>
      <c r="E660" s="1">
        <v>43032</v>
      </c>
      <c r="F660">
        <v>2017</v>
      </c>
      <c r="G660" t="s">
        <v>5039</v>
      </c>
      <c r="H660">
        <v>24</v>
      </c>
      <c r="I660">
        <v>4.42</v>
      </c>
      <c r="J660">
        <v>4</v>
      </c>
      <c r="K660">
        <v>5816.23</v>
      </c>
      <c r="L660">
        <v>8</v>
      </c>
    </row>
    <row r="661" spans="1:12" x14ac:dyDescent="0.3">
      <c r="A661" t="s">
        <v>676</v>
      </c>
      <c r="B661" t="s">
        <v>24</v>
      </c>
      <c r="C661" t="s">
        <v>14</v>
      </c>
      <c r="D661">
        <v>37</v>
      </c>
      <c r="E661" s="1">
        <v>44573</v>
      </c>
      <c r="F661">
        <v>2022</v>
      </c>
      <c r="G661" t="s">
        <v>5037</v>
      </c>
      <c r="H661">
        <v>12</v>
      </c>
      <c r="I661">
        <v>2.59</v>
      </c>
      <c r="J661">
        <v>11</v>
      </c>
      <c r="K661">
        <v>6595.42</v>
      </c>
      <c r="L661">
        <v>3.8</v>
      </c>
    </row>
    <row r="662" spans="1:12" x14ac:dyDescent="0.3">
      <c r="A662" t="s">
        <v>677</v>
      </c>
      <c r="B662" t="s">
        <v>13</v>
      </c>
      <c r="C662" t="s">
        <v>11</v>
      </c>
      <c r="D662">
        <v>44</v>
      </c>
      <c r="E662" s="1">
        <v>40592</v>
      </c>
      <c r="F662">
        <v>2011</v>
      </c>
      <c r="G662" t="s">
        <v>5042</v>
      </c>
      <c r="H662">
        <v>18</v>
      </c>
      <c r="I662">
        <v>2.13</v>
      </c>
      <c r="J662">
        <v>7</v>
      </c>
      <c r="K662">
        <v>3140.3</v>
      </c>
      <c r="L662">
        <v>14.7</v>
      </c>
    </row>
    <row r="663" spans="1:12" x14ac:dyDescent="0.3">
      <c r="A663" t="s">
        <v>678</v>
      </c>
      <c r="B663" t="s">
        <v>18</v>
      </c>
      <c r="C663" t="s">
        <v>14</v>
      </c>
      <c r="D663">
        <v>52</v>
      </c>
      <c r="E663" s="1">
        <v>44209</v>
      </c>
      <c r="F663">
        <v>2021</v>
      </c>
      <c r="G663" t="s">
        <v>5037</v>
      </c>
      <c r="H663">
        <v>13</v>
      </c>
      <c r="I663">
        <v>3.87</v>
      </c>
      <c r="J663">
        <v>15</v>
      </c>
      <c r="K663">
        <v>7197.69</v>
      </c>
      <c r="L663">
        <v>4.8</v>
      </c>
    </row>
    <row r="664" spans="1:12" x14ac:dyDescent="0.3">
      <c r="A664" t="s">
        <v>679</v>
      </c>
      <c r="B664" t="s">
        <v>18</v>
      </c>
      <c r="C664" t="s">
        <v>14</v>
      </c>
      <c r="D664">
        <v>46</v>
      </c>
      <c r="E664" s="1">
        <v>44190</v>
      </c>
      <c r="F664">
        <v>2020</v>
      </c>
      <c r="G664" t="s">
        <v>5041</v>
      </c>
      <c r="H664">
        <v>25</v>
      </c>
      <c r="I664">
        <v>1.9</v>
      </c>
      <c r="J664">
        <v>2</v>
      </c>
      <c r="K664">
        <v>11519</v>
      </c>
      <c r="L664">
        <v>4.9000000000000004</v>
      </c>
    </row>
    <row r="665" spans="1:12" x14ac:dyDescent="0.3">
      <c r="A665" t="s">
        <v>680</v>
      </c>
      <c r="B665" t="s">
        <v>34</v>
      </c>
      <c r="C665" t="s">
        <v>14</v>
      </c>
      <c r="D665">
        <v>23</v>
      </c>
      <c r="E665" s="1">
        <v>43119</v>
      </c>
      <c r="F665">
        <v>2018</v>
      </c>
      <c r="G665" t="s">
        <v>5037</v>
      </c>
      <c r="H665">
        <v>19</v>
      </c>
      <c r="I665">
        <v>2.94</v>
      </c>
      <c r="J665">
        <v>14</v>
      </c>
      <c r="K665">
        <v>10389.700000000001</v>
      </c>
      <c r="L665">
        <v>7.8</v>
      </c>
    </row>
    <row r="666" spans="1:12" x14ac:dyDescent="0.3">
      <c r="A666" t="s">
        <v>681</v>
      </c>
      <c r="B666" t="s">
        <v>34</v>
      </c>
      <c r="C666" t="s">
        <v>11</v>
      </c>
      <c r="D666">
        <v>48</v>
      </c>
      <c r="E666" s="1">
        <v>42197</v>
      </c>
      <c r="F666">
        <v>2015</v>
      </c>
      <c r="G666" t="s">
        <v>5034</v>
      </c>
      <c r="H666">
        <v>12</v>
      </c>
      <c r="I666">
        <v>4.54</v>
      </c>
      <c r="J666">
        <v>14</v>
      </c>
      <c r="K666">
        <v>11901.69</v>
      </c>
      <c r="L666">
        <v>10.3</v>
      </c>
    </row>
    <row r="667" spans="1:12" x14ac:dyDescent="0.3">
      <c r="A667" t="s">
        <v>682</v>
      </c>
      <c r="B667" t="s">
        <v>13</v>
      </c>
      <c r="C667" t="s">
        <v>11</v>
      </c>
      <c r="D667">
        <v>30</v>
      </c>
      <c r="E667" s="1">
        <v>44857</v>
      </c>
      <c r="F667">
        <v>2022</v>
      </c>
      <c r="G667" t="s">
        <v>5039</v>
      </c>
      <c r="H667">
        <v>23</v>
      </c>
      <c r="I667">
        <v>3.38</v>
      </c>
      <c r="J667">
        <v>0</v>
      </c>
      <c r="K667">
        <v>9325.17</v>
      </c>
      <c r="L667">
        <v>3</v>
      </c>
    </row>
    <row r="668" spans="1:12" x14ac:dyDescent="0.3">
      <c r="A668" t="s">
        <v>683</v>
      </c>
      <c r="B668" t="s">
        <v>18</v>
      </c>
      <c r="C668" t="s">
        <v>11</v>
      </c>
      <c r="D668">
        <v>50</v>
      </c>
      <c r="E668" s="1">
        <v>41377</v>
      </c>
      <c r="F668">
        <v>2013</v>
      </c>
      <c r="G668" t="s">
        <v>5040</v>
      </c>
      <c r="H668">
        <v>13</v>
      </c>
      <c r="I668">
        <v>4.1500000000000004</v>
      </c>
      <c r="J668">
        <v>3</v>
      </c>
      <c r="K668">
        <v>10465.82</v>
      </c>
      <c r="L668">
        <v>12.6</v>
      </c>
    </row>
    <row r="669" spans="1:12" x14ac:dyDescent="0.3">
      <c r="A669" t="s">
        <v>684</v>
      </c>
      <c r="B669" t="s">
        <v>24</v>
      </c>
      <c r="C669" t="s">
        <v>14</v>
      </c>
      <c r="D669">
        <v>48</v>
      </c>
      <c r="E669" s="1">
        <v>41703</v>
      </c>
      <c r="F669">
        <v>2014</v>
      </c>
      <c r="G669" t="s">
        <v>5035</v>
      </c>
      <c r="H669">
        <v>5</v>
      </c>
      <c r="I669">
        <v>2.3199999999999998</v>
      </c>
      <c r="J669">
        <v>2</v>
      </c>
      <c r="K669">
        <v>10484.67</v>
      </c>
      <c r="L669">
        <v>11.7</v>
      </c>
    </row>
    <row r="670" spans="1:12" x14ac:dyDescent="0.3">
      <c r="A670" t="s">
        <v>685</v>
      </c>
      <c r="B670" t="s">
        <v>13</v>
      </c>
      <c r="C670" t="s">
        <v>14</v>
      </c>
      <c r="D670">
        <v>39</v>
      </c>
      <c r="E670" s="1">
        <v>41882</v>
      </c>
      <c r="F670">
        <v>2014</v>
      </c>
      <c r="G670" t="s">
        <v>5031</v>
      </c>
      <c r="H670">
        <v>31</v>
      </c>
      <c r="I670">
        <v>4.84</v>
      </c>
      <c r="J670">
        <v>13</v>
      </c>
      <c r="K670">
        <v>14934.72</v>
      </c>
      <c r="L670">
        <v>11.2</v>
      </c>
    </row>
    <row r="671" spans="1:12" x14ac:dyDescent="0.3">
      <c r="A671" t="s">
        <v>686</v>
      </c>
      <c r="B671" t="s">
        <v>18</v>
      </c>
      <c r="C671" t="s">
        <v>14</v>
      </c>
      <c r="D671">
        <v>36</v>
      </c>
      <c r="E671" s="1">
        <v>45014</v>
      </c>
      <c r="F671">
        <v>2023</v>
      </c>
      <c r="G671" t="s">
        <v>5035</v>
      </c>
      <c r="H671">
        <v>29</v>
      </c>
      <c r="I671">
        <v>4.75</v>
      </c>
      <c r="J671">
        <v>14</v>
      </c>
      <c r="K671">
        <v>9567.24</v>
      </c>
      <c r="L671">
        <v>2.6</v>
      </c>
    </row>
    <row r="672" spans="1:12" x14ac:dyDescent="0.3">
      <c r="A672" t="s">
        <v>687</v>
      </c>
      <c r="B672" t="s">
        <v>16</v>
      </c>
      <c r="C672" t="s">
        <v>14</v>
      </c>
      <c r="D672">
        <v>45</v>
      </c>
      <c r="E672" s="1">
        <v>41183</v>
      </c>
      <c r="F672">
        <v>2012</v>
      </c>
      <c r="G672" t="s">
        <v>5039</v>
      </c>
      <c r="H672">
        <v>1</v>
      </c>
      <c r="I672">
        <v>4.12</v>
      </c>
      <c r="J672">
        <v>4</v>
      </c>
      <c r="K672">
        <v>5321.58</v>
      </c>
      <c r="L672">
        <v>13.1</v>
      </c>
    </row>
    <row r="673" spans="1:12" x14ac:dyDescent="0.3">
      <c r="A673" t="s">
        <v>688</v>
      </c>
      <c r="B673" t="s">
        <v>18</v>
      </c>
      <c r="C673" t="s">
        <v>11</v>
      </c>
      <c r="D673">
        <v>52</v>
      </c>
      <c r="E673" s="1">
        <v>42301</v>
      </c>
      <c r="F673">
        <v>2015</v>
      </c>
      <c r="G673" t="s">
        <v>5039</v>
      </c>
      <c r="H673">
        <v>24</v>
      </c>
      <c r="I673">
        <v>4.9000000000000004</v>
      </c>
      <c r="J673">
        <v>8</v>
      </c>
      <c r="K673">
        <v>3479.12</v>
      </c>
      <c r="L673">
        <v>10</v>
      </c>
    </row>
    <row r="674" spans="1:12" x14ac:dyDescent="0.3">
      <c r="A674" t="s">
        <v>689</v>
      </c>
      <c r="B674" t="s">
        <v>10</v>
      </c>
      <c r="C674" t="s">
        <v>11</v>
      </c>
      <c r="D674">
        <v>42</v>
      </c>
      <c r="E674" s="1">
        <v>41691</v>
      </c>
      <c r="F674">
        <v>2014</v>
      </c>
      <c r="G674" t="s">
        <v>5042</v>
      </c>
      <c r="H674">
        <v>21</v>
      </c>
      <c r="I674">
        <v>2.95</v>
      </c>
      <c r="J674">
        <v>6</v>
      </c>
      <c r="K674">
        <v>4953.67</v>
      </c>
      <c r="L674">
        <v>11.7</v>
      </c>
    </row>
    <row r="675" spans="1:12" x14ac:dyDescent="0.3">
      <c r="A675" t="s">
        <v>690</v>
      </c>
      <c r="B675" t="s">
        <v>24</v>
      </c>
      <c r="C675" t="s">
        <v>11</v>
      </c>
      <c r="D675">
        <v>34</v>
      </c>
      <c r="E675" s="1">
        <v>43808</v>
      </c>
      <c r="F675">
        <v>2019</v>
      </c>
      <c r="G675" t="s">
        <v>5041</v>
      </c>
      <c r="H675">
        <v>9</v>
      </c>
      <c r="I675">
        <v>4.0599999999999996</v>
      </c>
      <c r="J675">
        <v>12</v>
      </c>
      <c r="K675">
        <v>10769.68</v>
      </c>
      <c r="L675">
        <v>5.9</v>
      </c>
    </row>
    <row r="676" spans="1:12" x14ac:dyDescent="0.3">
      <c r="A676" t="s">
        <v>691</v>
      </c>
      <c r="B676" t="s">
        <v>10</v>
      </c>
      <c r="C676" t="s">
        <v>11</v>
      </c>
      <c r="D676">
        <v>35</v>
      </c>
      <c r="E676" s="1">
        <v>40234</v>
      </c>
      <c r="F676">
        <v>2010</v>
      </c>
      <c r="G676" t="s">
        <v>5042</v>
      </c>
      <c r="H676">
        <v>25</v>
      </c>
      <c r="I676">
        <v>4.25</v>
      </c>
      <c r="J676">
        <v>4</v>
      </c>
      <c r="K676">
        <v>4393.51</v>
      </c>
      <c r="L676">
        <v>15.7</v>
      </c>
    </row>
    <row r="677" spans="1:12" x14ac:dyDescent="0.3">
      <c r="A677" t="s">
        <v>692</v>
      </c>
      <c r="B677" t="s">
        <v>10</v>
      </c>
      <c r="C677" t="s">
        <v>14</v>
      </c>
      <c r="D677">
        <v>30</v>
      </c>
      <c r="E677" s="1">
        <v>41969</v>
      </c>
      <c r="F677">
        <v>2014</v>
      </c>
      <c r="G677" t="s">
        <v>5038</v>
      </c>
      <c r="H677">
        <v>26</v>
      </c>
      <c r="I677">
        <v>2.95</v>
      </c>
      <c r="J677">
        <v>15</v>
      </c>
      <c r="K677">
        <v>14830.45</v>
      </c>
      <c r="L677">
        <v>10.9</v>
      </c>
    </row>
    <row r="678" spans="1:12" x14ac:dyDescent="0.3">
      <c r="A678" t="s">
        <v>693</v>
      </c>
      <c r="B678" t="s">
        <v>16</v>
      </c>
      <c r="C678" t="s">
        <v>14</v>
      </c>
      <c r="D678">
        <v>40</v>
      </c>
      <c r="E678" s="1">
        <v>45812</v>
      </c>
      <c r="F678">
        <v>2025</v>
      </c>
      <c r="G678" t="s">
        <v>5032</v>
      </c>
      <c r="H678">
        <v>4</v>
      </c>
      <c r="I678">
        <v>2.36</v>
      </c>
      <c r="J678">
        <v>2</v>
      </c>
      <c r="K678">
        <v>4955.17</v>
      </c>
      <c r="L678">
        <v>0.4</v>
      </c>
    </row>
    <row r="679" spans="1:12" x14ac:dyDescent="0.3">
      <c r="A679" t="s">
        <v>694</v>
      </c>
      <c r="B679" t="s">
        <v>24</v>
      </c>
      <c r="C679" t="s">
        <v>11</v>
      </c>
      <c r="D679">
        <v>53</v>
      </c>
      <c r="E679" s="1">
        <v>42340</v>
      </c>
      <c r="F679">
        <v>2015</v>
      </c>
      <c r="G679" t="s">
        <v>5041</v>
      </c>
      <c r="H679">
        <v>2</v>
      </c>
      <c r="I679">
        <v>1.69</v>
      </c>
      <c r="J679">
        <v>14</v>
      </c>
      <c r="K679">
        <v>7085.36</v>
      </c>
      <c r="L679">
        <v>9.9</v>
      </c>
    </row>
    <row r="680" spans="1:12" x14ac:dyDescent="0.3">
      <c r="A680" t="s">
        <v>695</v>
      </c>
      <c r="B680" t="s">
        <v>24</v>
      </c>
      <c r="C680" t="s">
        <v>11</v>
      </c>
      <c r="D680">
        <v>56</v>
      </c>
      <c r="E680" s="1">
        <v>40500</v>
      </c>
      <c r="F680">
        <v>2010</v>
      </c>
      <c r="G680" t="s">
        <v>5038</v>
      </c>
      <c r="H680">
        <v>18</v>
      </c>
      <c r="I680">
        <v>4.72</v>
      </c>
      <c r="J680">
        <v>13</v>
      </c>
      <c r="K680">
        <v>12739.28</v>
      </c>
      <c r="L680">
        <v>15</v>
      </c>
    </row>
    <row r="681" spans="1:12" x14ac:dyDescent="0.3">
      <c r="A681" t="s">
        <v>696</v>
      </c>
      <c r="B681" t="s">
        <v>10</v>
      </c>
      <c r="C681" t="s">
        <v>11</v>
      </c>
      <c r="D681">
        <v>39</v>
      </c>
      <c r="E681" s="1">
        <v>44926</v>
      </c>
      <c r="F681">
        <v>2022</v>
      </c>
      <c r="G681" t="s">
        <v>5041</v>
      </c>
      <c r="H681">
        <v>31</v>
      </c>
      <c r="I681">
        <v>1.57</v>
      </c>
      <c r="J681">
        <v>13</v>
      </c>
      <c r="K681">
        <v>9667.5400000000009</v>
      </c>
      <c r="L681">
        <v>2.8</v>
      </c>
    </row>
    <row r="682" spans="1:12" x14ac:dyDescent="0.3">
      <c r="A682" t="s">
        <v>697</v>
      </c>
      <c r="B682" t="s">
        <v>18</v>
      </c>
      <c r="C682" t="s">
        <v>11</v>
      </c>
      <c r="D682">
        <v>47</v>
      </c>
      <c r="E682" s="1">
        <v>43508</v>
      </c>
      <c r="F682">
        <v>2019</v>
      </c>
      <c r="G682" t="s">
        <v>5042</v>
      </c>
      <c r="H682">
        <v>12</v>
      </c>
      <c r="I682">
        <v>4.9400000000000004</v>
      </c>
      <c r="J682">
        <v>11</v>
      </c>
      <c r="K682">
        <v>3697.36</v>
      </c>
      <c r="L682">
        <v>6.7</v>
      </c>
    </row>
    <row r="683" spans="1:12" x14ac:dyDescent="0.3">
      <c r="A683" t="s">
        <v>698</v>
      </c>
      <c r="B683" t="s">
        <v>18</v>
      </c>
      <c r="C683" t="s">
        <v>11</v>
      </c>
      <c r="D683">
        <v>53</v>
      </c>
      <c r="E683" s="1">
        <v>42312</v>
      </c>
      <c r="F683">
        <v>2015</v>
      </c>
      <c r="G683" t="s">
        <v>5038</v>
      </c>
      <c r="H683">
        <v>4</v>
      </c>
      <c r="I683">
        <v>4.03</v>
      </c>
      <c r="J683">
        <v>11</v>
      </c>
      <c r="K683">
        <v>11132.04</v>
      </c>
      <c r="L683">
        <v>10</v>
      </c>
    </row>
    <row r="684" spans="1:12" x14ac:dyDescent="0.3">
      <c r="A684" t="s">
        <v>699</v>
      </c>
      <c r="B684" t="s">
        <v>34</v>
      </c>
      <c r="C684" t="s">
        <v>14</v>
      </c>
      <c r="D684">
        <v>39</v>
      </c>
      <c r="E684" s="1">
        <v>43032</v>
      </c>
      <c r="F684">
        <v>2017</v>
      </c>
      <c r="G684" t="s">
        <v>5039</v>
      </c>
      <c r="H684">
        <v>24</v>
      </c>
      <c r="I684">
        <v>2.36</v>
      </c>
      <c r="J684">
        <v>1</v>
      </c>
      <c r="K684">
        <v>13416.84</v>
      </c>
      <c r="L684">
        <v>8</v>
      </c>
    </row>
    <row r="685" spans="1:12" x14ac:dyDescent="0.3">
      <c r="A685" t="s">
        <v>700</v>
      </c>
      <c r="B685" t="s">
        <v>16</v>
      </c>
      <c r="C685" t="s">
        <v>11</v>
      </c>
      <c r="D685">
        <v>30</v>
      </c>
      <c r="E685" s="1">
        <v>40598</v>
      </c>
      <c r="F685">
        <v>2011</v>
      </c>
      <c r="G685" t="s">
        <v>5042</v>
      </c>
      <c r="H685">
        <v>24</v>
      </c>
      <c r="I685">
        <v>4.7699999999999996</v>
      </c>
      <c r="J685">
        <v>0</v>
      </c>
      <c r="K685">
        <v>7270.83</v>
      </c>
      <c r="L685">
        <v>14.7</v>
      </c>
    </row>
    <row r="686" spans="1:12" x14ac:dyDescent="0.3">
      <c r="A686" t="s">
        <v>701</v>
      </c>
      <c r="B686" t="s">
        <v>34</v>
      </c>
      <c r="C686" t="s">
        <v>11</v>
      </c>
      <c r="D686">
        <v>54</v>
      </c>
      <c r="E686" s="1">
        <v>45808</v>
      </c>
      <c r="F686">
        <v>2025</v>
      </c>
      <c r="G686" t="s">
        <v>5036</v>
      </c>
      <c r="H686">
        <v>31</v>
      </c>
      <c r="I686">
        <v>3.61</v>
      </c>
      <c r="J686">
        <v>7</v>
      </c>
      <c r="K686">
        <v>9763.59</v>
      </c>
      <c r="L686">
        <v>0.4</v>
      </c>
    </row>
    <row r="687" spans="1:12" x14ac:dyDescent="0.3">
      <c r="A687" t="s">
        <v>702</v>
      </c>
      <c r="B687" t="s">
        <v>10</v>
      </c>
      <c r="C687" t="s">
        <v>14</v>
      </c>
      <c r="D687">
        <v>55</v>
      </c>
      <c r="E687" s="1">
        <v>44373</v>
      </c>
      <c r="F687">
        <v>2021</v>
      </c>
      <c r="G687" t="s">
        <v>5032</v>
      </c>
      <c r="H687">
        <v>26</v>
      </c>
      <c r="I687">
        <v>4.68</v>
      </c>
      <c r="J687">
        <v>4</v>
      </c>
      <c r="K687">
        <v>12063.61</v>
      </c>
      <c r="L687">
        <v>4.4000000000000004</v>
      </c>
    </row>
    <row r="688" spans="1:12" x14ac:dyDescent="0.3">
      <c r="A688" t="s">
        <v>703</v>
      </c>
      <c r="B688" t="s">
        <v>18</v>
      </c>
      <c r="C688" t="s">
        <v>14</v>
      </c>
      <c r="D688">
        <v>47</v>
      </c>
      <c r="E688" s="1">
        <v>45721</v>
      </c>
      <c r="F688">
        <v>2025</v>
      </c>
      <c r="G688" t="s">
        <v>5035</v>
      </c>
      <c r="H688">
        <v>5</v>
      </c>
      <c r="I688">
        <v>3.67</v>
      </c>
      <c r="J688">
        <v>1</v>
      </c>
      <c r="K688">
        <v>12523.51</v>
      </c>
      <c r="L688">
        <v>0.7</v>
      </c>
    </row>
    <row r="689" spans="1:12" x14ac:dyDescent="0.3">
      <c r="A689" t="s">
        <v>704</v>
      </c>
      <c r="B689" t="s">
        <v>34</v>
      </c>
      <c r="C689" t="s">
        <v>11</v>
      </c>
      <c r="D689">
        <v>43</v>
      </c>
      <c r="E689" s="1">
        <v>44322</v>
      </c>
      <c r="F689">
        <v>2021</v>
      </c>
      <c r="G689" t="s">
        <v>5036</v>
      </c>
      <c r="H689">
        <v>6</v>
      </c>
      <c r="I689">
        <v>2.4900000000000002</v>
      </c>
      <c r="J689">
        <v>11</v>
      </c>
      <c r="K689">
        <v>13977.18</v>
      </c>
      <c r="L689">
        <v>4.5</v>
      </c>
    </row>
    <row r="690" spans="1:12" x14ac:dyDescent="0.3">
      <c r="A690" t="s">
        <v>705</v>
      </c>
      <c r="B690" t="s">
        <v>18</v>
      </c>
      <c r="C690" t="s">
        <v>14</v>
      </c>
      <c r="D690">
        <v>35</v>
      </c>
      <c r="E690" s="1">
        <v>41827</v>
      </c>
      <c r="F690">
        <v>2014</v>
      </c>
      <c r="G690" t="s">
        <v>5034</v>
      </c>
      <c r="H690">
        <v>7</v>
      </c>
      <c r="I690">
        <v>3.41</v>
      </c>
      <c r="J690">
        <v>12</v>
      </c>
      <c r="K690">
        <v>6800.48</v>
      </c>
      <c r="L690">
        <v>11.3</v>
      </c>
    </row>
    <row r="691" spans="1:12" x14ac:dyDescent="0.3">
      <c r="A691" t="s">
        <v>706</v>
      </c>
      <c r="B691" t="s">
        <v>16</v>
      </c>
      <c r="C691" t="s">
        <v>11</v>
      </c>
      <c r="D691">
        <v>56</v>
      </c>
      <c r="E691" s="1">
        <v>44354</v>
      </c>
      <c r="F691">
        <v>2021</v>
      </c>
      <c r="G691" t="s">
        <v>5032</v>
      </c>
      <c r="H691">
        <v>7</v>
      </c>
      <c r="I691">
        <v>1.5</v>
      </c>
      <c r="J691">
        <v>4</v>
      </c>
      <c r="K691">
        <v>4853.84</v>
      </c>
      <c r="L691">
        <v>4.4000000000000004</v>
      </c>
    </row>
    <row r="692" spans="1:12" x14ac:dyDescent="0.3">
      <c r="A692" t="s">
        <v>707</v>
      </c>
      <c r="B692" t="s">
        <v>34</v>
      </c>
      <c r="C692" t="s">
        <v>14</v>
      </c>
      <c r="D692">
        <v>48</v>
      </c>
      <c r="E692" s="1">
        <v>42013</v>
      </c>
      <c r="F692">
        <v>2015</v>
      </c>
      <c r="G692" t="s">
        <v>5037</v>
      </c>
      <c r="H692">
        <v>9</v>
      </c>
      <c r="I692">
        <v>3.03</v>
      </c>
      <c r="J692">
        <v>5</v>
      </c>
      <c r="K692">
        <v>12899.68</v>
      </c>
      <c r="L692">
        <v>10.8</v>
      </c>
    </row>
    <row r="693" spans="1:12" x14ac:dyDescent="0.3">
      <c r="A693" t="s">
        <v>708</v>
      </c>
      <c r="B693" t="s">
        <v>13</v>
      </c>
      <c r="C693" t="s">
        <v>14</v>
      </c>
      <c r="D693">
        <v>23</v>
      </c>
      <c r="E693" s="1">
        <v>44821</v>
      </c>
      <c r="F693">
        <v>2022</v>
      </c>
      <c r="G693" t="s">
        <v>5033</v>
      </c>
      <c r="H693">
        <v>17</v>
      </c>
      <c r="I693">
        <v>4.0199999999999996</v>
      </c>
      <c r="J693">
        <v>0</v>
      </c>
      <c r="K693">
        <v>8803.57</v>
      </c>
      <c r="L693">
        <v>3.1</v>
      </c>
    </row>
    <row r="694" spans="1:12" x14ac:dyDescent="0.3">
      <c r="A694" t="s">
        <v>709</v>
      </c>
      <c r="B694" t="s">
        <v>10</v>
      </c>
      <c r="C694" t="s">
        <v>11</v>
      </c>
      <c r="D694">
        <v>60</v>
      </c>
      <c r="E694" s="1">
        <v>40452</v>
      </c>
      <c r="F694">
        <v>2010</v>
      </c>
      <c r="G694" t="s">
        <v>5039</v>
      </c>
      <c r="H694">
        <v>1</v>
      </c>
      <c r="I694">
        <v>2.4300000000000002</v>
      </c>
      <c r="J694">
        <v>6</v>
      </c>
      <c r="K694">
        <v>10207.469999999999</v>
      </c>
      <c r="L694">
        <v>15.1</v>
      </c>
    </row>
    <row r="695" spans="1:12" x14ac:dyDescent="0.3">
      <c r="A695" t="s">
        <v>710</v>
      </c>
      <c r="B695" t="s">
        <v>34</v>
      </c>
      <c r="C695" t="s">
        <v>14</v>
      </c>
      <c r="D695">
        <v>34</v>
      </c>
      <c r="E695" s="1">
        <v>45945</v>
      </c>
      <c r="F695">
        <v>2025</v>
      </c>
      <c r="G695" t="s">
        <v>5039</v>
      </c>
      <c r="H695">
        <v>15</v>
      </c>
      <c r="I695">
        <v>2.23</v>
      </c>
      <c r="J695">
        <v>5</v>
      </c>
      <c r="K695">
        <v>3751.49</v>
      </c>
      <c r="L695">
        <v>0</v>
      </c>
    </row>
    <row r="696" spans="1:12" x14ac:dyDescent="0.3">
      <c r="A696" t="s">
        <v>711</v>
      </c>
      <c r="B696" t="s">
        <v>10</v>
      </c>
      <c r="C696" t="s">
        <v>11</v>
      </c>
      <c r="D696">
        <v>38</v>
      </c>
      <c r="E696" s="1">
        <v>45302</v>
      </c>
      <c r="F696">
        <v>2024</v>
      </c>
      <c r="G696" t="s">
        <v>5037</v>
      </c>
      <c r="H696">
        <v>11</v>
      </c>
      <c r="I696">
        <v>3.31</v>
      </c>
      <c r="J696">
        <v>13</v>
      </c>
      <c r="K696">
        <v>3720.69</v>
      </c>
      <c r="L696">
        <v>1.8</v>
      </c>
    </row>
    <row r="697" spans="1:12" x14ac:dyDescent="0.3">
      <c r="A697" t="s">
        <v>712</v>
      </c>
      <c r="B697" t="s">
        <v>18</v>
      </c>
      <c r="C697" t="s">
        <v>11</v>
      </c>
      <c r="D697">
        <v>33</v>
      </c>
      <c r="E697" s="1">
        <v>45906</v>
      </c>
      <c r="F697">
        <v>2025</v>
      </c>
      <c r="G697" t="s">
        <v>5033</v>
      </c>
      <c r="H697">
        <v>6</v>
      </c>
      <c r="I697">
        <v>2.29</v>
      </c>
      <c r="J697">
        <v>9</v>
      </c>
      <c r="K697">
        <v>5283.68</v>
      </c>
      <c r="L697">
        <v>0.2</v>
      </c>
    </row>
    <row r="698" spans="1:12" x14ac:dyDescent="0.3">
      <c r="A698" t="s">
        <v>713</v>
      </c>
      <c r="B698" t="s">
        <v>34</v>
      </c>
      <c r="C698" t="s">
        <v>11</v>
      </c>
      <c r="D698">
        <v>24</v>
      </c>
      <c r="E698" s="1">
        <v>43317</v>
      </c>
      <c r="F698">
        <v>2018</v>
      </c>
      <c r="G698" t="s">
        <v>5031</v>
      </c>
      <c r="H698">
        <v>5</v>
      </c>
      <c r="I698">
        <v>3.48</v>
      </c>
      <c r="J698">
        <v>14</v>
      </c>
      <c r="K698">
        <v>7382.87</v>
      </c>
      <c r="L698">
        <v>7.2</v>
      </c>
    </row>
    <row r="699" spans="1:12" x14ac:dyDescent="0.3">
      <c r="A699" t="s">
        <v>714</v>
      </c>
      <c r="B699" t="s">
        <v>16</v>
      </c>
      <c r="C699" t="s">
        <v>11</v>
      </c>
      <c r="D699">
        <v>34</v>
      </c>
      <c r="E699" s="1">
        <v>45615</v>
      </c>
      <c r="F699">
        <v>2024</v>
      </c>
      <c r="G699" t="s">
        <v>5038</v>
      </c>
      <c r="H699">
        <v>19</v>
      </c>
      <c r="I699">
        <v>3.29</v>
      </c>
      <c r="J699">
        <v>12</v>
      </c>
      <c r="K699">
        <v>12678.44</v>
      </c>
      <c r="L699">
        <v>1</v>
      </c>
    </row>
    <row r="700" spans="1:12" x14ac:dyDescent="0.3">
      <c r="A700" t="s">
        <v>715</v>
      </c>
      <c r="B700" t="s">
        <v>24</v>
      </c>
      <c r="C700" t="s">
        <v>14</v>
      </c>
      <c r="D700">
        <v>28</v>
      </c>
      <c r="E700" s="1">
        <v>43292</v>
      </c>
      <c r="F700">
        <v>2018</v>
      </c>
      <c r="G700" t="s">
        <v>5034</v>
      </c>
      <c r="H700">
        <v>11</v>
      </c>
      <c r="I700">
        <v>4.4800000000000004</v>
      </c>
      <c r="J700">
        <v>5</v>
      </c>
      <c r="K700">
        <v>9412.19</v>
      </c>
      <c r="L700">
        <v>7.3</v>
      </c>
    </row>
    <row r="701" spans="1:12" x14ac:dyDescent="0.3">
      <c r="A701" t="s">
        <v>716</v>
      </c>
      <c r="B701" t="s">
        <v>13</v>
      </c>
      <c r="C701" t="s">
        <v>14</v>
      </c>
      <c r="D701">
        <v>49</v>
      </c>
      <c r="E701" s="1">
        <v>44628</v>
      </c>
      <c r="F701">
        <v>2022</v>
      </c>
      <c r="G701" t="s">
        <v>5035</v>
      </c>
      <c r="H701">
        <v>8</v>
      </c>
      <c r="I701">
        <v>3.4</v>
      </c>
      <c r="J701">
        <v>3</v>
      </c>
      <c r="K701">
        <v>5977.15</v>
      </c>
      <c r="L701">
        <v>3.7</v>
      </c>
    </row>
    <row r="702" spans="1:12" x14ac:dyDescent="0.3">
      <c r="A702" t="s">
        <v>717</v>
      </c>
      <c r="B702" t="s">
        <v>10</v>
      </c>
      <c r="C702" t="s">
        <v>14</v>
      </c>
      <c r="D702">
        <v>48</v>
      </c>
      <c r="E702" s="1">
        <v>41392</v>
      </c>
      <c r="F702">
        <v>2013</v>
      </c>
      <c r="G702" t="s">
        <v>5040</v>
      </c>
      <c r="H702">
        <v>28</v>
      </c>
      <c r="I702">
        <v>4.08</v>
      </c>
      <c r="J702">
        <v>2</v>
      </c>
      <c r="K702">
        <v>5526.9</v>
      </c>
      <c r="L702">
        <v>12.5</v>
      </c>
    </row>
    <row r="703" spans="1:12" x14ac:dyDescent="0.3">
      <c r="A703" t="s">
        <v>718</v>
      </c>
      <c r="B703" t="s">
        <v>10</v>
      </c>
      <c r="C703" t="s">
        <v>11</v>
      </c>
      <c r="D703">
        <v>51</v>
      </c>
      <c r="E703" s="1">
        <v>41293</v>
      </c>
      <c r="F703">
        <v>2013</v>
      </c>
      <c r="G703" t="s">
        <v>5037</v>
      </c>
      <c r="H703">
        <v>19</v>
      </c>
      <c r="I703">
        <v>4.6100000000000003</v>
      </c>
      <c r="J703">
        <v>12</v>
      </c>
      <c r="K703">
        <v>7171.09</v>
      </c>
      <c r="L703">
        <v>12.8</v>
      </c>
    </row>
    <row r="704" spans="1:12" x14ac:dyDescent="0.3">
      <c r="A704" t="s">
        <v>719</v>
      </c>
      <c r="B704" t="s">
        <v>13</v>
      </c>
      <c r="C704" t="s">
        <v>14</v>
      </c>
      <c r="D704">
        <v>59</v>
      </c>
      <c r="E704" s="1">
        <v>44698</v>
      </c>
      <c r="F704">
        <v>2022</v>
      </c>
      <c r="G704" t="s">
        <v>5036</v>
      </c>
      <c r="H704">
        <v>17</v>
      </c>
      <c r="I704">
        <v>4.04</v>
      </c>
      <c r="J704">
        <v>11</v>
      </c>
      <c r="K704">
        <v>10823.15</v>
      </c>
      <c r="L704">
        <v>3.5</v>
      </c>
    </row>
    <row r="705" spans="1:12" x14ac:dyDescent="0.3">
      <c r="A705" t="s">
        <v>720</v>
      </c>
      <c r="B705" t="s">
        <v>16</v>
      </c>
      <c r="C705" t="s">
        <v>11</v>
      </c>
      <c r="D705">
        <v>25</v>
      </c>
      <c r="E705" s="1">
        <v>45454</v>
      </c>
      <c r="F705">
        <v>2024</v>
      </c>
      <c r="G705" t="s">
        <v>5032</v>
      </c>
      <c r="H705">
        <v>11</v>
      </c>
      <c r="I705">
        <v>3.88</v>
      </c>
      <c r="J705">
        <v>3</v>
      </c>
      <c r="K705">
        <v>6454.46</v>
      </c>
      <c r="L705">
        <v>1.4</v>
      </c>
    </row>
    <row r="706" spans="1:12" x14ac:dyDescent="0.3">
      <c r="A706" t="s">
        <v>721</v>
      </c>
      <c r="B706" t="s">
        <v>34</v>
      </c>
      <c r="C706" t="s">
        <v>14</v>
      </c>
      <c r="D706">
        <v>51</v>
      </c>
      <c r="E706" s="1">
        <v>41007</v>
      </c>
      <c r="F706">
        <v>2012</v>
      </c>
      <c r="G706" t="s">
        <v>5040</v>
      </c>
      <c r="H706">
        <v>8</v>
      </c>
      <c r="I706">
        <v>3.33</v>
      </c>
      <c r="J706">
        <v>7</v>
      </c>
      <c r="K706">
        <v>4641.17</v>
      </c>
      <c r="L706">
        <v>13.6</v>
      </c>
    </row>
    <row r="707" spans="1:12" x14ac:dyDescent="0.3">
      <c r="A707" t="s">
        <v>722</v>
      </c>
      <c r="B707" t="s">
        <v>13</v>
      </c>
      <c r="C707" t="s">
        <v>14</v>
      </c>
      <c r="D707">
        <v>40</v>
      </c>
      <c r="E707" s="1">
        <v>42033</v>
      </c>
      <c r="F707">
        <v>2015</v>
      </c>
      <c r="G707" t="s">
        <v>5037</v>
      </c>
      <c r="H707">
        <v>29</v>
      </c>
      <c r="I707">
        <v>4.74</v>
      </c>
      <c r="J707">
        <v>15</v>
      </c>
      <c r="K707">
        <v>10516.89</v>
      </c>
      <c r="L707">
        <v>10.8</v>
      </c>
    </row>
    <row r="708" spans="1:12" x14ac:dyDescent="0.3">
      <c r="A708" t="s">
        <v>723</v>
      </c>
      <c r="B708" t="s">
        <v>13</v>
      </c>
      <c r="C708" t="s">
        <v>11</v>
      </c>
      <c r="D708">
        <v>49</v>
      </c>
      <c r="E708" s="1">
        <v>41233</v>
      </c>
      <c r="F708">
        <v>2012</v>
      </c>
      <c r="G708" t="s">
        <v>5038</v>
      </c>
      <c r="H708">
        <v>20</v>
      </c>
      <c r="I708">
        <v>3.22</v>
      </c>
      <c r="J708">
        <v>8</v>
      </c>
      <c r="K708">
        <v>6629.84</v>
      </c>
      <c r="L708">
        <v>13</v>
      </c>
    </row>
    <row r="709" spans="1:12" x14ac:dyDescent="0.3">
      <c r="A709" t="s">
        <v>724</v>
      </c>
      <c r="B709" t="s">
        <v>13</v>
      </c>
      <c r="C709" t="s">
        <v>11</v>
      </c>
      <c r="D709">
        <v>22</v>
      </c>
      <c r="E709" s="1">
        <v>42296</v>
      </c>
      <c r="F709">
        <v>2015</v>
      </c>
      <c r="G709" t="s">
        <v>5039</v>
      </c>
      <c r="H709">
        <v>19</v>
      </c>
      <c r="I709">
        <v>3.57</v>
      </c>
      <c r="J709">
        <v>1</v>
      </c>
      <c r="K709">
        <v>12775.51</v>
      </c>
      <c r="L709">
        <v>10</v>
      </c>
    </row>
    <row r="710" spans="1:12" x14ac:dyDescent="0.3">
      <c r="A710" t="s">
        <v>725</v>
      </c>
      <c r="B710" t="s">
        <v>13</v>
      </c>
      <c r="C710" t="s">
        <v>14</v>
      </c>
      <c r="D710">
        <v>53</v>
      </c>
      <c r="E710" s="1">
        <v>44015</v>
      </c>
      <c r="F710">
        <v>2020</v>
      </c>
      <c r="G710" t="s">
        <v>5034</v>
      </c>
      <c r="H710">
        <v>3</v>
      </c>
      <c r="I710">
        <v>1.58</v>
      </c>
      <c r="J710">
        <v>15</v>
      </c>
      <c r="K710">
        <v>8964.0400000000009</v>
      </c>
      <c r="L710">
        <v>5.3</v>
      </c>
    </row>
    <row r="711" spans="1:12" x14ac:dyDescent="0.3">
      <c r="A711" t="s">
        <v>726</v>
      </c>
      <c r="B711" t="s">
        <v>34</v>
      </c>
      <c r="C711" t="s">
        <v>11</v>
      </c>
      <c r="D711">
        <v>50</v>
      </c>
      <c r="E711" s="1">
        <v>42237</v>
      </c>
      <c r="F711">
        <v>2015</v>
      </c>
      <c r="G711" t="s">
        <v>5031</v>
      </c>
      <c r="H711">
        <v>21</v>
      </c>
      <c r="I711">
        <v>4.66</v>
      </c>
      <c r="J711">
        <v>3</v>
      </c>
      <c r="K711">
        <v>13658.06</v>
      </c>
      <c r="L711">
        <v>10.199999999999999</v>
      </c>
    </row>
    <row r="712" spans="1:12" x14ac:dyDescent="0.3">
      <c r="A712" t="s">
        <v>727</v>
      </c>
      <c r="B712" t="s">
        <v>34</v>
      </c>
      <c r="C712" t="s">
        <v>11</v>
      </c>
      <c r="D712">
        <v>27</v>
      </c>
      <c r="E712" s="1">
        <v>42977</v>
      </c>
      <c r="F712">
        <v>2017</v>
      </c>
      <c r="G712" t="s">
        <v>5031</v>
      </c>
      <c r="H712">
        <v>30</v>
      </c>
      <c r="I712">
        <v>3.63</v>
      </c>
      <c r="J712">
        <v>11</v>
      </c>
      <c r="K712">
        <v>5339.39</v>
      </c>
      <c r="L712">
        <v>8.1999999999999993</v>
      </c>
    </row>
    <row r="713" spans="1:12" x14ac:dyDescent="0.3">
      <c r="A713" t="s">
        <v>728</v>
      </c>
      <c r="B713" t="s">
        <v>24</v>
      </c>
      <c r="C713" t="s">
        <v>14</v>
      </c>
      <c r="D713">
        <v>60</v>
      </c>
      <c r="E713" s="1">
        <v>42382</v>
      </c>
      <c r="F713">
        <v>2016</v>
      </c>
      <c r="G713" t="s">
        <v>5037</v>
      </c>
      <c r="H713">
        <v>13</v>
      </c>
      <c r="I713">
        <v>3.24</v>
      </c>
      <c r="J713">
        <v>15</v>
      </c>
      <c r="K713">
        <v>7478.39</v>
      </c>
      <c r="L713">
        <v>9.8000000000000007</v>
      </c>
    </row>
    <row r="714" spans="1:12" x14ac:dyDescent="0.3">
      <c r="A714" t="s">
        <v>729</v>
      </c>
      <c r="B714" t="s">
        <v>13</v>
      </c>
      <c r="C714" t="s">
        <v>14</v>
      </c>
      <c r="D714">
        <v>26</v>
      </c>
      <c r="E714" s="1">
        <v>41679</v>
      </c>
      <c r="F714">
        <v>2014</v>
      </c>
      <c r="G714" t="s">
        <v>5042</v>
      </c>
      <c r="H714">
        <v>9</v>
      </c>
      <c r="I714">
        <v>4.8</v>
      </c>
      <c r="J714">
        <v>0</v>
      </c>
      <c r="K714">
        <v>4461.3599999999997</v>
      </c>
      <c r="L714">
        <v>11.7</v>
      </c>
    </row>
    <row r="715" spans="1:12" x14ac:dyDescent="0.3">
      <c r="A715" t="s">
        <v>730</v>
      </c>
      <c r="B715" t="s">
        <v>24</v>
      </c>
      <c r="C715" t="s">
        <v>14</v>
      </c>
      <c r="D715">
        <v>34</v>
      </c>
      <c r="E715" s="1">
        <v>41608</v>
      </c>
      <c r="F715">
        <v>2013</v>
      </c>
      <c r="G715" t="s">
        <v>5038</v>
      </c>
      <c r="H715">
        <v>30</v>
      </c>
      <c r="I715">
        <v>2.64</v>
      </c>
      <c r="J715">
        <v>11</v>
      </c>
      <c r="K715">
        <v>10857.79</v>
      </c>
      <c r="L715">
        <v>11.9</v>
      </c>
    </row>
    <row r="716" spans="1:12" x14ac:dyDescent="0.3">
      <c r="A716" t="s">
        <v>731</v>
      </c>
      <c r="B716" t="s">
        <v>24</v>
      </c>
      <c r="C716" t="s">
        <v>11</v>
      </c>
      <c r="D716">
        <v>38</v>
      </c>
      <c r="E716" s="1">
        <v>44571</v>
      </c>
      <c r="F716">
        <v>2022</v>
      </c>
      <c r="G716" t="s">
        <v>5037</v>
      </c>
      <c r="H716">
        <v>10</v>
      </c>
      <c r="I716">
        <v>3.27</v>
      </c>
      <c r="J716">
        <v>1</v>
      </c>
      <c r="K716">
        <v>13110.49</v>
      </c>
      <c r="L716">
        <v>3.8</v>
      </c>
    </row>
    <row r="717" spans="1:12" x14ac:dyDescent="0.3">
      <c r="A717" t="s">
        <v>732</v>
      </c>
      <c r="B717" t="s">
        <v>34</v>
      </c>
      <c r="C717" t="s">
        <v>14</v>
      </c>
      <c r="D717">
        <v>51</v>
      </c>
      <c r="E717" s="1">
        <v>43649</v>
      </c>
      <c r="F717">
        <v>2019</v>
      </c>
      <c r="G717" t="s">
        <v>5034</v>
      </c>
      <c r="H717">
        <v>3</v>
      </c>
      <c r="I717">
        <v>3.11</v>
      </c>
      <c r="J717">
        <v>15</v>
      </c>
      <c r="K717">
        <v>13366.34</v>
      </c>
      <c r="L717">
        <v>6.3</v>
      </c>
    </row>
    <row r="718" spans="1:12" x14ac:dyDescent="0.3">
      <c r="A718" t="s">
        <v>733</v>
      </c>
      <c r="B718" t="s">
        <v>10</v>
      </c>
      <c r="C718" t="s">
        <v>14</v>
      </c>
      <c r="D718">
        <v>43</v>
      </c>
      <c r="E718" s="1">
        <v>42562</v>
      </c>
      <c r="F718">
        <v>2016</v>
      </c>
      <c r="G718" t="s">
        <v>5034</v>
      </c>
      <c r="H718">
        <v>11</v>
      </c>
      <c r="I718">
        <v>1.93</v>
      </c>
      <c r="J718">
        <v>0</v>
      </c>
      <c r="K718">
        <v>4287.59</v>
      </c>
      <c r="L718">
        <v>9.3000000000000007</v>
      </c>
    </row>
    <row r="719" spans="1:12" x14ac:dyDescent="0.3">
      <c r="A719" t="s">
        <v>734</v>
      </c>
      <c r="B719" t="s">
        <v>24</v>
      </c>
      <c r="C719" t="s">
        <v>14</v>
      </c>
      <c r="D719">
        <v>26</v>
      </c>
      <c r="E719" s="1">
        <v>40818</v>
      </c>
      <c r="F719">
        <v>2011</v>
      </c>
      <c r="G719" t="s">
        <v>5039</v>
      </c>
      <c r="H719">
        <v>2</v>
      </c>
      <c r="I719">
        <v>3.16</v>
      </c>
      <c r="J719">
        <v>6</v>
      </c>
      <c r="K719">
        <v>14014.17</v>
      </c>
      <c r="L719">
        <v>14.1</v>
      </c>
    </row>
    <row r="720" spans="1:12" x14ac:dyDescent="0.3">
      <c r="A720" t="s">
        <v>735</v>
      </c>
      <c r="B720" t="s">
        <v>13</v>
      </c>
      <c r="C720" t="s">
        <v>14</v>
      </c>
      <c r="D720">
        <v>41</v>
      </c>
      <c r="E720" s="1">
        <v>44787</v>
      </c>
      <c r="F720">
        <v>2022</v>
      </c>
      <c r="G720" t="s">
        <v>5031</v>
      </c>
      <c r="H720">
        <v>14</v>
      </c>
      <c r="I720">
        <v>2.73</v>
      </c>
      <c r="J720">
        <v>14</v>
      </c>
      <c r="K720">
        <v>12248.26</v>
      </c>
      <c r="L720">
        <v>3.2</v>
      </c>
    </row>
    <row r="721" spans="1:12" x14ac:dyDescent="0.3">
      <c r="A721" t="s">
        <v>736</v>
      </c>
      <c r="B721" t="s">
        <v>16</v>
      </c>
      <c r="C721" t="s">
        <v>11</v>
      </c>
      <c r="D721">
        <v>58</v>
      </c>
      <c r="E721" s="1">
        <v>42773</v>
      </c>
      <c r="F721">
        <v>2017</v>
      </c>
      <c r="G721" t="s">
        <v>5042</v>
      </c>
      <c r="H721">
        <v>7</v>
      </c>
      <c r="I721">
        <v>4.1100000000000003</v>
      </c>
      <c r="J721">
        <v>6</v>
      </c>
      <c r="K721">
        <v>13584.66</v>
      </c>
      <c r="L721">
        <v>8.6999999999999993</v>
      </c>
    </row>
    <row r="722" spans="1:12" x14ac:dyDescent="0.3">
      <c r="A722" t="s">
        <v>737</v>
      </c>
      <c r="B722" t="s">
        <v>24</v>
      </c>
      <c r="C722" t="s">
        <v>14</v>
      </c>
      <c r="D722">
        <v>22</v>
      </c>
      <c r="E722" s="1">
        <v>44924</v>
      </c>
      <c r="F722">
        <v>2022</v>
      </c>
      <c r="G722" t="s">
        <v>5041</v>
      </c>
      <c r="H722">
        <v>29</v>
      </c>
      <c r="I722">
        <v>4.3600000000000003</v>
      </c>
      <c r="J722">
        <v>14</v>
      </c>
      <c r="K722">
        <v>6419.51</v>
      </c>
      <c r="L722">
        <v>2.8</v>
      </c>
    </row>
    <row r="723" spans="1:12" x14ac:dyDescent="0.3">
      <c r="A723" t="s">
        <v>738</v>
      </c>
      <c r="B723" t="s">
        <v>16</v>
      </c>
      <c r="C723" t="s">
        <v>14</v>
      </c>
      <c r="D723">
        <v>40</v>
      </c>
      <c r="E723" s="1">
        <v>43159</v>
      </c>
      <c r="F723">
        <v>2018</v>
      </c>
      <c r="G723" t="s">
        <v>5042</v>
      </c>
      <c r="H723">
        <v>28</v>
      </c>
      <c r="I723">
        <v>4.49</v>
      </c>
      <c r="J723">
        <v>13</v>
      </c>
      <c r="K723">
        <v>11561.91</v>
      </c>
      <c r="L723">
        <v>7.7</v>
      </c>
    </row>
    <row r="724" spans="1:12" x14ac:dyDescent="0.3">
      <c r="A724" t="s">
        <v>739</v>
      </c>
      <c r="B724" t="s">
        <v>10</v>
      </c>
      <c r="C724" t="s">
        <v>14</v>
      </c>
      <c r="D724">
        <v>31</v>
      </c>
      <c r="E724" s="1">
        <v>40530</v>
      </c>
      <c r="F724">
        <v>2010</v>
      </c>
      <c r="G724" t="s">
        <v>5041</v>
      </c>
      <c r="H724">
        <v>18</v>
      </c>
      <c r="I724">
        <v>3.03</v>
      </c>
      <c r="J724">
        <v>6</v>
      </c>
      <c r="K724">
        <v>8268.51</v>
      </c>
      <c r="L724">
        <v>14.9</v>
      </c>
    </row>
    <row r="725" spans="1:12" x14ac:dyDescent="0.3">
      <c r="A725" t="s">
        <v>740</v>
      </c>
      <c r="B725" t="s">
        <v>18</v>
      </c>
      <c r="C725" t="s">
        <v>14</v>
      </c>
      <c r="D725">
        <v>50</v>
      </c>
      <c r="E725" s="1">
        <v>44742</v>
      </c>
      <c r="F725">
        <v>2022</v>
      </c>
      <c r="G725" t="s">
        <v>5032</v>
      </c>
      <c r="H725">
        <v>30</v>
      </c>
      <c r="I725">
        <v>4.9400000000000004</v>
      </c>
      <c r="J725">
        <v>15</v>
      </c>
      <c r="K725">
        <v>8119.56</v>
      </c>
      <c r="L725">
        <v>3.3</v>
      </c>
    </row>
    <row r="726" spans="1:12" x14ac:dyDescent="0.3">
      <c r="A726" t="s">
        <v>741</v>
      </c>
      <c r="B726" t="s">
        <v>10</v>
      </c>
      <c r="C726" t="s">
        <v>14</v>
      </c>
      <c r="D726">
        <v>39</v>
      </c>
      <c r="E726" s="1">
        <v>43918</v>
      </c>
      <c r="F726">
        <v>2020</v>
      </c>
      <c r="G726" t="s">
        <v>5035</v>
      </c>
      <c r="H726">
        <v>28</v>
      </c>
      <c r="I726">
        <v>4.46</v>
      </c>
      <c r="J726">
        <v>13</v>
      </c>
      <c r="K726">
        <v>6660.39</v>
      </c>
      <c r="L726">
        <v>5.6</v>
      </c>
    </row>
    <row r="727" spans="1:12" x14ac:dyDescent="0.3">
      <c r="A727" t="s">
        <v>742</v>
      </c>
      <c r="B727" t="s">
        <v>24</v>
      </c>
      <c r="C727" t="s">
        <v>11</v>
      </c>
      <c r="D727">
        <v>38</v>
      </c>
      <c r="E727" s="1">
        <v>40473</v>
      </c>
      <c r="F727">
        <v>2010</v>
      </c>
      <c r="G727" t="s">
        <v>5039</v>
      </c>
      <c r="H727">
        <v>22</v>
      </c>
      <c r="I727">
        <v>4.32</v>
      </c>
      <c r="J727">
        <v>14</v>
      </c>
      <c r="K727">
        <v>13058.93</v>
      </c>
      <c r="L727">
        <v>15</v>
      </c>
    </row>
    <row r="728" spans="1:12" x14ac:dyDescent="0.3">
      <c r="A728" t="s">
        <v>743</v>
      </c>
      <c r="B728" t="s">
        <v>18</v>
      </c>
      <c r="C728" t="s">
        <v>11</v>
      </c>
      <c r="D728">
        <v>56</v>
      </c>
      <c r="E728" s="1">
        <v>45442</v>
      </c>
      <c r="F728">
        <v>2024</v>
      </c>
      <c r="G728" t="s">
        <v>5036</v>
      </c>
      <c r="H728">
        <v>30</v>
      </c>
      <c r="I728">
        <v>1.69</v>
      </c>
      <c r="J728">
        <v>6</v>
      </c>
      <c r="K728">
        <v>3267.93</v>
      </c>
      <c r="L728">
        <v>1.4</v>
      </c>
    </row>
    <row r="729" spans="1:12" x14ac:dyDescent="0.3">
      <c r="A729" t="s">
        <v>744</v>
      </c>
      <c r="B729" t="s">
        <v>16</v>
      </c>
      <c r="C729" t="s">
        <v>14</v>
      </c>
      <c r="D729">
        <v>27</v>
      </c>
      <c r="E729" s="1">
        <v>45821</v>
      </c>
      <c r="F729">
        <v>2025</v>
      </c>
      <c r="G729" t="s">
        <v>5032</v>
      </c>
      <c r="H729">
        <v>13</v>
      </c>
      <c r="I729">
        <v>3.65</v>
      </c>
      <c r="J729">
        <v>6</v>
      </c>
      <c r="K729">
        <v>6226.08</v>
      </c>
      <c r="L729">
        <v>0.4</v>
      </c>
    </row>
    <row r="730" spans="1:12" x14ac:dyDescent="0.3">
      <c r="A730" t="s">
        <v>745</v>
      </c>
      <c r="B730" t="s">
        <v>10</v>
      </c>
      <c r="C730" t="s">
        <v>14</v>
      </c>
      <c r="D730">
        <v>53</v>
      </c>
      <c r="E730" s="1">
        <v>40820</v>
      </c>
      <c r="F730">
        <v>2011</v>
      </c>
      <c r="G730" t="s">
        <v>5039</v>
      </c>
      <c r="H730">
        <v>4</v>
      </c>
      <c r="I730">
        <v>3.5</v>
      </c>
      <c r="J730">
        <v>1</v>
      </c>
      <c r="K730">
        <v>11773.81</v>
      </c>
      <c r="L730">
        <v>14.1</v>
      </c>
    </row>
    <row r="731" spans="1:12" x14ac:dyDescent="0.3">
      <c r="A731" t="s">
        <v>746</v>
      </c>
      <c r="B731" t="s">
        <v>10</v>
      </c>
      <c r="C731" t="s">
        <v>11</v>
      </c>
      <c r="D731">
        <v>56</v>
      </c>
      <c r="E731" s="1">
        <v>42209</v>
      </c>
      <c r="F731">
        <v>2015</v>
      </c>
      <c r="G731" t="s">
        <v>5034</v>
      </c>
      <c r="H731">
        <v>24</v>
      </c>
      <c r="I731">
        <v>2.4700000000000002</v>
      </c>
      <c r="J731">
        <v>13</v>
      </c>
      <c r="K731">
        <v>10394.16</v>
      </c>
      <c r="L731">
        <v>10.3</v>
      </c>
    </row>
    <row r="732" spans="1:12" x14ac:dyDescent="0.3">
      <c r="A732" t="s">
        <v>747</v>
      </c>
      <c r="B732" t="s">
        <v>10</v>
      </c>
      <c r="C732" t="s">
        <v>14</v>
      </c>
      <c r="D732">
        <v>25</v>
      </c>
      <c r="E732" s="1">
        <v>44410</v>
      </c>
      <c r="F732">
        <v>2021</v>
      </c>
      <c r="G732" t="s">
        <v>5031</v>
      </c>
      <c r="H732">
        <v>2</v>
      </c>
      <c r="I732">
        <v>4.37</v>
      </c>
      <c r="J732">
        <v>4</v>
      </c>
      <c r="K732">
        <v>10887.11</v>
      </c>
      <c r="L732">
        <v>4.3</v>
      </c>
    </row>
    <row r="733" spans="1:12" x14ac:dyDescent="0.3">
      <c r="A733" t="s">
        <v>748</v>
      </c>
      <c r="B733" t="s">
        <v>24</v>
      </c>
      <c r="C733" t="s">
        <v>14</v>
      </c>
      <c r="D733">
        <v>45</v>
      </c>
      <c r="E733" s="1">
        <v>40934</v>
      </c>
      <c r="F733">
        <v>2012</v>
      </c>
      <c r="G733" t="s">
        <v>5037</v>
      </c>
      <c r="H733">
        <v>26</v>
      </c>
      <c r="I733">
        <v>1.55</v>
      </c>
      <c r="J733">
        <v>4</v>
      </c>
      <c r="K733">
        <v>13520.89</v>
      </c>
      <c r="L733">
        <v>13.8</v>
      </c>
    </row>
    <row r="734" spans="1:12" x14ac:dyDescent="0.3">
      <c r="A734" t="s">
        <v>749</v>
      </c>
      <c r="B734" t="s">
        <v>16</v>
      </c>
      <c r="C734" t="s">
        <v>14</v>
      </c>
      <c r="D734">
        <v>57</v>
      </c>
      <c r="E734" s="1">
        <v>44198</v>
      </c>
      <c r="F734">
        <v>2021</v>
      </c>
      <c r="G734" t="s">
        <v>5037</v>
      </c>
      <c r="H734">
        <v>2</v>
      </c>
      <c r="I734">
        <v>3.98</v>
      </c>
      <c r="J734">
        <v>12</v>
      </c>
      <c r="K734">
        <v>12723.83</v>
      </c>
      <c r="L734">
        <v>4.8</v>
      </c>
    </row>
    <row r="735" spans="1:12" x14ac:dyDescent="0.3">
      <c r="A735" t="s">
        <v>750</v>
      </c>
      <c r="B735" t="s">
        <v>10</v>
      </c>
      <c r="C735" t="s">
        <v>14</v>
      </c>
      <c r="D735">
        <v>31</v>
      </c>
      <c r="E735" s="1">
        <v>43892</v>
      </c>
      <c r="F735">
        <v>2020</v>
      </c>
      <c r="G735" t="s">
        <v>5035</v>
      </c>
      <c r="H735">
        <v>2</v>
      </c>
      <c r="I735">
        <v>4.04</v>
      </c>
      <c r="J735">
        <v>11</v>
      </c>
      <c r="K735">
        <v>8334.41</v>
      </c>
      <c r="L735">
        <v>5.7</v>
      </c>
    </row>
    <row r="736" spans="1:12" x14ac:dyDescent="0.3">
      <c r="A736" t="s">
        <v>751</v>
      </c>
      <c r="B736" t="s">
        <v>13</v>
      </c>
      <c r="C736" t="s">
        <v>11</v>
      </c>
      <c r="D736">
        <v>37</v>
      </c>
      <c r="E736" s="1">
        <v>43488</v>
      </c>
      <c r="F736">
        <v>2019</v>
      </c>
      <c r="G736" t="s">
        <v>5037</v>
      </c>
      <c r="H736">
        <v>23</v>
      </c>
      <c r="I736">
        <v>2.13</v>
      </c>
      <c r="J736">
        <v>11</v>
      </c>
      <c r="K736">
        <v>14648.59</v>
      </c>
      <c r="L736">
        <v>6.8</v>
      </c>
    </row>
    <row r="737" spans="1:12" x14ac:dyDescent="0.3">
      <c r="A737" t="s">
        <v>752</v>
      </c>
      <c r="B737" t="s">
        <v>16</v>
      </c>
      <c r="C737" t="s">
        <v>11</v>
      </c>
      <c r="D737">
        <v>22</v>
      </c>
      <c r="E737" s="1">
        <v>40345</v>
      </c>
      <c r="F737">
        <v>2010</v>
      </c>
      <c r="G737" t="s">
        <v>5032</v>
      </c>
      <c r="H737">
        <v>16</v>
      </c>
      <c r="I737">
        <v>1.68</v>
      </c>
      <c r="J737">
        <v>10</v>
      </c>
      <c r="K737">
        <v>10017.15</v>
      </c>
      <c r="L737">
        <v>15.4</v>
      </c>
    </row>
    <row r="738" spans="1:12" x14ac:dyDescent="0.3">
      <c r="A738" t="s">
        <v>753</v>
      </c>
      <c r="B738" t="s">
        <v>18</v>
      </c>
      <c r="C738" t="s">
        <v>14</v>
      </c>
      <c r="D738">
        <v>55</v>
      </c>
      <c r="E738" s="1">
        <v>41261</v>
      </c>
      <c r="F738">
        <v>2012</v>
      </c>
      <c r="G738" t="s">
        <v>5041</v>
      </c>
      <c r="H738">
        <v>18</v>
      </c>
      <c r="I738">
        <v>1.78</v>
      </c>
      <c r="J738">
        <v>13</v>
      </c>
      <c r="K738">
        <v>14998.82</v>
      </c>
      <c r="L738">
        <v>12.9</v>
      </c>
    </row>
    <row r="739" spans="1:12" x14ac:dyDescent="0.3">
      <c r="A739" t="s">
        <v>754</v>
      </c>
      <c r="B739" t="s">
        <v>10</v>
      </c>
      <c r="C739" t="s">
        <v>11</v>
      </c>
      <c r="D739">
        <v>37</v>
      </c>
      <c r="E739" s="1">
        <v>45406</v>
      </c>
      <c r="F739">
        <v>2024</v>
      </c>
      <c r="G739" t="s">
        <v>5040</v>
      </c>
      <c r="H739">
        <v>24</v>
      </c>
      <c r="I739">
        <v>4.24</v>
      </c>
      <c r="J739">
        <v>2</v>
      </c>
      <c r="K739">
        <v>14437.4</v>
      </c>
      <c r="L739">
        <v>1.5</v>
      </c>
    </row>
    <row r="740" spans="1:12" x14ac:dyDescent="0.3">
      <c r="A740" t="s">
        <v>755</v>
      </c>
      <c r="B740" t="s">
        <v>16</v>
      </c>
      <c r="C740" t="s">
        <v>11</v>
      </c>
      <c r="D740">
        <v>43</v>
      </c>
      <c r="E740" s="1">
        <v>43308</v>
      </c>
      <c r="F740">
        <v>2018</v>
      </c>
      <c r="G740" t="s">
        <v>5034</v>
      </c>
      <c r="H740">
        <v>27</v>
      </c>
      <c r="I740">
        <v>3.77</v>
      </c>
      <c r="J740">
        <v>13</v>
      </c>
      <c r="K740">
        <v>5382.62</v>
      </c>
      <c r="L740">
        <v>7.3</v>
      </c>
    </row>
    <row r="741" spans="1:12" x14ac:dyDescent="0.3">
      <c r="A741" t="s">
        <v>756</v>
      </c>
      <c r="B741" t="s">
        <v>34</v>
      </c>
      <c r="C741" t="s">
        <v>14</v>
      </c>
      <c r="D741">
        <v>54</v>
      </c>
      <c r="E741" s="1">
        <v>43975</v>
      </c>
      <c r="F741">
        <v>2020</v>
      </c>
      <c r="G741" t="s">
        <v>5036</v>
      </c>
      <c r="H741">
        <v>24</v>
      </c>
      <c r="I741">
        <v>3.83</v>
      </c>
      <c r="J741">
        <v>6</v>
      </c>
      <c r="K741">
        <v>7016.19</v>
      </c>
      <c r="L741">
        <v>5.4</v>
      </c>
    </row>
    <row r="742" spans="1:12" x14ac:dyDescent="0.3">
      <c r="A742" t="s">
        <v>757</v>
      </c>
      <c r="B742" t="s">
        <v>10</v>
      </c>
      <c r="C742" t="s">
        <v>11</v>
      </c>
      <c r="D742">
        <v>48</v>
      </c>
      <c r="E742" s="1">
        <v>44506</v>
      </c>
      <c r="F742">
        <v>2021</v>
      </c>
      <c r="G742" t="s">
        <v>5038</v>
      </c>
      <c r="H742">
        <v>6</v>
      </c>
      <c r="I742">
        <v>1.55</v>
      </c>
      <c r="J742">
        <v>6</v>
      </c>
      <c r="K742">
        <v>14176.28</v>
      </c>
      <c r="L742">
        <v>4</v>
      </c>
    </row>
    <row r="743" spans="1:12" x14ac:dyDescent="0.3">
      <c r="A743" t="s">
        <v>758</v>
      </c>
      <c r="B743" t="s">
        <v>13</v>
      </c>
      <c r="C743" t="s">
        <v>11</v>
      </c>
      <c r="D743">
        <v>56</v>
      </c>
      <c r="E743" s="1">
        <v>42256</v>
      </c>
      <c r="F743">
        <v>2015</v>
      </c>
      <c r="G743" t="s">
        <v>5033</v>
      </c>
      <c r="H743">
        <v>9</v>
      </c>
      <c r="I743">
        <v>2.8</v>
      </c>
      <c r="J743">
        <v>13</v>
      </c>
      <c r="K743">
        <v>6227.63</v>
      </c>
      <c r="L743">
        <v>10.199999999999999</v>
      </c>
    </row>
    <row r="744" spans="1:12" x14ac:dyDescent="0.3">
      <c r="A744" t="s">
        <v>759</v>
      </c>
      <c r="B744" t="s">
        <v>10</v>
      </c>
      <c r="C744" t="s">
        <v>14</v>
      </c>
      <c r="D744">
        <v>38</v>
      </c>
      <c r="E744" s="1">
        <v>44784</v>
      </c>
      <c r="F744">
        <v>2022</v>
      </c>
      <c r="G744" t="s">
        <v>5031</v>
      </c>
      <c r="H744">
        <v>11</v>
      </c>
      <c r="I744">
        <v>2.79</v>
      </c>
      <c r="J744">
        <v>10</v>
      </c>
      <c r="K744">
        <v>10613.92</v>
      </c>
      <c r="L744">
        <v>3.2</v>
      </c>
    </row>
    <row r="745" spans="1:12" x14ac:dyDescent="0.3">
      <c r="A745" t="s">
        <v>760</v>
      </c>
      <c r="B745" t="s">
        <v>16</v>
      </c>
      <c r="C745" t="s">
        <v>14</v>
      </c>
      <c r="D745">
        <v>47</v>
      </c>
      <c r="E745" s="1">
        <v>42876</v>
      </c>
      <c r="F745">
        <v>2017</v>
      </c>
      <c r="G745" t="s">
        <v>5036</v>
      </c>
      <c r="H745">
        <v>21</v>
      </c>
      <c r="I745">
        <v>2.98</v>
      </c>
      <c r="J745">
        <v>13</v>
      </c>
      <c r="K745">
        <v>12798.38</v>
      </c>
      <c r="L745">
        <v>8.5</v>
      </c>
    </row>
    <row r="746" spans="1:12" x14ac:dyDescent="0.3">
      <c r="A746" t="s">
        <v>761</v>
      </c>
      <c r="B746" t="s">
        <v>24</v>
      </c>
      <c r="C746" t="s">
        <v>11</v>
      </c>
      <c r="D746">
        <v>26</v>
      </c>
      <c r="E746" s="1">
        <v>44715</v>
      </c>
      <c r="F746">
        <v>2022</v>
      </c>
      <c r="G746" t="s">
        <v>5032</v>
      </c>
      <c r="H746">
        <v>3</v>
      </c>
      <c r="I746">
        <v>2.9</v>
      </c>
      <c r="J746">
        <v>13</v>
      </c>
      <c r="K746">
        <v>4465.41</v>
      </c>
      <c r="L746">
        <v>3.4</v>
      </c>
    </row>
    <row r="747" spans="1:12" x14ac:dyDescent="0.3">
      <c r="A747" t="s">
        <v>762</v>
      </c>
      <c r="B747" t="s">
        <v>24</v>
      </c>
      <c r="C747" t="s">
        <v>14</v>
      </c>
      <c r="D747">
        <v>44</v>
      </c>
      <c r="E747" s="1">
        <v>41932</v>
      </c>
      <c r="F747">
        <v>2014</v>
      </c>
      <c r="G747" t="s">
        <v>5039</v>
      </c>
      <c r="H747">
        <v>20</v>
      </c>
      <c r="I747">
        <v>3.63</v>
      </c>
      <c r="J747">
        <v>4</v>
      </c>
      <c r="K747">
        <v>8812.2999999999993</v>
      </c>
      <c r="L747">
        <v>11</v>
      </c>
    </row>
    <row r="748" spans="1:12" x14ac:dyDescent="0.3">
      <c r="A748" t="s">
        <v>763</v>
      </c>
      <c r="B748" t="s">
        <v>34</v>
      </c>
      <c r="C748" t="s">
        <v>14</v>
      </c>
      <c r="D748">
        <v>57</v>
      </c>
      <c r="E748" s="1">
        <v>44139</v>
      </c>
      <c r="F748">
        <v>2020</v>
      </c>
      <c r="G748" t="s">
        <v>5038</v>
      </c>
      <c r="H748">
        <v>4</v>
      </c>
      <c r="I748">
        <v>2.75</v>
      </c>
      <c r="J748">
        <v>15</v>
      </c>
      <c r="K748">
        <v>6995.11</v>
      </c>
      <c r="L748">
        <v>5</v>
      </c>
    </row>
    <row r="749" spans="1:12" x14ac:dyDescent="0.3">
      <c r="A749" t="s">
        <v>764</v>
      </c>
      <c r="B749" t="s">
        <v>16</v>
      </c>
      <c r="C749" t="s">
        <v>14</v>
      </c>
      <c r="D749">
        <v>55</v>
      </c>
      <c r="E749" s="1">
        <v>43202</v>
      </c>
      <c r="F749">
        <v>2018</v>
      </c>
      <c r="G749" t="s">
        <v>5040</v>
      </c>
      <c r="H749">
        <v>12</v>
      </c>
      <c r="I749">
        <v>2.86</v>
      </c>
      <c r="J749">
        <v>4</v>
      </c>
      <c r="K749">
        <v>5459.7</v>
      </c>
      <c r="L749">
        <v>7.6</v>
      </c>
    </row>
    <row r="750" spans="1:12" x14ac:dyDescent="0.3">
      <c r="A750" t="s">
        <v>765</v>
      </c>
      <c r="B750" t="s">
        <v>10</v>
      </c>
      <c r="C750" t="s">
        <v>14</v>
      </c>
      <c r="D750">
        <v>54</v>
      </c>
      <c r="E750" s="1">
        <v>40676</v>
      </c>
      <c r="F750">
        <v>2011</v>
      </c>
      <c r="G750" t="s">
        <v>5036</v>
      </c>
      <c r="H750">
        <v>13</v>
      </c>
      <c r="I750">
        <v>1.9</v>
      </c>
      <c r="J750">
        <v>15</v>
      </c>
      <c r="K750">
        <v>12891.8</v>
      </c>
      <c r="L750">
        <v>14.5</v>
      </c>
    </row>
    <row r="751" spans="1:12" x14ac:dyDescent="0.3">
      <c r="A751" t="s">
        <v>766</v>
      </c>
      <c r="B751" t="s">
        <v>34</v>
      </c>
      <c r="C751" t="s">
        <v>14</v>
      </c>
      <c r="D751">
        <v>49</v>
      </c>
      <c r="E751" s="1">
        <v>41234</v>
      </c>
      <c r="F751">
        <v>2012</v>
      </c>
      <c r="G751" t="s">
        <v>5038</v>
      </c>
      <c r="H751">
        <v>21</v>
      </c>
      <c r="I751">
        <v>2.79</v>
      </c>
      <c r="J751">
        <v>4</v>
      </c>
      <c r="K751">
        <v>13805.75</v>
      </c>
      <c r="L751">
        <v>13</v>
      </c>
    </row>
    <row r="752" spans="1:12" x14ac:dyDescent="0.3">
      <c r="A752" t="s">
        <v>767</v>
      </c>
      <c r="B752" t="s">
        <v>16</v>
      </c>
      <c r="C752" t="s">
        <v>11</v>
      </c>
      <c r="D752">
        <v>52</v>
      </c>
      <c r="E752" s="1">
        <v>45492</v>
      </c>
      <c r="F752">
        <v>2024</v>
      </c>
      <c r="G752" t="s">
        <v>5034</v>
      </c>
      <c r="H752">
        <v>19</v>
      </c>
      <c r="I752">
        <v>4.99</v>
      </c>
      <c r="J752">
        <v>3</v>
      </c>
      <c r="K752">
        <v>12703.77</v>
      </c>
      <c r="L752">
        <v>1.3</v>
      </c>
    </row>
    <row r="753" spans="1:12" x14ac:dyDescent="0.3">
      <c r="A753" t="s">
        <v>768</v>
      </c>
      <c r="B753" t="s">
        <v>34</v>
      </c>
      <c r="C753" t="s">
        <v>11</v>
      </c>
      <c r="D753">
        <v>30</v>
      </c>
      <c r="E753" s="1">
        <v>44572</v>
      </c>
      <c r="F753">
        <v>2022</v>
      </c>
      <c r="G753" t="s">
        <v>5037</v>
      </c>
      <c r="H753">
        <v>11</v>
      </c>
      <c r="I753">
        <v>2.21</v>
      </c>
      <c r="J753">
        <v>13</v>
      </c>
      <c r="K753">
        <v>10842.31</v>
      </c>
      <c r="L753">
        <v>3.8</v>
      </c>
    </row>
    <row r="754" spans="1:12" x14ac:dyDescent="0.3">
      <c r="A754" t="s">
        <v>769</v>
      </c>
      <c r="B754" t="s">
        <v>24</v>
      </c>
      <c r="C754" t="s">
        <v>11</v>
      </c>
      <c r="D754">
        <v>32</v>
      </c>
      <c r="E754" s="1">
        <v>40417</v>
      </c>
      <c r="F754">
        <v>2010</v>
      </c>
      <c r="G754" t="s">
        <v>5031</v>
      </c>
      <c r="H754">
        <v>27</v>
      </c>
      <c r="I754">
        <v>1.65</v>
      </c>
      <c r="J754">
        <v>14</v>
      </c>
      <c r="K754">
        <v>10573.6</v>
      </c>
      <c r="L754">
        <v>15.2</v>
      </c>
    </row>
    <row r="755" spans="1:12" x14ac:dyDescent="0.3">
      <c r="A755" t="s">
        <v>770</v>
      </c>
      <c r="B755" t="s">
        <v>16</v>
      </c>
      <c r="C755" t="s">
        <v>11</v>
      </c>
      <c r="D755">
        <v>25</v>
      </c>
      <c r="E755" s="1">
        <v>41127</v>
      </c>
      <c r="F755">
        <v>2012</v>
      </c>
      <c r="G755" t="s">
        <v>5031</v>
      </c>
      <c r="H755">
        <v>6</v>
      </c>
      <c r="I755">
        <v>2.4</v>
      </c>
      <c r="J755">
        <v>4</v>
      </c>
      <c r="K755">
        <v>5973.63</v>
      </c>
      <c r="L755">
        <v>13.2</v>
      </c>
    </row>
    <row r="756" spans="1:12" x14ac:dyDescent="0.3">
      <c r="A756" t="s">
        <v>771</v>
      </c>
      <c r="B756" t="s">
        <v>16</v>
      </c>
      <c r="C756" t="s">
        <v>11</v>
      </c>
      <c r="D756">
        <v>52</v>
      </c>
      <c r="E756" s="1">
        <v>42473</v>
      </c>
      <c r="F756">
        <v>2016</v>
      </c>
      <c r="G756" t="s">
        <v>5040</v>
      </c>
      <c r="H756">
        <v>13</v>
      </c>
      <c r="I756">
        <v>4.22</v>
      </c>
      <c r="J756">
        <v>4</v>
      </c>
      <c r="K756">
        <v>11052.2</v>
      </c>
      <c r="L756">
        <v>9.6</v>
      </c>
    </row>
    <row r="757" spans="1:12" x14ac:dyDescent="0.3">
      <c r="A757" t="s">
        <v>772</v>
      </c>
      <c r="B757" t="s">
        <v>13</v>
      </c>
      <c r="C757" t="s">
        <v>14</v>
      </c>
      <c r="D757">
        <v>49</v>
      </c>
      <c r="E757" s="1">
        <v>44132</v>
      </c>
      <c r="F757">
        <v>2020</v>
      </c>
      <c r="G757" t="s">
        <v>5039</v>
      </c>
      <c r="H757">
        <v>28</v>
      </c>
      <c r="I757">
        <v>3.86</v>
      </c>
      <c r="J757">
        <v>14</v>
      </c>
      <c r="K757">
        <v>6950.21</v>
      </c>
      <c r="L757">
        <v>5</v>
      </c>
    </row>
    <row r="758" spans="1:12" x14ac:dyDescent="0.3">
      <c r="A758" t="s">
        <v>773</v>
      </c>
      <c r="B758" t="s">
        <v>34</v>
      </c>
      <c r="C758" t="s">
        <v>11</v>
      </c>
      <c r="D758">
        <v>23</v>
      </c>
      <c r="E758" s="1">
        <v>42720</v>
      </c>
      <c r="F758">
        <v>2016</v>
      </c>
      <c r="G758" t="s">
        <v>5041</v>
      </c>
      <c r="H758">
        <v>16</v>
      </c>
      <c r="I758">
        <v>2.95</v>
      </c>
      <c r="J758">
        <v>11</v>
      </c>
      <c r="K758">
        <v>5977.72</v>
      </c>
      <c r="L758">
        <v>8.9</v>
      </c>
    </row>
    <row r="759" spans="1:12" x14ac:dyDescent="0.3">
      <c r="A759" t="s">
        <v>774</v>
      </c>
      <c r="B759" t="s">
        <v>34</v>
      </c>
      <c r="C759" t="s">
        <v>14</v>
      </c>
      <c r="D759">
        <v>31</v>
      </c>
      <c r="E759" s="1">
        <v>41316</v>
      </c>
      <c r="F759">
        <v>2013</v>
      </c>
      <c r="G759" t="s">
        <v>5042</v>
      </c>
      <c r="H759">
        <v>11</v>
      </c>
      <c r="I759">
        <v>2.21</v>
      </c>
      <c r="J759">
        <v>4</v>
      </c>
      <c r="K759">
        <v>5391.01</v>
      </c>
      <c r="L759">
        <v>12.7</v>
      </c>
    </row>
    <row r="760" spans="1:12" x14ac:dyDescent="0.3">
      <c r="A760" t="s">
        <v>775</v>
      </c>
      <c r="B760" t="s">
        <v>13</v>
      </c>
      <c r="C760" t="s">
        <v>14</v>
      </c>
      <c r="D760">
        <v>53</v>
      </c>
      <c r="E760" s="1">
        <v>41027</v>
      </c>
      <c r="F760">
        <v>2012</v>
      </c>
      <c r="G760" t="s">
        <v>5040</v>
      </c>
      <c r="H760">
        <v>28</v>
      </c>
      <c r="I760">
        <v>4.2300000000000004</v>
      </c>
      <c r="J760">
        <v>10</v>
      </c>
      <c r="K760">
        <v>13692.78</v>
      </c>
      <c r="L760">
        <v>13.5</v>
      </c>
    </row>
    <row r="761" spans="1:12" x14ac:dyDescent="0.3">
      <c r="A761" t="s">
        <v>776</v>
      </c>
      <c r="B761" t="s">
        <v>34</v>
      </c>
      <c r="C761" t="s">
        <v>11</v>
      </c>
      <c r="D761">
        <v>44</v>
      </c>
      <c r="E761" s="1">
        <v>42471</v>
      </c>
      <c r="F761">
        <v>2016</v>
      </c>
      <c r="G761" t="s">
        <v>5040</v>
      </c>
      <c r="H761">
        <v>11</v>
      </c>
      <c r="I761">
        <v>4.8499999999999996</v>
      </c>
      <c r="J761">
        <v>9</v>
      </c>
      <c r="K761">
        <v>12074.26</v>
      </c>
      <c r="L761">
        <v>9.6</v>
      </c>
    </row>
    <row r="762" spans="1:12" x14ac:dyDescent="0.3">
      <c r="A762" t="s">
        <v>777</v>
      </c>
      <c r="B762" t="s">
        <v>10</v>
      </c>
      <c r="C762" t="s">
        <v>11</v>
      </c>
      <c r="D762">
        <v>60</v>
      </c>
      <c r="E762" s="1">
        <v>41039</v>
      </c>
      <c r="F762">
        <v>2012</v>
      </c>
      <c r="G762" t="s">
        <v>5036</v>
      </c>
      <c r="H762">
        <v>10</v>
      </c>
      <c r="I762">
        <v>3.88</v>
      </c>
      <c r="J762">
        <v>9</v>
      </c>
      <c r="K762">
        <v>8317.7900000000009</v>
      </c>
      <c r="L762">
        <v>13.5</v>
      </c>
    </row>
    <row r="763" spans="1:12" x14ac:dyDescent="0.3">
      <c r="A763" t="s">
        <v>778</v>
      </c>
      <c r="B763" t="s">
        <v>16</v>
      </c>
      <c r="C763" t="s">
        <v>14</v>
      </c>
      <c r="D763">
        <v>37</v>
      </c>
      <c r="E763" s="1">
        <v>42207</v>
      </c>
      <c r="F763">
        <v>2015</v>
      </c>
      <c r="G763" t="s">
        <v>5034</v>
      </c>
      <c r="H763">
        <v>22</v>
      </c>
      <c r="I763">
        <v>4.41</v>
      </c>
      <c r="J763">
        <v>12</v>
      </c>
      <c r="K763">
        <v>5514.15</v>
      </c>
      <c r="L763">
        <v>10.3</v>
      </c>
    </row>
    <row r="764" spans="1:12" x14ac:dyDescent="0.3">
      <c r="A764" t="s">
        <v>779</v>
      </c>
      <c r="B764" t="s">
        <v>13</v>
      </c>
      <c r="C764" t="s">
        <v>11</v>
      </c>
      <c r="D764">
        <v>55</v>
      </c>
      <c r="E764" s="1">
        <v>41314</v>
      </c>
      <c r="F764">
        <v>2013</v>
      </c>
      <c r="G764" t="s">
        <v>5042</v>
      </c>
      <c r="H764">
        <v>9</v>
      </c>
      <c r="I764">
        <v>3.8</v>
      </c>
      <c r="J764">
        <v>15</v>
      </c>
      <c r="K764">
        <v>11492.09</v>
      </c>
      <c r="L764">
        <v>12.7</v>
      </c>
    </row>
    <row r="765" spans="1:12" x14ac:dyDescent="0.3">
      <c r="A765" t="s">
        <v>780</v>
      </c>
      <c r="B765" t="s">
        <v>16</v>
      </c>
      <c r="C765" t="s">
        <v>14</v>
      </c>
      <c r="D765">
        <v>26</v>
      </c>
      <c r="E765" s="1">
        <v>40953</v>
      </c>
      <c r="F765">
        <v>2012</v>
      </c>
      <c r="G765" t="s">
        <v>5042</v>
      </c>
      <c r="H765">
        <v>14</v>
      </c>
      <c r="I765">
        <v>4.37</v>
      </c>
      <c r="J765">
        <v>7</v>
      </c>
      <c r="K765">
        <v>3520.77</v>
      </c>
      <c r="L765">
        <v>13.7</v>
      </c>
    </row>
    <row r="766" spans="1:12" x14ac:dyDescent="0.3">
      <c r="A766" t="s">
        <v>781</v>
      </c>
      <c r="B766" t="s">
        <v>16</v>
      </c>
      <c r="C766" t="s">
        <v>14</v>
      </c>
      <c r="D766">
        <v>50</v>
      </c>
      <c r="E766" s="1">
        <v>42920</v>
      </c>
      <c r="F766">
        <v>2017</v>
      </c>
      <c r="G766" t="s">
        <v>5034</v>
      </c>
      <c r="H766">
        <v>4</v>
      </c>
      <c r="I766">
        <v>1.52</v>
      </c>
      <c r="J766">
        <v>1</v>
      </c>
      <c r="K766">
        <v>7247.56</v>
      </c>
      <c r="L766">
        <v>8.3000000000000007</v>
      </c>
    </row>
    <row r="767" spans="1:12" x14ac:dyDescent="0.3">
      <c r="A767" t="s">
        <v>782</v>
      </c>
      <c r="B767" t="s">
        <v>16</v>
      </c>
      <c r="C767" t="s">
        <v>14</v>
      </c>
      <c r="D767">
        <v>31</v>
      </c>
      <c r="E767" s="1">
        <v>43201</v>
      </c>
      <c r="F767">
        <v>2018</v>
      </c>
      <c r="G767" t="s">
        <v>5040</v>
      </c>
      <c r="H767">
        <v>11</v>
      </c>
      <c r="I767">
        <v>3.7</v>
      </c>
      <c r="J767">
        <v>15</v>
      </c>
      <c r="K767">
        <v>14568.3</v>
      </c>
      <c r="L767">
        <v>7.6</v>
      </c>
    </row>
    <row r="768" spans="1:12" x14ac:dyDescent="0.3">
      <c r="A768" t="s">
        <v>783</v>
      </c>
      <c r="B768" t="s">
        <v>24</v>
      </c>
      <c r="C768" t="s">
        <v>14</v>
      </c>
      <c r="D768">
        <v>48</v>
      </c>
      <c r="E768" s="1">
        <v>44788</v>
      </c>
      <c r="F768">
        <v>2022</v>
      </c>
      <c r="G768" t="s">
        <v>5031</v>
      </c>
      <c r="H768">
        <v>15</v>
      </c>
      <c r="I768">
        <v>4.13</v>
      </c>
      <c r="J768">
        <v>8</v>
      </c>
      <c r="K768">
        <v>10686.7</v>
      </c>
      <c r="L768">
        <v>3.2</v>
      </c>
    </row>
    <row r="769" spans="1:12" x14ac:dyDescent="0.3">
      <c r="A769" t="s">
        <v>784</v>
      </c>
      <c r="B769" t="s">
        <v>18</v>
      </c>
      <c r="C769" t="s">
        <v>11</v>
      </c>
      <c r="D769">
        <v>60</v>
      </c>
      <c r="E769" s="1">
        <v>45479</v>
      </c>
      <c r="F769">
        <v>2024</v>
      </c>
      <c r="G769" t="s">
        <v>5034</v>
      </c>
      <c r="H769">
        <v>6</v>
      </c>
      <c r="I769">
        <v>3.32</v>
      </c>
      <c r="J769">
        <v>3</v>
      </c>
      <c r="K769">
        <v>6599.78</v>
      </c>
      <c r="L769">
        <v>1.3</v>
      </c>
    </row>
    <row r="770" spans="1:12" x14ac:dyDescent="0.3">
      <c r="A770" t="s">
        <v>785</v>
      </c>
      <c r="B770" t="s">
        <v>34</v>
      </c>
      <c r="C770" t="s">
        <v>14</v>
      </c>
      <c r="D770">
        <v>59</v>
      </c>
      <c r="E770" s="1">
        <v>43307</v>
      </c>
      <c r="F770">
        <v>2018</v>
      </c>
      <c r="G770" t="s">
        <v>5034</v>
      </c>
      <c r="H770">
        <v>26</v>
      </c>
      <c r="I770">
        <v>3.38</v>
      </c>
      <c r="J770">
        <v>13</v>
      </c>
      <c r="K770">
        <v>12548.87</v>
      </c>
      <c r="L770">
        <v>7.3</v>
      </c>
    </row>
    <row r="771" spans="1:12" x14ac:dyDescent="0.3">
      <c r="A771" t="s">
        <v>786</v>
      </c>
      <c r="B771" t="s">
        <v>34</v>
      </c>
      <c r="C771" t="s">
        <v>14</v>
      </c>
      <c r="D771">
        <v>43</v>
      </c>
      <c r="E771" s="1">
        <v>42603</v>
      </c>
      <c r="F771">
        <v>2016</v>
      </c>
      <c r="G771" t="s">
        <v>5031</v>
      </c>
      <c r="H771">
        <v>21</v>
      </c>
      <c r="I771">
        <v>2.64</v>
      </c>
      <c r="J771">
        <v>15</v>
      </c>
      <c r="K771">
        <v>11866.87</v>
      </c>
      <c r="L771">
        <v>9.1999999999999993</v>
      </c>
    </row>
    <row r="772" spans="1:12" x14ac:dyDescent="0.3">
      <c r="A772" t="s">
        <v>787</v>
      </c>
      <c r="B772" t="s">
        <v>34</v>
      </c>
      <c r="C772" t="s">
        <v>14</v>
      </c>
      <c r="D772">
        <v>33</v>
      </c>
      <c r="E772" s="1">
        <v>41503</v>
      </c>
      <c r="F772">
        <v>2013</v>
      </c>
      <c r="G772" t="s">
        <v>5031</v>
      </c>
      <c r="H772">
        <v>17</v>
      </c>
      <c r="I772">
        <v>3.46</v>
      </c>
      <c r="J772">
        <v>15</v>
      </c>
      <c r="K772">
        <v>4409.95</v>
      </c>
      <c r="L772">
        <v>12.2</v>
      </c>
    </row>
    <row r="773" spans="1:12" x14ac:dyDescent="0.3">
      <c r="A773" t="s">
        <v>788</v>
      </c>
      <c r="B773" t="s">
        <v>34</v>
      </c>
      <c r="C773" t="s">
        <v>14</v>
      </c>
      <c r="D773">
        <v>34</v>
      </c>
      <c r="E773" s="1">
        <v>44317</v>
      </c>
      <c r="F773">
        <v>2021</v>
      </c>
      <c r="G773" t="s">
        <v>5036</v>
      </c>
      <c r="H773">
        <v>1</v>
      </c>
      <c r="I773">
        <v>2.74</v>
      </c>
      <c r="J773">
        <v>11</v>
      </c>
      <c r="K773">
        <v>9343.18</v>
      </c>
      <c r="L773">
        <v>4.5</v>
      </c>
    </row>
    <row r="774" spans="1:12" x14ac:dyDescent="0.3">
      <c r="A774" t="s">
        <v>789</v>
      </c>
      <c r="B774" t="s">
        <v>13</v>
      </c>
      <c r="C774" t="s">
        <v>14</v>
      </c>
      <c r="D774">
        <v>24</v>
      </c>
      <c r="E774" s="1">
        <v>41496</v>
      </c>
      <c r="F774">
        <v>2013</v>
      </c>
      <c r="G774" t="s">
        <v>5031</v>
      </c>
      <c r="H774">
        <v>10</v>
      </c>
      <c r="I774">
        <v>3.11</v>
      </c>
      <c r="J774">
        <v>14</v>
      </c>
      <c r="K774">
        <v>3859.72</v>
      </c>
      <c r="L774">
        <v>12.2</v>
      </c>
    </row>
    <row r="775" spans="1:12" x14ac:dyDescent="0.3">
      <c r="A775" t="s">
        <v>790</v>
      </c>
      <c r="B775" t="s">
        <v>24</v>
      </c>
      <c r="C775" t="s">
        <v>11</v>
      </c>
      <c r="D775">
        <v>41</v>
      </c>
      <c r="E775" s="1">
        <v>41619</v>
      </c>
      <c r="F775">
        <v>2013</v>
      </c>
      <c r="G775" t="s">
        <v>5041</v>
      </c>
      <c r="H775">
        <v>11</v>
      </c>
      <c r="I775">
        <v>2.44</v>
      </c>
      <c r="J775">
        <v>12</v>
      </c>
      <c r="K775">
        <v>6406.31</v>
      </c>
      <c r="L775">
        <v>11.9</v>
      </c>
    </row>
    <row r="776" spans="1:12" x14ac:dyDescent="0.3">
      <c r="A776" t="s">
        <v>791</v>
      </c>
      <c r="B776" t="s">
        <v>34</v>
      </c>
      <c r="C776" t="s">
        <v>14</v>
      </c>
      <c r="D776">
        <v>27</v>
      </c>
      <c r="E776" s="1">
        <v>43584</v>
      </c>
      <c r="F776">
        <v>2019</v>
      </c>
      <c r="G776" t="s">
        <v>5040</v>
      </c>
      <c r="H776">
        <v>29</v>
      </c>
      <c r="I776">
        <v>3.21</v>
      </c>
      <c r="J776">
        <v>15</v>
      </c>
      <c r="K776">
        <v>13363.3</v>
      </c>
      <c r="L776">
        <v>6.5</v>
      </c>
    </row>
    <row r="777" spans="1:12" x14ac:dyDescent="0.3">
      <c r="A777" t="s">
        <v>792</v>
      </c>
      <c r="B777" t="s">
        <v>16</v>
      </c>
      <c r="C777" t="s">
        <v>11</v>
      </c>
      <c r="D777">
        <v>60</v>
      </c>
      <c r="E777" s="1">
        <v>41016</v>
      </c>
      <c r="F777">
        <v>2012</v>
      </c>
      <c r="G777" t="s">
        <v>5040</v>
      </c>
      <c r="H777">
        <v>17</v>
      </c>
      <c r="I777">
        <v>2.31</v>
      </c>
      <c r="J777">
        <v>10</v>
      </c>
      <c r="K777">
        <v>7498.77</v>
      </c>
      <c r="L777">
        <v>13.6</v>
      </c>
    </row>
    <row r="778" spans="1:12" x14ac:dyDescent="0.3">
      <c r="A778" t="s">
        <v>793</v>
      </c>
      <c r="B778" t="s">
        <v>16</v>
      </c>
      <c r="C778" t="s">
        <v>14</v>
      </c>
      <c r="D778">
        <v>55</v>
      </c>
      <c r="E778" s="1">
        <v>42224</v>
      </c>
      <c r="F778">
        <v>2015</v>
      </c>
      <c r="G778" t="s">
        <v>5031</v>
      </c>
      <c r="H778">
        <v>8</v>
      </c>
      <c r="I778">
        <v>3.16</v>
      </c>
      <c r="J778">
        <v>11</v>
      </c>
      <c r="K778">
        <v>13945.6</v>
      </c>
      <c r="L778">
        <v>10.199999999999999</v>
      </c>
    </row>
    <row r="779" spans="1:12" x14ac:dyDescent="0.3">
      <c r="A779" t="s">
        <v>794</v>
      </c>
      <c r="B779" t="s">
        <v>10</v>
      </c>
      <c r="C779" t="s">
        <v>11</v>
      </c>
      <c r="D779">
        <v>47</v>
      </c>
      <c r="E779" s="1">
        <v>44775</v>
      </c>
      <c r="F779">
        <v>2022</v>
      </c>
      <c r="G779" t="s">
        <v>5031</v>
      </c>
      <c r="H779">
        <v>2</v>
      </c>
      <c r="I779">
        <v>2.48</v>
      </c>
      <c r="J779">
        <v>8</v>
      </c>
      <c r="K779">
        <v>4403.33</v>
      </c>
      <c r="L779">
        <v>3.3</v>
      </c>
    </row>
    <row r="780" spans="1:12" x14ac:dyDescent="0.3">
      <c r="A780" t="s">
        <v>795</v>
      </c>
      <c r="B780" t="s">
        <v>13</v>
      </c>
      <c r="C780" t="s">
        <v>14</v>
      </c>
      <c r="D780">
        <v>26</v>
      </c>
      <c r="E780" s="1">
        <v>43194</v>
      </c>
      <c r="F780">
        <v>2018</v>
      </c>
      <c r="G780" t="s">
        <v>5040</v>
      </c>
      <c r="H780">
        <v>4</v>
      </c>
      <c r="I780">
        <v>4.8099999999999996</v>
      </c>
      <c r="J780">
        <v>13</v>
      </c>
      <c r="K780">
        <v>3780.51</v>
      </c>
      <c r="L780">
        <v>7.6</v>
      </c>
    </row>
    <row r="781" spans="1:12" x14ac:dyDescent="0.3">
      <c r="A781" t="s">
        <v>796</v>
      </c>
      <c r="B781" t="s">
        <v>10</v>
      </c>
      <c r="C781" t="s">
        <v>11</v>
      </c>
      <c r="D781">
        <v>44</v>
      </c>
      <c r="E781" s="1">
        <v>40277</v>
      </c>
      <c r="F781">
        <v>2010</v>
      </c>
      <c r="G781" t="s">
        <v>5040</v>
      </c>
      <c r="H781">
        <v>9</v>
      </c>
      <c r="I781">
        <v>2.23</v>
      </c>
      <c r="J781">
        <v>12</v>
      </c>
      <c r="K781">
        <v>13679.95</v>
      </c>
      <c r="L781">
        <v>15.6</v>
      </c>
    </row>
    <row r="782" spans="1:12" x14ac:dyDescent="0.3">
      <c r="A782" t="s">
        <v>797</v>
      </c>
      <c r="B782" t="s">
        <v>10</v>
      </c>
      <c r="C782" t="s">
        <v>11</v>
      </c>
      <c r="D782">
        <v>54</v>
      </c>
      <c r="E782" s="1">
        <v>44082</v>
      </c>
      <c r="F782">
        <v>2020</v>
      </c>
      <c r="G782" t="s">
        <v>5033</v>
      </c>
      <c r="H782">
        <v>8</v>
      </c>
      <c r="I782">
        <v>3.09</v>
      </c>
      <c r="J782">
        <v>2</v>
      </c>
      <c r="K782">
        <v>9748.98</v>
      </c>
      <c r="L782">
        <v>5.2</v>
      </c>
    </row>
    <row r="783" spans="1:12" x14ac:dyDescent="0.3">
      <c r="A783" t="s">
        <v>798</v>
      </c>
      <c r="B783" t="s">
        <v>18</v>
      </c>
      <c r="C783" t="s">
        <v>14</v>
      </c>
      <c r="D783">
        <v>41</v>
      </c>
      <c r="E783" s="1">
        <v>45202</v>
      </c>
      <c r="F783">
        <v>2023</v>
      </c>
      <c r="G783" t="s">
        <v>5039</v>
      </c>
      <c r="H783">
        <v>3</v>
      </c>
      <c r="I783">
        <v>2.4300000000000002</v>
      </c>
      <c r="J783">
        <v>14</v>
      </c>
      <c r="K783">
        <v>7391.36</v>
      </c>
      <c r="L783">
        <v>2.1</v>
      </c>
    </row>
    <row r="784" spans="1:12" x14ac:dyDescent="0.3">
      <c r="A784" t="s">
        <v>799</v>
      </c>
      <c r="B784" t="s">
        <v>24</v>
      </c>
      <c r="C784" t="s">
        <v>11</v>
      </c>
      <c r="D784">
        <v>58</v>
      </c>
      <c r="E784" s="1">
        <v>41925</v>
      </c>
      <c r="F784">
        <v>2014</v>
      </c>
      <c r="G784" t="s">
        <v>5039</v>
      </c>
      <c r="H784">
        <v>13</v>
      </c>
      <c r="I784">
        <v>4.96</v>
      </c>
      <c r="J784">
        <v>14</v>
      </c>
      <c r="K784">
        <v>9897.16</v>
      </c>
      <c r="L784">
        <v>11.1</v>
      </c>
    </row>
    <row r="785" spans="1:12" x14ac:dyDescent="0.3">
      <c r="A785" t="s">
        <v>800</v>
      </c>
      <c r="B785" t="s">
        <v>16</v>
      </c>
      <c r="C785" t="s">
        <v>11</v>
      </c>
      <c r="D785">
        <v>39</v>
      </c>
      <c r="E785" s="1">
        <v>42842</v>
      </c>
      <c r="F785">
        <v>2017</v>
      </c>
      <c r="G785" t="s">
        <v>5040</v>
      </c>
      <c r="H785">
        <v>17</v>
      </c>
      <c r="I785">
        <v>3.93</v>
      </c>
      <c r="J785">
        <v>5</v>
      </c>
      <c r="K785">
        <v>11350.39</v>
      </c>
      <c r="L785">
        <v>8.5</v>
      </c>
    </row>
    <row r="786" spans="1:12" x14ac:dyDescent="0.3">
      <c r="A786" t="s">
        <v>801</v>
      </c>
      <c r="B786" t="s">
        <v>16</v>
      </c>
      <c r="C786" t="s">
        <v>11</v>
      </c>
      <c r="D786">
        <v>32</v>
      </c>
      <c r="E786" s="1">
        <v>44618</v>
      </c>
      <c r="F786">
        <v>2022</v>
      </c>
      <c r="G786" t="s">
        <v>5042</v>
      </c>
      <c r="H786">
        <v>26</v>
      </c>
      <c r="I786">
        <v>4.26</v>
      </c>
      <c r="J786">
        <v>11</v>
      </c>
      <c r="K786">
        <v>6931.08</v>
      </c>
      <c r="L786">
        <v>3.7</v>
      </c>
    </row>
    <row r="787" spans="1:12" x14ac:dyDescent="0.3">
      <c r="A787" t="s">
        <v>802</v>
      </c>
      <c r="B787" t="s">
        <v>18</v>
      </c>
      <c r="C787" t="s">
        <v>14</v>
      </c>
      <c r="D787">
        <v>59</v>
      </c>
      <c r="E787" s="1">
        <v>40475</v>
      </c>
      <c r="F787">
        <v>2010</v>
      </c>
      <c r="G787" t="s">
        <v>5039</v>
      </c>
      <c r="H787">
        <v>24</v>
      </c>
      <c r="I787">
        <v>3.21</v>
      </c>
      <c r="J787">
        <v>9</v>
      </c>
      <c r="K787">
        <v>8408.41</v>
      </c>
      <c r="L787">
        <v>15</v>
      </c>
    </row>
    <row r="788" spans="1:12" x14ac:dyDescent="0.3">
      <c r="A788" t="s">
        <v>803</v>
      </c>
      <c r="B788" t="s">
        <v>18</v>
      </c>
      <c r="C788" t="s">
        <v>14</v>
      </c>
      <c r="D788">
        <v>40</v>
      </c>
      <c r="E788" s="1">
        <v>44068</v>
      </c>
      <c r="F788">
        <v>2020</v>
      </c>
      <c r="G788" t="s">
        <v>5031</v>
      </c>
      <c r="H788">
        <v>25</v>
      </c>
      <c r="I788">
        <v>3.54</v>
      </c>
      <c r="J788">
        <v>12</v>
      </c>
      <c r="K788">
        <v>4677.6400000000003</v>
      </c>
      <c r="L788">
        <v>5.2</v>
      </c>
    </row>
    <row r="789" spans="1:12" x14ac:dyDescent="0.3">
      <c r="A789" t="s">
        <v>804</v>
      </c>
      <c r="B789" t="s">
        <v>10</v>
      </c>
      <c r="C789" t="s">
        <v>11</v>
      </c>
      <c r="D789">
        <v>47</v>
      </c>
      <c r="E789" s="1">
        <v>43570</v>
      </c>
      <c r="F789">
        <v>2019</v>
      </c>
      <c r="G789" t="s">
        <v>5040</v>
      </c>
      <c r="H789">
        <v>15</v>
      </c>
      <c r="I789">
        <v>3.35</v>
      </c>
      <c r="J789">
        <v>4</v>
      </c>
      <c r="K789">
        <v>7030.16</v>
      </c>
      <c r="L789">
        <v>6.6</v>
      </c>
    </row>
    <row r="790" spans="1:12" x14ac:dyDescent="0.3">
      <c r="A790" t="s">
        <v>805</v>
      </c>
      <c r="B790" t="s">
        <v>10</v>
      </c>
      <c r="C790" t="s">
        <v>11</v>
      </c>
      <c r="D790">
        <v>30</v>
      </c>
      <c r="E790" s="1">
        <v>44849</v>
      </c>
      <c r="F790">
        <v>2022</v>
      </c>
      <c r="G790" t="s">
        <v>5039</v>
      </c>
      <c r="H790">
        <v>15</v>
      </c>
      <c r="I790">
        <v>1.87</v>
      </c>
      <c r="J790">
        <v>13</v>
      </c>
      <c r="K790">
        <v>12397.64</v>
      </c>
      <c r="L790">
        <v>3</v>
      </c>
    </row>
    <row r="791" spans="1:12" x14ac:dyDescent="0.3">
      <c r="A791" t="s">
        <v>806</v>
      </c>
      <c r="B791" t="s">
        <v>13</v>
      </c>
      <c r="C791" t="s">
        <v>14</v>
      </c>
      <c r="D791">
        <v>22</v>
      </c>
      <c r="E791" s="1">
        <v>40852</v>
      </c>
      <c r="F791">
        <v>2011</v>
      </c>
      <c r="G791" t="s">
        <v>5038</v>
      </c>
      <c r="H791">
        <v>5</v>
      </c>
      <c r="I791">
        <v>3.82</v>
      </c>
      <c r="J791">
        <v>11</v>
      </c>
      <c r="K791">
        <v>3062.17</v>
      </c>
      <c r="L791">
        <v>14</v>
      </c>
    </row>
    <row r="792" spans="1:12" x14ac:dyDescent="0.3">
      <c r="A792" t="s">
        <v>807</v>
      </c>
      <c r="B792" t="s">
        <v>10</v>
      </c>
      <c r="C792" t="s">
        <v>14</v>
      </c>
      <c r="D792">
        <v>32</v>
      </c>
      <c r="E792" s="1">
        <v>40495</v>
      </c>
      <c r="F792">
        <v>2010</v>
      </c>
      <c r="G792" t="s">
        <v>5038</v>
      </c>
      <c r="H792">
        <v>13</v>
      </c>
      <c r="I792">
        <v>2.5099999999999998</v>
      </c>
      <c r="J792">
        <v>11</v>
      </c>
      <c r="K792">
        <v>12703.85</v>
      </c>
      <c r="L792">
        <v>15</v>
      </c>
    </row>
    <row r="793" spans="1:12" x14ac:dyDescent="0.3">
      <c r="A793" t="s">
        <v>808</v>
      </c>
      <c r="B793" t="s">
        <v>34</v>
      </c>
      <c r="C793" t="s">
        <v>11</v>
      </c>
      <c r="D793">
        <v>39</v>
      </c>
      <c r="E793" s="1">
        <v>44812</v>
      </c>
      <c r="F793">
        <v>2022</v>
      </c>
      <c r="G793" t="s">
        <v>5033</v>
      </c>
      <c r="H793">
        <v>8</v>
      </c>
      <c r="I793">
        <v>2.31</v>
      </c>
      <c r="J793">
        <v>0</v>
      </c>
      <c r="K793">
        <v>5090.54</v>
      </c>
      <c r="L793">
        <v>3.2</v>
      </c>
    </row>
    <row r="794" spans="1:12" x14ac:dyDescent="0.3">
      <c r="A794" t="s">
        <v>809</v>
      </c>
      <c r="B794" t="s">
        <v>34</v>
      </c>
      <c r="C794" t="s">
        <v>11</v>
      </c>
      <c r="D794">
        <v>38</v>
      </c>
      <c r="E794" s="1">
        <v>44146</v>
      </c>
      <c r="F794">
        <v>2020</v>
      </c>
      <c r="G794" t="s">
        <v>5038</v>
      </c>
      <c r="H794">
        <v>11</v>
      </c>
      <c r="I794">
        <v>3.5</v>
      </c>
      <c r="J794">
        <v>10</v>
      </c>
      <c r="K794">
        <v>12628.62</v>
      </c>
      <c r="L794">
        <v>5</v>
      </c>
    </row>
    <row r="795" spans="1:12" x14ac:dyDescent="0.3">
      <c r="A795" t="s">
        <v>810</v>
      </c>
      <c r="B795" t="s">
        <v>34</v>
      </c>
      <c r="C795" t="s">
        <v>14</v>
      </c>
      <c r="D795">
        <v>59</v>
      </c>
      <c r="E795" s="1">
        <v>45572</v>
      </c>
      <c r="F795">
        <v>2024</v>
      </c>
      <c r="G795" t="s">
        <v>5039</v>
      </c>
      <c r="H795">
        <v>7</v>
      </c>
      <c r="I795">
        <v>3.24</v>
      </c>
      <c r="J795">
        <v>1</v>
      </c>
      <c r="K795">
        <v>6428.96</v>
      </c>
      <c r="L795">
        <v>1.1000000000000001</v>
      </c>
    </row>
    <row r="796" spans="1:12" x14ac:dyDescent="0.3">
      <c r="A796" t="s">
        <v>811</v>
      </c>
      <c r="B796" t="s">
        <v>10</v>
      </c>
      <c r="C796" t="s">
        <v>11</v>
      </c>
      <c r="D796">
        <v>52</v>
      </c>
      <c r="E796" s="1">
        <v>41746</v>
      </c>
      <c r="F796">
        <v>2014</v>
      </c>
      <c r="G796" t="s">
        <v>5040</v>
      </c>
      <c r="H796">
        <v>17</v>
      </c>
      <c r="I796">
        <v>2.5099999999999998</v>
      </c>
      <c r="J796">
        <v>4</v>
      </c>
      <c r="K796">
        <v>10075.73</v>
      </c>
      <c r="L796">
        <v>11.6</v>
      </c>
    </row>
    <row r="797" spans="1:12" x14ac:dyDescent="0.3">
      <c r="A797" t="s">
        <v>812</v>
      </c>
      <c r="B797" t="s">
        <v>10</v>
      </c>
      <c r="C797" t="s">
        <v>14</v>
      </c>
      <c r="D797">
        <v>45</v>
      </c>
      <c r="E797" s="1">
        <v>40459</v>
      </c>
      <c r="F797">
        <v>2010</v>
      </c>
      <c r="G797" t="s">
        <v>5039</v>
      </c>
      <c r="H797">
        <v>8</v>
      </c>
      <c r="I797">
        <v>2</v>
      </c>
      <c r="J797">
        <v>9</v>
      </c>
      <c r="K797">
        <v>8438.67</v>
      </c>
      <c r="L797">
        <v>15.1</v>
      </c>
    </row>
    <row r="798" spans="1:12" x14ac:dyDescent="0.3">
      <c r="A798" t="s">
        <v>813</v>
      </c>
      <c r="B798" t="s">
        <v>34</v>
      </c>
      <c r="C798" t="s">
        <v>11</v>
      </c>
      <c r="D798">
        <v>35</v>
      </c>
      <c r="E798" s="1">
        <v>45316</v>
      </c>
      <c r="F798">
        <v>2024</v>
      </c>
      <c r="G798" t="s">
        <v>5037</v>
      </c>
      <c r="H798">
        <v>25</v>
      </c>
      <c r="I798">
        <v>3.26</v>
      </c>
      <c r="J798">
        <v>11</v>
      </c>
      <c r="K798">
        <v>3315.71</v>
      </c>
      <c r="L798">
        <v>1.8</v>
      </c>
    </row>
    <row r="799" spans="1:12" x14ac:dyDescent="0.3">
      <c r="A799" t="s">
        <v>814</v>
      </c>
      <c r="B799" t="s">
        <v>10</v>
      </c>
      <c r="C799" t="s">
        <v>11</v>
      </c>
      <c r="D799">
        <v>53</v>
      </c>
      <c r="E799" s="1">
        <v>40256</v>
      </c>
      <c r="F799">
        <v>2010</v>
      </c>
      <c r="G799" t="s">
        <v>5035</v>
      </c>
      <c r="H799">
        <v>19</v>
      </c>
      <c r="I799">
        <v>2.5299999999999998</v>
      </c>
      <c r="J799">
        <v>14</v>
      </c>
      <c r="K799">
        <v>11028.5</v>
      </c>
      <c r="L799">
        <v>15.6</v>
      </c>
    </row>
    <row r="800" spans="1:12" x14ac:dyDescent="0.3">
      <c r="A800" t="s">
        <v>815</v>
      </c>
      <c r="B800" t="s">
        <v>24</v>
      </c>
      <c r="C800" t="s">
        <v>11</v>
      </c>
      <c r="D800">
        <v>60</v>
      </c>
      <c r="E800" s="1">
        <v>45656</v>
      </c>
      <c r="F800">
        <v>2024</v>
      </c>
      <c r="G800" t="s">
        <v>5041</v>
      </c>
      <c r="H800">
        <v>30</v>
      </c>
      <c r="I800">
        <v>3.81</v>
      </c>
      <c r="J800">
        <v>0</v>
      </c>
      <c r="K800">
        <v>13489.77</v>
      </c>
      <c r="L800">
        <v>0.8</v>
      </c>
    </row>
    <row r="801" spans="1:12" x14ac:dyDescent="0.3">
      <c r="A801" t="s">
        <v>816</v>
      </c>
      <c r="B801" t="s">
        <v>34</v>
      </c>
      <c r="C801" t="s">
        <v>11</v>
      </c>
      <c r="D801">
        <v>52</v>
      </c>
      <c r="E801" s="1">
        <v>44184</v>
      </c>
      <c r="F801">
        <v>2020</v>
      </c>
      <c r="G801" t="s">
        <v>5041</v>
      </c>
      <c r="H801">
        <v>19</v>
      </c>
      <c r="I801">
        <v>1.53</v>
      </c>
      <c r="J801">
        <v>14</v>
      </c>
      <c r="K801">
        <v>4139.43</v>
      </c>
      <c r="L801">
        <v>4.9000000000000004</v>
      </c>
    </row>
    <row r="802" spans="1:12" x14ac:dyDescent="0.3">
      <c r="A802" t="s">
        <v>817</v>
      </c>
      <c r="B802" t="s">
        <v>16</v>
      </c>
      <c r="C802" t="s">
        <v>14</v>
      </c>
      <c r="D802">
        <v>49</v>
      </c>
      <c r="E802" s="1">
        <v>44948</v>
      </c>
      <c r="F802">
        <v>2023</v>
      </c>
      <c r="G802" t="s">
        <v>5037</v>
      </c>
      <c r="H802">
        <v>22</v>
      </c>
      <c r="I802">
        <v>3.61</v>
      </c>
      <c r="J802">
        <v>3</v>
      </c>
      <c r="K802">
        <v>13644.1</v>
      </c>
      <c r="L802">
        <v>2.8</v>
      </c>
    </row>
    <row r="803" spans="1:12" x14ac:dyDescent="0.3">
      <c r="A803" t="s">
        <v>818</v>
      </c>
      <c r="B803" t="s">
        <v>18</v>
      </c>
      <c r="C803" t="s">
        <v>14</v>
      </c>
      <c r="D803">
        <v>30</v>
      </c>
      <c r="E803" s="1">
        <v>42253</v>
      </c>
      <c r="F803">
        <v>2015</v>
      </c>
      <c r="G803" t="s">
        <v>5033</v>
      </c>
      <c r="H803">
        <v>6</v>
      </c>
      <c r="I803">
        <v>3.8</v>
      </c>
      <c r="J803">
        <v>14</v>
      </c>
      <c r="K803">
        <v>14704.11</v>
      </c>
      <c r="L803">
        <v>10.199999999999999</v>
      </c>
    </row>
    <row r="804" spans="1:12" x14ac:dyDescent="0.3">
      <c r="A804" t="s">
        <v>819</v>
      </c>
      <c r="B804" t="s">
        <v>18</v>
      </c>
      <c r="C804" t="s">
        <v>11</v>
      </c>
      <c r="D804">
        <v>24</v>
      </c>
      <c r="E804" s="1">
        <v>41950</v>
      </c>
      <c r="F804">
        <v>2014</v>
      </c>
      <c r="G804" t="s">
        <v>5038</v>
      </c>
      <c r="H804">
        <v>7</v>
      </c>
      <c r="I804">
        <v>2.0099999999999998</v>
      </c>
      <c r="J804">
        <v>14</v>
      </c>
      <c r="K804">
        <v>9675.23</v>
      </c>
      <c r="L804">
        <v>11</v>
      </c>
    </row>
    <row r="805" spans="1:12" x14ac:dyDescent="0.3">
      <c r="A805" t="s">
        <v>820</v>
      </c>
      <c r="B805" t="s">
        <v>34</v>
      </c>
      <c r="C805" t="s">
        <v>14</v>
      </c>
      <c r="D805">
        <v>55</v>
      </c>
      <c r="E805" s="1">
        <v>42137</v>
      </c>
      <c r="F805">
        <v>2015</v>
      </c>
      <c r="G805" t="s">
        <v>5036</v>
      </c>
      <c r="H805">
        <v>13</v>
      </c>
      <c r="I805">
        <v>4.63</v>
      </c>
      <c r="J805">
        <v>12</v>
      </c>
      <c r="K805">
        <v>10256.52</v>
      </c>
      <c r="L805">
        <v>10.5</v>
      </c>
    </row>
    <row r="806" spans="1:12" x14ac:dyDescent="0.3">
      <c r="A806" t="s">
        <v>821</v>
      </c>
      <c r="B806" t="s">
        <v>18</v>
      </c>
      <c r="C806" t="s">
        <v>14</v>
      </c>
      <c r="D806">
        <v>60</v>
      </c>
      <c r="E806" s="1">
        <v>41484</v>
      </c>
      <c r="F806">
        <v>2013</v>
      </c>
      <c r="G806" t="s">
        <v>5034</v>
      </c>
      <c r="H806">
        <v>29</v>
      </c>
      <c r="I806">
        <v>1.58</v>
      </c>
      <c r="J806">
        <v>10</v>
      </c>
      <c r="K806">
        <v>7035.33</v>
      </c>
      <c r="L806">
        <v>12.3</v>
      </c>
    </row>
    <row r="807" spans="1:12" x14ac:dyDescent="0.3">
      <c r="A807" t="s">
        <v>822</v>
      </c>
      <c r="B807" t="s">
        <v>18</v>
      </c>
      <c r="C807" t="s">
        <v>11</v>
      </c>
      <c r="D807">
        <v>41</v>
      </c>
      <c r="E807" s="1">
        <v>42690</v>
      </c>
      <c r="F807">
        <v>2016</v>
      </c>
      <c r="G807" t="s">
        <v>5038</v>
      </c>
      <c r="H807">
        <v>16</v>
      </c>
      <c r="I807">
        <v>2.4</v>
      </c>
      <c r="J807">
        <v>8</v>
      </c>
      <c r="K807">
        <v>14120.58</v>
      </c>
      <c r="L807">
        <v>9</v>
      </c>
    </row>
    <row r="808" spans="1:12" x14ac:dyDescent="0.3">
      <c r="A808" t="s">
        <v>823</v>
      </c>
      <c r="B808" t="s">
        <v>16</v>
      </c>
      <c r="C808" t="s">
        <v>14</v>
      </c>
      <c r="D808">
        <v>59</v>
      </c>
      <c r="E808" s="1">
        <v>45080</v>
      </c>
      <c r="F808">
        <v>2023</v>
      </c>
      <c r="G808" t="s">
        <v>5032</v>
      </c>
      <c r="H808">
        <v>3</v>
      </c>
      <c r="I808">
        <v>4.67</v>
      </c>
      <c r="J808">
        <v>10</v>
      </c>
      <c r="K808">
        <v>11532.07</v>
      </c>
      <c r="L808">
        <v>2.4</v>
      </c>
    </row>
    <row r="809" spans="1:12" x14ac:dyDescent="0.3">
      <c r="A809" t="s">
        <v>824</v>
      </c>
      <c r="B809" t="s">
        <v>13</v>
      </c>
      <c r="C809" t="s">
        <v>14</v>
      </c>
      <c r="D809">
        <v>60</v>
      </c>
      <c r="E809" s="1">
        <v>41808</v>
      </c>
      <c r="F809">
        <v>2014</v>
      </c>
      <c r="G809" t="s">
        <v>5032</v>
      </c>
      <c r="H809">
        <v>18</v>
      </c>
      <c r="I809">
        <v>1.76</v>
      </c>
      <c r="J809">
        <v>4</v>
      </c>
      <c r="K809">
        <v>6483.43</v>
      </c>
      <c r="L809">
        <v>11.4</v>
      </c>
    </row>
    <row r="810" spans="1:12" x14ac:dyDescent="0.3">
      <c r="A810" t="s">
        <v>825</v>
      </c>
      <c r="B810" t="s">
        <v>34</v>
      </c>
      <c r="C810" t="s">
        <v>11</v>
      </c>
      <c r="D810">
        <v>29</v>
      </c>
      <c r="E810" s="1">
        <v>41352</v>
      </c>
      <c r="F810">
        <v>2013</v>
      </c>
      <c r="G810" t="s">
        <v>5035</v>
      </c>
      <c r="H810">
        <v>19</v>
      </c>
      <c r="I810">
        <v>3.31</v>
      </c>
      <c r="J810">
        <v>11</v>
      </c>
      <c r="K810">
        <v>5003.28</v>
      </c>
      <c r="L810">
        <v>12.6</v>
      </c>
    </row>
    <row r="811" spans="1:12" x14ac:dyDescent="0.3">
      <c r="A811" t="s">
        <v>826</v>
      </c>
      <c r="B811" t="s">
        <v>18</v>
      </c>
      <c r="C811" t="s">
        <v>14</v>
      </c>
      <c r="D811">
        <v>52</v>
      </c>
      <c r="E811" s="1">
        <v>43454</v>
      </c>
      <c r="F811">
        <v>2018</v>
      </c>
      <c r="G811" t="s">
        <v>5041</v>
      </c>
      <c r="H811">
        <v>20</v>
      </c>
      <c r="I811">
        <v>3.4</v>
      </c>
      <c r="J811">
        <v>2</v>
      </c>
      <c r="K811">
        <v>8484.5</v>
      </c>
      <c r="L811">
        <v>6.9</v>
      </c>
    </row>
    <row r="812" spans="1:12" x14ac:dyDescent="0.3">
      <c r="A812" t="s">
        <v>827</v>
      </c>
      <c r="B812" t="s">
        <v>34</v>
      </c>
      <c r="C812" t="s">
        <v>11</v>
      </c>
      <c r="D812">
        <v>49</v>
      </c>
      <c r="E812" s="1">
        <v>44889</v>
      </c>
      <c r="F812">
        <v>2022</v>
      </c>
      <c r="G812" t="s">
        <v>5038</v>
      </c>
      <c r="H812">
        <v>24</v>
      </c>
      <c r="I812">
        <v>3.9</v>
      </c>
      <c r="J812">
        <v>13</v>
      </c>
      <c r="K812">
        <v>7514.31</v>
      </c>
      <c r="L812">
        <v>2.9</v>
      </c>
    </row>
    <row r="813" spans="1:12" x14ac:dyDescent="0.3">
      <c r="A813" t="s">
        <v>828</v>
      </c>
      <c r="B813" t="s">
        <v>16</v>
      </c>
      <c r="C813" t="s">
        <v>11</v>
      </c>
      <c r="D813">
        <v>42</v>
      </c>
      <c r="E813" s="1">
        <v>45931</v>
      </c>
      <c r="F813">
        <v>2025</v>
      </c>
      <c r="G813" t="s">
        <v>5039</v>
      </c>
      <c r="H813">
        <v>1</v>
      </c>
      <c r="I813">
        <v>3.85</v>
      </c>
      <c r="J813">
        <v>6</v>
      </c>
      <c r="K813">
        <v>6329.96</v>
      </c>
      <c r="L813">
        <v>0.1</v>
      </c>
    </row>
    <row r="814" spans="1:12" x14ac:dyDescent="0.3">
      <c r="A814" t="s">
        <v>829</v>
      </c>
      <c r="B814" t="s">
        <v>18</v>
      </c>
      <c r="C814" t="s">
        <v>14</v>
      </c>
      <c r="D814">
        <v>49</v>
      </c>
      <c r="E814" s="1">
        <v>40609</v>
      </c>
      <c r="F814">
        <v>2011</v>
      </c>
      <c r="G814" t="s">
        <v>5035</v>
      </c>
      <c r="H814">
        <v>7</v>
      </c>
      <c r="I814">
        <v>3.55</v>
      </c>
      <c r="J814">
        <v>14</v>
      </c>
      <c r="K814">
        <v>3645.64</v>
      </c>
      <c r="L814">
        <v>14.7</v>
      </c>
    </row>
    <row r="815" spans="1:12" x14ac:dyDescent="0.3">
      <c r="A815" t="s">
        <v>830</v>
      </c>
      <c r="B815" t="s">
        <v>10</v>
      </c>
      <c r="C815" t="s">
        <v>11</v>
      </c>
      <c r="D815">
        <v>23</v>
      </c>
      <c r="E815" s="1">
        <v>40707</v>
      </c>
      <c r="F815">
        <v>2011</v>
      </c>
      <c r="G815" t="s">
        <v>5032</v>
      </c>
      <c r="H815">
        <v>13</v>
      </c>
      <c r="I815">
        <v>4.53</v>
      </c>
      <c r="J815">
        <v>10</v>
      </c>
      <c r="K815">
        <v>7112.66</v>
      </c>
      <c r="L815">
        <v>14.4</v>
      </c>
    </row>
    <row r="816" spans="1:12" x14ac:dyDescent="0.3">
      <c r="A816" t="s">
        <v>831</v>
      </c>
      <c r="B816" t="s">
        <v>10</v>
      </c>
      <c r="C816" t="s">
        <v>11</v>
      </c>
      <c r="D816">
        <v>55</v>
      </c>
      <c r="E816" s="1">
        <v>41101</v>
      </c>
      <c r="F816">
        <v>2012</v>
      </c>
      <c r="G816" t="s">
        <v>5034</v>
      </c>
      <c r="H816">
        <v>11</v>
      </c>
      <c r="I816">
        <v>1.52</v>
      </c>
      <c r="J816">
        <v>14</v>
      </c>
      <c r="K816">
        <v>12779.87</v>
      </c>
      <c r="L816">
        <v>13.3</v>
      </c>
    </row>
    <row r="817" spans="1:12" x14ac:dyDescent="0.3">
      <c r="A817" t="s">
        <v>832</v>
      </c>
      <c r="B817" t="s">
        <v>10</v>
      </c>
      <c r="C817" t="s">
        <v>11</v>
      </c>
      <c r="D817">
        <v>34</v>
      </c>
      <c r="E817" s="1">
        <v>44156</v>
      </c>
      <c r="F817">
        <v>2020</v>
      </c>
      <c r="G817" t="s">
        <v>5038</v>
      </c>
      <c r="H817">
        <v>21</v>
      </c>
      <c r="I817">
        <v>1.67</v>
      </c>
      <c r="J817">
        <v>11</v>
      </c>
      <c r="K817">
        <v>13473.52</v>
      </c>
      <c r="L817">
        <v>4.9000000000000004</v>
      </c>
    </row>
    <row r="818" spans="1:12" x14ac:dyDescent="0.3">
      <c r="A818" t="s">
        <v>833</v>
      </c>
      <c r="B818" t="s">
        <v>24</v>
      </c>
      <c r="C818" t="s">
        <v>11</v>
      </c>
      <c r="D818">
        <v>52</v>
      </c>
      <c r="E818" s="1">
        <v>41666</v>
      </c>
      <c r="F818">
        <v>2014</v>
      </c>
      <c r="G818" t="s">
        <v>5037</v>
      </c>
      <c r="H818">
        <v>27</v>
      </c>
      <c r="I818">
        <v>4.45</v>
      </c>
      <c r="J818">
        <v>7</v>
      </c>
      <c r="K818">
        <v>7753.63</v>
      </c>
      <c r="L818">
        <v>11.8</v>
      </c>
    </row>
    <row r="819" spans="1:12" x14ac:dyDescent="0.3">
      <c r="A819" t="s">
        <v>834</v>
      </c>
      <c r="B819" t="s">
        <v>10</v>
      </c>
      <c r="C819" t="s">
        <v>11</v>
      </c>
      <c r="D819">
        <v>27</v>
      </c>
      <c r="E819" s="1">
        <v>41900</v>
      </c>
      <c r="F819">
        <v>2014</v>
      </c>
      <c r="G819" t="s">
        <v>5033</v>
      </c>
      <c r="H819">
        <v>18</v>
      </c>
      <c r="I819">
        <v>3.22</v>
      </c>
      <c r="J819">
        <v>14</v>
      </c>
      <c r="K819">
        <v>5412.29</v>
      </c>
      <c r="L819">
        <v>11.1</v>
      </c>
    </row>
    <row r="820" spans="1:12" x14ac:dyDescent="0.3">
      <c r="A820" t="s">
        <v>835</v>
      </c>
      <c r="B820" t="s">
        <v>10</v>
      </c>
      <c r="C820" t="s">
        <v>14</v>
      </c>
      <c r="D820">
        <v>56</v>
      </c>
      <c r="E820" s="1">
        <v>43872</v>
      </c>
      <c r="F820">
        <v>2020</v>
      </c>
      <c r="G820" t="s">
        <v>5042</v>
      </c>
      <c r="H820">
        <v>11</v>
      </c>
      <c r="I820">
        <v>2.11</v>
      </c>
      <c r="J820">
        <v>0</v>
      </c>
      <c r="K820">
        <v>5868.16</v>
      </c>
      <c r="L820">
        <v>5.7</v>
      </c>
    </row>
    <row r="821" spans="1:12" x14ac:dyDescent="0.3">
      <c r="A821" t="s">
        <v>836</v>
      </c>
      <c r="B821" t="s">
        <v>16</v>
      </c>
      <c r="C821" t="s">
        <v>11</v>
      </c>
      <c r="D821">
        <v>38</v>
      </c>
      <c r="E821" s="1">
        <v>40229</v>
      </c>
      <c r="F821">
        <v>2010</v>
      </c>
      <c r="G821" t="s">
        <v>5042</v>
      </c>
      <c r="H821">
        <v>20</v>
      </c>
      <c r="I821">
        <v>2.17</v>
      </c>
      <c r="J821">
        <v>9</v>
      </c>
      <c r="K821">
        <v>9088.18</v>
      </c>
      <c r="L821">
        <v>15.7</v>
      </c>
    </row>
    <row r="822" spans="1:12" x14ac:dyDescent="0.3">
      <c r="A822" t="s">
        <v>837</v>
      </c>
      <c r="B822" t="s">
        <v>16</v>
      </c>
      <c r="C822" t="s">
        <v>14</v>
      </c>
      <c r="D822">
        <v>45</v>
      </c>
      <c r="E822" s="1">
        <v>40615</v>
      </c>
      <c r="F822">
        <v>2011</v>
      </c>
      <c r="G822" t="s">
        <v>5035</v>
      </c>
      <c r="H822">
        <v>13</v>
      </c>
      <c r="I822">
        <v>3.21</v>
      </c>
      <c r="J822">
        <v>12</v>
      </c>
      <c r="K822">
        <v>3055.43</v>
      </c>
      <c r="L822">
        <v>14.6</v>
      </c>
    </row>
    <row r="823" spans="1:12" x14ac:dyDescent="0.3">
      <c r="A823" t="s">
        <v>838</v>
      </c>
      <c r="B823" t="s">
        <v>24</v>
      </c>
      <c r="C823" t="s">
        <v>14</v>
      </c>
      <c r="D823">
        <v>35</v>
      </c>
      <c r="E823" s="1">
        <v>44933</v>
      </c>
      <c r="F823">
        <v>2023</v>
      </c>
      <c r="G823" t="s">
        <v>5037</v>
      </c>
      <c r="H823">
        <v>7</v>
      </c>
      <c r="I823">
        <v>2.58</v>
      </c>
      <c r="J823">
        <v>13</v>
      </c>
      <c r="K823">
        <v>14707.36</v>
      </c>
      <c r="L823">
        <v>2.8</v>
      </c>
    </row>
    <row r="824" spans="1:12" x14ac:dyDescent="0.3">
      <c r="A824" t="s">
        <v>839</v>
      </c>
      <c r="B824" t="s">
        <v>16</v>
      </c>
      <c r="C824" t="s">
        <v>11</v>
      </c>
      <c r="D824">
        <v>59</v>
      </c>
      <c r="E824" s="1">
        <v>45887</v>
      </c>
      <c r="F824">
        <v>2025</v>
      </c>
      <c r="G824" t="s">
        <v>5031</v>
      </c>
      <c r="H824">
        <v>18</v>
      </c>
      <c r="I824">
        <v>4.17</v>
      </c>
      <c r="J824">
        <v>3</v>
      </c>
      <c r="K824">
        <v>14604.37</v>
      </c>
      <c r="L824">
        <v>0.2</v>
      </c>
    </row>
    <row r="825" spans="1:12" x14ac:dyDescent="0.3">
      <c r="A825" t="s">
        <v>840</v>
      </c>
      <c r="B825" t="s">
        <v>16</v>
      </c>
      <c r="C825" t="s">
        <v>14</v>
      </c>
      <c r="D825">
        <v>33</v>
      </c>
      <c r="E825" s="1">
        <v>45136</v>
      </c>
      <c r="F825">
        <v>2023</v>
      </c>
      <c r="G825" t="s">
        <v>5034</v>
      </c>
      <c r="H825">
        <v>29</v>
      </c>
      <c r="I825">
        <v>3.99</v>
      </c>
      <c r="J825">
        <v>0</v>
      </c>
      <c r="K825">
        <v>9825.83</v>
      </c>
      <c r="L825">
        <v>2.2999999999999998</v>
      </c>
    </row>
    <row r="826" spans="1:12" x14ac:dyDescent="0.3">
      <c r="A826" t="s">
        <v>841</v>
      </c>
      <c r="B826" t="s">
        <v>16</v>
      </c>
      <c r="C826" t="s">
        <v>14</v>
      </c>
      <c r="D826">
        <v>60</v>
      </c>
      <c r="E826" s="1">
        <v>43937</v>
      </c>
      <c r="F826">
        <v>2020</v>
      </c>
      <c r="G826" t="s">
        <v>5040</v>
      </c>
      <c r="H826">
        <v>16</v>
      </c>
      <c r="I826">
        <v>2.64</v>
      </c>
      <c r="J826">
        <v>12</v>
      </c>
      <c r="K826">
        <v>7328.31</v>
      </c>
      <c r="L826">
        <v>5.5</v>
      </c>
    </row>
    <row r="827" spans="1:12" x14ac:dyDescent="0.3">
      <c r="A827" t="s">
        <v>842</v>
      </c>
      <c r="B827" t="s">
        <v>24</v>
      </c>
      <c r="C827" t="s">
        <v>11</v>
      </c>
      <c r="D827">
        <v>48</v>
      </c>
      <c r="E827" s="1">
        <v>43218</v>
      </c>
      <c r="F827">
        <v>2018</v>
      </c>
      <c r="G827" t="s">
        <v>5040</v>
      </c>
      <c r="H827">
        <v>28</v>
      </c>
      <c r="I827">
        <v>4.7300000000000004</v>
      </c>
      <c r="J827">
        <v>12</v>
      </c>
      <c r="K827">
        <v>5179.67</v>
      </c>
      <c r="L827">
        <v>7.5</v>
      </c>
    </row>
    <row r="828" spans="1:12" x14ac:dyDescent="0.3">
      <c r="A828" t="s">
        <v>843</v>
      </c>
      <c r="B828" t="s">
        <v>34</v>
      </c>
      <c r="C828" t="s">
        <v>14</v>
      </c>
      <c r="D828">
        <v>24</v>
      </c>
      <c r="E828" s="1">
        <v>43556</v>
      </c>
      <c r="F828">
        <v>2019</v>
      </c>
      <c r="G828" t="s">
        <v>5040</v>
      </c>
      <c r="H828">
        <v>1</v>
      </c>
      <c r="I828">
        <v>2.16</v>
      </c>
      <c r="J828">
        <v>14</v>
      </c>
      <c r="K828">
        <v>13117.72</v>
      </c>
      <c r="L828">
        <v>6.6</v>
      </c>
    </row>
    <row r="829" spans="1:12" x14ac:dyDescent="0.3">
      <c r="A829" t="s">
        <v>844</v>
      </c>
      <c r="B829" t="s">
        <v>34</v>
      </c>
      <c r="C829" t="s">
        <v>14</v>
      </c>
      <c r="D829">
        <v>56</v>
      </c>
      <c r="E829" s="1">
        <v>43965</v>
      </c>
      <c r="F829">
        <v>2020</v>
      </c>
      <c r="G829" t="s">
        <v>5036</v>
      </c>
      <c r="H829">
        <v>14</v>
      </c>
      <c r="I829">
        <v>3.11</v>
      </c>
      <c r="J829">
        <v>2</v>
      </c>
      <c r="K829">
        <v>4294.87</v>
      </c>
      <c r="L829">
        <v>5.5</v>
      </c>
    </row>
    <row r="830" spans="1:12" x14ac:dyDescent="0.3">
      <c r="A830" t="s">
        <v>845</v>
      </c>
      <c r="B830" t="s">
        <v>13</v>
      </c>
      <c r="C830" t="s">
        <v>14</v>
      </c>
      <c r="D830">
        <v>45</v>
      </c>
      <c r="E830" s="1">
        <v>42224</v>
      </c>
      <c r="F830">
        <v>2015</v>
      </c>
      <c r="G830" t="s">
        <v>5031</v>
      </c>
      <c r="H830">
        <v>8</v>
      </c>
      <c r="I830">
        <v>2.5</v>
      </c>
      <c r="J830">
        <v>9</v>
      </c>
      <c r="K830">
        <v>13568.85</v>
      </c>
      <c r="L830">
        <v>10.199999999999999</v>
      </c>
    </row>
    <row r="831" spans="1:12" x14ac:dyDescent="0.3">
      <c r="A831" t="s">
        <v>846</v>
      </c>
      <c r="B831" t="s">
        <v>13</v>
      </c>
      <c r="C831" t="s">
        <v>14</v>
      </c>
      <c r="D831">
        <v>58</v>
      </c>
      <c r="E831" s="1">
        <v>43531</v>
      </c>
      <c r="F831">
        <v>2019</v>
      </c>
      <c r="G831" t="s">
        <v>5035</v>
      </c>
      <c r="H831">
        <v>7</v>
      </c>
      <c r="I831">
        <v>1.84</v>
      </c>
      <c r="J831">
        <v>13</v>
      </c>
      <c r="K831">
        <v>13378.14</v>
      </c>
      <c r="L831">
        <v>6.7</v>
      </c>
    </row>
    <row r="832" spans="1:12" x14ac:dyDescent="0.3">
      <c r="A832" t="s">
        <v>847</v>
      </c>
      <c r="B832" t="s">
        <v>13</v>
      </c>
      <c r="C832" t="s">
        <v>14</v>
      </c>
      <c r="D832">
        <v>24</v>
      </c>
      <c r="E832" s="1">
        <v>44986</v>
      </c>
      <c r="F832">
        <v>2023</v>
      </c>
      <c r="G832" t="s">
        <v>5035</v>
      </c>
      <c r="H832">
        <v>1</v>
      </c>
      <c r="I832">
        <v>2.46</v>
      </c>
      <c r="J832">
        <v>12</v>
      </c>
      <c r="K832">
        <v>3151.79</v>
      </c>
      <c r="L832">
        <v>2.7</v>
      </c>
    </row>
    <row r="833" spans="1:12" x14ac:dyDescent="0.3">
      <c r="A833" t="s">
        <v>848</v>
      </c>
      <c r="B833" t="s">
        <v>18</v>
      </c>
      <c r="C833" t="s">
        <v>14</v>
      </c>
      <c r="D833">
        <v>46</v>
      </c>
      <c r="E833" s="1">
        <v>42979</v>
      </c>
      <c r="F833">
        <v>2017</v>
      </c>
      <c r="G833" t="s">
        <v>5033</v>
      </c>
      <c r="H833">
        <v>1</v>
      </c>
      <c r="I833">
        <v>4.28</v>
      </c>
      <c r="J833">
        <v>6</v>
      </c>
      <c r="K833">
        <v>3231.04</v>
      </c>
      <c r="L833">
        <v>8.1999999999999993</v>
      </c>
    </row>
    <row r="834" spans="1:12" x14ac:dyDescent="0.3">
      <c r="A834" t="s">
        <v>849</v>
      </c>
      <c r="B834" t="s">
        <v>16</v>
      </c>
      <c r="C834" t="s">
        <v>11</v>
      </c>
      <c r="D834">
        <v>55</v>
      </c>
      <c r="E834" s="1">
        <v>44658</v>
      </c>
      <c r="F834">
        <v>2022</v>
      </c>
      <c r="G834" t="s">
        <v>5040</v>
      </c>
      <c r="H834">
        <v>7</v>
      </c>
      <c r="I834">
        <v>3.37</v>
      </c>
      <c r="J834">
        <v>3</v>
      </c>
      <c r="K834">
        <v>13976.07</v>
      </c>
      <c r="L834">
        <v>3.6</v>
      </c>
    </row>
    <row r="835" spans="1:12" x14ac:dyDescent="0.3">
      <c r="A835" t="s">
        <v>850</v>
      </c>
      <c r="B835" t="s">
        <v>16</v>
      </c>
      <c r="C835" t="s">
        <v>11</v>
      </c>
      <c r="D835">
        <v>24</v>
      </c>
      <c r="E835" s="1">
        <v>44479</v>
      </c>
      <c r="F835">
        <v>2021</v>
      </c>
      <c r="G835" t="s">
        <v>5039</v>
      </c>
      <c r="H835">
        <v>10</v>
      </c>
      <c r="I835">
        <v>3.91</v>
      </c>
      <c r="J835">
        <v>13</v>
      </c>
      <c r="K835">
        <v>3149.95</v>
      </c>
      <c r="L835">
        <v>4.0999999999999996</v>
      </c>
    </row>
    <row r="836" spans="1:12" x14ac:dyDescent="0.3">
      <c r="A836" t="s">
        <v>851</v>
      </c>
      <c r="B836" t="s">
        <v>24</v>
      </c>
      <c r="C836" t="s">
        <v>11</v>
      </c>
      <c r="D836">
        <v>45</v>
      </c>
      <c r="E836" s="1">
        <v>45904</v>
      </c>
      <c r="F836">
        <v>2025</v>
      </c>
      <c r="G836" t="s">
        <v>5033</v>
      </c>
      <c r="H836">
        <v>4</v>
      </c>
      <c r="I836">
        <v>3.78</v>
      </c>
      <c r="J836">
        <v>0</v>
      </c>
      <c r="K836">
        <v>12672.74</v>
      </c>
      <c r="L836">
        <v>0.2</v>
      </c>
    </row>
    <row r="837" spans="1:12" x14ac:dyDescent="0.3">
      <c r="A837" t="s">
        <v>852</v>
      </c>
      <c r="B837" t="s">
        <v>16</v>
      </c>
      <c r="C837" t="s">
        <v>14</v>
      </c>
      <c r="D837">
        <v>40</v>
      </c>
      <c r="E837" s="1">
        <v>41425</v>
      </c>
      <c r="F837">
        <v>2013</v>
      </c>
      <c r="G837" t="s">
        <v>5036</v>
      </c>
      <c r="H837">
        <v>31</v>
      </c>
      <c r="I837">
        <v>4.3600000000000003</v>
      </c>
      <c r="J837">
        <v>10</v>
      </c>
      <c r="K837">
        <v>11739.09</v>
      </c>
      <c r="L837">
        <v>12.4</v>
      </c>
    </row>
    <row r="838" spans="1:12" x14ac:dyDescent="0.3">
      <c r="A838" t="s">
        <v>853</v>
      </c>
      <c r="B838" t="s">
        <v>34</v>
      </c>
      <c r="C838" t="s">
        <v>11</v>
      </c>
      <c r="D838">
        <v>48</v>
      </c>
      <c r="E838" s="1">
        <v>42287</v>
      </c>
      <c r="F838">
        <v>2015</v>
      </c>
      <c r="G838" t="s">
        <v>5039</v>
      </c>
      <c r="H838">
        <v>10</v>
      </c>
      <c r="I838">
        <v>2.34</v>
      </c>
      <c r="J838">
        <v>10</v>
      </c>
      <c r="K838">
        <v>6901.57</v>
      </c>
      <c r="L838">
        <v>10.1</v>
      </c>
    </row>
    <row r="839" spans="1:12" x14ac:dyDescent="0.3">
      <c r="A839" t="s">
        <v>854</v>
      </c>
      <c r="B839" t="s">
        <v>13</v>
      </c>
      <c r="C839" t="s">
        <v>11</v>
      </c>
      <c r="D839">
        <v>56</v>
      </c>
      <c r="E839" s="1">
        <v>44894</v>
      </c>
      <c r="F839">
        <v>2022</v>
      </c>
      <c r="G839" t="s">
        <v>5038</v>
      </c>
      <c r="H839">
        <v>29</v>
      </c>
      <c r="I839">
        <v>4.1500000000000004</v>
      </c>
      <c r="J839">
        <v>9</v>
      </c>
      <c r="K839">
        <v>7871.94</v>
      </c>
      <c r="L839">
        <v>2.9</v>
      </c>
    </row>
    <row r="840" spans="1:12" x14ac:dyDescent="0.3">
      <c r="A840" t="s">
        <v>855</v>
      </c>
      <c r="B840" t="s">
        <v>16</v>
      </c>
      <c r="C840" t="s">
        <v>14</v>
      </c>
      <c r="D840">
        <v>22</v>
      </c>
      <c r="E840" s="1">
        <v>43692</v>
      </c>
      <c r="F840">
        <v>2019</v>
      </c>
      <c r="G840" t="s">
        <v>5031</v>
      </c>
      <c r="H840">
        <v>15</v>
      </c>
      <c r="I840">
        <v>2.39</v>
      </c>
      <c r="J840">
        <v>0</v>
      </c>
      <c r="K840">
        <v>5354.46</v>
      </c>
      <c r="L840">
        <v>6.2</v>
      </c>
    </row>
    <row r="841" spans="1:12" x14ac:dyDescent="0.3">
      <c r="A841" t="s">
        <v>856</v>
      </c>
      <c r="B841" t="s">
        <v>16</v>
      </c>
      <c r="C841" t="s">
        <v>11</v>
      </c>
      <c r="D841">
        <v>34</v>
      </c>
      <c r="E841" s="1">
        <v>44057</v>
      </c>
      <c r="F841">
        <v>2020</v>
      </c>
      <c r="G841" t="s">
        <v>5031</v>
      </c>
      <c r="H841">
        <v>14</v>
      </c>
      <c r="I841">
        <v>2.46</v>
      </c>
      <c r="J841">
        <v>4</v>
      </c>
      <c r="K841">
        <v>6655.59</v>
      </c>
      <c r="L841">
        <v>5.2</v>
      </c>
    </row>
    <row r="842" spans="1:12" x14ac:dyDescent="0.3">
      <c r="A842" t="s">
        <v>857</v>
      </c>
      <c r="B842" t="s">
        <v>16</v>
      </c>
      <c r="C842" t="s">
        <v>14</v>
      </c>
      <c r="D842">
        <v>49</v>
      </c>
      <c r="E842" s="1">
        <v>44079</v>
      </c>
      <c r="F842">
        <v>2020</v>
      </c>
      <c r="G842" t="s">
        <v>5033</v>
      </c>
      <c r="H842">
        <v>5</v>
      </c>
      <c r="I842">
        <v>4.42</v>
      </c>
      <c r="J842">
        <v>5</v>
      </c>
      <c r="K842">
        <v>8083.32</v>
      </c>
      <c r="L842">
        <v>5.2</v>
      </c>
    </row>
    <row r="843" spans="1:12" x14ac:dyDescent="0.3">
      <c r="A843" t="s">
        <v>858</v>
      </c>
      <c r="B843" t="s">
        <v>16</v>
      </c>
      <c r="C843" t="s">
        <v>14</v>
      </c>
      <c r="D843">
        <v>49</v>
      </c>
      <c r="E843" s="1">
        <v>41274</v>
      </c>
      <c r="F843">
        <v>2012</v>
      </c>
      <c r="G843" t="s">
        <v>5041</v>
      </c>
      <c r="H843">
        <v>31</v>
      </c>
      <c r="I843">
        <v>3.43</v>
      </c>
      <c r="J843">
        <v>8</v>
      </c>
      <c r="K843">
        <v>14134.6</v>
      </c>
      <c r="L843">
        <v>12.8</v>
      </c>
    </row>
    <row r="844" spans="1:12" x14ac:dyDescent="0.3">
      <c r="A844" t="s">
        <v>859</v>
      </c>
      <c r="B844" t="s">
        <v>18</v>
      </c>
      <c r="C844" t="s">
        <v>14</v>
      </c>
      <c r="D844">
        <v>33</v>
      </c>
      <c r="E844" s="1">
        <v>40206</v>
      </c>
      <c r="F844">
        <v>2010</v>
      </c>
      <c r="G844" t="s">
        <v>5037</v>
      </c>
      <c r="H844">
        <v>28</v>
      </c>
      <c r="I844">
        <v>1.68</v>
      </c>
      <c r="J844">
        <v>12</v>
      </c>
      <c r="K844">
        <v>8968.7800000000007</v>
      </c>
      <c r="L844">
        <v>15.8</v>
      </c>
    </row>
    <row r="845" spans="1:12" x14ac:dyDescent="0.3">
      <c r="A845" t="s">
        <v>860</v>
      </c>
      <c r="B845" t="s">
        <v>16</v>
      </c>
      <c r="C845" t="s">
        <v>14</v>
      </c>
      <c r="D845">
        <v>44</v>
      </c>
      <c r="E845" s="1">
        <v>45385</v>
      </c>
      <c r="F845">
        <v>2024</v>
      </c>
      <c r="G845" t="s">
        <v>5040</v>
      </c>
      <c r="H845">
        <v>3</v>
      </c>
      <c r="I845">
        <v>3.46</v>
      </c>
      <c r="J845">
        <v>12</v>
      </c>
      <c r="K845">
        <v>3343.47</v>
      </c>
      <c r="L845">
        <v>1.6</v>
      </c>
    </row>
    <row r="846" spans="1:12" x14ac:dyDescent="0.3">
      <c r="A846" t="s">
        <v>861</v>
      </c>
      <c r="B846" t="s">
        <v>16</v>
      </c>
      <c r="C846" t="s">
        <v>14</v>
      </c>
      <c r="D846">
        <v>27</v>
      </c>
      <c r="E846" s="1">
        <v>45524</v>
      </c>
      <c r="F846">
        <v>2024</v>
      </c>
      <c r="G846" t="s">
        <v>5031</v>
      </c>
      <c r="H846">
        <v>20</v>
      </c>
      <c r="I846">
        <v>1.51</v>
      </c>
      <c r="J846">
        <v>2</v>
      </c>
      <c r="K846">
        <v>13322.79</v>
      </c>
      <c r="L846">
        <v>1.2</v>
      </c>
    </row>
    <row r="847" spans="1:12" x14ac:dyDescent="0.3">
      <c r="A847" t="s">
        <v>862</v>
      </c>
      <c r="B847" t="s">
        <v>34</v>
      </c>
      <c r="C847" t="s">
        <v>14</v>
      </c>
      <c r="D847">
        <v>35</v>
      </c>
      <c r="E847" s="1">
        <v>43092</v>
      </c>
      <c r="F847">
        <v>2017</v>
      </c>
      <c r="G847" t="s">
        <v>5041</v>
      </c>
      <c r="H847">
        <v>23</v>
      </c>
      <c r="I847">
        <v>3.17</v>
      </c>
      <c r="J847">
        <v>5</v>
      </c>
      <c r="K847">
        <v>6104.3</v>
      </c>
      <c r="L847">
        <v>7.9</v>
      </c>
    </row>
    <row r="848" spans="1:12" x14ac:dyDescent="0.3">
      <c r="A848" t="s">
        <v>863</v>
      </c>
      <c r="B848" t="s">
        <v>18</v>
      </c>
      <c r="C848" t="s">
        <v>14</v>
      </c>
      <c r="D848">
        <v>52</v>
      </c>
      <c r="E848" s="1">
        <v>43964</v>
      </c>
      <c r="F848">
        <v>2020</v>
      </c>
      <c r="G848" t="s">
        <v>5036</v>
      </c>
      <c r="H848">
        <v>13</v>
      </c>
      <c r="I848">
        <v>3.25</v>
      </c>
      <c r="J848">
        <v>5</v>
      </c>
      <c r="K848">
        <v>5004.3599999999997</v>
      </c>
      <c r="L848">
        <v>5.5</v>
      </c>
    </row>
    <row r="849" spans="1:12" x14ac:dyDescent="0.3">
      <c r="A849" t="s">
        <v>864</v>
      </c>
      <c r="B849" t="s">
        <v>13</v>
      </c>
      <c r="C849" t="s">
        <v>14</v>
      </c>
      <c r="D849">
        <v>36</v>
      </c>
      <c r="E849" s="1">
        <v>41844</v>
      </c>
      <c r="F849">
        <v>2014</v>
      </c>
      <c r="G849" t="s">
        <v>5034</v>
      </c>
      <c r="H849">
        <v>24</v>
      </c>
      <c r="I849">
        <v>2.46</v>
      </c>
      <c r="J849">
        <v>10</v>
      </c>
      <c r="K849">
        <v>7880.73</v>
      </c>
      <c r="L849">
        <v>11.3</v>
      </c>
    </row>
    <row r="850" spans="1:12" x14ac:dyDescent="0.3">
      <c r="A850" t="s">
        <v>865</v>
      </c>
      <c r="B850" t="s">
        <v>16</v>
      </c>
      <c r="C850" t="s">
        <v>11</v>
      </c>
      <c r="D850">
        <v>33</v>
      </c>
      <c r="E850" s="1">
        <v>42968</v>
      </c>
      <c r="F850">
        <v>2017</v>
      </c>
      <c r="G850" t="s">
        <v>5031</v>
      </c>
      <c r="H850">
        <v>21</v>
      </c>
      <c r="I850">
        <v>4.49</v>
      </c>
      <c r="J850">
        <v>7</v>
      </c>
      <c r="K850">
        <v>9044.84</v>
      </c>
      <c r="L850">
        <v>8.1999999999999993</v>
      </c>
    </row>
    <row r="851" spans="1:12" x14ac:dyDescent="0.3">
      <c r="A851" t="s">
        <v>866</v>
      </c>
      <c r="B851" t="s">
        <v>16</v>
      </c>
      <c r="C851" t="s">
        <v>14</v>
      </c>
      <c r="D851">
        <v>46</v>
      </c>
      <c r="E851" s="1">
        <v>45249</v>
      </c>
      <c r="F851">
        <v>2023</v>
      </c>
      <c r="G851" t="s">
        <v>5038</v>
      </c>
      <c r="H851">
        <v>19</v>
      </c>
      <c r="I851">
        <v>1.85</v>
      </c>
      <c r="J851">
        <v>6</v>
      </c>
      <c r="K851">
        <v>14093.17</v>
      </c>
      <c r="L851">
        <v>2</v>
      </c>
    </row>
    <row r="852" spans="1:12" x14ac:dyDescent="0.3">
      <c r="A852" t="s">
        <v>867</v>
      </c>
      <c r="B852" t="s">
        <v>18</v>
      </c>
      <c r="C852" t="s">
        <v>11</v>
      </c>
      <c r="D852">
        <v>23</v>
      </c>
      <c r="E852" s="1">
        <v>44414</v>
      </c>
      <c r="F852">
        <v>2021</v>
      </c>
      <c r="G852" t="s">
        <v>5031</v>
      </c>
      <c r="H852">
        <v>6</v>
      </c>
      <c r="I852">
        <v>3.7</v>
      </c>
      <c r="J852">
        <v>5</v>
      </c>
      <c r="K852">
        <v>11343.5</v>
      </c>
      <c r="L852">
        <v>4.2</v>
      </c>
    </row>
    <row r="853" spans="1:12" x14ac:dyDescent="0.3">
      <c r="A853" t="s">
        <v>868</v>
      </c>
      <c r="B853" t="s">
        <v>18</v>
      </c>
      <c r="C853" t="s">
        <v>11</v>
      </c>
      <c r="D853">
        <v>44</v>
      </c>
      <c r="E853" s="1">
        <v>40784</v>
      </c>
      <c r="F853">
        <v>2011</v>
      </c>
      <c r="G853" t="s">
        <v>5031</v>
      </c>
      <c r="H853">
        <v>29</v>
      </c>
      <c r="I853">
        <v>4.7300000000000004</v>
      </c>
      <c r="J853">
        <v>2</v>
      </c>
      <c r="K853">
        <v>13356.31</v>
      </c>
      <c r="L853">
        <v>14.2</v>
      </c>
    </row>
    <row r="854" spans="1:12" x14ac:dyDescent="0.3">
      <c r="A854" t="s">
        <v>869</v>
      </c>
      <c r="B854" t="s">
        <v>18</v>
      </c>
      <c r="C854" t="s">
        <v>14</v>
      </c>
      <c r="D854">
        <v>54</v>
      </c>
      <c r="E854" s="1">
        <v>44806</v>
      </c>
      <c r="F854">
        <v>2022</v>
      </c>
      <c r="G854" t="s">
        <v>5033</v>
      </c>
      <c r="H854">
        <v>2</v>
      </c>
      <c r="I854">
        <v>3.06</v>
      </c>
      <c r="J854">
        <v>13</v>
      </c>
      <c r="K854">
        <v>14936.96</v>
      </c>
      <c r="L854">
        <v>3.2</v>
      </c>
    </row>
    <row r="855" spans="1:12" x14ac:dyDescent="0.3">
      <c r="A855" t="s">
        <v>870</v>
      </c>
      <c r="B855" t="s">
        <v>16</v>
      </c>
      <c r="C855" t="s">
        <v>14</v>
      </c>
      <c r="D855">
        <v>53</v>
      </c>
      <c r="E855" s="1">
        <v>45308</v>
      </c>
      <c r="F855">
        <v>2024</v>
      </c>
      <c r="G855" t="s">
        <v>5037</v>
      </c>
      <c r="H855">
        <v>17</v>
      </c>
      <c r="I855">
        <v>2.33</v>
      </c>
      <c r="J855">
        <v>2</v>
      </c>
      <c r="K855">
        <v>13766.88</v>
      </c>
      <c r="L855">
        <v>1.8</v>
      </c>
    </row>
    <row r="856" spans="1:12" x14ac:dyDescent="0.3">
      <c r="A856" t="s">
        <v>871</v>
      </c>
      <c r="B856" t="s">
        <v>10</v>
      </c>
      <c r="C856" t="s">
        <v>11</v>
      </c>
      <c r="D856">
        <v>23</v>
      </c>
      <c r="E856" s="1">
        <v>42619</v>
      </c>
      <c r="F856">
        <v>2016</v>
      </c>
      <c r="G856" t="s">
        <v>5033</v>
      </c>
      <c r="H856">
        <v>6</v>
      </c>
      <c r="I856">
        <v>3.85</v>
      </c>
      <c r="J856">
        <v>0</v>
      </c>
      <c r="K856">
        <v>5871.49</v>
      </c>
      <c r="L856">
        <v>9.1999999999999993</v>
      </c>
    </row>
    <row r="857" spans="1:12" x14ac:dyDescent="0.3">
      <c r="A857" t="s">
        <v>872</v>
      </c>
      <c r="B857" t="s">
        <v>10</v>
      </c>
      <c r="C857" t="s">
        <v>14</v>
      </c>
      <c r="D857">
        <v>59</v>
      </c>
      <c r="E857" s="1">
        <v>41889</v>
      </c>
      <c r="F857">
        <v>2014</v>
      </c>
      <c r="G857" t="s">
        <v>5033</v>
      </c>
      <c r="H857">
        <v>7</v>
      </c>
      <c r="I857">
        <v>4.1900000000000004</v>
      </c>
      <c r="J857">
        <v>7</v>
      </c>
      <c r="K857">
        <v>6643.71</v>
      </c>
      <c r="L857">
        <v>11.2</v>
      </c>
    </row>
    <row r="858" spans="1:12" x14ac:dyDescent="0.3">
      <c r="A858" t="s">
        <v>873</v>
      </c>
      <c r="B858" t="s">
        <v>24</v>
      </c>
      <c r="C858" t="s">
        <v>11</v>
      </c>
      <c r="D858">
        <v>51</v>
      </c>
      <c r="E858" s="1">
        <v>44500</v>
      </c>
      <c r="F858">
        <v>2021</v>
      </c>
      <c r="G858" t="s">
        <v>5039</v>
      </c>
      <c r="H858">
        <v>31</v>
      </c>
      <c r="I858">
        <v>1.98</v>
      </c>
      <c r="J858">
        <v>13</v>
      </c>
      <c r="K858">
        <v>4446.55</v>
      </c>
      <c r="L858">
        <v>4</v>
      </c>
    </row>
    <row r="859" spans="1:12" x14ac:dyDescent="0.3">
      <c r="A859" t="s">
        <v>874</v>
      </c>
      <c r="B859" t="s">
        <v>13</v>
      </c>
      <c r="C859" t="s">
        <v>14</v>
      </c>
      <c r="D859">
        <v>42</v>
      </c>
      <c r="E859" s="1">
        <v>45765</v>
      </c>
      <c r="F859">
        <v>2025</v>
      </c>
      <c r="G859" t="s">
        <v>5040</v>
      </c>
      <c r="H859">
        <v>18</v>
      </c>
      <c r="I859">
        <v>4.74</v>
      </c>
      <c r="J859">
        <v>11</v>
      </c>
      <c r="K859">
        <v>3491.61</v>
      </c>
      <c r="L859">
        <v>0.5</v>
      </c>
    </row>
    <row r="860" spans="1:12" x14ac:dyDescent="0.3">
      <c r="A860" t="s">
        <v>875</v>
      </c>
      <c r="B860" t="s">
        <v>24</v>
      </c>
      <c r="C860" t="s">
        <v>14</v>
      </c>
      <c r="D860">
        <v>50</v>
      </c>
      <c r="E860" s="1">
        <v>43693</v>
      </c>
      <c r="F860">
        <v>2019</v>
      </c>
      <c r="G860" t="s">
        <v>5031</v>
      </c>
      <c r="H860">
        <v>16</v>
      </c>
      <c r="I860">
        <v>4.22</v>
      </c>
      <c r="J860">
        <v>7</v>
      </c>
      <c r="K860">
        <v>4533.45</v>
      </c>
      <c r="L860">
        <v>6.2</v>
      </c>
    </row>
    <row r="861" spans="1:12" x14ac:dyDescent="0.3">
      <c r="A861" t="s">
        <v>876</v>
      </c>
      <c r="B861" t="s">
        <v>18</v>
      </c>
      <c r="C861" t="s">
        <v>14</v>
      </c>
      <c r="D861">
        <v>45</v>
      </c>
      <c r="E861" s="1">
        <v>44823</v>
      </c>
      <c r="F861">
        <v>2022</v>
      </c>
      <c r="G861" t="s">
        <v>5033</v>
      </c>
      <c r="H861">
        <v>19</v>
      </c>
      <c r="I861">
        <v>2.2599999999999998</v>
      </c>
      <c r="J861">
        <v>7</v>
      </c>
      <c r="K861">
        <v>10812.27</v>
      </c>
      <c r="L861">
        <v>3.1</v>
      </c>
    </row>
    <row r="862" spans="1:12" x14ac:dyDescent="0.3">
      <c r="A862" t="s">
        <v>877</v>
      </c>
      <c r="B862" t="s">
        <v>10</v>
      </c>
      <c r="C862" t="s">
        <v>14</v>
      </c>
      <c r="D862">
        <v>26</v>
      </c>
      <c r="E862" s="1">
        <v>41933</v>
      </c>
      <c r="F862">
        <v>2014</v>
      </c>
      <c r="G862" t="s">
        <v>5039</v>
      </c>
      <c r="H862">
        <v>21</v>
      </c>
      <c r="I862">
        <v>3.73</v>
      </c>
      <c r="J862">
        <v>14</v>
      </c>
      <c r="K862">
        <v>4424.92</v>
      </c>
      <c r="L862">
        <v>11</v>
      </c>
    </row>
    <row r="863" spans="1:12" x14ac:dyDescent="0.3">
      <c r="A863" t="s">
        <v>878</v>
      </c>
      <c r="B863" t="s">
        <v>24</v>
      </c>
      <c r="C863" t="s">
        <v>14</v>
      </c>
      <c r="D863">
        <v>46</v>
      </c>
      <c r="E863" s="1">
        <v>40959</v>
      </c>
      <c r="F863">
        <v>2012</v>
      </c>
      <c r="G863" t="s">
        <v>5042</v>
      </c>
      <c r="H863">
        <v>20</v>
      </c>
      <c r="I863">
        <v>2.95</v>
      </c>
      <c r="J863">
        <v>0</v>
      </c>
      <c r="K863">
        <v>14804.58</v>
      </c>
      <c r="L863">
        <v>13.7</v>
      </c>
    </row>
    <row r="864" spans="1:12" x14ac:dyDescent="0.3">
      <c r="A864" t="s">
        <v>879</v>
      </c>
      <c r="B864" t="s">
        <v>34</v>
      </c>
      <c r="C864" t="s">
        <v>11</v>
      </c>
      <c r="D864">
        <v>55</v>
      </c>
      <c r="E864" s="1">
        <v>45731</v>
      </c>
      <c r="F864">
        <v>2025</v>
      </c>
      <c r="G864" t="s">
        <v>5035</v>
      </c>
      <c r="H864">
        <v>15</v>
      </c>
      <c r="I864">
        <v>2.72</v>
      </c>
      <c r="J864">
        <v>6</v>
      </c>
      <c r="K864">
        <v>13872.58</v>
      </c>
      <c r="L864">
        <v>0.6</v>
      </c>
    </row>
    <row r="865" spans="1:12" x14ac:dyDescent="0.3">
      <c r="A865" t="s">
        <v>880</v>
      </c>
      <c r="B865" t="s">
        <v>13</v>
      </c>
      <c r="C865" t="s">
        <v>11</v>
      </c>
      <c r="D865">
        <v>40</v>
      </c>
      <c r="E865" s="1">
        <v>43825</v>
      </c>
      <c r="F865">
        <v>2019</v>
      </c>
      <c r="G865" t="s">
        <v>5041</v>
      </c>
      <c r="H865">
        <v>26</v>
      </c>
      <c r="I865">
        <v>3.72</v>
      </c>
      <c r="J865">
        <v>2</v>
      </c>
      <c r="K865">
        <v>13491.06</v>
      </c>
      <c r="L865">
        <v>5.9</v>
      </c>
    </row>
    <row r="866" spans="1:12" x14ac:dyDescent="0.3">
      <c r="A866" t="s">
        <v>881</v>
      </c>
      <c r="B866" t="s">
        <v>13</v>
      </c>
      <c r="C866" t="s">
        <v>14</v>
      </c>
      <c r="D866">
        <v>37</v>
      </c>
      <c r="E866" s="1">
        <v>40941</v>
      </c>
      <c r="F866">
        <v>2012</v>
      </c>
      <c r="G866" t="s">
        <v>5042</v>
      </c>
      <c r="H866">
        <v>2</v>
      </c>
      <c r="I866">
        <v>2.52</v>
      </c>
      <c r="J866">
        <v>7</v>
      </c>
      <c r="K866">
        <v>8705</v>
      </c>
      <c r="L866">
        <v>13.8</v>
      </c>
    </row>
    <row r="867" spans="1:12" x14ac:dyDescent="0.3">
      <c r="A867" t="s">
        <v>882</v>
      </c>
      <c r="B867" t="s">
        <v>34</v>
      </c>
      <c r="C867" t="s">
        <v>14</v>
      </c>
      <c r="D867">
        <v>25</v>
      </c>
      <c r="E867" s="1">
        <v>42340</v>
      </c>
      <c r="F867">
        <v>2015</v>
      </c>
      <c r="G867" t="s">
        <v>5041</v>
      </c>
      <c r="H867">
        <v>2</v>
      </c>
      <c r="I867">
        <v>4.9800000000000004</v>
      </c>
      <c r="J867">
        <v>2</v>
      </c>
      <c r="K867">
        <v>12598.62</v>
      </c>
      <c r="L867">
        <v>9.9</v>
      </c>
    </row>
    <row r="868" spans="1:12" x14ac:dyDescent="0.3">
      <c r="A868" t="s">
        <v>883</v>
      </c>
      <c r="B868" t="s">
        <v>34</v>
      </c>
      <c r="C868" t="s">
        <v>11</v>
      </c>
      <c r="D868">
        <v>43</v>
      </c>
      <c r="E868" s="1">
        <v>44426</v>
      </c>
      <c r="F868">
        <v>2021</v>
      </c>
      <c r="G868" t="s">
        <v>5031</v>
      </c>
      <c r="H868">
        <v>18</v>
      </c>
      <c r="I868">
        <v>4.78</v>
      </c>
      <c r="J868">
        <v>7</v>
      </c>
      <c r="K868">
        <v>9389.4599999999991</v>
      </c>
      <c r="L868">
        <v>4.2</v>
      </c>
    </row>
    <row r="869" spans="1:12" x14ac:dyDescent="0.3">
      <c r="A869" t="s">
        <v>884</v>
      </c>
      <c r="B869" t="s">
        <v>16</v>
      </c>
      <c r="C869" t="s">
        <v>11</v>
      </c>
      <c r="D869">
        <v>37</v>
      </c>
      <c r="E869" s="1">
        <v>44317</v>
      </c>
      <c r="F869">
        <v>2021</v>
      </c>
      <c r="G869" t="s">
        <v>5036</v>
      </c>
      <c r="H869">
        <v>1</v>
      </c>
      <c r="I869">
        <v>3</v>
      </c>
      <c r="J869">
        <v>6</v>
      </c>
      <c r="K869">
        <v>14649.85</v>
      </c>
      <c r="L869">
        <v>4.5</v>
      </c>
    </row>
    <row r="870" spans="1:12" x14ac:dyDescent="0.3">
      <c r="A870" t="s">
        <v>885</v>
      </c>
      <c r="B870" t="s">
        <v>18</v>
      </c>
      <c r="C870" t="s">
        <v>14</v>
      </c>
      <c r="D870">
        <v>24</v>
      </c>
      <c r="E870" s="1">
        <v>43062</v>
      </c>
      <c r="F870">
        <v>2017</v>
      </c>
      <c r="G870" t="s">
        <v>5038</v>
      </c>
      <c r="H870">
        <v>23</v>
      </c>
      <c r="I870">
        <v>3.56</v>
      </c>
      <c r="J870">
        <v>9</v>
      </c>
      <c r="K870">
        <v>10844.52</v>
      </c>
      <c r="L870">
        <v>7.9</v>
      </c>
    </row>
    <row r="871" spans="1:12" x14ac:dyDescent="0.3">
      <c r="A871" t="s">
        <v>886</v>
      </c>
      <c r="B871" t="s">
        <v>24</v>
      </c>
      <c r="C871" t="s">
        <v>11</v>
      </c>
      <c r="D871">
        <v>48</v>
      </c>
      <c r="E871" s="1">
        <v>44187</v>
      </c>
      <c r="F871">
        <v>2020</v>
      </c>
      <c r="G871" t="s">
        <v>5041</v>
      </c>
      <c r="H871">
        <v>22</v>
      </c>
      <c r="I871">
        <v>3.97</v>
      </c>
      <c r="J871">
        <v>14</v>
      </c>
      <c r="K871">
        <v>7138.36</v>
      </c>
      <c r="L871">
        <v>4.9000000000000004</v>
      </c>
    </row>
    <row r="872" spans="1:12" x14ac:dyDescent="0.3">
      <c r="A872" t="s">
        <v>887</v>
      </c>
      <c r="B872" t="s">
        <v>13</v>
      </c>
      <c r="C872" t="s">
        <v>11</v>
      </c>
      <c r="D872">
        <v>54</v>
      </c>
      <c r="E872" s="1">
        <v>41382</v>
      </c>
      <c r="F872">
        <v>2013</v>
      </c>
      <c r="G872" t="s">
        <v>5040</v>
      </c>
      <c r="H872">
        <v>18</v>
      </c>
      <c r="I872">
        <v>4.66</v>
      </c>
      <c r="J872">
        <v>11</v>
      </c>
      <c r="K872">
        <v>12873.98</v>
      </c>
      <c r="L872">
        <v>12.5</v>
      </c>
    </row>
    <row r="873" spans="1:12" x14ac:dyDescent="0.3">
      <c r="A873" t="s">
        <v>888</v>
      </c>
      <c r="B873" t="s">
        <v>24</v>
      </c>
      <c r="C873" t="s">
        <v>14</v>
      </c>
      <c r="D873">
        <v>59</v>
      </c>
      <c r="E873" s="1">
        <v>43705</v>
      </c>
      <c r="F873">
        <v>2019</v>
      </c>
      <c r="G873" t="s">
        <v>5031</v>
      </c>
      <c r="H873">
        <v>28</v>
      </c>
      <c r="I873">
        <v>2.35</v>
      </c>
      <c r="J873">
        <v>0</v>
      </c>
      <c r="K873">
        <v>14950.32</v>
      </c>
      <c r="L873">
        <v>6.2</v>
      </c>
    </row>
    <row r="874" spans="1:12" x14ac:dyDescent="0.3">
      <c r="A874" t="s">
        <v>889</v>
      </c>
      <c r="B874" t="s">
        <v>13</v>
      </c>
      <c r="C874" t="s">
        <v>11</v>
      </c>
      <c r="D874">
        <v>35</v>
      </c>
      <c r="E874" s="1">
        <v>41105</v>
      </c>
      <c r="F874">
        <v>2012</v>
      </c>
      <c r="G874" t="s">
        <v>5034</v>
      </c>
      <c r="H874">
        <v>15</v>
      </c>
      <c r="I874">
        <v>1.62</v>
      </c>
      <c r="J874">
        <v>7</v>
      </c>
      <c r="K874">
        <v>8388.7999999999993</v>
      </c>
      <c r="L874">
        <v>13.3</v>
      </c>
    </row>
    <row r="875" spans="1:12" x14ac:dyDescent="0.3">
      <c r="A875" t="s">
        <v>890</v>
      </c>
      <c r="B875" t="s">
        <v>24</v>
      </c>
      <c r="C875" t="s">
        <v>11</v>
      </c>
      <c r="D875">
        <v>47</v>
      </c>
      <c r="E875" s="1">
        <v>45675</v>
      </c>
      <c r="F875">
        <v>2025</v>
      </c>
      <c r="G875" t="s">
        <v>5037</v>
      </c>
      <c r="H875">
        <v>18</v>
      </c>
      <c r="I875">
        <v>4.32</v>
      </c>
      <c r="J875">
        <v>7</v>
      </c>
      <c r="K875">
        <v>4626.32</v>
      </c>
      <c r="L875">
        <v>0.8</v>
      </c>
    </row>
    <row r="876" spans="1:12" x14ac:dyDescent="0.3">
      <c r="A876" t="s">
        <v>891</v>
      </c>
      <c r="B876" t="s">
        <v>34</v>
      </c>
      <c r="C876" t="s">
        <v>11</v>
      </c>
      <c r="D876">
        <v>22</v>
      </c>
      <c r="E876" s="1">
        <v>41040</v>
      </c>
      <c r="F876">
        <v>2012</v>
      </c>
      <c r="G876" t="s">
        <v>5036</v>
      </c>
      <c r="H876">
        <v>11</v>
      </c>
      <c r="I876">
        <v>3.65</v>
      </c>
      <c r="J876">
        <v>12</v>
      </c>
      <c r="K876">
        <v>6696.6</v>
      </c>
      <c r="L876">
        <v>13.5</v>
      </c>
    </row>
    <row r="877" spans="1:12" x14ac:dyDescent="0.3">
      <c r="A877" t="s">
        <v>892</v>
      </c>
      <c r="B877" t="s">
        <v>13</v>
      </c>
      <c r="C877" t="s">
        <v>14</v>
      </c>
      <c r="D877">
        <v>53</v>
      </c>
      <c r="E877" s="1">
        <v>41077</v>
      </c>
      <c r="F877">
        <v>2012</v>
      </c>
      <c r="G877" t="s">
        <v>5032</v>
      </c>
      <c r="H877">
        <v>17</v>
      </c>
      <c r="I877">
        <v>2.16</v>
      </c>
      <c r="J877">
        <v>8</v>
      </c>
      <c r="K877">
        <v>6515.2</v>
      </c>
      <c r="L877">
        <v>13.4</v>
      </c>
    </row>
    <row r="878" spans="1:12" x14ac:dyDescent="0.3">
      <c r="A878" t="s">
        <v>893</v>
      </c>
      <c r="B878" t="s">
        <v>16</v>
      </c>
      <c r="C878" t="s">
        <v>11</v>
      </c>
      <c r="D878">
        <v>38</v>
      </c>
      <c r="E878" s="1">
        <v>42344</v>
      </c>
      <c r="F878">
        <v>2015</v>
      </c>
      <c r="G878" t="s">
        <v>5041</v>
      </c>
      <c r="H878">
        <v>6</v>
      </c>
      <c r="I878">
        <v>1.67</v>
      </c>
      <c r="J878">
        <v>8</v>
      </c>
      <c r="K878">
        <v>4276.96</v>
      </c>
      <c r="L878">
        <v>9.9</v>
      </c>
    </row>
    <row r="879" spans="1:12" x14ac:dyDescent="0.3">
      <c r="A879" t="s">
        <v>894</v>
      </c>
      <c r="B879" t="s">
        <v>16</v>
      </c>
      <c r="C879" t="s">
        <v>11</v>
      </c>
      <c r="D879">
        <v>27</v>
      </c>
      <c r="E879" s="1">
        <v>40421</v>
      </c>
      <c r="F879">
        <v>2010</v>
      </c>
      <c r="G879" t="s">
        <v>5031</v>
      </c>
      <c r="H879">
        <v>31</v>
      </c>
      <c r="I879">
        <v>1.8</v>
      </c>
      <c r="J879">
        <v>14</v>
      </c>
      <c r="K879">
        <v>6027.94</v>
      </c>
      <c r="L879">
        <v>15.2</v>
      </c>
    </row>
    <row r="880" spans="1:12" x14ac:dyDescent="0.3">
      <c r="A880" t="s">
        <v>895</v>
      </c>
      <c r="B880" t="s">
        <v>24</v>
      </c>
      <c r="C880" t="s">
        <v>14</v>
      </c>
      <c r="D880">
        <v>39</v>
      </c>
      <c r="E880" s="1">
        <v>40807</v>
      </c>
      <c r="F880">
        <v>2011</v>
      </c>
      <c r="G880" t="s">
        <v>5033</v>
      </c>
      <c r="H880">
        <v>21</v>
      </c>
      <c r="I880">
        <v>4.3099999999999996</v>
      </c>
      <c r="J880">
        <v>11</v>
      </c>
      <c r="K880">
        <v>6653.78</v>
      </c>
      <c r="L880">
        <v>14.1</v>
      </c>
    </row>
    <row r="881" spans="1:12" x14ac:dyDescent="0.3">
      <c r="A881" t="s">
        <v>896</v>
      </c>
      <c r="B881" t="s">
        <v>24</v>
      </c>
      <c r="C881" t="s">
        <v>14</v>
      </c>
      <c r="D881">
        <v>28</v>
      </c>
      <c r="E881" s="1">
        <v>42220</v>
      </c>
      <c r="F881">
        <v>2015</v>
      </c>
      <c r="G881" t="s">
        <v>5031</v>
      </c>
      <c r="H881">
        <v>4</v>
      </c>
      <c r="I881">
        <v>4.7</v>
      </c>
      <c r="J881">
        <v>15</v>
      </c>
      <c r="K881">
        <v>8776.66</v>
      </c>
      <c r="L881">
        <v>10.3</v>
      </c>
    </row>
    <row r="882" spans="1:12" x14ac:dyDescent="0.3">
      <c r="A882" t="s">
        <v>897</v>
      </c>
      <c r="B882" t="s">
        <v>10</v>
      </c>
      <c r="C882" t="s">
        <v>14</v>
      </c>
      <c r="D882">
        <v>28</v>
      </c>
      <c r="E882" s="1">
        <v>42007</v>
      </c>
      <c r="F882">
        <v>2015</v>
      </c>
      <c r="G882" t="s">
        <v>5037</v>
      </c>
      <c r="H882">
        <v>3</v>
      </c>
      <c r="I882">
        <v>3.71</v>
      </c>
      <c r="J882">
        <v>9</v>
      </c>
      <c r="K882">
        <v>13574.1</v>
      </c>
      <c r="L882">
        <v>10.8</v>
      </c>
    </row>
    <row r="883" spans="1:12" x14ac:dyDescent="0.3">
      <c r="A883" t="s">
        <v>898</v>
      </c>
      <c r="B883" t="s">
        <v>24</v>
      </c>
      <c r="C883" t="s">
        <v>11</v>
      </c>
      <c r="D883">
        <v>40</v>
      </c>
      <c r="E883" s="1">
        <v>41066</v>
      </c>
      <c r="F883">
        <v>2012</v>
      </c>
      <c r="G883" t="s">
        <v>5032</v>
      </c>
      <c r="H883">
        <v>6</v>
      </c>
      <c r="I883">
        <v>4.76</v>
      </c>
      <c r="J883">
        <v>13</v>
      </c>
      <c r="K883">
        <v>5543.1</v>
      </c>
      <c r="L883">
        <v>13.4</v>
      </c>
    </row>
    <row r="884" spans="1:12" x14ac:dyDescent="0.3">
      <c r="A884" t="s">
        <v>899</v>
      </c>
      <c r="B884" t="s">
        <v>13</v>
      </c>
      <c r="C884" t="s">
        <v>14</v>
      </c>
      <c r="D884">
        <v>41</v>
      </c>
      <c r="E884" s="1">
        <v>40619</v>
      </c>
      <c r="F884">
        <v>2011</v>
      </c>
      <c r="G884" t="s">
        <v>5035</v>
      </c>
      <c r="H884">
        <v>17</v>
      </c>
      <c r="I884">
        <v>1.94</v>
      </c>
      <c r="J884">
        <v>4</v>
      </c>
      <c r="K884">
        <v>13578.05</v>
      </c>
      <c r="L884">
        <v>14.6</v>
      </c>
    </row>
    <row r="885" spans="1:12" x14ac:dyDescent="0.3">
      <c r="A885" t="s">
        <v>900</v>
      </c>
      <c r="B885" t="s">
        <v>34</v>
      </c>
      <c r="C885" t="s">
        <v>14</v>
      </c>
      <c r="D885">
        <v>28</v>
      </c>
      <c r="E885" s="1">
        <v>40554</v>
      </c>
      <c r="F885">
        <v>2011</v>
      </c>
      <c r="G885" t="s">
        <v>5037</v>
      </c>
      <c r="H885">
        <v>11</v>
      </c>
      <c r="I885">
        <v>3.53</v>
      </c>
      <c r="J885">
        <v>0</v>
      </c>
      <c r="K885">
        <v>5268.87</v>
      </c>
      <c r="L885">
        <v>14.8</v>
      </c>
    </row>
    <row r="886" spans="1:12" x14ac:dyDescent="0.3">
      <c r="A886" t="s">
        <v>901</v>
      </c>
      <c r="B886" t="s">
        <v>34</v>
      </c>
      <c r="C886" t="s">
        <v>11</v>
      </c>
      <c r="D886">
        <v>40</v>
      </c>
      <c r="E886" s="1">
        <v>43745</v>
      </c>
      <c r="F886">
        <v>2019</v>
      </c>
      <c r="G886" t="s">
        <v>5039</v>
      </c>
      <c r="H886">
        <v>7</v>
      </c>
      <c r="I886">
        <v>4.58</v>
      </c>
      <c r="J886">
        <v>8</v>
      </c>
      <c r="K886">
        <v>7602.68</v>
      </c>
      <c r="L886">
        <v>6.1</v>
      </c>
    </row>
    <row r="887" spans="1:12" x14ac:dyDescent="0.3">
      <c r="A887" t="s">
        <v>902</v>
      </c>
      <c r="B887" t="s">
        <v>24</v>
      </c>
      <c r="C887" t="s">
        <v>11</v>
      </c>
      <c r="D887">
        <v>39</v>
      </c>
      <c r="E887" s="1">
        <v>41316</v>
      </c>
      <c r="F887">
        <v>2013</v>
      </c>
      <c r="G887" t="s">
        <v>5042</v>
      </c>
      <c r="H887">
        <v>11</v>
      </c>
      <c r="I887">
        <v>1.67</v>
      </c>
      <c r="J887">
        <v>15</v>
      </c>
      <c r="K887">
        <v>3826.07</v>
      </c>
      <c r="L887">
        <v>12.7</v>
      </c>
    </row>
    <row r="888" spans="1:12" x14ac:dyDescent="0.3">
      <c r="A888" t="s">
        <v>903</v>
      </c>
      <c r="B888" t="s">
        <v>24</v>
      </c>
      <c r="C888" t="s">
        <v>11</v>
      </c>
      <c r="D888">
        <v>58</v>
      </c>
      <c r="E888" s="1">
        <v>43811</v>
      </c>
      <c r="F888">
        <v>2019</v>
      </c>
      <c r="G888" t="s">
        <v>5041</v>
      </c>
      <c r="H888">
        <v>12</v>
      </c>
      <c r="I888">
        <v>2.27</v>
      </c>
      <c r="J888">
        <v>11</v>
      </c>
      <c r="K888">
        <v>7151.78</v>
      </c>
      <c r="L888">
        <v>5.9</v>
      </c>
    </row>
    <row r="889" spans="1:12" x14ac:dyDescent="0.3">
      <c r="A889" t="s">
        <v>904</v>
      </c>
      <c r="B889" t="s">
        <v>13</v>
      </c>
      <c r="C889" t="s">
        <v>11</v>
      </c>
      <c r="D889">
        <v>38</v>
      </c>
      <c r="E889" s="1">
        <v>42637</v>
      </c>
      <c r="F889">
        <v>2016</v>
      </c>
      <c r="G889" t="s">
        <v>5033</v>
      </c>
      <c r="H889">
        <v>24</v>
      </c>
      <c r="I889">
        <v>4.22</v>
      </c>
      <c r="J889">
        <v>8</v>
      </c>
      <c r="K889">
        <v>14766.22</v>
      </c>
      <c r="L889">
        <v>9.1</v>
      </c>
    </row>
    <row r="890" spans="1:12" x14ac:dyDescent="0.3">
      <c r="A890" t="s">
        <v>905</v>
      </c>
      <c r="B890" t="s">
        <v>24</v>
      </c>
      <c r="C890" t="s">
        <v>11</v>
      </c>
      <c r="D890">
        <v>48</v>
      </c>
      <c r="E890" s="1">
        <v>42428</v>
      </c>
      <c r="F890">
        <v>2016</v>
      </c>
      <c r="G890" t="s">
        <v>5042</v>
      </c>
      <c r="H890">
        <v>28</v>
      </c>
      <c r="I890">
        <v>3.49</v>
      </c>
      <c r="J890">
        <v>15</v>
      </c>
      <c r="K890">
        <v>7651.64</v>
      </c>
      <c r="L890">
        <v>9.6999999999999993</v>
      </c>
    </row>
    <row r="891" spans="1:12" x14ac:dyDescent="0.3">
      <c r="A891" t="s">
        <v>906</v>
      </c>
      <c r="B891" t="s">
        <v>13</v>
      </c>
      <c r="C891" t="s">
        <v>14</v>
      </c>
      <c r="D891">
        <v>35</v>
      </c>
      <c r="E891" s="1">
        <v>42221</v>
      </c>
      <c r="F891">
        <v>2015</v>
      </c>
      <c r="G891" t="s">
        <v>5031</v>
      </c>
      <c r="H891">
        <v>5</v>
      </c>
      <c r="I891">
        <v>3.8</v>
      </c>
      <c r="J891">
        <v>2</v>
      </c>
      <c r="K891">
        <v>9255.36</v>
      </c>
      <c r="L891">
        <v>10.199999999999999</v>
      </c>
    </row>
    <row r="892" spans="1:12" x14ac:dyDescent="0.3">
      <c r="A892" t="s">
        <v>907</v>
      </c>
      <c r="B892" t="s">
        <v>10</v>
      </c>
      <c r="C892" t="s">
        <v>11</v>
      </c>
      <c r="D892">
        <v>34</v>
      </c>
      <c r="E892" s="1">
        <v>44874</v>
      </c>
      <c r="F892">
        <v>2022</v>
      </c>
      <c r="G892" t="s">
        <v>5038</v>
      </c>
      <c r="H892">
        <v>9</v>
      </c>
      <c r="I892">
        <v>2.75</v>
      </c>
      <c r="J892">
        <v>13</v>
      </c>
      <c r="K892">
        <v>14437.55</v>
      </c>
      <c r="L892">
        <v>3</v>
      </c>
    </row>
    <row r="893" spans="1:12" x14ac:dyDescent="0.3">
      <c r="A893" t="s">
        <v>908</v>
      </c>
      <c r="B893" t="s">
        <v>16</v>
      </c>
      <c r="C893" t="s">
        <v>14</v>
      </c>
      <c r="D893">
        <v>53</v>
      </c>
      <c r="E893" s="1">
        <v>40716</v>
      </c>
      <c r="F893">
        <v>2011</v>
      </c>
      <c r="G893" t="s">
        <v>5032</v>
      </c>
      <c r="H893">
        <v>22</v>
      </c>
      <c r="I893">
        <v>4.4800000000000004</v>
      </c>
      <c r="J893">
        <v>10</v>
      </c>
      <c r="K893">
        <v>10605.55</v>
      </c>
      <c r="L893">
        <v>14.4</v>
      </c>
    </row>
    <row r="894" spans="1:12" x14ac:dyDescent="0.3">
      <c r="A894" t="s">
        <v>909</v>
      </c>
      <c r="B894" t="s">
        <v>34</v>
      </c>
      <c r="C894" t="s">
        <v>14</v>
      </c>
      <c r="D894">
        <v>49</v>
      </c>
      <c r="E894" s="1">
        <v>40768</v>
      </c>
      <c r="F894">
        <v>2011</v>
      </c>
      <c r="G894" t="s">
        <v>5031</v>
      </c>
      <c r="H894">
        <v>13</v>
      </c>
      <c r="I894">
        <v>3.25</v>
      </c>
      <c r="J894">
        <v>7</v>
      </c>
      <c r="K894">
        <v>10775.47</v>
      </c>
      <c r="L894">
        <v>14.2</v>
      </c>
    </row>
    <row r="895" spans="1:12" x14ac:dyDescent="0.3">
      <c r="A895" t="s">
        <v>910</v>
      </c>
      <c r="B895" t="s">
        <v>10</v>
      </c>
      <c r="C895" t="s">
        <v>11</v>
      </c>
      <c r="D895">
        <v>59</v>
      </c>
      <c r="E895" s="1">
        <v>43943</v>
      </c>
      <c r="F895">
        <v>2020</v>
      </c>
      <c r="G895" t="s">
        <v>5040</v>
      </c>
      <c r="H895">
        <v>22</v>
      </c>
      <c r="I895">
        <v>1.73</v>
      </c>
      <c r="J895">
        <v>4</v>
      </c>
      <c r="K895">
        <v>5294.77</v>
      </c>
      <c r="L895">
        <v>5.5</v>
      </c>
    </row>
    <row r="896" spans="1:12" x14ac:dyDescent="0.3">
      <c r="A896" t="s">
        <v>911</v>
      </c>
      <c r="B896" t="s">
        <v>24</v>
      </c>
      <c r="C896" t="s">
        <v>11</v>
      </c>
      <c r="D896">
        <v>51</v>
      </c>
      <c r="E896" s="1">
        <v>40444</v>
      </c>
      <c r="F896">
        <v>2010</v>
      </c>
      <c r="G896" t="s">
        <v>5033</v>
      </c>
      <c r="H896">
        <v>23</v>
      </c>
      <c r="I896">
        <v>2.38</v>
      </c>
      <c r="J896">
        <v>13</v>
      </c>
      <c r="K896">
        <v>4006.12</v>
      </c>
      <c r="L896">
        <v>15.1</v>
      </c>
    </row>
    <row r="897" spans="1:12" x14ac:dyDescent="0.3">
      <c r="A897" t="s">
        <v>912</v>
      </c>
      <c r="B897" t="s">
        <v>34</v>
      </c>
      <c r="C897" t="s">
        <v>11</v>
      </c>
      <c r="D897">
        <v>22</v>
      </c>
      <c r="E897" s="1">
        <v>42927</v>
      </c>
      <c r="F897">
        <v>2017</v>
      </c>
      <c r="G897" t="s">
        <v>5034</v>
      </c>
      <c r="H897">
        <v>11</v>
      </c>
      <c r="I897">
        <v>2.78</v>
      </c>
      <c r="J897">
        <v>3</v>
      </c>
      <c r="K897">
        <v>6119.02</v>
      </c>
      <c r="L897">
        <v>8.3000000000000007</v>
      </c>
    </row>
    <row r="898" spans="1:12" x14ac:dyDescent="0.3">
      <c r="A898" t="s">
        <v>913</v>
      </c>
      <c r="B898" t="s">
        <v>18</v>
      </c>
      <c r="C898" t="s">
        <v>14</v>
      </c>
      <c r="D898">
        <v>35</v>
      </c>
      <c r="E898" s="1">
        <v>41851</v>
      </c>
      <c r="F898">
        <v>2014</v>
      </c>
      <c r="G898" t="s">
        <v>5034</v>
      </c>
      <c r="H898">
        <v>31</v>
      </c>
      <c r="I898">
        <v>4.92</v>
      </c>
      <c r="J898">
        <v>3</v>
      </c>
      <c r="K898">
        <v>12715.26</v>
      </c>
      <c r="L898">
        <v>11.3</v>
      </c>
    </row>
    <row r="899" spans="1:12" x14ac:dyDescent="0.3">
      <c r="A899" t="s">
        <v>914</v>
      </c>
      <c r="B899" t="s">
        <v>34</v>
      </c>
      <c r="C899" t="s">
        <v>14</v>
      </c>
      <c r="D899">
        <v>53</v>
      </c>
      <c r="E899" s="1">
        <v>41372</v>
      </c>
      <c r="F899">
        <v>2013</v>
      </c>
      <c r="G899" t="s">
        <v>5040</v>
      </c>
      <c r="H899">
        <v>8</v>
      </c>
      <c r="I899">
        <v>4.8</v>
      </c>
      <c r="J899">
        <v>1</v>
      </c>
      <c r="K899">
        <v>11288.41</v>
      </c>
      <c r="L899">
        <v>12.6</v>
      </c>
    </row>
    <row r="900" spans="1:12" x14ac:dyDescent="0.3">
      <c r="A900" t="s">
        <v>915</v>
      </c>
      <c r="B900" t="s">
        <v>34</v>
      </c>
      <c r="C900" t="s">
        <v>11</v>
      </c>
      <c r="D900">
        <v>28</v>
      </c>
      <c r="E900" s="1">
        <v>42293</v>
      </c>
      <c r="F900">
        <v>2015</v>
      </c>
      <c r="G900" t="s">
        <v>5039</v>
      </c>
      <c r="H900">
        <v>16</v>
      </c>
      <c r="I900">
        <v>2.25</v>
      </c>
      <c r="J900">
        <v>11</v>
      </c>
      <c r="K900">
        <v>4321.47</v>
      </c>
      <c r="L900">
        <v>10.1</v>
      </c>
    </row>
    <row r="901" spans="1:12" x14ac:dyDescent="0.3">
      <c r="A901" t="s">
        <v>916</v>
      </c>
      <c r="B901" t="s">
        <v>10</v>
      </c>
      <c r="C901" t="s">
        <v>11</v>
      </c>
      <c r="D901">
        <v>40</v>
      </c>
      <c r="E901" s="1">
        <v>45638</v>
      </c>
      <c r="F901">
        <v>2024</v>
      </c>
      <c r="G901" t="s">
        <v>5041</v>
      </c>
      <c r="H901">
        <v>12</v>
      </c>
      <c r="I901">
        <v>4.37</v>
      </c>
      <c r="J901">
        <v>5</v>
      </c>
      <c r="K901">
        <v>9401.58</v>
      </c>
      <c r="L901">
        <v>0.9</v>
      </c>
    </row>
    <row r="902" spans="1:12" x14ac:dyDescent="0.3">
      <c r="A902" t="s">
        <v>917</v>
      </c>
      <c r="B902" t="s">
        <v>24</v>
      </c>
      <c r="C902" t="s">
        <v>14</v>
      </c>
      <c r="D902">
        <v>37</v>
      </c>
      <c r="E902" s="1">
        <v>40800</v>
      </c>
      <c r="F902">
        <v>2011</v>
      </c>
      <c r="G902" t="s">
        <v>5033</v>
      </c>
      <c r="H902">
        <v>14</v>
      </c>
      <c r="I902">
        <v>4.83</v>
      </c>
      <c r="J902">
        <v>4</v>
      </c>
      <c r="K902">
        <v>9910.86</v>
      </c>
      <c r="L902">
        <v>14.1</v>
      </c>
    </row>
    <row r="903" spans="1:12" x14ac:dyDescent="0.3">
      <c r="A903" t="s">
        <v>918</v>
      </c>
      <c r="B903" t="s">
        <v>16</v>
      </c>
      <c r="C903" t="s">
        <v>14</v>
      </c>
      <c r="D903">
        <v>56</v>
      </c>
      <c r="E903" s="1">
        <v>41556</v>
      </c>
      <c r="F903">
        <v>2013</v>
      </c>
      <c r="G903" t="s">
        <v>5039</v>
      </c>
      <c r="H903">
        <v>9</v>
      </c>
      <c r="I903">
        <v>4.6399999999999997</v>
      </c>
      <c r="J903">
        <v>7</v>
      </c>
      <c r="K903">
        <v>9618.8799999999992</v>
      </c>
      <c r="L903">
        <v>12.1</v>
      </c>
    </row>
    <row r="904" spans="1:12" x14ac:dyDescent="0.3">
      <c r="A904" t="s">
        <v>919</v>
      </c>
      <c r="B904" t="s">
        <v>10</v>
      </c>
      <c r="C904" t="s">
        <v>14</v>
      </c>
      <c r="D904">
        <v>60</v>
      </c>
      <c r="E904" s="1">
        <v>41538</v>
      </c>
      <c r="F904">
        <v>2013</v>
      </c>
      <c r="G904" t="s">
        <v>5033</v>
      </c>
      <c r="H904">
        <v>21</v>
      </c>
      <c r="I904">
        <v>2.5</v>
      </c>
      <c r="J904">
        <v>14</v>
      </c>
      <c r="K904">
        <v>7237.56</v>
      </c>
      <c r="L904">
        <v>12.1</v>
      </c>
    </row>
    <row r="905" spans="1:12" x14ac:dyDescent="0.3">
      <c r="A905" t="s">
        <v>920</v>
      </c>
      <c r="B905" t="s">
        <v>13</v>
      </c>
      <c r="C905" t="s">
        <v>11</v>
      </c>
      <c r="D905">
        <v>42</v>
      </c>
      <c r="E905" s="1">
        <v>43077</v>
      </c>
      <c r="F905">
        <v>2017</v>
      </c>
      <c r="G905" t="s">
        <v>5041</v>
      </c>
      <c r="H905">
        <v>8</v>
      </c>
      <c r="I905">
        <v>1.67</v>
      </c>
      <c r="J905">
        <v>1</v>
      </c>
      <c r="K905">
        <v>9415.7999999999993</v>
      </c>
      <c r="L905">
        <v>7.9</v>
      </c>
    </row>
    <row r="906" spans="1:12" x14ac:dyDescent="0.3">
      <c r="A906" t="s">
        <v>921</v>
      </c>
      <c r="B906" t="s">
        <v>18</v>
      </c>
      <c r="C906" t="s">
        <v>14</v>
      </c>
      <c r="D906">
        <v>46</v>
      </c>
      <c r="E906" s="1">
        <v>40437</v>
      </c>
      <c r="F906">
        <v>2010</v>
      </c>
      <c r="G906" t="s">
        <v>5033</v>
      </c>
      <c r="H906">
        <v>16</v>
      </c>
      <c r="I906">
        <v>4.58</v>
      </c>
      <c r="J906">
        <v>8</v>
      </c>
      <c r="K906">
        <v>10021.879999999999</v>
      </c>
      <c r="L906">
        <v>15.1</v>
      </c>
    </row>
    <row r="907" spans="1:12" x14ac:dyDescent="0.3">
      <c r="A907" t="s">
        <v>922</v>
      </c>
      <c r="B907" t="s">
        <v>10</v>
      </c>
      <c r="C907" t="s">
        <v>14</v>
      </c>
      <c r="D907">
        <v>43</v>
      </c>
      <c r="E907" s="1">
        <v>41813</v>
      </c>
      <c r="F907">
        <v>2014</v>
      </c>
      <c r="G907" t="s">
        <v>5032</v>
      </c>
      <c r="H907">
        <v>23</v>
      </c>
      <c r="I907">
        <v>3.17</v>
      </c>
      <c r="J907">
        <v>13</v>
      </c>
      <c r="K907">
        <v>13289.24</v>
      </c>
      <c r="L907">
        <v>11.4</v>
      </c>
    </row>
    <row r="908" spans="1:12" x14ac:dyDescent="0.3">
      <c r="A908" t="s">
        <v>923</v>
      </c>
      <c r="B908" t="s">
        <v>16</v>
      </c>
      <c r="C908" t="s">
        <v>11</v>
      </c>
      <c r="D908">
        <v>32</v>
      </c>
      <c r="E908" s="1">
        <v>41345</v>
      </c>
      <c r="F908">
        <v>2013</v>
      </c>
      <c r="G908" t="s">
        <v>5035</v>
      </c>
      <c r="H908">
        <v>12</v>
      </c>
      <c r="I908">
        <v>2.9</v>
      </c>
      <c r="J908">
        <v>6</v>
      </c>
      <c r="K908">
        <v>8933.18</v>
      </c>
      <c r="L908">
        <v>12.6</v>
      </c>
    </row>
    <row r="909" spans="1:12" x14ac:dyDescent="0.3">
      <c r="A909" t="s">
        <v>924</v>
      </c>
      <c r="B909" t="s">
        <v>34</v>
      </c>
      <c r="C909" t="s">
        <v>14</v>
      </c>
      <c r="D909">
        <v>27</v>
      </c>
      <c r="E909" s="1">
        <v>42427</v>
      </c>
      <c r="F909">
        <v>2016</v>
      </c>
      <c r="G909" t="s">
        <v>5042</v>
      </c>
      <c r="H909">
        <v>27</v>
      </c>
      <c r="I909">
        <v>2.09</v>
      </c>
      <c r="J909">
        <v>4</v>
      </c>
      <c r="K909">
        <v>9112.01</v>
      </c>
      <c r="L909">
        <v>9.6999999999999993</v>
      </c>
    </row>
    <row r="910" spans="1:12" x14ac:dyDescent="0.3">
      <c r="A910" t="s">
        <v>925</v>
      </c>
      <c r="B910" t="s">
        <v>13</v>
      </c>
      <c r="C910" t="s">
        <v>14</v>
      </c>
      <c r="D910">
        <v>27</v>
      </c>
      <c r="E910" s="1">
        <v>44788</v>
      </c>
      <c r="F910">
        <v>2022</v>
      </c>
      <c r="G910" t="s">
        <v>5031</v>
      </c>
      <c r="H910">
        <v>15</v>
      </c>
      <c r="I910">
        <v>1.73</v>
      </c>
      <c r="J910">
        <v>0</v>
      </c>
      <c r="K910">
        <v>10123.01</v>
      </c>
      <c r="L910">
        <v>3.2</v>
      </c>
    </row>
    <row r="911" spans="1:12" x14ac:dyDescent="0.3">
      <c r="A911" t="s">
        <v>926</v>
      </c>
      <c r="B911" t="s">
        <v>34</v>
      </c>
      <c r="C911" t="s">
        <v>14</v>
      </c>
      <c r="D911">
        <v>37</v>
      </c>
      <c r="E911" s="1">
        <v>45830</v>
      </c>
      <c r="F911">
        <v>2025</v>
      </c>
      <c r="G911" t="s">
        <v>5032</v>
      </c>
      <c r="H911">
        <v>22</v>
      </c>
      <c r="I911">
        <v>2.5099999999999998</v>
      </c>
      <c r="J911">
        <v>1</v>
      </c>
      <c r="K911">
        <v>12460.68</v>
      </c>
      <c r="L911">
        <v>0.4</v>
      </c>
    </row>
    <row r="912" spans="1:12" x14ac:dyDescent="0.3">
      <c r="A912" t="s">
        <v>927</v>
      </c>
      <c r="B912" t="s">
        <v>34</v>
      </c>
      <c r="C912" t="s">
        <v>14</v>
      </c>
      <c r="D912">
        <v>32</v>
      </c>
      <c r="E912" s="1">
        <v>45708</v>
      </c>
      <c r="F912">
        <v>2025</v>
      </c>
      <c r="G912" t="s">
        <v>5042</v>
      </c>
      <c r="H912">
        <v>20</v>
      </c>
      <c r="I912">
        <v>1.71</v>
      </c>
      <c r="J912">
        <v>4</v>
      </c>
      <c r="K912">
        <v>5591.86</v>
      </c>
      <c r="L912">
        <v>0.7</v>
      </c>
    </row>
    <row r="913" spans="1:12" x14ac:dyDescent="0.3">
      <c r="A913" t="s">
        <v>928</v>
      </c>
      <c r="B913" t="s">
        <v>16</v>
      </c>
      <c r="C913" t="s">
        <v>11</v>
      </c>
      <c r="D913">
        <v>60</v>
      </c>
      <c r="E913" s="1">
        <v>45553</v>
      </c>
      <c r="F913">
        <v>2024</v>
      </c>
      <c r="G913" t="s">
        <v>5033</v>
      </c>
      <c r="H913">
        <v>18</v>
      </c>
      <c r="I913">
        <v>3.25</v>
      </c>
      <c r="J913">
        <v>0</v>
      </c>
      <c r="K913">
        <v>10741.88</v>
      </c>
      <c r="L913">
        <v>1.1000000000000001</v>
      </c>
    </row>
    <row r="914" spans="1:12" x14ac:dyDescent="0.3">
      <c r="A914" t="s">
        <v>929</v>
      </c>
      <c r="B914" t="s">
        <v>13</v>
      </c>
      <c r="C914" t="s">
        <v>11</v>
      </c>
      <c r="D914">
        <v>42</v>
      </c>
      <c r="E914" s="1">
        <v>41817</v>
      </c>
      <c r="F914">
        <v>2014</v>
      </c>
      <c r="G914" t="s">
        <v>5032</v>
      </c>
      <c r="H914">
        <v>27</v>
      </c>
      <c r="I914">
        <v>3.52</v>
      </c>
      <c r="J914">
        <v>13</v>
      </c>
      <c r="K914">
        <v>4308.75</v>
      </c>
      <c r="L914">
        <v>11.4</v>
      </c>
    </row>
    <row r="915" spans="1:12" x14ac:dyDescent="0.3">
      <c r="A915" t="s">
        <v>930</v>
      </c>
      <c r="B915" t="s">
        <v>34</v>
      </c>
      <c r="C915" t="s">
        <v>11</v>
      </c>
      <c r="D915">
        <v>56</v>
      </c>
      <c r="E915" s="1">
        <v>45422</v>
      </c>
      <c r="F915">
        <v>2024</v>
      </c>
      <c r="G915" t="s">
        <v>5036</v>
      </c>
      <c r="H915">
        <v>10</v>
      </c>
      <c r="I915">
        <v>3.44</v>
      </c>
      <c r="J915">
        <v>10</v>
      </c>
      <c r="K915">
        <v>13703.82</v>
      </c>
      <c r="L915">
        <v>1.5</v>
      </c>
    </row>
    <row r="916" spans="1:12" x14ac:dyDescent="0.3">
      <c r="A916" t="s">
        <v>931</v>
      </c>
      <c r="B916" t="s">
        <v>16</v>
      </c>
      <c r="C916" t="s">
        <v>11</v>
      </c>
      <c r="D916">
        <v>54</v>
      </c>
      <c r="E916" s="1">
        <v>45328</v>
      </c>
      <c r="F916">
        <v>2024</v>
      </c>
      <c r="G916" t="s">
        <v>5042</v>
      </c>
      <c r="H916">
        <v>6</v>
      </c>
      <c r="I916">
        <v>4.37</v>
      </c>
      <c r="J916">
        <v>14</v>
      </c>
      <c r="K916">
        <v>13112.37</v>
      </c>
      <c r="L916">
        <v>1.7</v>
      </c>
    </row>
    <row r="917" spans="1:12" x14ac:dyDescent="0.3">
      <c r="A917" t="s">
        <v>932</v>
      </c>
      <c r="B917" t="s">
        <v>24</v>
      </c>
      <c r="C917" t="s">
        <v>11</v>
      </c>
      <c r="D917">
        <v>58</v>
      </c>
      <c r="E917" s="1">
        <v>43342</v>
      </c>
      <c r="F917">
        <v>2018</v>
      </c>
      <c r="G917" t="s">
        <v>5031</v>
      </c>
      <c r="H917">
        <v>30</v>
      </c>
      <c r="I917">
        <v>4.5599999999999996</v>
      </c>
      <c r="J917">
        <v>2</v>
      </c>
      <c r="K917">
        <v>8188.09</v>
      </c>
      <c r="L917">
        <v>7.2</v>
      </c>
    </row>
    <row r="918" spans="1:12" x14ac:dyDescent="0.3">
      <c r="A918" t="s">
        <v>933</v>
      </c>
      <c r="B918" t="s">
        <v>10</v>
      </c>
      <c r="C918" t="s">
        <v>11</v>
      </c>
      <c r="D918">
        <v>47</v>
      </c>
      <c r="E918" s="1">
        <v>42511</v>
      </c>
      <c r="F918">
        <v>2016</v>
      </c>
      <c r="G918" t="s">
        <v>5036</v>
      </c>
      <c r="H918">
        <v>21</v>
      </c>
      <c r="I918">
        <v>3.96</v>
      </c>
      <c r="J918">
        <v>3</v>
      </c>
      <c r="K918">
        <v>8975.9699999999993</v>
      </c>
      <c r="L918">
        <v>9.5</v>
      </c>
    </row>
    <row r="919" spans="1:12" x14ac:dyDescent="0.3">
      <c r="A919" t="s">
        <v>934</v>
      </c>
      <c r="B919" t="s">
        <v>18</v>
      </c>
      <c r="C919" t="s">
        <v>11</v>
      </c>
      <c r="D919">
        <v>39</v>
      </c>
      <c r="E919" s="1">
        <v>43895</v>
      </c>
      <c r="F919">
        <v>2020</v>
      </c>
      <c r="G919" t="s">
        <v>5035</v>
      </c>
      <c r="H919">
        <v>5</v>
      </c>
      <c r="I919">
        <v>1.97</v>
      </c>
      <c r="J919">
        <v>10</v>
      </c>
      <c r="K919">
        <v>6258.49</v>
      </c>
      <c r="L919">
        <v>5.7</v>
      </c>
    </row>
    <row r="920" spans="1:12" x14ac:dyDescent="0.3">
      <c r="A920" t="s">
        <v>935</v>
      </c>
      <c r="B920" t="s">
        <v>10</v>
      </c>
      <c r="C920" t="s">
        <v>14</v>
      </c>
      <c r="D920">
        <v>22</v>
      </c>
      <c r="E920" s="1">
        <v>45578</v>
      </c>
      <c r="F920">
        <v>2024</v>
      </c>
      <c r="G920" t="s">
        <v>5039</v>
      </c>
      <c r="H920">
        <v>13</v>
      </c>
      <c r="I920">
        <v>4.12</v>
      </c>
      <c r="J920">
        <v>5</v>
      </c>
      <c r="K920">
        <v>12669.51</v>
      </c>
      <c r="L920">
        <v>1.1000000000000001</v>
      </c>
    </row>
    <row r="921" spans="1:12" x14ac:dyDescent="0.3">
      <c r="A921" t="s">
        <v>936</v>
      </c>
      <c r="B921" t="s">
        <v>18</v>
      </c>
      <c r="C921" t="s">
        <v>14</v>
      </c>
      <c r="D921">
        <v>24</v>
      </c>
      <c r="E921" s="1">
        <v>42054</v>
      </c>
      <c r="F921">
        <v>2015</v>
      </c>
      <c r="G921" t="s">
        <v>5042</v>
      </c>
      <c r="H921">
        <v>19</v>
      </c>
      <c r="I921">
        <v>3.03</v>
      </c>
      <c r="J921">
        <v>0</v>
      </c>
      <c r="K921">
        <v>9593.14</v>
      </c>
      <c r="L921">
        <v>10.7</v>
      </c>
    </row>
    <row r="922" spans="1:12" x14ac:dyDescent="0.3">
      <c r="A922" t="s">
        <v>937</v>
      </c>
      <c r="B922" t="s">
        <v>16</v>
      </c>
      <c r="C922" t="s">
        <v>14</v>
      </c>
      <c r="D922">
        <v>39</v>
      </c>
      <c r="E922" s="1">
        <v>43555</v>
      </c>
      <c r="F922">
        <v>2019</v>
      </c>
      <c r="G922" t="s">
        <v>5035</v>
      </c>
      <c r="H922">
        <v>31</v>
      </c>
      <c r="I922">
        <v>3</v>
      </c>
      <c r="J922">
        <v>15</v>
      </c>
      <c r="K922">
        <v>9207.02</v>
      </c>
      <c r="L922">
        <v>6.6</v>
      </c>
    </row>
    <row r="923" spans="1:12" x14ac:dyDescent="0.3">
      <c r="A923" t="s">
        <v>938</v>
      </c>
      <c r="B923" t="s">
        <v>10</v>
      </c>
      <c r="C923" t="s">
        <v>14</v>
      </c>
      <c r="D923">
        <v>44</v>
      </c>
      <c r="E923" s="1">
        <v>43175</v>
      </c>
      <c r="F923">
        <v>2018</v>
      </c>
      <c r="G923" t="s">
        <v>5035</v>
      </c>
      <c r="H923">
        <v>16</v>
      </c>
      <c r="I923">
        <v>4.17</v>
      </c>
      <c r="J923">
        <v>12</v>
      </c>
      <c r="K923">
        <v>8587.7900000000009</v>
      </c>
      <c r="L923">
        <v>7.6</v>
      </c>
    </row>
    <row r="924" spans="1:12" x14ac:dyDescent="0.3">
      <c r="A924" t="s">
        <v>939</v>
      </c>
      <c r="B924" t="s">
        <v>16</v>
      </c>
      <c r="C924" t="s">
        <v>11</v>
      </c>
      <c r="D924">
        <v>58</v>
      </c>
      <c r="E924" s="1">
        <v>44185</v>
      </c>
      <c r="F924">
        <v>2020</v>
      </c>
      <c r="G924" t="s">
        <v>5041</v>
      </c>
      <c r="H924">
        <v>20</v>
      </c>
      <c r="I924">
        <v>3.23</v>
      </c>
      <c r="J924">
        <v>3</v>
      </c>
      <c r="K924">
        <v>8276.4500000000007</v>
      </c>
      <c r="L924">
        <v>4.9000000000000004</v>
      </c>
    </row>
    <row r="925" spans="1:12" x14ac:dyDescent="0.3">
      <c r="A925" t="s">
        <v>940</v>
      </c>
      <c r="B925" t="s">
        <v>16</v>
      </c>
      <c r="C925" t="s">
        <v>14</v>
      </c>
      <c r="D925">
        <v>56</v>
      </c>
      <c r="E925" s="1">
        <v>44360</v>
      </c>
      <c r="F925">
        <v>2021</v>
      </c>
      <c r="G925" t="s">
        <v>5032</v>
      </c>
      <c r="H925">
        <v>13</v>
      </c>
      <c r="I925">
        <v>4.68</v>
      </c>
      <c r="J925">
        <v>0</v>
      </c>
      <c r="K925">
        <v>12316.86</v>
      </c>
      <c r="L925">
        <v>4.4000000000000004</v>
      </c>
    </row>
    <row r="926" spans="1:12" x14ac:dyDescent="0.3">
      <c r="A926" t="s">
        <v>941</v>
      </c>
      <c r="B926" t="s">
        <v>18</v>
      </c>
      <c r="C926" t="s">
        <v>14</v>
      </c>
      <c r="D926">
        <v>48</v>
      </c>
      <c r="E926" s="1">
        <v>41469</v>
      </c>
      <c r="F926">
        <v>2013</v>
      </c>
      <c r="G926" t="s">
        <v>5034</v>
      </c>
      <c r="H926">
        <v>14</v>
      </c>
      <c r="I926">
        <v>1.67</v>
      </c>
      <c r="J926">
        <v>11</v>
      </c>
      <c r="K926">
        <v>11329.95</v>
      </c>
      <c r="L926">
        <v>12.3</v>
      </c>
    </row>
    <row r="927" spans="1:12" x14ac:dyDescent="0.3">
      <c r="A927" t="s">
        <v>942</v>
      </c>
      <c r="B927" t="s">
        <v>18</v>
      </c>
      <c r="C927" t="s">
        <v>14</v>
      </c>
      <c r="D927">
        <v>50</v>
      </c>
      <c r="E927" s="1">
        <v>44660</v>
      </c>
      <c r="F927">
        <v>2022</v>
      </c>
      <c r="G927" t="s">
        <v>5040</v>
      </c>
      <c r="H927">
        <v>9</v>
      </c>
      <c r="I927">
        <v>5</v>
      </c>
      <c r="J927">
        <v>14</v>
      </c>
      <c r="K927">
        <v>7350.31</v>
      </c>
      <c r="L927">
        <v>3.6</v>
      </c>
    </row>
    <row r="928" spans="1:12" x14ac:dyDescent="0.3">
      <c r="A928" t="s">
        <v>943</v>
      </c>
      <c r="B928" t="s">
        <v>18</v>
      </c>
      <c r="C928" t="s">
        <v>14</v>
      </c>
      <c r="D928">
        <v>40</v>
      </c>
      <c r="E928" s="1">
        <v>44612</v>
      </c>
      <c r="F928">
        <v>2022</v>
      </c>
      <c r="G928" t="s">
        <v>5042</v>
      </c>
      <c r="H928">
        <v>20</v>
      </c>
      <c r="I928">
        <v>4.9000000000000004</v>
      </c>
      <c r="J928">
        <v>13</v>
      </c>
      <c r="K928">
        <v>14590.63</v>
      </c>
      <c r="L928">
        <v>3.7</v>
      </c>
    </row>
    <row r="929" spans="1:12" x14ac:dyDescent="0.3">
      <c r="A929" t="s">
        <v>944</v>
      </c>
      <c r="B929" t="s">
        <v>24</v>
      </c>
      <c r="C929" t="s">
        <v>14</v>
      </c>
      <c r="D929">
        <v>40</v>
      </c>
      <c r="E929" s="1">
        <v>43848</v>
      </c>
      <c r="F929">
        <v>2020</v>
      </c>
      <c r="G929" t="s">
        <v>5037</v>
      </c>
      <c r="H929">
        <v>18</v>
      </c>
      <c r="I929">
        <v>3.96</v>
      </c>
      <c r="J929">
        <v>12</v>
      </c>
      <c r="K929">
        <v>11463.75</v>
      </c>
      <c r="L929">
        <v>5.8</v>
      </c>
    </row>
    <row r="930" spans="1:12" x14ac:dyDescent="0.3">
      <c r="A930" t="s">
        <v>945</v>
      </c>
      <c r="B930" t="s">
        <v>24</v>
      </c>
      <c r="C930" t="s">
        <v>14</v>
      </c>
      <c r="D930">
        <v>38</v>
      </c>
      <c r="E930" s="1">
        <v>45549</v>
      </c>
      <c r="F930">
        <v>2024</v>
      </c>
      <c r="G930" t="s">
        <v>5033</v>
      </c>
      <c r="H930">
        <v>14</v>
      </c>
      <c r="I930">
        <v>4.66</v>
      </c>
      <c r="J930">
        <v>4</v>
      </c>
      <c r="K930">
        <v>6795.45</v>
      </c>
      <c r="L930">
        <v>1.1000000000000001</v>
      </c>
    </row>
    <row r="931" spans="1:12" x14ac:dyDescent="0.3">
      <c r="A931" t="s">
        <v>946</v>
      </c>
      <c r="B931" t="s">
        <v>10</v>
      </c>
      <c r="C931" t="s">
        <v>11</v>
      </c>
      <c r="D931">
        <v>29</v>
      </c>
      <c r="E931" s="1">
        <v>40190</v>
      </c>
      <c r="F931">
        <v>2010</v>
      </c>
      <c r="G931" t="s">
        <v>5037</v>
      </c>
      <c r="H931">
        <v>12</v>
      </c>
      <c r="I931">
        <v>1.7</v>
      </c>
      <c r="J931">
        <v>3</v>
      </c>
      <c r="K931">
        <v>10801.73</v>
      </c>
      <c r="L931">
        <v>15.8</v>
      </c>
    </row>
    <row r="932" spans="1:12" x14ac:dyDescent="0.3">
      <c r="A932" t="s">
        <v>947</v>
      </c>
      <c r="B932" t="s">
        <v>18</v>
      </c>
      <c r="C932" t="s">
        <v>11</v>
      </c>
      <c r="D932">
        <v>27</v>
      </c>
      <c r="E932" s="1">
        <v>44540</v>
      </c>
      <c r="F932">
        <v>2021</v>
      </c>
      <c r="G932" t="s">
        <v>5041</v>
      </c>
      <c r="H932">
        <v>10</v>
      </c>
      <c r="I932">
        <v>2.34</v>
      </c>
      <c r="J932">
        <v>6</v>
      </c>
      <c r="K932">
        <v>10730.69</v>
      </c>
      <c r="L932">
        <v>3.9</v>
      </c>
    </row>
    <row r="933" spans="1:12" x14ac:dyDescent="0.3">
      <c r="A933" t="s">
        <v>948</v>
      </c>
      <c r="B933" t="s">
        <v>10</v>
      </c>
      <c r="C933" t="s">
        <v>14</v>
      </c>
      <c r="D933">
        <v>23</v>
      </c>
      <c r="E933" s="1">
        <v>42569</v>
      </c>
      <c r="F933">
        <v>2016</v>
      </c>
      <c r="G933" t="s">
        <v>5034</v>
      </c>
      <c r="H933">
        <v>18</v>
      </c>
      <c r="I933">
        <v>2.65</v>
      </c>
      <c r="J933">
        <v>5</v>
      </c>
      <c r="K933">
        <v>8098.19</v>
      </c>
      <c r="L933">
        <v>9.3000000000000007</v>
      </c>
    </row>
    <row r="934" spans="1:12" x14ac:dyDescent="0.3">
      <c r="A934" t="s">
        <v>949</v>
      </c>
      <c r="B934" t="s">
        <v>16</v>
      </c>
      <c r="C934" t="s">
        <v>11</v>
      </c>
      <c r="D934">
        <v>33</v>
      </c>
      <c r="E934" s="1">
        <v>44404</v>
      </c>
      <c r="F934">
        <v>2021</v>
      </c>
      <c r="G934" t="s">
        <v>5034</v>
      </c>
      <c r="H934">
        <v>27</v>
      </c>
      <c r="I934">
        <v>2.06</v>
      </c>
      <c r="J934">
        <v>14</v>
      </c>
      <c r="K934">
        <v>4660.32</v>
      </c>
      <c r="L934">
        <v>4.3</v>
      </c>
    </row>
    <row r="935" spans="1:12" x14ac:dyDescent="0.3">
      <c r="A935" t="s">
        <v>950</v>
      </c>
      <c r="B935" t="s">
        <v>24</v>
      </c>
      <c r="C935" t="s">
        <v>14</v>
      </c>
      <c r="D935">
        <v>39</v>
      </c>
      <c r="E935" s="1">
        <v>45894</v>
      </c>
      <c r="F935">
        <v>2025</v>
      </c>
      <c r="G935" t="s">
        <v>5031</v>
      </c>
      <c r="H935">
        <v>25</v>
      </c>
      <c r="I935">
        <v>3.17</v>
      </c>
      <c r="J935">
        <v>12</v>
      </c>
      <c r="K935">
        <v>7912.29</v>
      </c>
      <c r="L935">
        <v>0.2</v>
      </c>
    </row>
    <row r="936" spans="1:12" x14ac:dyDescent="0.3">
      <c r="A936" t="s">
        <v>951</v>
      </c>
      <c r="B936" t="s">
        <v>24</v>
      </c>
      <c r="C936" t="s">
        <v>11</v>
      </c>
      <c r="D936">
        <v>45</v>
      </c>
      <c r="E936" s="1">
        <v>40549</v>
      </c>
      <c r="F936">
        <v>2011</v>
      </c>
      <c r="G936" t="s">
        <v>5037</v>
      </c>
      <c r="H936">
        <v>6</v>
      </c>
      <c r="I936">
        <v>3.97</v>
      </c>
      <c r="J936">
        <v>12</v>
      </c>
      <c r="K936">
        <v>7832.94</v>
      </c>
      <c r="L936">
        <v>14.8</v>
      </c>
    </row>
    <row r="937" spans="1:12" x14ac:dyDescent="0.3">
      <c r="A937" t="s">
        <v>952</v>
      </c>
      <c r="B937" t="s">
        <v>24</v>
      </c>
      <c r="C937" t="s">
        <v>11</v>
      </c>
      <c r="D937">
        <v>49</v>
      </c>
      <c r="E937" s="1">
        <v>45296</v>
      </c>
      <c r="F937">
        <v>2024</v>
      </c>
      <c r="G937" t="s">
        <v>5037</v>
      </c>
      <c r="H937">
        <v>5</v>
      </c>
      <c r="I937">
        <v>1.83</v>
      </c>
      <c r="J937">
        <v>13</v>
      </c>
      <c r="K937">
        <v>11129.02</v>
      </c>
      <c r="L937">
        <v>1.8</v>
      </c>
    </row>
    <row r="938" spans="1:12" x14ac:dyDescent="0.3">
      <c r="A938" t="s">
        <v>953</v>
      </c>
      <c r="B938" t="s">
        <v>16</v>
      </c>
      <c r="C938" t="s">
        <v>11</v>
      </c>
      <c r="D938">
        <v>54</v>
      </c>
      <c r="E938" s="1">
        <v>42245</v>
      </c>
      <c r="F938">
        <v>2015</v>
      </c>
      <c r="G938" t="s">
        <v>5031</v>
      </c>
      <c r="H938">
        <v>29</v>
      </c>
      <c r="I938">
        <v>3.14</v>
      </c>
      <c r="J938">
        <v>2</v>
      </c>
      <c r="K938">
        <v>10553.92</v>
      </c>
      <c r="L938">
        <v>10.199999999999999</v>
      </c>
    </row>
    <row r="939" spans="1:12" x14ac:dyDescent="0.3">
      <c r="A939" t="s">
        <v>954</v>
      </c>
      <c r="B939" t="s">
        <v>16</v>
      </c>
      <c r="C939" t="s">
        <v>11</v>
      </c>
      <c r="D939">
        <v>33</v>
      </c>
      <c r="E939" s="1">
        <v>43319</v>
      </c>
      <c r="F939">
        <v>2018</v>
      </c>
      <c r="G939" t="s">
        <v>5031</v>
      </c>
      <c r="H939">
        <v>7</v>
      </c>
      <c r="I939">
        <v>2.37</v>
      </c>
      <c r="J939">
        <v>15</v>
      </c>
      <c r="K939">
        <v>11306.21</v>
      </c>
      <c r="L939">
        <v>7.2</v>
      </c>
    </row>
    <row r="940" spans="1:12" x14ac:dyDescent="0.3">
      <c r="A940" t="s">
        <v>955</v>
      </c>
      <c r="B940" t="s">
        <v>34</v>
      </c>
      <c r="C940" t="s">
        <v>11</v>
      </c>
      <c r="D940">
        <v>28</v>
      </c>
      <c r="E940" s="1">
        <v>40189</v>
      </c>
      <c r="F940">
        <v>2010</v>
      </c>
      <c r="G940" t="s">
        <v>5037</v>
      </c>
      <c r="H940">
        <v>11</v>
      </c>
      <c r="I940">
        <v>2.16</v>
      </c>
      <c r="J940">
        <v>2</v>
      </c>
      <c r="K940">
        <v>8385.8700000000008</v>
      </c>
      <c r="L940">
        <v>15.8</v>
      </c>
    </row>
    <row r="941" spans="1:12" x14ac:dyDescent="0.3">
      <c r="A941" t="s">
        <v>956</v>
      </c>
      <c r="B941" t="s">
        <v>18</v>
      </c>
      <c r="C941" t="s">
        <v>14</v>
      </c>
      <c r="D941">
        <v>50</v>
      </c>
      <c r="E941" s="1">
        <v>43351</v>
      </c>
      <c r="F941">
        <v>2018</v>
      </c>
      <c r="G941" t="s">
        <v>5033</v>
      </c>
      <c r="H941">
        <v>8</v>
      </c>
      <c r="I941">
        <v>2.75</v>
      </c>
      <c r="J941">
        <v>5</v>
      </c>
      <c r="K941">
        <v>13492.17</v>
      </c>
      <c r="L941">
        <v>7.2</v>
      </c>
    </row>
    <row r="942" spans="1:12" x14ac:dyDescent="0.3">
      <c r="A942" t="s">
        <v>957</v>
      </c>
      <c r="B942" t="s">
        <v>10</v>
      </c>
      <c r="C942" t="s">
        <v>11</v>
      </c>
      <c r="D942">
        <v>26</v>
      </c>
      <c r="E942" s="1">
        <v>45406</v>
      </c>
      <c r="F942">
        <v>2024</v>
      </c>
      <c r="G942" t="s">
        <v>5040</v>
      </c>
      <c r="H942">
        <v>24</v>
      </c>
      <c r="I942">
        <v>4.33</v>
      </c>
      <c r="J942">
        <v>9</v>
      </c>
      <c r="K942">
        <v>3854.37</v>
      </c>
      <c r="L942">
        <v>1.5</v>
      </c>
    </row>
    <row r="943" spans="1:12" x14ac:dyDescent="0.3">
      <c r="A943" t="s">
        <v>958</v>
      </c>
      <c r="B943" t="s">
        <v>16</v>
      </c>
      <c r="C943" t="s">
        <v>14</v>
      </c>
      <c r="D943">
        <v>55</v>
      </c>
      <c r="E943" s="1">
        <v>43254</v>
      </c>
      <c r="F943">
        <v>2018</v>
      </c>
      <c r="G943" t="s">
        <v>5032</v>
      </c>
      <c r="H943">
        <v>3</v>
      </c>
      <c r="I943">
        <v>4.37</v>
      </c>
      <c r="J943">
        <v>13</v>
      </c>
      <c r="K943">
        <v>9494.0400000000009</v>
      </c>
      <c r="L943">
        <v>7.4</v>
      </c>
    </row>
    <row r="944" spans="1:12" x14ac:dyDescent="0.3">
      <c r="A944" t="s">
        <v>959</v>
      </c>
      <c r="B944" t="s">
        <v>10</v>
      </c>
      <c r="C944" t="s">
        <v>11</v>
      </c>
      <c r="D944">
        <v>38</v>
      </c>
      <c r="E944" s="1">
        <v>41184</v>
      </c>
      <c r="F944">
        <v>2012</v>
      </c>
      <c r="G944" t="s">
        <v>5039</v>
      </c>
      <c r="H944">
        <v>2</v>
      </c>
      <c r="I944">
        <v>4.59</v>
      </c>
      <c r="J944">
        <v>9</v>
      </c>
      <c r="K944">
        <v>14149.03</v>
      </c>
      <c r="L944">
        <v>13.1</v>
      </c>
    </row>
    <row r="945" spans="1:12" x14ac:dyDescent="0.3">
      <c r="A945" t="s">
        <v>960</v>
      </c>
      <c r="B945" t="s">
        <v>13</v>
      </c>
      <c r="C945" t="s">
        <v>11</v>
      </c>
      <c r="D945">
        <v>52</v>
      </c>
      <c r="E945" s="1">
        <v>45181</v>
      </c>
      <c r="F945">
        <v>2023</v>
      </c>
      <c r="G945" t="s">
        <v>5033</v>
      </c>
      <c r="H945">
        <v>12</v>
      </c>
      <c r="I945">
        <v>2.83</v>
      </c>
      <c r="J945">
        <v>7</v>
      </c>
      <c r="K945">
        <v>4010.74</v>
      </c>
      <c r="L945">
        <v>2.1</v>
      </c>
    </row>
    <row r="946" spans="1:12" x14ac:dyDescent="0.3">
      <c r="A946" t="s">
        <v>961</v>
      </c>
      <c r="B946" t="s">
        <v>10</v>
      </c>
      <c r="C946" t="s">
        <v>11</v>
      </c>
      <c r="D946">
        <v>29</v>
      </c>
      <c r="E946" s="1">
        <v>40422</v>
      </c>
      <c r="F946">
        <v>2010</v>
      </c>
      <c r="G946" t="s">
        <v>5033</v>
      </c>
      <c r="H946">
        <v>1</v>
      </c>
      <c r="I946">
        <v>4.95</v>
      </c>
      <c r="J946">
        <v>13</v>
      </c>
      <c r="K946">
        <v>5066.32</v>
      </c>
      <c r="L946">
        <v>15.2</v>
      </c>
    </row>
    <row r="947" spans="1:12" x14ac:dyDescent="0.3">
      <c r="A947" t="s">
        <v>962</v>
      </c>
      <c r="B947" t="s">
        <v>16</v>
      </c>
      <c r="C947" t="s">
        <v>14</v>
      </c>
      <c r="D947">
        <v>34</v>
      </c>
      <c r="E947" s="1">
        <v>43041</v>
      </c>
      <c r="F947">
        <v>2017</v>
      </c>
      <c r="G947" t="s">
        <v>5038</v>
      </c>
      <c r="H947">
        <v>2</v>
      </c>
      <c r="I947">
        <v>4.82</v>
      </c>
      <c r="J947">
        <v>0</v>
      </c>
      <c r="K947">
        <v>11414.25</v>
      </c>
      <c r="L947">
        <v>8</v>
      </c>
    </row>
    <row r="948" spans="1:12" x14ac:dyDescent="0.3">
      <c r="A948" t="s">
        <v>963</v>
      </c>
      <c r="B948" t="s">
        <v>18</v>
      </c>
      <c r="C948" t="s">
        <v>14</v>
      </c>
      <c r="D948">
        <v>59</v>
      </c>
      <c r="E948" s="1">
        <v>42901</v>
      </c>
      <c r="F948">
        <v>2017</v>
      </c>
      <c r="G948" t="s">
        <v>5032</v>
      </c>
      <c r="H948">
        <v>15</v>
      </c>
      <c r="I948">
        <v>3.73</v>
      </c>
      <c r="J948">
        <v>8</v>
      </c>
      <c r="K948">
        <v>3020.18</v>
      </c>
      <c r="L948">
        <v>8.4</v>
      </c>
    </row>
    <row r="949" spans="1:12" x14ac:dyDescent="0.3">
      <c r="A949" t="s">
        <v>964</v>
      </c>
      <c r="B949" t="s">
        <v>16</v>
      </c>
      <c r="C949" t="s">
        <v>14</v>
      </c>
      <c r="D949">
        <v>35</v>
      </c>
      <c r="E949" s="1">
        <v>45360</v>
      </c>
      <c r="F949">
        <v>2024</v>
      </c>
      <c r="G949" t="s">
        <v>5035</v>
      </c>
      <c r="H949">
        <v>9</v>
      </c>
      <c r="I949">
        <v>2.8</v>
      </c>
      <c r="J949">
        <v>11</v>
      </c>
      <c r="K949">
        <v>13589.37</v>
      </c>
      <c r="L949">
        <v>1.6</v>
      </c>
    </row>
    <row r="950" spans="1:12" x14ac:dyDescent="0.3">
      <c r="A950" t="s">
        <v>965</v>
      </c>
      <c r="B950" t="s">
        <v>13</v>
      </c>
      <c r="C950" t="s">
        <v>14</v>
      </c>
      <c r="D950">
        <v>57</v>
      </c>
      <c r="E950" s="1">
        <v>43849</v>
      </c>
      <c r="F950">
        <v>2020</v>
      </c>
      <c r="G950" t="s">
        <v>5037</v>
      </c>
      <c r="H950">
        <v>19</v>
      </c>
      <c r="I950">
        <v>2.3199999999999998</v>
      </c>
      <c r="J950">
        <v>13</v>
      </c>
      <c r="K950">
        <v>13330.23</v>
      </c>
      <c r="L950">
        <v>5.8</v>
      </c>
    </row>
    <row r="951" spans="1:12" x14ac:dyDescent="0.3">
      <c r="A951" t="s">
        <v>966</v>
      </c>
      <c r="B951" t="s">
        <v>10</v>
      </c>
      <c r="C951" t="s">
        <v>14</v>
      </c>
      <c r="D951">
        <v>46</v>
      </c>
      <c r="E951" s="1">
        <v>44136</v>
      </c>
      <c r="F951">
        <v>2020</v>
      </c>
      <c r="G951" t="s">
        <v>5038</v>
      </c>
      <c r="H951">
        <v>1</v>
      </c>
      <c r="I951">
        <v>3.52</v>
      </c>
      <c r="J951">
        <v>4</v>
      </c>
      <c r="K951">
        <v>14351.43</v>
      </c>
      <c r="L951">
        <v>5</v>
      </c>
    </row>
    <row r="952" spans="1:12" x14ac:dyDescent="0.3">
      <c r="A952" t="s">
        <v>967</v>
      </c>
      <c r="B952" t="s">
        <v>24</v>
      </c>
      <c r="C952" t="s">
        <v>11</v>
      </c>
      <c r="D952">
        <v>59</v>
      </c>
      <c r="E952" s="1">
        <v>44276</v>
      </c>
      <c r="F952">
        <v>2021</v>
      </c>
      <c r="G952" t="s">
        <v>5035</v>
      </c>
      <c r="H952">
        <v>21</v>
      </c>
      <c r="I952">
        <v>4.0199999999999996</v>
      </c>
      <c r="J952">
        <v>7</v>
      </c>
      <c r="K952">
        <v>14456.44</v>
      </c>
      <c r="L952">
        <v>4.5999999999999996</v>
      </c>
    </row>
    <row r="953" spans="1:12" x14ac:dyDescent="0.3">
      <c r="A953" t="s">
        <v>968</v>
      </c>
      <c r="B953" t="s">
        <v>10</v>
      </c>
      <c r="C953" t="s">
        <v>14</v>
      </c>
      <c r="D953">
        <v>26</v>
      </c>
      <c r="E953" s="1">
        <v>45794</v>
      </c>
      <c r="F953">
        <v>2025</v>
      </c>
      <c r="G953" t="s">
        <v>5036</v>
      </c>
      <c r="H953">
        <v>17</v>
      </c>
      <c r="I953">
        <v>1.84</v>
      </c>
      <c r="J953">
        <v>10</v>
      </c>
      <c r="K953">
        <v>5436.32</v>
      </c>
      <c r="L953">
        <v>0.5</v>
      </c>
    </row>
    <row r="954" spans="1:12" x14ac:dyDescent="0.3">
      <c r="A954" t="s">
        <v>969</v>
      </c>
      <c r="B954" t="s">
        <v>24</v>
      </c>
      <c r="C954" t="s">
        <v>14</v>
      </c>
      <c r="D954">
        <v>36</v>
      </c>
      <c r="E954" s="1">
        <v>45632</v>
      </c>
      <c r="F954">
        <v>2024</v>
      </c>
      <c r="G954" t="s">
        <v>5041</v>
      </c>
      <c r="H954">
        <v>6</v>
      </c>
      <c r="I954">
        <v>4.54</v>
      </c>
      <c r="J954">
        <v>2</v>
      </c>
      <c r="K954">
        <v>10302.19</v>
      </c>
      <c r="L954">
        <v>0.9</v>
      </c>
    </row>
    <row r="955" spans="1:12" x14ac:dyDescent="0.3">
      <c r="A955" t="s">
        <v>970</v>
      </c>
      <c r="B955" t="s">
        <v>16</v>
      </c>
      <c r="C955" t="s">
        <v>14</v>
      </c>
      <c r="D955">
        <v>34</v>
      </c>
      <c r="E955" s="1">
        <v>44139</v>
      </c>
      <c r="F955">
        <v>2020</v>
      </c>
      <c r="G955" t="s">
        <v>5038</v>
      </c>
      <c r="H955">
        <v>4</v>
      </c>
      <c r="I955">
        <v>2.3199999999999998</v>
      </c>
      <c r="J955">
        <v>10</v>
      </c>
      <c r="K955">
        <v>14329.1</v>
      </c>
      <c r="L955">
        <v>5</v>
      </c>
    </row>
    <row r="956" spans="1:12" x14ac:dyDescent="0.3">
      <c r="A956" t="s">
        <v>971</v>
      </c>
      <c r="B956" t="s">
        <v>10</v>
      </c>
      <c r="C956" t="s">
        <v>14</v>
      </c>
      <c r="D956">
        <v>31</v>
      </c>
      <c r="E956" s="1">
        <v>42526</v>
      </c>
      <c r="F956">
        <v>2016</v>
      </c>
      <c r="G956" t="s">
        <v>5032</v>
      </c>
      <c r="H956">
        <v>5</v>
      </c>
      <c r="I956">
        <v>1.57</v>
      </c>
      <c r="J956">
        <v>7</v>
      </c>
      <c r="K956">
        <v>7394.96</v>
      </c>
      <c r="L956">
        <v>9.4</v>
      </c>
    </row>
    <row r="957" spans="1:12" x14ac:dyDescent="0.3">
      <c r="A957" t="s">
        <v>972</v>
      </c>
      <c r="B957" t="s">
        <v>13</v>
      </c>
      <c r="C957" t="s">
        <v>11</v>
      </c>
      <c r="D957">
        <v>58</v>
      </c>
      <c r="E957" s="1">
        <v>45545</v>
      </c>
      <c r="F957">
        <v>2024</v>
      </c>
      <c r="G957" t="s">
        <v>5033</v>
      </c>
      <c r="H957">
        <v>10</v>
      </c>
      <c r="I957">
        <v>4.12</v>
      </c>
      <c r="J957">
        <v>14</v>
      </c>
      <c r="K957">
        <v>5225.2299999999996</v>
      </c>
      <c r="L957">
        <v>1.1000000000000001</v>
      </c>
    </row>
    <row r="958" spans="1:12" x14ac:dyDescent="0.3">
      <c r="A958" t="s">
        <v>973</v>
      </c>
      <c r="B958" t="s">
        <v>18</v>
      </c>
      <c r="C958" t="s">
        <v>14</v>
      </c>
      <c r="D958">
        <v>37</v>
      </c>
      <c r="E958" s="1">
        <v>43087</v>
      </c>
      <c r="F958">
        <v>2017</v>
      </c>
      <c r="G958" t="s">
        <v>5041</v>
      </c>
      <c r="H958">
        <v>18</v>
      </c>
      <c r="I958">
        <v>4.78</v>
      </c>
      <c r="J958">
        <v>11</v>
      </c>
      <c r="K958">
        <v>4708.3500000000004</v>
      </c>
      <c r="L958">
        <v>7.9</v>
      </c>
    </row>
    <row r="959" spans="1:12" x14ac:dyDescent="0.3">
      <c r="A959" t="s">
        <v>974</v>
      </c>
      <c r="B959" t="s">
        <v>13</v>
      </c>
      <c r="C959" t="s">
        <v>11</v>
      </c>
      <c r="D959">
        <v>29</v>
      </c>
      <c r="E959" s="1">
        <v>45826</v>
      </c>
      <c r="F959">
        <v>2025</v>
      </c>
      <c r="G959" t="s">
        <v>5032</v>
      </c>
      <c r="H959">
        <v>18</v>
      </c>
      <c r="I959">
        <v>1.74</v>
      </c>
      <c r="J959">
        <v>11</v>
      </c>
      <c r="K959">
        <v>11452.81</v>
      </c>
      <c r="L959">
        <v>0.4</v>
      </c>
    </row>
    <row r="960" spans="1:12" x14ac:dyDescent="0.3">
      <c r="A960" t="s">
        <v>975</v>
      </c>
      <c r="B960" t="s">
        <v>10</v>
      </c>
      <c r="C960" t="s">
        <v>11</v>
      </c>
      <c r="D960">
        <v>54</v>
      </c>
      <c r="E960" s="1">
        <v>45625</v>
      </c>
      <c r="F960">
        <v>2024</v>
      </c>
      <c r="G960" t="s">
        <v>5038</v>
      </c>
      <c r="H960">
        <v>29</v>
      </c>
      <c r="I960">
        <v>2.67</v>
      </c>
      <c r="J960">
        <v>11</v>
      </c>
      <c r="K960">
        <v>3282.24</v>
      </c>
      <c r="L960">
        <v>0.9</v>
      </c>
    </row>
    <row r="961" spans="1:12" x14ac:dyDescent="0.3">
      <c r="A961" t="s">
        <v>976</v>
      </c>
      <c r="B961" t="s">
        <v>13</v>
      </c>
      <c r="C961" t="s">
        <v>11</v>
      </c>
      <c r="D961">
        <v>27</v>
      </c>
      <c r="E961" s="1">
        <v>43426</v>
      </c>
      <c r="F961">
        <v>2018</v>
      </c>
      <c r="G961" t="s">
        <v>5038</v>
      </c>
      <c r="H961">
        <v>22</v>
      </c>
      <c r="I961">
        <v>2.11</v>
      </c>
      <c r="J961">
        <v>12</v>
      </c>
      <c r="K961">
        <v>7492.81</v>
      </c>
      <c r="L961">
        <v>6.9</v>
      </c>
    </row>
    <row r="962" spans="1:12" x14ac:dyDescent="0.3">
      <c r="A962" t="s">
        <v>977</v>
      </c>
      <c r="B962" t="s">
        <v>24</v>
      </c>
      <c r="C962" t="s">
        <v>11</v>
      </c>
      <c r="D962">
        <v>51</v>
      </c>
      <c r="E962" s="1">
        <v>42479</v>
      </c>
      <c r="F962">
        <v>2016</v>
      </c>
      <c r="G962" t="s">
        <v>5040</v>
      </c>
      <c r="H962">
        <v>19</v>
      </c>
      <c r="I962">
        <v>4.88</v>
      </c>
      <c r="J962">
        <v>0</v>
      </c>
      <c r="K962">
        <v>3074.3</v>
      </c>
      <c r="L962">
        <v>9.5</v>
      </c>
    </row>
    <row r="963" spans="1:12" x14ac:dyDescent="0.3">
      <c r="A963" t="s">
        <v>978</v>
      </c>
      <c r="B963" t="s">
        <v>13</v>
      </c>
      <c r="C963" t="s">
        <v>14</v>
      </c>
      <c r="D963">
        <v>49</v>
      </c>
      <c r="E963" s="1">
        <v>41094</v>
      </c>
      <c r="F963">
        <v>2012</v>
      </c>
      <c r="G963" t="s">
        <v>5034</v>
      </c>
      <c r="H963">
        <v>4</v>
      </c>
      <c r="I963">
        <v>2.83</v>
      </c>
      <c r="J963">
        <v>13</v>
      </c>
      <c r="K963">
        <v>7665.75</v>
      </c>
      <c r="L963">
        <v>13.3</v>
      </c>
    </row>
    <row r="964" spans="1:12" x14ac:dyDescent="0.3">
      <c r="A964" t="s">
        <v>979</v>
      </c>
      <c r="B964" t="s">
        <v>10</v>
      </c>
      <c r="C964" t="s">
        <v>11</v>
      </c>
      <c r="D964">
        <v>39</v>
      </c>
      <c r="E964" s="1">
        <v>44039</v>
      </c>
      <c r="F964">
        <v>2020</v>
      </c>
      <c r="G964" t="s">
        <v>5034</v>
      </c>
      <c r="H964">
        <v>27</v>
      </c>
      <c r="I964">
        <v>3.51</v>
      </c>
      <c r="J964">
        <v>8</v>
      </c>
      <c r="K964">
        <v>3005.11</v>
      </c>
      <c r="L964">
        <v>5.3</v>
      </c>
    </row>
    <row r="965" spans="1:12" x14ac:dyDescent="0.3">
      <c r="A965" t="s">
        <v>980</v>
      </c>
      <c r="B965" t="s">
        <v>24</v>
      </c>
      <c r="C965" t="s">
        <v>14</v>
      </c>
      <c r="D965">
        <v>22</v>
      </c>
      <c r="E965" s="1">
        <v>45305</v>
      </c>
      <c r="F965">
        <v>2024</v>
      </c>
      <c r="G965" t="s">
        <v>5037</v>
      </c>
      <c r="H965">
        <v>14</v>
      </c>
      <c r="I965">
        <v>4.91</v>
      </c>
      <c r="J965">
        <v>7</v>
      </c>
      <c r="K965">
        <v>8150.16</v>
      </c>
      <c r="L965">
        <v>1.8</v>
      </c>
    </row>
    <row r="966" spans="1:12" x14ac:dyDescent="0.3">
      <c r="A966" t="s">
        <v>981</v>
      </c>
      <c r="B966" t="s">
        <v>16</v>
      </c>
      <c r="C966" t="s">
        <v>14</v>
      </c>
      <c r="D966">
        <v>50</v>
      </c>
      <c r="E966" s="1">
        <v>45593</v>
      </c>
      <c r="F966">
        <v>2024</v>
      </c>
      <c r="G966" t="s">
        <v>5039</v>
      </c>
      <c r="H966">
        <v>28</v>
      </c>
      <c r="I966">
        <v>4.8</v>
      </c>
      <c r="J966">
        <v>0</v>
      </c>
      <c r="K966">
        <v>14813.76</v>
      </c>
      <c r="L966">
        <v>1</v>
      </c>
    </row>
    <row r="967" spans="1:12" x14ac:dyDescent="0.3">
      <c r="A967" t="s">
        <v>982</v>
      </c>
      <c r="B967" t="s">
        <v>24</v>
      </c>
      <c r="C967" t="s">
        <v>14</v>
      </c>
      <c r="D967">
        <v>48</v>
      </c>
      <c r="E967" s="1">
        <v>42964</v>
      </c>
      <c r="F967">
        <v>2017</v>
      </c>
      <c r="G967" t="s">
        <v>5031</v>
      </c>
      <c r="H967">
        <v>17</v>
      </c>
      <c r="I967">
        <v>1.9</v>
      </c>
      <c r="J967">
        <v>12</v>
      </c>
      <c r="K967">
        <v>13860.79</v>
      </c>
      <c r="L967">
        <v>8.1999999999999993</v>
      </c>
    </row>
    <row r="968" spans="1:12" x14ac:dyDescent="0.3">
      <c r="A968" t="s">
        <v>983</v>
      </c>
      <c r="B968" t="s">
        <v>34</v>
      </c>
      <c r="C968" t="s">
        <v>11</v>
      </c>
      <c r="D968">
        <v>37</v>
      </c>
      <c r="E968" s="1">
        <v>43899</v>
      </c>
      <c r="F968">
        <v>2020</v>
      </c>
      <c r="G968" t="s">
        <v>5035</v>
      </c>
      <c r="H968">
        <v>9</v>
      </c>
      <c r="I968">
        <v>4.22</v>
      </c>
      <c r="J968">
        <v>5</v>
      </c>
      <c r="K968">
        <v>13167.22</v>
      </c>
      <c r="L968">
        <v>5.7</v>
      </c>
    </row>
    <row r="969" spans="1:12" x14ac:dyDescent="0.3">
      <c r="A969" t="s">
        <v>984</v>
      </c>
      <c r="B969" t="s">
        <v>34</v>
      </c>
      <c r="C969" t="s">
        <v>11</v>
      </c>
      <c r="D969">
        <v>39</v>
      </c>
      <c r="E969" s="1">
        <v>41973</v>
      </c>
      <c r="F969">
        <v>2014</v>
      </c>
      <c r="G969" t="s">
        <v>5038</v>
      </c>
      <c r="H969">
        <v>30</v>
      </c>
      <c r="I969">
        <v>4.2</v>
      </c>
      <c r="J969">
        <v>12</v>
      </c>
      <c r="K969">
        <v>14325.42</v>
      </c>
      <c r="L969">
        <v>10.9</v>
      </c>
    </row>
    <row r="970" spans="1:12" x14ac:dyDescent="0.3">
      <c r="A970" t="s">
        <v>985</v>
      </c>
      <c r="B970" t="s">
        <v>18</v>
      </c>
      <c r="C970" t="s">
        <v>11</v>
      </c>
      <c r="D970">
        <v>49</v>
      </c>
      <c r="E970" s="1">
        <v>43359</v>
      </c>
      <c r="F970">
        <v>2018</v>
      </c>
      <c r="G970" t="s">
        <v>5033</v>
      </c>
      <c r="H970">
        <v>16</v>
      </c>
      <c r="I970">
        <v>3.92</v>
      </c>
      <c r="J970">
        <v>4</v>
      </c>
      <c r="K970">
        <v>9183.5300000000007</v>
      </c>
      <c r="L970">
        <v>7.1</v>
      </c>
    </row>
    <row r="971" spans="1:12" x14ac:dyDescent="0.3">
      <c r="A971" t="s">
        <v>986</v>
      </c>
      <c r="B971" t="s">
        <v>10</v>
      </c>
      <c r="C971" t="s">
        <v>14</v>
      </c>
      <c r="D971">
        <v>49</v>
      </c>
      <c r="E971" s="1">
        <v>44063</v>
      </c>
      <c r="F971">
        <v>2020</v>
      </c>
      <c r="G971" t="s">
        <v>5031</v>
      </c>
      <c r="H971">
        <v>20</v>
      </c>
      <c r="I971">
        <v>3.26</v>
      </c>
      <c r="J971">
        <v>6</v>
      </c>
      <c r="K971">
        <v>11210.06</v>
      </c>
      <c r="L971">
        <v>5.2</v>
      </c>
    </row>
    <row r="972" spans="1:12" x14ac:dyDescent="0.3">
      <c r="A972" t="s">
        <v>987</v>
      </c>
      <c r="B972" t="s">
        <v>34</v>
      </c>
      <c r="C972" t="s">
        <v>11</v>
      </c>
      <c r="D972">
        <v>29</v>
      </c>
      <c r="E972" s="1">
        <v>41476</v>
      </c>
      <c r="F972">
        <v>2013</v>
      </c>
      <c r="G972" t="s">
        <v>5034</v>
      </c>
      <c r="H972">
        <v>21</v>
      </c>
      <c r="I972">
        <v>2.23</v>
      </c>
      <c r="J972">
        <v>0</v>
      </c>
      <c r="K972">
        <v>8588.83</v>
      </c>
      <c r="L972">
        <v>12.3</v>
      </c>
    </row>
    <row r="973" spans="1:12" x14ac:dyDescent="0.3">
      <c r="A973" t="s">
        <v>988</v>
      </c>
      <c r="B973" t="s">
        <v>34</v>
      </c>
      <c r="C973" t="s">
        <v>11</v>
      </c>
      <c r="D973">
        <v>28</v>
      </c>
      <c r="E973" s="1">
        <v>41724</v>
      </c>
      <c r="F973">
        <v>2014</v>
      </c>
      <c r="G973" t="s">
        <v>5035</v>
      </c>
      <c r="H973">
        <v>26</v>
      </c>
      <c r="I973">
        <v>3.19</v>
      </c>
      <c r="J973">
        <v>8</v>
      </c>
      <c r="K973">
        <v>8348.5</v>
      </c>
      <c r="L973">
        <v>11.6</v>
      </c>
    </row>
    <row r="974" spans="1:12" x14ac:dyDescent="0.3">
      <c r="A974" t="s">
        <v>989</v>
      </c>
      <c r="B974" t="s">
        <v>24</v>
      </c>
      <c r="C974" t="s">
        <v>14</v>
      </c>
      <c r="D974">
        <v>23</v>
      </c>
      <c r="E974" s="1">
        <v>44332</v>
      </c>
      <c r="F974">
        <v>2021</v>
      </c>
      <c r="G974" t="s">
        <v>5036</v>
      </c>
      <c r="H974">
        <v>16</v>
      </c>
      <c r="I974">
        <v>4.03</v>
      </c>
      <c r="J974">
        <v>6</v>
      </c>
      <c r="K974">
        <v>12277.82</v>
      </c>
      <c r="L974">
        <v>4.5</v>
      </c>
    </row>
    <row r="975" spans="1:12" x14ac:dyDescent="0.3">
      <c r="A975" t="s">
        <v>990</v>
      </c>
      <c r="B975" t="s">
        <v>13</v>
      </c>
      <c r="C975" t="s">
        <v>14</v>
      </c>
      <c r="D975">
        <v>49</v>
      </c>
      <c r="E975" s="1">
        <v>43476</v>
      </c>
      <c r="F975">
        <v>2019</v>
      </c>
      <c r="G975" t="s">
        <v>5037</v>
      </c>
      <c r="H975">
        <v>11</v>
      </c>
      <c r="I975">
        <v>3.11</v>
      </c>
      <c r="J975">
        <v>10</v>
      </c>
      <c r="K975">
        <v>3496.58</v>
      </c>
      <c r="L975">
        <v>6.8</v>
      </c>
    </row>
    <row r="976" spans="1:12" x14ac:dyDescent="0.3">
      <c r="A976" t="s">
        <v>991</v>
      </c>
      <c r="B976" t="s">
        <v>10</v>
      </c>
      <c r="C976" t="s">
        <v>11</v>
      </c>
      <c r="D976">
        <v>34</v>
      </c>
      <c r="E976" s="1">
        <v>44221</v>
      </c>
      <c r="F976">
        <v>2021</v>
      </c>
      <c r="G976" t="s">
        <v>5037</v>
      </c>
      <c r="H976">
        <v>25</v>
      </c>
      <c r="I976">
        <v>1.79</v>
      </c>
      <c r="J976">
        <v>8</v>
      </c>
      <c r="K976">
        <v>3267.29</v>
      </c>
      <c r="L976">
        <v>4.8</v>
      </c>
    </row>
    <row r="977" spans="1:12" x14ac:dyDescent="0.3">
      <c r="A977" t="s">
        <v>992</v>
      </c>
      <c r="B977" t="s">
        <v>13</v>
      </c>
      <c r="C977" t="s">
        <v>14</v>
      </c>
      <c r="D977">
        <v>35</v>
      </c>
      <c r="E977" s="1">
        <v>44070</v>
      </c>
      <c r="F977">
        <v>2020</v>
      </c>
      <c r="G977" t="s">
        <v>5031</v>
      </c>
      <c r="H977">
        <v>27</v>
      </c>
      <c r="I977">
        <v>3.3</v>
      </c>
      <c r="J977">
        <v>7</v>
      </c>
      <c r="K977">
        <v>5714.23</v>
      </c>
      <c r="L977">
        <v>5.2</v>
      </c>
    </row>
    <row r="978" spans="1:12" x14ac:dyDescent="0.3">
      <c r="A978" t="s">
        <v>993</v>
      </c>
      <c r="B978" t="s">
        <v>13</v>
      </c>
      <c r="C978" t="s">
        <v>14</v>
      </c>
      <c r="D978">
        <v>46</v>
      </c>
      <c r="E978" s="1">
        <v>40516</v>
      </c>
      <c r="F978">
        <v>2010</v>
      </c>
      <c r="G978" t="s">
        <v>5041</v>
      </c>
      <c r="H978">
        <v>4</v>
      </c>
      <c r="I978">
        <v>4.24</v>
      </c>
      <c r="J978">
        <v>15</v>
      </c>
      <c r="K978">
        <v>7280</v>
      </c>
      <c r="L978">
        <v>14.9</v>
      </c>
    </row>
    <row r="979" spans="1:12" x14ac:dyDescent="0.3">
      <c r="A979" t="s">
        <v>994</v>
      </c>
      <c r="B979" t="s">
        <v>16</v>
      </c>
      <c r="C979" t="s">
        <v>11</v>
      </c>
      <c r="D979">
        <v>32</v>
      </c>
      <c r="E979" s="1">
        <v>40687</v>
      </c>
      <c r="F979">
        <v>2011</v>
      </c>
      <c r="G979" t="s">
        <v>5036</v>
      </c>
      <c r="H979">
        <v>24</v>
      </c>
      <c r="I979">
        <v>2.97</v>
      </c>
      <c r="J979">
        <v>0</v>
      </c>
      <c r="K979">
        <v>3524.26</v>
      </c>
      <c r="L979">
        <v>14.5</v>
      </c>
    </row>
    <row r="980" spans="1:12" x14ac:dyDescent="0.3">
      <c r="A980" t="s">
        <v>995</v>
      </c>
      <c r="B980" t="s">
        <v>10</v>
      </c>
      <c r="C980" t="s">
        <v>14</v>
      </c>
      <c r="D980">
        <v>38</v>
      </c>
      <c r="E980" s="1">
        <v>45057</v>
      </c>
      <c r="F980">
        <v>2023</v>
      </c>
      <c r="G980" t="s">
        <v>5036</v>
      </c>
      <c r="H980">
        <v>11</v>
      </c>
      <c r="I980">
        <v>3.96</v>
      </c>
      <c r="J980">
        <v>7</v>
      </c>
      <c r="K980">
        <v>13613.85</v>
      </c>
      <c r="L980">
        <v>2.5</v>
      </c>
    </row>
    <row r="981" spans="1:12" x14ac:dyDescent="0.3">
      <c r="A981" t="s">
        <v>996</v>
      </c>
      <c r="B981" t="s">
        <v>13</v>
      </c>
      <c r="C981" t="s">
        <v>14</v>
      </c>
      <c r="D981">
        <v>55</v>
      </c>
      <c r="E981" s="1">
        <v>42179</v>
      </c>
      <c r="F981">
        <v>2015</v>
      </c>
      <c r="G981" t="s">
        <v>5032</v>
      </c>
      <c r="H981">
        <v>24</v>
      </c>
      <c r="I981">
        <v>4.2300000000000004</v>
      </c>
      <c r="J981">
        <v>8</v>
      </c>
      <c r="K981">
        <v>11399.16</v>
      </c>
      <c r="L981">
        <v>10.4</v>
      </c>
    </row>
    <row r="982" spans="1:12" x14ac:dyDescent="0.3">
      <c r="A982" t="s">
        <v>997</v>
      </c>
      <c r="B982" t="s">
        <v>13</v>
      </c>
      <c r="C982" t="s">
        <v>11</v>
      </c>
      <c r="D982">
        <v>54</v>
      </c>
      <c r="E982" s="1">
        <v>41063</v>
      </c>
      <c r="F982">
        <v>2012</v>
      </c>
      <c r="G982" t="s">
        <v>5032</v>
      </c>
      <c r="H982">
        <v>3</v>
      </c>
      <c r="I982">
        <v>3.33</v>
      </c>
      <c r="J982">
        <v>11</v>
      </c>
      <c r="K982">
        <v>3980.61</v>
      </c>
      <c r="L982">
        <v>13.4</v>
      </c>
    </row>
    <row r="983" spans="1:12" x14ac:dyDescent="0.3">
      <c r="A983" t="s">
        <v>998</v>
      </c>
      <c r="B983" t="s">
        <v>16</v>
      </c>
      <c r="C983" t="s">
        <v>11</v>
      </c>
      <c r="D983">
        <v>37</v>
      </c>
      <c r="E983" s="1">
        <v>43333</v>
      </c>
      <c r="F983">
        <v>2018</v>
      </c>
      <c r="G983" t="s">
        <v>5031</v>
      </c>
      <c r="H983">
        <v>21</v>
      </c>
      <c r="I983">
        <v>3.23</v>
      </c>
      <c r="J983">
        <v>10</v>
      </c>
      <c r="K983">
        <v>3896.03</v>
      </c>
      <c r="L983">
        <v>7.2</v>
      </c>
    </row>
    <row r="984" spans="1:12" x14ac:dyDescent="0.3">
      <c r="A984" t="s">
        <v>999</v>
      </c>
      <c r="B984" t="s">
        <v>18</v>
      </c>
      <c r="C984" t="s">
        <v>11</v>
      </c>
      <c r="D984">
        <v>33</v>
      </c>
      <c r="E984" s="1">
        <v>43552</v>
      </c>
      <c r="F984">
        <v>2019</v>
      </c>
      <c r="G984" t="s">
        <v>5035</v>
      </c>
      <c r="H984">
        <v>28</v>
      </c>
      <c r="I984">
        <v>3.38</v>
      </c>
      <c r="J984">
        <v>8</v>
      </c>
      <c r="K984">
        <v>5183.62</v>
      </c>
      <c r="L984">
        <v>6.6</v>
      </c>
    </row>
    <row r="985" spans="1:12" x14ac:dyDescent="0.3">
      <c r="A985" t="s">
        <v>1000</v>
      </c>
      <c r="B985" t="s">
        <v>13</v>
      </c>
      <c r="C985" t="s">
        <v>11</v>
      </c>
      <c r="D985">
        <v>38</v>
      </c>
      <c r="E985" s="1">
        <v>42803</v>
      </c>
      <c r="F985">
        <v>2017</v>
      </c>
      <c r="G985" t="s">
        <v>5035</v>
      </c>
      <c r="H985">
        <v>9</v>
      </c>
      <c r="I985">
        <v>2.41</v>
      </c>
      <c r="J985">
        <v>11</v>
      </c>
      <c r="K985">
        <v>5036.96</v>
      </c>
      <c r="L985">
        <v>8.6999999999999993</v>
      </c>
    </row>
    <row r="986" spans="1:12" x14ac:dyDescent="0.3">
      <c r="A986" t="s">
        <v>1001</v>
      </c>
      <c r="B986" t="s">
        <v>10</v>
      </c>
      <c r="C986" t="s">
        <v>11</v>
      </c>
      <c r="D986">
        <v>49</v>
      </c>
      <c r="E986" s="1">
        <v>45114</v>
      </c>
      <c r="F986">
        <v>2023</v>
      </c>
      <c r="G986" t="s">
        <v>5034</v>
      </c>
      <c r="H986">
        <v>7</v>
      </c>
      <c r="I986">
        <v>2.0699999999999998</v>
      </c>
      <c r="J986">
        <v>2</v>
      </c>
      <c r="K986">
        <v>3034.91</v>
      </c>
      <c r="L986">
        <v>2.2999999999999998</v>
      </c>
    </row>
    <row r="987" spans="1:12" x14ac:dyDescent="0.3">
      <c r="A987" t="s">
        <v>1002</v>
      </c>
      <c r="B987" t="s">
        <v>18</v>
      </c>
      <c r="C987" t="s">
        <v>11</v>
      </c>
      <c r="D987">
        <v>59</v>
      </c>
      <c r="E987" s="1">
        <v>40292</v>
      </c>
      <c r="F987">
        <v>2010</v>
      </c>
      <c r="G987" t="s">
        <v>5040</v>
      </c>
      <c r="H987">
        <v>24</v>
      </c>
      <c r="I987">
        <v>4.57</v>
      </c>
      <c r="J987">
        <v>4</v>
      </c>
      <c r="K987">
        <v>11034.49</v>
      </c>
      <c r="L987">
        <v>15.5</v>
      </c>
    </row>
    <row r="988" spans="1:12" x14ac:dyDescent="0.3">
      <c r="A988" t="s">
        <v>1003</v>
      </c>
      <c r="B988" t="s">
        <v>34</v>
      </c>
      <c r="C988" t="s">
        <v>14</v>
      </c>
      <c r="D988">
        <v>57</v>
      </c>
      <c r="E988" s="1">
        <v>45444</v>
      </c>
      <c r="F988">
        <v>2024</v>
      </c>
      <c r="G988" t="s">
        <v>5032</v>
      </c>
      <c r="H988">
        <v>1</v>
      </c>
      <c r="I988">
        <v>3.5</v>
      </c>
      <c r="J988">
        <v>0</v>
      </c>
      <c r="K988">
        <v>12234.87</v>
      </c>
      <c r="L988">
        <v>1.4</v>
      </c>
    </row>
    <row r="989" spans="1:12" x14ac:dyDescent="0.3">
      <c r="A989" t="s">
        <v>1004</v>
      </c>
      <c r="B989" t="s">
        <v>34</v>
      </c>
      <c r="C989" t="s">
        <v>14</v>
      </c>
      <c r="D989">
        <v>43</v>
      </c>
      <c r="E989" s="1">
        <v>45409</v>
      </c>
      <c r="F989">
        <v>2024</v>
      </c>
      <c r="G989" t="s">
        <v>5040</v>
      </c>
      <c r="H989">
        <v>27</v>
      </c>
      <c r="I989">
        <v>2.5499999999999998</v>
      </c>
      <c r="J989">
        <v>5</v>
      </c>
      <c r="K989">
        <v>14100.91</v>
      </c>
      <c r="L989">
        <v>1.5</v>
      </c>
    </row>
    <row r="990" spans="1:12" x14ac:dyDescent="0.3">
      <c r="A990" t="s">
        <v>1005</v>
      </c>
      <c r="B990" t="s">
        <v>10</v>
      </c>
      <c r="C990" t="s">
        <v>11</v>
      </c>
      <c r="D990">
        <v>32</v>
      </c>
      <c r="E990" s="1">
        <v>43286</v>
      </c>
      <c r="F990">
        <v>2018</v>
      </c>
      <c r="G990" t="s">
        <v>5034</v>
      </c>
      <c r="H990">
        <v>5</v>
      </c>
      <c r="I990">
        <v>3.21</v>
      </c>
      <c r="J990">
        <v>2</v>
      </c>
      <c r="K990">
        <v>12575.85</v>
      </c>
      <c r="L990">
        <v>7.3</v>
      </c>
    </row>
    <row r="991" spans="1:12" x14ac:dyDescent="0.3">
      <c r="A991" t="s">
        <v>1006</v>
      </c>
      <c r="B991" t="s">
        <v>13</v>
      </c>
      <c r="C991" t="s">
        <v>11</v>
      </c>
      <c r="D991">
        <v>50</v>
      </c>
      <c r="E991" s="1">
        <v>43270</v>
      </c>
      <c r="F991">
        <v>2018</v>
      </c>
      <c r="G991" t="s">
        <v>5032</v>
      </c>
      <c r="H991">
        <v>19</v>
      </c>
      <c r="I991">
        <v>4.38</v>
      </c>
      <c r="J991">
        <v>5</v>
      </c>
      <c r="K991">
        <v>9753.39</v>
      </c>
      <c r="L991">
        <v>7.4</v>
      </c>
    </row>
    <row r="992" spans="1:12" x14ac:dyDescent="0.3">
      <c r="A992" t="s">
        <v>1007</v>
      </c>
      <c r="B992" t="s">
        <v>10</v>
      </c>
      <c r="C992" t="s">
        <v>14</v>
      </c>
      <c r="D992">
        <v>25</v>
      </c>
      <c r="E992" s="1">
        <v>44660</v>
      </c>
      <c r="F992">
        <v>2022</v>
      </c>
      <c r="G992" t="s">
        <v>5040</v>
      </c>
      <c r="H992">
        <v>9</v>
      </c>
      <c r="I992">
        <v>3.77</v>
      </c>
      <c r="J992">
        <v>7</v>
      </c>
      <c r="K992">
        <v>8890.9599999999991</v>
      </c>
      <c r="L992">
        <v>3.6</v>
      </c>
    </row>
    <row r="993" spans="1:12" x14ac:dyDescent="0.3">
      <c r="A993" t="s">
        <v>1008</v>
      </c>
      <c r="B993" t="s">
        <v>24</v>
      </c>
      <c r="C993" t="s">
        <v>14</v>
      </c>
      <c r="D993">
        <v>53</v>
      </c>
      <c r="E993" s="1">
        <v>44758</v>
      </c>
      <c r="F993">
        <v>2022</v>
      </c>
      <c r="G993" t="s">
        <v>5034</v>
      </c>
      <c r="H993">
        <v>16</v>
      </c>
      <c r="I993">
        <v>3.38</v>
      </c>
      <c r="J993">
        <v>13</v>
      </c>
      <c r="K993">
        <v>12754.69</v>
      </c>
      <c r="L993">
        <v>3.3</v>
      </c>
    </row>
    <row r="994" spans="1:12" x14ac:dyDescent="0.3">
      <c r="A994" t="s">
        <v>1009</v>
      </c>
      <c r="B994" t="s">
        <v>24</v>
      </c>
      <c r="C994" t="s">
        <v>11</v>
      </c>
      <c r="D994">
        <v>49</v>
      </c>
      <c r="E994" s="1">
        <v>44823</v>
      </c>
      <c r="F994">
        <v>2022</v>
      </c>
      <c r="G994" t="s">
        <v>5033</v>
      </c>
      <c r="H994">
        <v>19</v>
      </c>
      <c r="I994">
        <v>3.3</v>
      </c>
      <c r="J994">
        <v>13</v>
      </c>
      <c r="K994">
        <v>3088.36</v>
      </c>
      <c r="L994">
        <v>3.1</v>
      </c>
    </row>
    <row r="995" spans="1:12" x14ac:dyDescent="0.3">
      <c r="A995" t="s">
        <v>1010</v>
      </c>
      <c r="B995" t="s">
        <v>16</v>
      </c>
      <c r="C995" t="s">
        <v>11</v>
      </c>
      <c r="D995">
        <v>60</v>
      </c>
      <c r="E995" s="1">
        <v>42964</v>
      </c>
      <c r="F995">
        <v>2017</v>
      </c>
      <c r="G995" t="s">
        <v>5031</v>
      </c>
      <c r="H995">
        <v>17</v>
      </c>
      <c r="I995">
        <v>4.6900000000000004</v>
      </c>
      <c r="J995">
        <v>4</v>
      </c>
      <c r="K995">
        <v>5763.87</v>
      </c>
      <c r="L995">
        <v>8.1999999999999993</v>
      </c>
    </row>
    <row r="996" spans="1:12" x14ac:dyDescent="0.3">
      <c r="A996" t="s">
        <v>1011</v>
      </c>
      <c r="B996" t="s">
        <v>34</v>
      </c>
      <c r="C996" t="s">
        <v>11</v>
      </c>
      <c r="D996">
        <v>60</v>
      </c>
      <c r="E996" s="1">
        <v>42542</v>
      </c>
      <c r="F996">
        <v>2016</v>
      </c>
      <c r="G996" t="s">
        <v>5032</v>
      </c>
      <c r="H996">
        <v>21</v>
      </c>
      <c r="I996">
        <v>4.97</v>
      </c>
      <c r="J996">
        <v>8</v>
      </c>
      <c r="K996">
        <v>13162.27</v>
      </c>
      <c r="L996">
        <v>9.4</v>
      </c>
    </row>
    <row r="997" spans="1:12" x14ac:dyDescent="0.3">
      <c r="A997" t="s">
        <v>1012</v>
      </c>
      <c r="B997" t="s">
        <v>34</v>
      </c>
      <c r="C997" t="s">
        <v>11</v>
      </c>
      <c r="D997">
        <v>50</v>
      </c>
      <c r="E997" s="1">
        <v>44956</v>
      </c>
      <c r="F997">
        <v>2023</v>
      </c>
      <c r="G997" t="s">
        <v>5037</v>
      </c>
      <c r="H997">
        <v>30</v>
      </c>
      <c r="I997">
        <v>2.72</v>
      </c>
      <c r="J997">
        <v>11</v>
      </c>
      <c r="K997">
        <v>9819.4500000000007</v>
      </c>
      <c r="L997">
        <v>2.8</v>
      </c>
    </row>
    <row r="998" spans="1:12" x14ac:dyDescent="0.3">
      <c r="A998" t="s">
        <v>1013</v>
      </c>
      <c r="B998" t="s">
        <v>24</v>
      </c>
      <c r="C998" t="s">
        <v>11</v>
      </c>
      <c r="D998">
        <v>44</v>
      </c>
      <c r="E998" s="1">
        <v>43128</v>
      </c>
      <c r="F998">
        <v>2018</v>
      </c>
      <c r="G998" t="s">
        <v>5037</v>
      </c>
      <c r="H998">
        <v>28</v>
      </c>
      <c r="I998">
        <v>4.5599999999999996</v>
      </c>
      <c r="J998">
        <v>2</v>
      </c>
      <c r="K998">
        <v>13029.83</v>
      </c>
      <c r="L998">
        <v>7.8</v>
      </c>
    </row>
    <row r="999" spans="1:12" x14ac:dyDescent="0.3">
      <c r="A999" t="s">
        <v>1014</v>
      </c>
      <c r="B999" t="s">
        <v>13</v>
      </c>
      <c r="C999" t="s">
        <v>14</v>
      </c>
      <c r="D999">
        <v>56</v>
      </c>
      <c r="E999" s="1">
        <v>44075</v>
      </c>
      <c r="F999">
        <v>2020</v>
      </c>
      <c r="G999" t="s">
        <v>5033</v>
      </c>
      <c r="H999">
        <v>1</v>
      </c>
      <c r="I999">
        <v>2.2599999999999998</v>
      </c>
      <c r="J999">
        <v>14</v>
      </c>
      <c r="K999">
        <v>5462.45</v>
      </c>
      <c r="L999">
        <v>5.2</v>
      </c>
    </row>
    <row r="1000" spans="1:12" x14ac:dyDescent="0.3">
      <c r="A1000" t="s">
        <v>1015</v>
      </c>
      <c r="B1000" t="s">
        <v>24</v>
      </c>
      <c r="C1000" t="s">
        <v>14</v>
      </c>
      <c r="D1000">
        <v>55</v>
      </c>
      <c r="E1000" s="1">
        <v>45360</v>
      </c>
      <c r="F1000">
        <v>2024</v>
      </c>
      <c r="G1000" t="s">
        <v>5035</v>
      </c>
      <c r="H1000">
        <v>9</v>
      </c>
      <c r="I1000">
        <v>1.67</v>
      </c>
      <c r="J1000">
        <v>12</v>
      </c>
      <c r="K1000">
        <v>4135.55</v>
      </c>
      <c r="L1000">
        <v>1.6</v>
      </c>
    </row>
    <row r="1001" spans="1:12" x14ac:dyDescent="0.3">
      <c r="A1001" t="s">
        <v>1016</v>
      </c>
      <c r="B1001" t="s">
        <v>10</v>
      </c>
      <c r="C1001" t="s">
        <v>11</v>
      </c>
      <c r="D1001">
        <v>56</v>
      </c>
      <c r="E1001" s="1">
        <v>41529</v>
      </c>
      <c r="F1001">
        <v>2013</v>
      </c>
      <c r="G1001" t="s">
        <v>5033</v>
      </c>
      <c r="H1001">
        <v>12</v>
      </c>
      <c r="I1001">
        <v>4.12</v>
      </c>
      <c r="J1001">
        <v>0</v>
      </c>
      <c r="K1001">
        <v>7267.64</v>
      </c>
      <c r="L1001">
        <v>12.1</v>
      </c>
    </row>
    <row r="1002" spans="1:12" x14ac:dyDescent="0.3">
      <c r="A1002" t="s">
        <v>1017</v>
      </c>
      <c r="B1002" t="s">
        <v>34</v>
      </c>
      <c r="C1002" t="s">
        <v>14</v>
      </c>
      <c r="D1002">
        <v>27</v>
      </c>
      <c r="E1002" s="1">
        <v>41004</v>
      </c>
      <c r="F1002">
        <v>2012</v>
      </c>
      <c r="G1002" t="s">
        <v>5040</v>
      </c>
      <c r="H1002">
        <v>5</v>
      </c>
      <c r="I1002">
        <v>4.8899999999999997</v>
      </c>
      <c r="J1002">
        <v>6</v>
      </c>
      <c r="K1002">
        <v>10293.39</v>
      </c>
      <c r="L1002">
        <v>13.6</v>
      </c>
    </row>
    <row r="1003" spans="1:12" x14ac:dyDescent="0.3">
      <c r="A1003" t="s">
        <v>1018</v>
      </c>
      <c r="B1003" t="s">
        <v>16</v>
      </c>
      <c r="C1003" t="s">
        <v>14</v>
      </c>
      <c r="D1003">
        <v>24</v>
      </c>
      <c r="E1003" s="1">
        <v>45155</v>
      </c>
      <c r="F1003">
        <v>2023</v>
      </c>
      <c r="G1003" t="s">
        <v>5031</v>
      </c>
      <c r="H1003">
        <v>17</v>
      </c>
      <c r="I1003">
        <v>3.72</v>
      </c>
      <c r="J1003">
        <v>9</v>
      </c>
      <c r="K1003">
        <v>10648.67</v>
      </c>
      <c r="L1003">
        <v>2.2000000000000002</v>
      </c>
    </row>
    <row r="1004" spans="1:12" x14ac:dyDescent="0.3">
      <c r="A1004" t="s">
        <v>1019</v>
      </c>
      <c r="B1004" t="s">
        <v>24</v>
      </c>
      <c r="C1004" t="s">
        <v>11</v>
      </c>
      <c r="D1004">
        <v>24</v>
      </c>
      <c r="E1004" s="1">
        <v>45855</v>
      </c>
      <c r="F1004">
        <v>2025</v>
      </c>
      <c r="G1004" t="s">
        <v>5034</v>
      </c>
      <c r="H1004">
        <v>17</v>
      </c>
      <c r="I1004">
        <v>2.78</v>
      </c>
      <c r="J1004">
        <v>2</v>
      </c>
      <c r="K1004">
        <v>13038.38</v>
      </c>
      <c r="L1004">
        <v>0.3</v>
      </c>
    </row>
    <row r="1005" spans="1:12" x14ac:dyDescent="0.3">
      <c r="A1005" t="s">
        <v>1020</v>
      </c>
      <c r="B1005" t="s">
        <v>13</v>
      </c>
      <c r="C1005" t="s">
        <v>11</v>
      </c>
      <c r="D1005">
        <v>50</v>
      </c>
      <c r="E1005" s="1">
        <v>40911</v>
      </c>
      <c r="F1005">
        <v>2012</v>
      </c>
      <c r="G1005" t="s">
        <v>5037</v>
      </c>
      <c r="H1005">
        <v>3</v>
      </c>
      <c r="I1005">
        <v>4.2699999999999996</v>
      </c>
      <c r="J1005">
        <v>15</v>
      </c>
      <c r="K1005">
        <v>4688.62</v>
      </c>
      <c r="L1005">
        <v>13.8</v>
      </c>
    </row>
    <row r="1006" spans="1:12" x14ac:dyDescent="0.3">
      <c r="A1006" t="s">
        <v>1021</v>
      </c>
      <c r="B1006" t="s">
        <v>16</v>
      </c>
      <c r="C1006" t="s">
        <v>14</v>
      </c>
      <c r="D1006">
        <v>31</v>
      </c>
      <c r="E1006" s="1">
        <v>45474</v>
      </c>
      <c r="F1006">
        <v>2024</v>
      </c>
      <c r="G1006" t="s">
        <v>5034</v>
      </c>
      <c r="H1006">
        <v>1</v>
      </c>
      <c r="I1006">
        <v>3.41</v>
      </c>
      <c r="J1006">
        <v>3</v>
      </c>
      <c r="K1006">
        <v>12302.55</v>
      </c>
      <c r="L1006">
        <v>1.3</v>
      </c>
    </row>
    <row r="1007" spans="1:12" x14ac:dyDescent="0.3">
      <c r="A1007" t="s">
        <v>1022</v>
      </c>
      <c r="B1007" t="s">
        <v>34</v>
      </c>
      <c r="C1007" t="s">
        <v>14</v>
      </c>
      <c r="D1007">
        <v>37</v>
      </c>
      <c r="E1007" s="1">
        <v>44659</v>
      </c>
      <c r="F1007">
        <v>2022</v>
      </c>
      <c r="G1007" t="s">
        <v>5040</v>
      </c>
      <c r="H1007">
        <v>8</v>
      </c>
      <c r="I1007">
        <v>2.73</v>
      </c>
      <c r="J1007">
        <v>7</v>
      </c>
      <c r="K1007">
        <v>13681.59</v>
      </c>
      <c r="L1007">
        <v>3.6</v>
      </c>
    </row>
    <row r="1008" spans="1:12" x14ac:dyDescent="0.3">
      <c r="A1008" t="s">
        <v>1023</v>
      </c>
      <c r="B1008" t="s">
        <v>18</v>
      </c>
      <c r="C1008" t="s">
        <v>14</v>
      </c>
      <c r="D1008">
        <v>48</v>
      </c>
      <c r="E1008" s="1">
        <v>43386</v>
      </c>
      <c r="F1008">
        <v>2018</v>
      </c>
      <c r="G1008" t="s">
        <v>5039</v>
      </c>
      <c r="H1008">
        <v>13</v>
      </c>
      <c r="I1008">
        <v>2.2599999999999998</v>
      </c>
      <c r="J1008">
        <v>12</v>
      </c>
      <c r="K1008">
        <v>10031.17</v>
      </c>
      <c r="L1008">
        <v>7.1</v>
      </c>
    </row>
    <row r="1009" spans="1:12" x14ac:dyDescent="0.3">
      <c r="A1009" t="s">
        <v>1024</v>
      </c>
      <c r="B1009" t="s">
        <v>34</v>
      </c>
      <c r="C1009" t="s">
        <v>14</v>
      </c>
      <c r="D1009">
        <v>30</v>
      </c>
      <c r="E1009" s="1">
        <v>41047</v>
      </c>
      <c r="F1009">
        <v>2012</v>
      </c>
      <c r="G1009" t="s">
        <v>5036</v>
      </c>
      <c r="H1009">
        <v>18</v>
      </c>
      <c r="I1009">
        <v>4.28</v>
      </c>
      <c r="J1009">
        <v>13</v>
      </c>
      <c r="K1009">
        <v>6195.88</v>
      </c>
      <c r="L1009">
        <v>13.5</v>
      </c>
    </row>
    <row r="1010" spans="1:12" x14ac:dyDescent="0.3">
      <c r="A1010" t="s">
        <v>1025</v>
      </c>
      <c r="B1010" t="s">
        <v>34</v>
      </c>
      <c r="C1010" t="s">
        <v>14</v>
      </c>
      <c r="D1010">
        <v>60</v>
      </c>
      <c r="E1010" s="1">
        <v>44903</v>
      </c>
      <c r="F1010">
        <v>2022</v>
      </c>
      <c r="G1010" t="s">
        <v>5041</v>
      </c>
      <c r="H1010">
        <v>8</v>
      </c>
      <c r="I1010">
        <v>4.46</v>
      </c>
      <c r="J1010">
        <v>15</v>
      </c>
      <c r="K1010">
        <v>12387.42</v>
      </c>
      <c r="L1010">
        <v>2.9</v>
      </c>
    </row>
    <row r="1011" spans="1:12" x14ac:dyDescent="0.3">
      <c r="A1011" t="s">
        <v>1026</v>
      </c>
      <c r="B1011" t="s">
        <v>10</v>
      </c>
      <c r="C1011" t="s">
        <v>11</v>
      </c>
      <c r="D1011">
        <v>51</v>
      </c>
      <c r="E1011" s="1">
        <v>42668</v>
      </c>
      <c r="F1011">
        <v>2016</v>
      </c>
      <c r="G1011" t="s">
        <v>5039</v>
      </c>
      <c r="H1011">
        <v>25</v>
      </c>
      <c r="I1011">
        <v>3.66</v>
      </c>
      <c r="J1011">
        <v>8</v>
      </c>
      <c r="K1011">
        <v>14372.3</v>
      </c>
      <c r="L1011">
        <v>9</v>
      </c>
    </row>
    <row r="1012" spans="1:12" x14ac:dyDescent="0.3">
      <c r="A1012" t="s">
        <v>1027</v>
      </c>
      <c r="B1012" t="s">
        <v>34</v>
      </c>
      <c r="C1012" t="s">
        <v>11</v>
      </c>
      <c r="D1012">
        <v>52</v>
      </c>
      <c r="E1012" s="1">
        <v>40347</v>
      </c>
      <c r="F1012">
        <v>2010</v>
      </c>
      <c r="G1012" t="s">
        <v>5032</v>
      </c>
      <c r="H1012">
        <v>18</v>
      </c>
      <c r="I1012">
        <v>2.81</v>
      </c>
      <c r="J1012">
        <v>12</v>
      </c>
      <c r="K1012">
        <v>6145.48</v>
      </c>
      <c r="L1012">
        <v>15.4</v>
      </c>
    </row>
    <row r="1013" spans="1:12" x14ac:dyDescent="0.3">
      <c r="A1013" t="s">
        <v>1028</v>
      </c>
      <c r="B1013" t="s">
        <v>10</v>
      </c>
      <c r="C1013" t="s">
        <v>14</v>
      </c>
      <c r="D1013">
        <v>46</v>
      </c>
      <c r="E1013" s="1">
        <v>43934</v>
      </c>
      <c r="F1013">
        <v>2020</v>
      </c>
      <c r="G1013" t="s">
        <v>5040</v>
      </c>
      <c r="H1013">
        <v>13</v>
      </c>
      <c r="I1013">
        <v>3.62</v>
      </c>
      <c r="J1013">
        <v>8</v>
      </c>
      <c r="K1013">
        <v>7512.49</v>
      </c>
      <c r="L1013">
        <v>5.6</v>
      </c>
    </row>
    <row r="1014" spans="1:12" x14ac:dyDescent="0.3">
      <c r="A1014" t="s">
        <v>1029</v>
      </c>
      <c r="B1014" t="s">
        <v>34</v>
      </c>
      <c r="C1014" t="s">
        <v>14</v>
      </c>
      <c r="D1014">
        <v>44</v>
      </c>
      <c r="E1014" s="1">
        <v>44688</v>
      </c>
      <c r="F1014">
        <v>2022</v>
      </c>
      <c r="G1014" t="s">
        <v>5036</v>
      </c>
      <c r="H1014">
        <v>7</v>
      </c>
      <c r="I1014">
        <v>2.31</v>
      </c>
      <c r="J1014">
        <v>8</v>
      </c>
      <c r="K1014">
        <v>7295.78</v>
      </c>
      <c r="L1014">
        <v>3.5</v>
      </c>
    </row>
    <row r="1015" spans="1:12" x14ac:dyDescent="0.3">
      <c r="A1015" t="s">
        <v>1030</v>
      </c>
      <c r="B1015" t="s">
        <v>24</v>
      </c>
      <c r="C1015" t="s">
        <v>14</v>
      </c>
      <c r="D1015">
        <v>26</v>
      </c>
      <c r="E1015" s="1">
        <v>44661</v>
      </c>
      <c r="F1015">
        <v>2022</v>
      </c>
      <c r="G1015" t="s">
        <v>5040</v>
      </c>
      <c r="H1015">
        <v>10</v>
      </c>
      <c r="I1015">
        <v>4.47</v>
      </c>
      <c r="J1015">
        <v>1</v>
      </c>
      <c r="K1015">
        <v>3661.88</v>
      </c>
      <c r="L1015">
        <v>3.6</v>
      </c>
    </row>
    <row r="1016" spans="1:12" x14ac:dyDescent="0.3">
      <c r="A1016" t="s">
        <v>1031</v>
      </c>
      <c r="B1016" t="s">
        <v>34</v>
      </c>
      <c r="C1016" t="s">
        <v>14</v>
      </c>
      <c r="D1016">
        <v>58</v>
      </c>
      <c r="E1016" s="1">
        <v>42806</v>
      </c>
      <c r="F1016">
        <v>2017</v>
      </c>
      <c r="G1016" t="s">
        <v>5035</v>
      </c>
      <c r="H1016">
        <v>12</v>
      </c>
      <c r="I1016">
        <v>4.68</v>
      </c>
      <c r="J1016">
        <v>15</v>
      </c>
      <c r="K1016">
        <v>11406.69</v>
      </c>
      <c r="L1016">
        <v>8.6</v>
      </c>
    </row>
    <row r="1017" spans="1:12" x14ac:dyDescent="0.3">
      <c r="A1017" t="s">
        <v>1032</v>
      </c>
      <c r="B1017" t="s">
        <v>34</v>
      </c>
      <c r="C1017" t="s">
        <v>11</v>
      </c>
      <c r="D1017">
        <v>47</v>
      </c>
      <c r="E1017" s="1">
        <v>45518</v>
      </c>
      <c r="F1017">
        <v>2024</v>
      </c>
      <c r="G1017" t="s">
        <v>5031</v>
      </c>
      <c r="H1017">
        <v>14</v>
      </c>
      <c r="I1017">
        <v>3.78</v>
      </c>
      <c r="J1017">
        <v>9</v>
      </c>
      <c r="K1017">
        <v>3770.43</v>
      </c>
      <c r="L1017">
        <v>1.2</v>
      </c>
    </row>
    <row r="1018" spans="1:12" x14ac:dyDescent="0.3">
      <c r="A1018" t="s">
        <v>1033</v>
      </c>
      <c r="B1018" t="s">
        <v>13</v>
      </c>
      <c r="C1018" t="s">
        <v>14</v>
      </c>
      <c r="D1018">
        <v>48</v>
      </c>
      <c r="E1018" s="1">
        <v>45625</v>
      </c>
      <c r="F1018">
        <v>2024</v>
      </c>
      <c r="G1018" t="s">
        <v>5038</v>
      </c>
      <c r="H1018">
        <v>29</v>
      </c>
      <c r="I1018">
        <v>3.11</v>
      </c>
      <c r="J1018">
        <v>1</v>
      </c>
      <c r="K1018">
        <v>5133.6400000000003</v>
      </c>
      <c r="L1018">
        <v>0.9</v>
      </c>
    </row>
    <row r="1019" spans="1:12" x14ac:dyDescent="0.3">
      <c r="A1019" t="s">
        <v>1034</v>
      </c>
      <c r="B1019" t="s">
        <v>16</v>
      </c>
      <c r="C1019" t="s">
        <v>14</v>
      </c>
      <c r="D1019">
        <v>46</v>
      </c>
      <c r="E1019" s="1">
        <v>44974</v>
      </c>
      <c r="F1019">
        <v>2023</v>
      </c>
      <c r="G1019" t="s">
        <v>5042</v>
      </c>
      <c r="H1019">
        <v>17</v>
      </c>
      <c r="I1019">
        <v>4.5599999999999996</v>
      </c>
      <c r="J1019">
        <v>4</v>
      </c>
      <c r="K1019">
        <v>9744.07</v>
      </c>
      <c r="L1019">
        <v>2.7</v>
      </c>
    </row>
    <row r="1020" spans="1:12" x14ac:dyDescent="0.3">
      <c r="A1020" t="s">
        <v>1035</v>
      </c>
      <c r="B1020" t="s">
        <v>18</v>
      </c>
      <c r="C1020" t="s">
        <v>14</v>
      </c>
      <c r="D1020">
        <v>24</v>
      </c>
      <c r="E1020" s="1">
        <v>45006</v>
      </c>
      <c r="F1020">
        <v>2023</v>
      </c>
      <c r="G1020" t="s">
        <v>5035</v>
      </c>
      <c r="H1020">
        <v>21</v>
      </c>
      <c r="I1020">
        <v>1.8</v>
      </c>
      <c r="J1020">
        <v>15</v>
      </c>
      <c r="K1020">
        <v>11440.44</v>
      </c>
      <c r="L1020">
        <v>2.6</v>
      </c>
    </row>
    <row r="1021" spans="1:12" x14ac:dyDescent="0.3">
      <c r="A1021" t="s">
        <v>1036</v>
      </c>
      <c r="B1021" t="s">
        <v>13</v>
      </c>
      <c r="C1021" t="s">
        <v>11</v>
      </c>
      <c r="D1021">
        <v>42</v>
      </c>
      <c r="E1021" s="1">
        <v>40197</v>
      </c>
      <c r="F1021">
        <v>2010</v>
      </c>
      <c r="G1021" t="s">
        <v>5037</v>
      </c>
      <c r="H1021">
        <v>19</v>
      </c>
      <c r="I1021">
        <v>1.57</v>
      </c>
      <c r="J1021">
        <v>1</v>
      </c>
      <c r="K1021">
        <v>6861.05</v>
      </c>
      <c r="L1021">
        <v>15.8</v>
      </c>
    </row>
    <row r="1022" spans="1:12" x14ac:dyDescent="0.3">
      <c r="A1022" t="s">
        <v>1037</v>
      </c>
      <c r="B1022" t="s">
        <v>24</v>
      </c>
      <c r="C1022" t="s">
        <v>14</v>
      </c>
      <c r="D1022">
        <v>42</v>
      </c>
      <c r="E1022" s="1">
        <v>43561</v>
      </c>
      <c r="F1022">
        <v>2019</v>
      </c>
      <c r="G1022" t="s">
        <v>5040</v>
      </c>
      <c r="H1022">
        <v>6</v>
      </c>
      <c r="I1022">
        <v>3.81</v>
      </c>
      <c r="J1022">
        <v>5</v>
      </c>
      <c r="K1022">
        <v>10400.969999999999</v>
      </c>
      <c r="L1022">
        <v>6.6</v>
      </c>
    </row>
    <row r="1023" spans="1:12" x14ac:dyDescent="0.3">
      <c r="A1023" t="s">
        <v>1038</v>
      </c>
      <c r="B1023" t="s">
        <v>24</v>
      </c>
      <c r="C1023" t="s">
        <v>14</v>
      </c>
      <c r="D1023">
        <v>27</v>
      </c>
      <c r="E1023" s="1">
        <v>42818</v>
      </c>
      <c r="F1023">
        <v>2017</v>
      </c>
      <c r="G1023" t="s">
        <v>5035</v>
      </c>
      <c r="H1023">
        <v>24</v>
      </c>
      <c r="I1023">
        <v>4.8600000000000003</v>
      </c>
      <c r="J1023">
        <v>0</v>
      </c>
      <c r="K1023">
        <v>10712.55</v>
      </c>
      <c r="L1023">
        <v>8.6</v>
      </c>
    </row>
    <row r="1024" spans="1:12" x14ac:dyDescent="0.3">
      <c r="A1024" t="s">
        <v>1039</v>
      </c>
      <c r="B1024" t="s">
        <v>16</v>
      </c>
      <c r="C1024" t="s">
        <v>14</v>
      </c>
      <c r="D1024">
        <v>35</v>
      </c>
      <c r="E1024" s="1">
        <v>45210</v>
      </c>
      <c r="F1024">
        <v>2023</v>
      </c>
      <c r="G1024" t="s">
        <v>5039</v>
      </c>
      <c r="H1024">
        <v>11</v>
      </c>
      <c r="I1024">
        <v>3.43</v>
      </c>
      <c r="J1024">
        <v>14</v>
      </c>
      <c r="K1024">
        <v>11489.26</v>
      </c>
      <c r="L1024">
        <v>2.1</v>
      </c>
    </row>
    <row r="1025" spans="1:12" x14ac:dyDescent="0.3">
      <c r="A1025" t="s">
        <v>1040</v>
      </c>
      <c r="B1025" t="s">
        <v>13</v>
      </c>
      <c r="C1025" t="s">
        <v>11</v>
      </c>
      <c r="D1025">
        <v>22</v>
      </c>
      <c r="E1025" s="1">
        <v>40651</v>
      </c>
      <c r="F1025">
        <v>2011</v>
      </c>
      <c r="G1025" t="s">
        <v>5040</v>
      </c>
      <c r="H1025">
        <v>18</v>
      </c>
      <c r="I1025">
        <v>2.68</v>
      </c>
      <c r="J1025">
        <v>0</v>
      </c>
      <c r="K1025">
        <v>8090.24</v>
      </c>
      <c r="L1025">
        <v>14.6</v>
      </c>
    </row>
    <row r="1026" spans="1:12" x14ac:dyDescent="0.3">
      <c r="A1026" t="s">
        <v>1041</v>
      </c>
      <c r="B1026" t="s">
        <v>34</v>
      </c>
      <c r="C1026" t="s">
        <v>14</v>
      </c>
      <c r="D1026">
        <v>29</v>
      </c>
      <c r="E1026" s="1">
        <v>44797</v>
      </c>
      <c r="F1026">
        <v>2022</v>
      </c>
      <c r="G1026" t="s">
        <v>5031</v>
      </c>
      <c r="H1026">
        <v>24</v>
      </c>
      <c r="I1026">
        <v>4.5599999999999996</v>
      </c>
      <c r="J1026">
        <v>13</v>
      </c>
      <c r="K1026">
        <v>14287.93</v>
      </c>
      <c r="L1026">
        <v>3.2</v>
      </c>
    </row>
    <row r="1027" spans="1:12" x14ac:dyDescent="0.3">
      <c r="A1027" t="s">
        <v>1042</v>
      </c>
      <c r="B1027" t="s">
        <v>34</v>
      </c>
      <c r="C1027" t="s">
        <v>11</v>
      </c>
      <c r="D1027">
        <v>36</v>
      </c>
      <c r="E1027" s="1">
        <v>43211</v>
      </c>
      <c r="F1027">
        <v>2018</v>
      </c>
      <c r="G1027" t="s">
        <v>5040</v>
      </c>
      <c r="H1027">
        <v>21</v>
      </c>
      <c r="I1027">
        <v>3.28</v>
      </c>
      <c r="J1027">
        <v>15</v>
      </c>
      <c r="K1027">
        <v>11562.41</v>
      </c>
      <c r="L1027">
        <v>7.5</v>
      </c>
    </row>
    <row r="1028" spans="1:12" x14ac:dyDescent="0.3">
      <c r="A1028" t="s">
        <v>1043</v>
      </c>
      <c r="B1028" t="s">
        <v>24</v>
      </c>
      <c r="C1028" t="s">
        <v>11</v>
      </c>
      <c r="D1028">
        <v>36</v>
      </c>
      <c r="E1028" s="1">
        <v>43125</v>
      </c>
      <c r="F1028">
        <v>2018</v>
      </c>
      <c r="G1028" t="s">
        <v>5037</v>
      </c>
      <c r="H1028">
        <v>25</v>
      </c>
      <c r="I1028">
        <v>3.91</v>
      </c>
      <c r="J1028">
        <v>1</v>
      </c>
      <c r="K1028">
        <v>5484.47</v>
      </c>
      <c r="L1028">
        <v>7.8</v>
      </c>
    </row>
    <row r="1029" spans="1:12" x14ac:dyDescent="0.3">
      <c r="A1029" t="s">
        <v>1044</v>
      </c>
      <c r="B1029" t="s">
        <v>18</v>
      </c>
      <c r="C1029" t="s">
        <v>14</v>
      </c>
      <c r="D1029">
        <v>40</v>
      </c>
      <c r="E1029" s="1">
        <v>41635</v>
      </c>
      <c r="F1029">
        <v>2013</v>
      </c>
      <c r="G1029" t="s">
        <v>5041</v>
      </c>
      <c r="H1029">
        <v>27</v>
      </c>
      <c r="I1029">
        <v>3.79</v>
      </c>
      <c r="J1029">
        <v>11</v>
      </c>
      <c r="K1029">
        <v>12437.04</v>
      </c>
      <c r="L1029">
        <v>11.9</v>
      </c>
    </row>
    <row r="1030" spans="1:12" x14ac:dyDescent="0.3">
      <c r="A1030" t="s">
        <v>1045</v>
      </c>
      <c r="B1030" t="s">
        <v>13</v>
      </c>
      <c r="C1030" t="s">
        <v>14</v>
      </c>
      <c r="D1030">
        <v>30</v>
      </c>
      <c r="E1030" s="1">
        <v>45517</v>
      </c>
      <c r="F1030">
        <v>2024</v>
      </c>
      <c r="G1030" t="s">
        <v>5031</v>
      </c>
      <c r="H1030">
        <v>13</v>
      </c>
      <c r="I1030">
        <v>1.93</v>
      </c>
      <c r="J1030">
        <v>6</v>
      </c>
      <c r="K1030">
        <v>8891.02</v>
      </c>
      <c r="L1030">
        <v>1.2</v>
      </c>
    </row>
    <row r="1031" spans="1:12" x14ac:dyDescent="0.3">
      <c r="A1031" t="s">
        <v>1046</v>
      </c>
      <c r="B1031" t="s">
        <v>10</v>
      </c>
      <c r="C1031" t="s">
        <v>11</v>
      </c>
      <c r="D1031">
        <v>52</v>
      </c>
      <c r="E1031" s="1">
        <v>42842</v>
      </c>
      <c r="F1031">
        <v>2017</v>
      </c>
      <c r="G1031" t="s">
        <v>5040</v>
      </c>
      <c r="H1031">
        <v>17</v>
      </c>
      <c r="I1031">
        <v>3.7</v>
      </c>
      <c r="J1031">
        <v>6</v>
      </c>
      <c r="K1031">
        <v>10713.71</v>
      </c>
      <c r="L1031">
        <v>8.5</v>
      </c>
    </row>
    <row r="1032" spans="1:12" x14ac:dyDescent="0.3">
      <c r="A1032" t="s">
        <v>1047</v>
      </c>
      <c r="B1032" t="s">
        <v>16</v>
      </c>
      <c r="C1032" t="s">
        <v>14</v>
      </c>
      <c r="D1032">
        <v>41</v>
      </c>
      <c r="E1032" s="1">
        <v>40953</v>
      </c>
      <c r="F1032">
        <v>2012</v>
      </c>
      <c r="G1032" t="s">
        <v>5042</v>
      </c>
      <c r="H1032">
        <v>14</v>
      </c>
      <c r="I1032">
        <v>2.7</v>
      </c>
      <c r="J1032">
        <v>12</v>
      </c>
      <c r="K1032">
        <v>14971.36</v>
      </c>
      <c r="L1032">
        <v>13.7</v>
      </c>
    </row>
    <row r="1033" spans="1:12" x14ac:dyDescent="0.3">
      <c r="A1033" t="s">
        <v>1048</v>
      </c>
      <c r="B1033" t="s">
        <v>13</v>
      </c>
      <c r="C1033" t="s">
        <v>11</v>
      </c>
      <c r="D1033">
        <v>34</v>
      </c>
      <c r="E1033" s="1">
        <v>42660</v>
      </c>
      <c r="F1033">
        <v>2016</v>
      </c>
      <c r="G1033" t="s">
        <v>5039</v>
      </c>
      <c r="H1033">
        <v>17</v>
      </c>
      <c r="I1033">
        <v>1.67</v>
      </c>
      <c r="J1033">
        <v>14</v>
      </c>
      <c r="K1033">
        <v>10743.13</v>
      </c>
      <c r="L1033">
        <v>9</v>
      </c>
    </row>
    <row r="1034" spans="1:12" x14ac:dyDescent="0.3">
      <c r="A1034" t="s">
        <v>1049</v>
      </c>
      <c r="B1034" t="s">
        <v>13</v>
      </c>
      <c r="C1034" t="s">
        <v>14</v>
      </c>
      <c r="D1034">
        <v>52</v>
      </c>
      <c r="E1034" s="1">
        <v>41902</v>
      </c>
      <c r="F1034">
        <v>2014</v>
      </c>
      <c r="G1034" t="s">
        <v>5033</v>
      </c>
      <c r="H1034">
        <v>20</v>
      </c>
      <c r="I1034">
        <v>4.68</v>
      </c>
      <c r="J1034">
        <v>11</v>
      </c>
      <c r="K1034">
        <v>12644.45</v>
      </c>
      <c r="L1034">
        <v>11.1</v>
      </c>
    </row>
    <row r="1035" spans="1:12" x14ac:dyDescent="0.3">
      <c r="A1035" t="s">
        <v>1050</v>
      </c>
      <c r="B1035" t="s">
        <v>10</v>
      </c>
      <c r="C1035" t="s">
        <v>14</v>
      </c>
      <c r="D1035">
        <v>35</v>
      </c>
      <c r="E1035" s="1">
        <v>43184</v>
      </c>
      <c r="F1035">
        <v>2018</v>
      </c>
      <c r="G1035" t="s">
        <v>5035</v>
      </c>
      <c r="H1035">
        <v>25</v>
      </c>
      <c r="I1035">
        <v>4.57</v>
      </c>
      <c r="J1035">
        <v>4</v>
      </c>
      <c r="K1035">
        <v>13229.03</v>
      </c>
      <c r="L1035">
        <v>7.6</v>
      </c>
    </row>
    <row r="1036" spans="1:12" x14ac:dyDescent="0.3">
      <c r="A1036" t="s">
        <v>1051</v>
      </c>
      <c r="B1036" t="s">
        <v>10</v>
      </c>
      <c r="C1036" t="s">
        <v>11</v>
      </c>
      <c r="D1036">
        <v>23</v>
      </c>
      <c r="E1036" s="1">
        <v>43591</v>
      </c>
      <c r="F1036">
        <v>2019</v>
      </c>
      <c r="G1036" t="s">
        <v>5036</v>
      </c>
      <c r="H1036">
        <v>6</v>
      </c>
      <c r="I1036">
        <v>4.17</v>
      </c>
      <c r="J1036">
        <v>4</v>
      </c>
      <c r="K1036">
        <v>9901.11</v>
      </c>
      <c r="L1036">
        <v>6.5</v>
      </c>
    </row>
    <row r="1037" spans="1:12" x14ac:dyDescent="0.3">
      <c r="A1037" t="s">
        <v>1052</v>
      </c>
      <c r="B1037" t="s">
        <v>13</v>
      </c>
      <c r="C1037" t="s">
        <v>11</v>
      </c>
      <c r="D1037">
        <v>50</v>
      </c>
      <c r="E1037" s="1">
        <v>41064</v>
      </c>
      <c r="F1037">
        <v>2012</v>
      </c>
      <c r="G1037" t="s">
        <v>5032</v>
      </c>
      <c r="H1037">
        <v>4</v>
      </c>
      <c r="I1037">
        <v>2.14</v>
      </c>
      <c r="J1037">
        <v>10</v>
      </c>
      <c r="K1037">
        <v>3853.07</v>
      </c>
      <c r="L1037">
        <v>13.4</v>
      </c>
    </row>
    <row r="1038" spans="1:12" x14ac:dyDescent="0.3">
      <c r="A1038" t="s">
        <v>1053</v>
      </c>
      <c r="B1038" t="s">
        <v>34</v>
      </c>
      <c r="C1038" t="s">
        <v>14</v>
      </c>
      <c r="D1038">
        <v>57</v>
      </c>
      <c r="E1038" s="1">
        <v>43911</v>
      </c>
      <c r="F1038">
        <v>2020</v>
      </c>
      <c r="G1038" t="s">
        <v>5035</v>
      </c>
      <c r="H1038">
        <v>21</v>
      </c>
      <c r="I1038">
        <v>2.2400000000000002</v>
      </c>
      <c r="J1038">
        <v>1</v>
      </c>
      <c r="K1038">
        <v>6873.5</v>
      </c>
      <c r="L1038">
        <v>5.6</v>
      </c>
    </row>
    <row r="1039" spans="1:12" x14ac:dyDescent="0.3">
      <c r="A1039" t="s">
        <v>1054</v>
      </c>
      <c r="B1039" t="s">
        <v>24</v>
      </c>
      <c r="C1039" t="s">
        <v>14</v>
      </c>
      <c r="D1039">
        <v>28</v>
      </c>
      <c r="E1039" s="1">
        <v>43589</v>
      </c>
      <c r="F1039">
        <v>2019</v>
      </c>
      <c r="G1039" t="s">
        <v>5036</v>
      </c>
      <c r="H1039">
        <v>4</v>
      </c>
      <c r="I1039">
        <v>4.32</v>
      </c>
      <c r="J1039">
        <v>12</v>
      </c>
      <c r="K1039">
        <v>5628.67</v>
      </c>
      <c r="L1039">
        <v>6.5</v>
      </c>
    </row>
    <row r="1040" spans="1:12" x14ac:dyDescent="0.3">
      <c r="A1040" t="s">
        <v>1055</v>
      </c>
      <c r="B1040" t="s">
        <v>10</v>
      </c>
      <c r="C1040" t="s">
        <v>11</v>
      </c>
      <c r="D1040">
        <v>54</v>
      </c>
      <c r="E1040" s="1">
        <v>42686</v>
      </c>
      <c r="F1040">
        <v>2016</v>
      </c>
      <c r="G1040" t="s">
        <v>5038</v>
      </c>
      <c r="H1040">
        <v>12</v>
      </c>
      <c r="I1040">
        <v>2.17</v>
      </c>
      <c r="J1040">
        <v>7</v>
      </c>
      <c r="K1040">
        <v>10294.719999999999</v>
      </c>
      <c r="L1040">
        <v>9</v>
      </c>
    </row>
    <row r="1041" spans="1:12" x14ac:dyDescent="0.3">
      <c r="A1041" t="s">
        <v>1056</v>
      </c>
      <c r="B1041" t="s">
        <v>18</v>
      </c>
      <c r="C1041" t="s">
        <v>11</v>
      </c>
      <c r="D1041">
        <v>51</v>
      </c>
      <c r="E1041" s="1">
        <v>41684</v>
      </c>
      <c r="F1041">
        <v>2014</v>
      </c>
      <c r="G1041" t="s">
        <v>5042</v>
      </c>
      <c r="H1041">
        <v>14</v>
      </c>
      <c r="I1041">
        <v>1.82</v>
      </c>
      <c r="J1041">
        <v>1</v>
      </c>
      <c r="K1041">
        <v>11337.01</v>
      </c>
      <c r="L1041">
        <v>11.7</v>
      </c>
    </row>
    <row r="1042" spans="1:12" x14ac:dyDescent="0.3">
      <c r="A1042" t="s">
        <v>1057</v>
      </c>
      <c r="B1042" t="s">
        <v>13</v>
      </c>
      <c r="C1042" t="s">
        <v>14</v>
      </c>
      <c r="D1042">
        <v>51</v>
      </c>
      <c r="E1042" s="1">
        <v>44949</v>
      </c>
      <c r="F1042">
        <v>2023</v>
      </c>
      <c r="G1042" t="s">
        <v>5037</v>
      </c>
      <c r="H1042">
        <v>23</v>
      </c>
      <c r="I1042">
        <v>2.89</v>
      </c>
      <c r="J1042">
        <v>2</v>
      </c>
      <c r="K1042">
        <v>10824.83</v>
      </c>
      <c r="L1042">
        <v>2.8</v>
      </c>
    </row>
    <row r="1043" spans="1:12" x14ac:dyDescent="0.3">
      <c r="A1043" t="s">
        <v>1058</v>
      </c>
      <c r="B1043" t="s">
        <v>18</v>
      </c>
      <c r="C1043" t="s">
        <v>11</v>
      </c>
      <c r="D1043">
        <v>54</v>
      </c>
      <c r="E1043" s="1">
        <v>41641</v>
      </c>
      <c r="F1043">
        <v>2014</v>
      </c>
      <c r="G1043" t="s">
        <v>5037</v>
      </c>
      <c r="H1043">
        <v>2</v>
      </c>
      <c r="I1043">
        <v>1.69</v>
      </c>
      <c r="J1043">
        <v>15</v>
      </c>
      <c r="K1043">
        <v>5332.61</v>
      </c>
      <c r="L1043">
        <v>11.8</v>
      </c>
    </row>
    <row r="1044" spans="1:12" x14ac:dyDescent="0.3">
      <c r="A1044" t="s">
        <v>1059</v>
      </c>
      <c r="B1044" t="s">
        <v>18</v>
      </c>
      <c r="C1044" t="s">
        <v>11</v>
      </c>
      <c r="D1044">
        <v>27</v>
      </c>
      <c r="E1044" s="1">
        <v>43367</v>
      </c>
      <c r="F1044">
        <v>2018</v>
      </c>
      <c r="G1044" t="s">
        <v>5033</v>
      </c>
      <c r="H1044">
        <v>24</v>
      </c>
      <c r="I1044">
        <v>2.76</v>
      </c>
      <c r="J1044">
        <v>11</v>
      </c>
      <c r="K1044">
        <v>8133.59</v>
      </c>
      <c r="L1044">
        <v>7.1</v>
      </c>
    </row>
    <row r="1045" spans="1:12" x14ac:dyDescent="0.3">
      <c r="A1045" t="s">
        <v>1060</v>
      </c>
      <c r="B1045" t="s">
        <v>18</v>
      </c>
      <c r="C1045" t="s">
        <v>11</v>
      </c>
      <c r="D1045">
        <v>43</v>
      </c>
      <c r="E1045" s="1">
        <v>45885</v>
      </c>
      <c r="F1045">
        <v>2025</v>
      </c>
      <c r="G1045" t="s">
        <v>5031</v>
      </c>
      <c r="H1045">
        <v>16</v>
      </c>
      <c r="I1045">
        <v>3.37</v>
      </c>
      <c r="J1045">
        <v>13</v>
      </c>
      <c r="K1045">
        <v>11581.33</v>
      </c>
      <c r="L1045">
        <v>0.2</v>
      </c>
    </row>
    <row r="1046" spans="1:12" x14ac:dyDescent="0.3">
      <c r="A1046" t="s">
        <v>1061</v>
      </c>
      <c r="B1046" t="s">
        <v>34</v>
      </c>
      <c r="C1046" t="s">
        <v>14</v>
      </c>
      <c r="D1046">
        <v>46</v>
      </c>
      <c r="E1046" s="1">
        <v>40338</v>
      </c>
      <c r="F1046">
        <v>2010</v>
      </c>
      <c r="G1046" t="s">
        <v>5032</v>
      </c>
      <c r="H1046">
        <v>9</v>
      </c>
      <c r="I1046">
        <v>4.4800000000000004</v>
      </c>
      <c r="J1046">
        <v>7</v>
      </c>
      <c r="K1046">
        <v>9811.09</v>
      </c>
      <c r="L1046">
        <v>15.4</v>
      </c>
    </row>
    <row r="1047" spans="1:12" x14ac:dyDescent="0.3">
      <c r="A1047" t="s">
        <v>1062</v>
      </c>
      <c r="B1047" t="s">
        <v>13</v>
      </c>
      <c r="C1047" t="s">
        <v>14</v>
      </c>
      <c r="D1047">
        <v>46</v>
      </c>
      <c r="E1047" s="1">
        <v>44212</v>
      </c>
      <c r="F1047">
        <v>2021</v>
      </c>
      <c r="G1047" t="s">
        <v>5037</v>
      </c>
      <c r="H1047">
        <v>16</v>
      </c>
      <c r="I1047">
        <v>2.72</v>
      </c>
      <c r="J1047">
        <v>5</v>
      </c>
      <c r="K1047">
        <v>4290.38</v>
      </c>
      <c r="L1047">
        <v>4.8</v>
      </c>
    </row>
    <row r="1048" spans="1:12" x14ac:dyDescent="0.3">
      <c r="A1048" t="s">
        <v>1063</v>
      </c>
      <c r="B1048" t="s">
        <v>13</v>
      </c>
      <c r="C1048" t="s">
        <v>14</v>
      </c>
      <c r="D1048">
        <v>60</v>
      </c>
      <c r="E1048" s="1">
        <v>41433</v>
      </c>
      <c r="F1048">
        <v>2013</v>
      </c>
      <c r="G1048" t="s">
        <v>5032</v>
      </c>
      <c r="H1048">
        <v>8</v>
      </c>
      <c r="I1048">
        <v>4.05</v>
      </c>
      <c r="J1048">
        <v>8</v>
      </c>
      <c r="K1048">
        <v>10978.77</v>
      </c>
      <c r="L1048">
        <v>12.4</v>
      </c>
    </row>
    <row r="1049" spans="1:12" x14ac:dyDescent="0.3">
      <c r="A1049" t="s">
        <v>1064</v>
      </c>
      <c r="B1049" t="s">
        <v>13</v>
      </c>
      <c r="C1049" t="s">
        <v>11</v>
      </c>
      <c r="D1049">
        <v>39</v>
      </c>
      <c r="E1049" s="1">
        <v>42742</v>
      </c>
      <c r="F1049">
        <v>2017</v>
      </c>
      <c r="G1049" t="s">
        <v>5037</v>
      </c>
      <c r="H1049">
        <v>7</v>
      </c>
      <c r="I1049">
        <v>3.98</v>
      </c>
      <c r="J1049">
        <v>5</v>
      </c>
      <c r="K1049">
        <v>14868.56</v>
      </c>
      <c r="L1049">
        <v>8.8000000000000007</v>
      </c>
    </row>
    <row r="1050" spans="1:12" x14ac:dyDescent="0.3">
      <c r="A1050" t="s">
        <v>1065</v>
      </c>
      <c r="B1050" t="s">
        <v>10</v>
      </c>
      <c r="C1050" t="s">
        <v>11</v>
      </c>
      <c r="D1050">
        <v>23</v>
      </c>
      <c r="E1050" s="1">
        <v>44628</v>
      </c>
      <c r="F1050">
        <v>2022</v>
      </c>
      <c r="G1050" t="s">
        <v>5035</v>
      </c>
      <c r="H1050">
        <v>8</v>
      </c>
      <c r="I1050">
        <v>1.98</v>
      </c>
      <c r="J1050">
        <v>5</v>
      </c>
      <c r="K1050">
        <v>6616.3</v>
      </c>
      <c r="L1050">
        <v>3.7</v>
      </c>
    </row>
    <row r="1051" spans="1:12" x14ac:dyDescent="0.3">
      <c r="A1051" t="s">
        <v>1066</v>
      </c>
      <c r="B1051" t="s">
        <v>10</v>
      </c>
      <c r="C1051" t="s">
        <v>11</v>
      </c>
      <c r="D1051">
        <v>48</v>
      </c>
      <c r="E1051" s="1">
        <v>45476</v>
      </c>
      <c r="F1051">
        <v>2024</v>
      </c>
      <c r="G1051" t="s">
        <v>5034</v>
      </c>
      <c r="H1051">
        <v>3</v>
      </c>
      <c r="I1051">
        <v>1.84</v>
      </c>
      <c r="J1051">
        <v>15</v>
      </c>
      <c r="K1051">
        <v>7534.03</v>
      </c>
      <c r="L1051">
        <v>1.3</v>
      </c>
    </row>
    <row r="1052" spans="1:12" x14ac:dyDescent="0.3">
      <c r="A1052" t="s">
        <v>1067</v>
      </c>
      <c r="B1052" t="s">
        <v>10</v>
      </c>
      <c r="C1052" t="s">
        <v>14</v>
      </c>
      <c r="D1052">
        <v>59</v>
      </c>
      <c r="E1052" s="1">
        <v>43626</v>
      </c>
      <c r="F1052">
        <v>2019</v>
      </c>
      <c r="G1052" t="s">
        <v>5032</v>
      </c>
      <c r="H1052">
        <v>10</v>
      </c>
      <c r="I1052">
        <v>4.37</v>
      </c>
      <c r="J1052">
        <v>0</v>
      </c>
      <c r="K1052">
        <v>13065.38</v>
      </c>
      <c r="L1052">
        <v>6.4</v>
      </c>
    </row>
    <row r="1053" spans="1:12" x14ac:dyDescent="0.3">
      <c r="A1053" t="s">
        <v>1068</v>
      </c>
      <c r="B1053" t="s">
        <v>13</v>
      </c>
      <c r="C1053" t="s">
        <v>11</v>
      </c>
      <c r="D1053">
        <v>25</v>
      </c>
      <c r="E1053" s="1">
        <v>40972</v>
      </c>
      <c r="F1053">
        <v>2012</v>
      </c>
      <c r="G1053" t="s">
        <v>5035</v>
      </c>
      <c r="H1053">
        <v>4</v>
      </c>
      <c r="I1053">
        <v>3.53</v>
      </c>
      <c r="J1053">
        <v>14</v>
      </c>
      <c r="K1053">
        <v>14421.95</v>
      </c>
      <c r="L1053">
        <v>13.7</v>
      </c>
    </row>
    <row r="1054" spans="1:12" x14ac:dyDescent="0.3">
      <c r="A1054" t="s">
        <v>1069</v>
      </c>
      <c r="B1054" t="s">
        <v>24</v>
      </c>
      <c r="C1054" t="s">
        <v>11</v>
      </c>
      <c r="D1054">
        <v>25</v>
      </c>
      <c r="E1054" s="1">
        <v>45890</v>
      </c>
      <c r="F1054">
        <v>2025</v>
      </c>
      <c r="G1054" t="s">
        <v>5031</v>
      </c>
      <c r="H1054">
        <v>21</v>
      </c>
      <c r="I1054">
        <v>3.08</v>
      </c>
      <c r="J1054">
        <v>10</v>
      </c>
      <c r="K1054">
        <v>10245.209999999999</v>
      </c>
      <c r="L1054">
        <v>0.2</v>
      </c>
    </row>
    <row r="1055" spans="1:12" x14ac:dyDescent="0.3">
      <c r="A1055" t="s">
        <v>1070</v>
      </c>
      <c r="B1055" t="s">
        <v>13</v>
      </c>
      <c r="C1055" t="s">
        <v>14</v>
      </c>
      <c r="D1055">
        <v>51</v>
      </c>
      <c r="E1055" s="1">
        <v>40566</v>
      </c>
      <c r="F1055">
        <v>2011</v>
      </c>
      <c r="G1055" t="s">
        <v>5037</v>
      </c>
      <c r="H1055">
        <v>23</v>
      </c>
      <c r="I1055">
        <v>2.8</v>
      </c>
      <c r="J1055">
        <v>1</v>
      </c>
      <c r="K1055">
        <v>5816.79</v>
      </c>
      <c r="L1055">
        <v>14.8</v>
      </c>
    </row>
    <row r="1056" spans="1:12" x14ac:dyDescent="0.3">
      <c r="A1056" t="s">
        <v>1071</v>
      </c>
      <c r="B1056" t="s">
        <v>18</v>
      </c>
      <c r="C1056" t="s">
        <v>11</v>
      </c>
      <c r="D1056">
        <v>44</v>
      </c>
      <c r="E1056" s="1">
        <v>45664</v>
      </c>
      <c r="F1056">
        <v>2025</v>
      </c>
      <c r="G1056" t="s">
        <v>5037</v>
      </c>
      <c r="H1056">
        <v>7</v>
      </c>
      <c r="I1056">
        <v>4.24</v>
      </c>
      <c r="J1056">
        <v>4</v>
      </c>
      <c r="K1056">
        <v>3538.45</v>
      </c>
      <c r="L1056">
        <v>0.8</v>
      </c>
    </row>
    <row r="1057" spans="1:12" x14ac:dyDescent="0.3">
      <c r="A1057" t="s">
        <v>1072</v>
      </c>
      <c r="B1057" t="s">
        <v>34</v>
      </c>
      <c r="C1057" t="s">
        <v>14</v>
      </c>
      <c r="D1057">
        <v>35</v>
      </c>
      <c r="E1057" s="1">
        <v>45857</v>
      </c>
      <c r="F1057">
        <v>2025</v>
      </c>
      <c r="G1057" t="s">
        <v>5034</v>
      </c>
      <c r="H1057">
        <v>19</v>
      </c>
      <c r="I1057">
        <v>2.75</v>
      </c>
      <c r="J1057">
        <v>7</v>
      </c>
      <c r="K1057">
        <v>10780.79</v>
      </c>
      <c r="L1057">
        <v>0.3</v>
      </c>
    </row>
    <row r="1058" spans="1:12" x14ac:dyDescent="0.3">
      <c r="A1058" t="s">
        <v>1073</v>
      </c>
      <c r="B1058" t="s">
        <v>16</v>
      </c>
      <c r="C1058" t="s">
        <v>11</v>
      </c>
      <c r="D1058">
        <v>51</v>
      </c>
      <c r="E1058" s="1">
        <v>41452</v>
      </c>
      <c r="F1058">
        <v>2013</v>
      </c>
      <c r="G1058" t="s">
        <v>5032</v>
      </c>
      <c r="H1058">
        <v>27</v>
      </c>
      <c r="I1058">
        <v>3.69</v>
      </c>
      <c r="J1058">
        <v>10</v>
      </c>
      <c r="K1058">
        <v>4794.21</v>
      </c>
      <c r="L1058">
        <v>12.4</v>
      </c>
    </row>
    <row r="1059" spans="1:12" x14ac:dyDescent="0.3">
      <c r="A1059" t="s">
        <v>1074</v>
      </c>
      <c r="B1059" t="s">
        <v>34</v>
      </c>
      <c r="C1059" t="s">
        <v>11</v>
      </c>
      <c r="D1059">
        <v>51</v>
      </c>
      <c r="E1059" s="1">
        <v>43359</v>
      </c>
      <c r="F1059">
        <v>2018</v>
      </c>
      <c r="G1059" t="s">
        <v>5033</v>
      </c>
      <c r="H1059">
        <v>16</v>
      </c>
      <c r="I1059">
        <v>4.58</v>
      </c>
      <c r="J1059">
        <v>15</v>
      </c>
      <c r="K1059">
        <v>12861.88</v>
      </c>
      <c r="L1059">
        <v>7.1</v>
      </c>
    </row>
    <row r="1060" spans="1:12" x14ac:dyDescent="0.3">
      <c r="A1060" t="s">
        <v>1075</v>
      </c>
      <c r="B1060" t="s">
        <v>18</v>
      </c>
      <c r="C1060" t="s">
        <v>11</v>
      </c>
      <c r="D1060">
        <v>27</v>
      </c>
      <c r="E1060" s="1">
        <v>43349</v>
      </c>
      <c r="F1060">
        <v>2018</v>
      </c>
      <c r="G1060" t="s">
        <v>5033</v>
      </c>
      <c r="H1060">
        <v>6</v>
      </c>
      <c r="I1060">
        <v>4.63</v>
      </c>
      <c r="J1060">
        <v>8</v>
      </c>
      <c r="K1060">
        <v>13982.98</v>
      </c>
      <c r="L1060">
        <v>7.2</v>
      </c>
    </row>
    <row r="1061" spans="1:12" x14ac:dyDescent="0.3">
      <c r="A1061" t="s">
        <v>1076</v>
      </c>
      <c r="B1061" t="s">
        <v>18</v>
      </c>
      <c r="C1061" t="s">
        <v>11</v>
      </c>
      <c r="D1061">
        <v>51</v>
      </c>
      <c r="E1061" s="1">
        <v>43072</v>
      </c>
      <c r="F1061">
        <v>2017</v>
      </c>
      <c r="G1061" t="s">
        <v>5041</v>
      </c>
      <c r="H1061">
        <v>3</v>
      </c>
      <c r="I1061">
        <v>3.89</v>
      </c>
      <c r="J1061">
        <v>4</v>
      </c>
      <c r="K1061">
        <v>12829.59</v>
      </c>
      <c r="L1061">
        <v>7.9</v>
      </c>
    </row>
    <row r="1062" spans="1:12" x14ac:dyDescent="0.3">
      <c r="A1062" t="s">
        <v>1077</v>
      </c>
      <c r="B1062" t="s">
        <v>24</v>
      </c>
      <c r="C1062" t="s">
        <v>11</v>
      </c>
      <c r="D1062">
        <v>25</v>
      </c>
      <c r="E1062" s="1">
        <v>45188</v>
      </c>
      <c r="F1062">
        <v>2023</v>
      </c>
      <c r="G1062" t="s">
        <v>5033</v>
      </c>
      <c r="H1062">
        <v>19</v>
      </c>
      <c r="I1062">
        <v>4.67</v>
      </c>
      <c r="J1062">
        <v>11</v>
      </c>
      <c r="K1062">
        <v>8362.8799999999992</v>
      </c>
      <c r="L1062">
        <v>2.1</v>
      </c>
    </row>
    <row r="1063" spans="1:12" x14ac:dyDescent="0.3">
      <c r="A1063" t="s">
        <v>1078</v>
      </c>
      <c r="B1063" t="s">
        <v>24</v>
      </c>
      <c r="C1063" t="s">
        <v>14</v>
      </c>
      <c r="D1063">
        <v>24</v>
      </c>
      <c r="E1063" s="1">
        <v>44381</v>
      </c>
      <c r="F1063">
        <v>2021</v>
      </c>
      <c r="G1063" t="s">
        <v>5034</v>
      </c>
      <c r="H1063">
        <v>4</v>
      </c>
      <c r="I1063">
        <v>1.55</v>
      </c>
      <c r="J1063">
        <v>8</v>
      </c>
      <c r="K1063">
        <v>5870.01</v>
      </c>
      <c r="L1063">
        <v>4.3</v>
      </c>
    </row>
    <row r="1064" spans="1:12" x14ac:dyDescent="0.3">
      <c r="A1064" t="s">
        <v>1079</v>
      </c>
      <c r="B1064" t="s">
        <v>13</v>
      </c>
      <c r="C1064" t="s">
        <v>11</v>
      </c>
      <c r="D1064">
        <v>39</v>
      </c>
      <c r="E1064" s="1">
        <v>45592</v>
      </c>
      <c r="F1064">
        <v>2024</v>
      </c>
      <c r="G1064" t="s">
        <v>5039</v>
      </c>
      <c r="H1064">
        <v>27</v>
      </c>
      <c r="I1064">
        <v>1.7</v>
      </c>
      <c r="J1064">
        <v>4</v>
      </c>
      <c r="K1064">
        <v>13857.86</v>
      </c>
      <c r="L1064">
        <v>1</v>
      </c>
    </row>
    <row r="1065" spans="1:12" x14ac:dyDescent="0.3">
      <c r="A1065" t="s">
        <v>1080</v>
      </c>
      <c r="B1065" t="s">
        <v>34</v>
      </c>
      <c r="C1065" t="s">
        <v>11</v>
      </c>
      <c r="D1065">
        <v>25</v>
      </c>
      <c r="E1065" s="1">
        <v>44120</v>
      </c>
      <c r="F1065">
        <v>2020</v>
      </c>
      <c r="G1065" t="s">
        <v>5039</v>
      </c>
      <c r="H1065">
        <v>16</v>
      </c>
      <c r="I1065">
        <v>4.38</v>
      </c>
      <c r="J1065">
        <v>12</v>
      </c>
      <c r="K1065">
        <v>5932.77</v>
      </c>
      <c r="L1065">
        <v>5</v>
      </c>
    </row>
    <row r="1066" spans="1:12" x14ac:dyDescent="0.3">
      <c r="A1066" t="s">
        <v>1081</v>
      </c>
      <c r="B1066" t="s">
        <v>16</v>
      </c>
      <c r="C1066" t="s">
        <v>14</v>
      </c>
      <c r="D1066">
        <v>28</v>
      </c>
      <c r="E1066" s="1">
        <v>44581</v>
      </c>
      <c r="F1066">
        <v>2022</v>
      </c>
      <c r="G1066" t="s">
        <v>5037</v>
      </c>
      <c r="H1066">
        <v>20</v>
      </c>
      <c r="I1066">
        <v>2.4300000000000002</v>
      </c>
      <c r="J1066">
        <v>9</v>
      </c>
      <c r="K1066">
        <v>10296.1</v>
      </c>
      <c r="L1066">
        <v>3.8</v>
      </c>
    </row>
    <row r="1067" spans="1:12" x14ac:dyDescent="0.3">
      <c r="A1067" t="s">
        <v>1082</v>
      </c>
      <c r="B1067" t="s">
        <v>16</v>
      </c>
      <c r="C1067" t="s">
        <v>11</v>
      </c>
      <c r="D1067">
        <v>55</v>
      </c>
      <c r="E1067" s="1">
        <v>40828</v>
      </c>
      <c r="F1067">
        <v>2011</v>
      </c>
      <c r="G1067" t="s">
        <v>5039</v>
      </c>
      <c r="H1067">
        <v>12</v>
      </c>
      <c r="I1067">
        <v>3.98</v>
      </c>
      <c r="J1067">
        <v>15</v>
      </c>
      <c r="K1067">
        <v>14391.04</v>
      </c>
      <c r="L1067">
        <v>14.1</v>
      </c>
    </row>
    <row r="1068" spans="1:12" x14ac:dyDescent="0.3">
      <c r="A1068" t="s">
        <v>1083</v>
      </c>
      <c r="B1068" t="s">
        <v>34</v>
      </c>
      <c r="C1068" t="s">
        <v>11</v>
      </c>
      <c r="D1068">
        <v>58</v>
      </c>
      <c r="E1068" s="1">
        <v>45143</v>
      </c>
      <c r="F1068">
        <v>2023</v>
      </c>
      <c r="G1068" t="s">
        <v>5031</v>
      </c>
      <c r="H1068">
        <v>5</v>
      </c>
      <c r="I1068">
        <v>2.46</v>
      </c>
      <c r="J1068">
        <v>8</v>
      </c>
      <c r="K1068">
        <v>14056.07</v>
      </c>
      <c r="L1068">
        <v>2.2000000000000002</v>
      </c>
    </row>
    <row r="1069" spans="1:12" x14ac:dyDescent="0.3">
      <c r="A1069" t="s">
        <v>1084</v>
      </c>
      <c r="B1069" t="s">
        <v>16</v>
      </c>
      <c r="C1069" t="s">
        <v>14</v>
      </c>
      <c r="D1069">
        <v>48</v>
      </c>
      <c r="E1069" s="1">
        <v>44048</v>
      </c>
      <c r="F1069">
        <v>2020</v>
      </c>
      <c r="G1069" t="s">
        <v>5031</v>
      </c>
      <c r="H1069">
        <v>5</v>
      </c>
      <c r="I1069">
        <v>4.5</v>
      </c>
      <c r="J1069">
        <v>0</v>
      </c>
      <c r="K1069">
        <v>11707.86</v>
      </c>
      <c r="L1069">
        <v>5.2</v>
      </c>
    </row>
    <row r="1070" spans="1:12" x14ac:dyDescent="0.3">
      <c r="A1070" t="s">
        <v>1085</v>
      </c>
      <c r="B1070" t="s">
        <v>34</v>
      </c>
      <c r="C1070" t="s">
        <v>14</v>
      </c>
      <c r="D1070">
        <v>56</v>
      </c>
      <c r="E1070" s="1">
        <v>40798</v>
      </c>
      <c r="F1070">
        <v>2011</v>
      </c>
      <c r="G1070" t="s">
        <v>5033</v>
      </c>
      <c r="H1070">
        <v>12</v>
      </c>
      <c r="I1070">
        <v>2.81</v>
      </c>
      <c r="J1070">
        <v>1</v>
      </c>
      <c r="K1070">
        <v>13594.06</v>
      </c>
      <c r="L1070">
        <v>14.1</v>
      </c>
    </row>
    <row r="1071" spans="1:12" x14ac:dyDescent="0.3">
      <c r="A1071" t="s">
        <v>1086</v>
      </c>
      <c r="B1071" t="s">
        <v>24</v>
      </c>
      <c r="C1071" t="s">
        <v>11</v>
      </c>
      <c r="D1071">
        <v>28</v>
      </c>
      <c r="E1071" s="1">
        <v>43512</v>
      </c>
      <c r="F1071">
        <v>2019</v>
      </c>
      <c r="G1071" t="s">
        <v>5042</v>
      </c>
      <c r="H1071">
        <v>16</v>
      </c>
      <c r="I1071">
        <v>4.21</v>
      </c>
      <c r="J1071">
        <v>12</v>
      </c>
      <c r="K1071">
        <v>14345.48</v>
      </c>
      <c r="L1071">
        <v>6.7</v>
      </c>
    </row>
    <row r="1072" spans="1:12" x14ac:dyDescent="0.3">
      <c r="A1072" t="s">
        <v>1087</v>
      </c>
      <c r="B1072" t="s">
        <v>24</v>
      </c>
      <c r="C1072" t="s">
        <v>14</v>
      </c>
      <c r="D1072">
        <v>48</v>
      </c>
      <c r="E1072" s="1">
        <v>43267</v>
      </c>
      <c r="F1072">
        <v>2018</v>
      </c>
      <c r="G1072" t="s">
        <v>5032</v>
      </c>
      <c r="H1072">
        <v>16</v>
      </c>
      <c r="I1072">
        <v>4.5599999999999996</v>
      </c>
      <c r="J1072">
        <v>8</v>
      </c>
      <c r="K1072">
        <v>9667.19</v>
      </c>
      <c r="L1072">
        <v>7.4</v>
      </c>
    </row>
    <row r="1073" spans="1:12" x14ac:dyDescent="0.3">
      <c r="A1073" t="s">
        <v>1088</v>
      </c>
      <c r="B1073" t="s">
        <v>34</v>
      </c>
      <c r="C1073" t="s">
        <v>14</v>
      </c>
      <c r="D1073">
        <v>22</v>
      </c>
      <c r="E1073" s="1">
        <v>42377</v>
      </c>
      <c r="F1073">
        <v>2016</v>
      </c>
      <c r="G1073" t="s">
        <v>5037</v>
      </c>
      <c r="H1073">
        <v>8</v>
      </c>
      <c r="I1073">
        <v>2.95</v>
      </c>
      <c r="J1073">
        <v>9</v>
      </c>
      <c r="K1073">
        <v>6420.33</v>
      </c>
      <c r="L1073">
        <v>9.8000000000000007</v>
      </c>
    </row>
    <row r="1074" spans="1:12" x14ac:dyDescent="0.3">
      <c r="A1074" t="s">
        <v>1089</v>
      </c>
      <c r="B1074" t="s">
        <v>24</v>
      </c>
      <c r="C1074" t="s">
        <v>11</v>
      </c>
      <c r="D1074">
        <v>31</v>
      </c>
      <c r="E1074" s="1">
        <v>43521</v>
      </c>
      <c r="F1074">
        <v>2019</v>
      </c>
      <c r="G1074" t="s">
        <v>5042</v>
      </c>
      <c r="H1074">
        <v>25</v>
      </c>
      <c r="I1074">
        <v>2.11</v>
      </c>
      <c r="J1074">
        <v>11</v>
      </c>
      <c r="K1074">
        <v>4671.1099999999997</v>
      </c>
      <c r="L1074">
        <v>6.7</v>
      </c>
    </row>
    <row r="1075" spans="1:12" x14ac:dyDescent="0.3">
      <c r="A1075" t="s">
        <v>1090</v>
      </c>
      <c r="B1075" t="s">
        <v>16</v>
      </c>
      <c r="C1075" t="s">
        <v>11</v>
      </c>
      <c r="D1075">
        <v>29</v>
      </c>
      <c r="E1075" s="1">
        <v>41779</v>
      </c>
      <c r="F1075">
        <v>2014</v>
      </c>
      <c r="G1075" t="s">
        <v>5036</v>
      </c>
      <c r="H1075">
        <v>20</v>
      </c>
      <c r="I1075">
        <v>4.67</v>
      </c>
      <c r="J1075">
        <v>15</v>
      </c>
      <c r="K1075">
        <v>13480.41</v>
      </c>
      <c r="L1075">
        <v>11.5</v>
      </c>
    </row>
    <row r="1076" spans="1:12" x14ac:dyDescent="0.3">
      <c r="A1076" t="s">
        <v>1091</v>
      </c>
      <c r="B1076" t="s">
        <v>18</v>
      </c>
      <c r="C1076" t="s">
        <v>11</v>
      </c>
      <c r="D1076">
        <v>46</v>
      </c>
      <c r="E1076" s="1">
        <v>42961</v>
      </c>
      <c r="F1076">
        <v>2017</v>
      </c>
      <c r="G1076" t="s">
        <v>5031</v>
      </c>
      <c r="H1076">
        <v>14</v>
      </c>
      <c r="I1076">
        <v>3.97</v>
      </c>
      <c r="J1076">
        <v>14</v>
      </c>
      <c r="K1076">
        <v>7306.24</v>
      </c>
      <c r="L1076">
        <v>8.1999999999999993</v>
      </c>
    </row>
    <row r="1077" spans="1:12" x14ac:dyDescent="0.3">
      <c r="A1077" t="s">
        <v>1092</v>
      </c>
      <c r="B1077" t="s">
        <v>10</v>
      </c>
      <c r="C1077" t="s">
        <v>14</v>
      </c>
      <c r="D1077">
        <v>36</v>
      </c>
      <c r="E1077" s="1">
        <v>44184</v>
      </c>
      <c r="F1077">
        <v>2020</v>
      </c>
      <c r="G1077" t="s">
        <v>5041</v>
      </c>
      <c r="H1077">
        <v>19</v>
      </c>
      <c r="I1077">
        <v>3.56</v>
      </c>
      <c r="J1077">
        <v>5</v>
      </c>
      <c r="K1077">
        <v>13209.31</v>
      </c>
      <c r="L1077">
        <v>4.9000000000000004</v>
      </c>
    </row>
    <row r="1078" spans="1:12" x14ac:dyDescent="0.3">
      <c r="A1078" t="s">
        <v>1093</v>
      </c>
      <c r="B1078" t="s">
        <v>13</v>
      </c>
      <c r="C1078" t="s">
        <v>11</v>
      </c>
      <c r="D1078">
        <v>34</v>
      </c>
      <c r="E1078" s="1">
        <v>41061</v>
      </c>
      <c r="F1078">
        <v>2012</v>
      </c>
      <c r="G1078" t="s">
        <v>5032</v>
      </c>
      <c r="H1078">
        <v>1</v>
      </c>
      <c r="I1078">
        <v>2.2000000000000002</v>
      </c>
      <c r="J1078">
        <v>14</v>
      </c>
      <c r="K1078">
        <v>12711.51</v>
      </c>
      <c r="L1078">
        <v>13.4</v>
      </c>
    </row>
    <row r="1079" spans="1:12" x14ac:dyDescent="0.3">
      <c r="A1079" t="s">
        <v>1094</v>
      </c>
      <c r="B1079" t="s">
        <v>10</v>
      </c>
      <c r="C1079" t="s">
        <v>11</v>
      </c>
      <c r="D1079">
        <v>54</v>
      </c>
      <c r="E1079" s="1">
        <v>40913</v>
      </c>
      <c r="F1079">
        <v>2012</v>
      </c>
      <c r="G1079" t="s">
        <v>5037</v>
      </c>
      <c r="H1079">
        <v>5</v>
      </c>
      <c r="I1079">
        <v>3.19</v>
      </c>
      <c r="J1079">
        <v>14</v>
      </c>
      <c r="K1079">
        <v>12157.03</v>
      </c>
      <c r="L1079">
        <v>13.8</v>
      </c>
    </row>
    <row r="1080" spans="1:12" x14ac:dyDescent="0.3">
      <c r="A1080" t="s">
        <v>1095</v>
      </c>
      <c r="B1080" t="s">
        <v>13</v>
      </c>
      <c r="C1080" t="s">
        <v>14</v>
      </c>
      <c r="D1080">
        <v>32</v>
      </c>
      <c r="E1080" s="1">
        <v>40744</v>
      </c>
      <c r="F1080">
        <v>2011</v>
      </c>
      <c r="G1080" t="s">
        <v>5034</v>
      </c>
      <c r="H1080">
        <v>20</v>
      </c>
      <c r="I1080">
        <v>3.98</v>
      </c>
      <c r="J1080">
        <v>10</v>
      </c>
      <c r="K1080">
        <v>6813.45</v>
      </c>
      <c r="L1080">
        <v>14.3</v>
      </c>
    </row>
    <row r="1081" spans="1:12" x14ac:dyDescent="0.3">
      <c r="A1081" t="s">
        <v>1096</v>
      </c>
      <c r="B1081" t="s">
        <v>16</v>
      </c>
      <c r="C1081" t="s">
        <v>11</v>
      </c>
      <c r="D1081">
        <v>59</v>
      </c>
      <c r="E1081" s="1">
        <v>41230</v>
      </c>
      <c r="F1081">
        <v>2012</v>
      </c>
      <c r="G1081" t="s">
        <v>5038</v>
      </c>
      <c r="H1081">
        <v>17</v>
      </c>
      <c r="I1081">
        <v>1.52</v>
      </c>
      <c r="J1081">
        <v>8</v>
      </c>
      <c r="K1081">
        <v>14241.63</v>
      </c>
      <c r="L1081">
        <v>13</v>
      </c>
    </row>
    <row r="1082" spans="1:12" x14ac:dyDescent="0.3">
      <c r="A1082" t="s">
        <v>1097</v>
      </c>
      <c r="B1082" t="s">
        <v>13</v>
      </c>
      <c r="C1082" t="s">
        <v>14</v>
      </c>
      <c r="D1082">
        <v>36</v>
      </c>
      <c r="E1082" s="1">
        <v>45400</v>
      </c>
      <c r="F1082">
        <v>2024</v>
      </c>
      <c r="G1082" t="s">
        <v>5040</v>
      </c>
      <c r="H1082">
        <v>18</v>
      </c>
      <c r="I1082">
        <v>2.1800000000000002</v>
      </c>
      <c r="J1082">
        <v>1</v>
      </c>
      <c r="K1082">
        <v>10131.790000000001</v>
      </c>
      <c r="L1082">
        <v>1.5</v>
      </c>
    </row>
    <row r="1083" spans="1:12" x14ac:dyDescent="0.3">
      <c r="A1083" t="s">
        <v>1098</v>
      </c>
      <c r="B1083" t="s">
        <v>10</v>
      </c>
      <c r="C1083" t="s">
        <v>14</v>
      </c>
      <c r="D1083">
        <v>31</v>
      </c>
      <c r="E1083" s="1">
        <v>45917</v>
      </c>
      <c r="F1083">
        <v>2025</v>
      </c>
      <c r="G1083" t="s">
        <v>5033</v>
      </c>
      <c r="H1083">
        <v>17</v>
      </c>
      <c r="I1083">
        <v>3.51</v>
      </c>
      <c r="J1083">
        <v>6</v>
      </c>
      <c r="K1083">
        <v>10125.15</v>
      </c>
      <c r="L1083">
        <v>0.1</v>
      </c>
    </row>
    <row r="1084" spans="1:12" x14ac:dyDescent="0.3">
      <c r="A1084" t="s">
        <v>1099</v>
      </c>
      <c r="B1084" t="s">
        <v>24</v>
      </c>
      <c r="C1084" t="s">
        <v>11</v>
      </c>
      <c r="D1084">
        <v>58</v>
      </c>
      <c r="E1084" s="1">
        <v>42164</v>
      </c>
      <c r="F1084">
        <v>2015</v>
      </c>
      <c r="G1084" t="s">
        <v>5032</v>
      </c>
      <c r="H1084">
        <v>9</v>
      </c>
      <c r="I1084">
        <v>3.27</v>
      </c>
      <c r="J1084">
        <v>0</v>
      </c>
      <c r="K1084">
        <v>12427.87</v>
      </c>
      <c r="L1084">
        <v>10.4</v>
      </c>
    </row>
    <row r="1085" spans="1:12" x14ac:dyDescent="0.3">
      <c r="A1085" t="s">
        <v>1100</v>
      </c>
      <c r="B1085" t="s">
        <v>24</v>
      </c>
      <c r="C1085" t="s">
        <v>14</v>
      </c>
      <c r="D1085">
        <v>40</v>
      </c>
      <c r="E1085" s="1">
        <v>41755</v>
      </c>
      <c r="F1085">
        <v>2014</v>
      </c>
      <c r="G1085" t="s">
        <v>5040</v>
      </c>
      <c r="H1085">
        <v>26</v>
      </c>
      <c r="I1085">
        <v>4.13</v>
      </c>
      <c r="J1085">
        <v>14</v>
      </c>
      <c r="K1085">
        <v>10943.38</v>
      </c>
      <c r="L1085">
        <v>11.5</v>
      </c>
    </row>
    <row r="1086" spans="1:12" x14ac:dyDescent="0.3">
      <c r="A1086" t="s">
        <v>1101</v>
      </c>
      <c r="B1086" t="s">
        <v>34</v>
      </c>
      <c r="C1086" t="s">
        <v>11</v>
      </c>
      <c r="D1086">
        <v>55</v>
      </c>
      <c r="E1086" s="1">
        <v>44286</v>
      </c>
      <c r="F1086">
        <v>2021</v>
      </c>
      <c r="G1086" t="s">
        <v>5035</v>
      </c>
      <c r="H1086">
        <v>31</v>
      </c>
      <c r="I1086">
        <v>1.9</v>
      </c>
      <c r="J1086">
        <v>8</v>
      </c>
      <c r="K1086">
        <v>8730.08</v>
      </c>
      <c r="L1086">
        <v>4.5999999999999996</v>
      </c>
    </row>
    <row r="1087" spans="1:12" x14ac:dyDescent="0.3">
      <c r="A1087" t="s">
        <v>1102</v>
      </c>
      <c r="B1087" t="s">
        <v>18</v>
      </c>
      <c r="C1087" t="s">
        <v>14</v>
      </c>
      <c r="D1087">
        <v>60</v>
      </c>
      <c r="E1087" s="1">
        <v>44536</v>
      </c>
      <c r="F1087">
        <v>2021</v>
      </c>
      <c r="G1087" t="s">
        <v>5041</v>
      </c>
      <c r="H1087">
        <v>6</v>
      </c>
      <c r="I1087">
        <v>3.07</v>
      </c>
      <c r="J1087">
        <v>14</v>
      </c>
      <c r="K1087">
        <v>7104.25</v>
      </c>
      <c r="L1087">
        <v>3.9</v>
      </c>
    </row>
    <row r="1088" spans="1:12" x14ac:dyDescent="0.3">
      <c r="A1088" t="s">
        <v>1103</v>
      </c>
      <c r="B1088" t="s">
        <v>13</v>
      </c>
      <c r="C1088" t="s">
        <v>11</v>
      </c>
      <c r="D1088">
        <v>39</v>
      </c>
      <c r="E1088" s="1">
        <v>43113</v>
      </c>
      <c r="F1088">
        <v>2018</v>
      </c>
      <c r="G1088" t="s">
        <v>5037</v>
      </c>
      <c r="H1088">
        <v>13</v>
      </c>
      <c r="I1088">
        <v>1.54</v>
      </c>
      <c r="J1088">
        <v>3</v>
      </c>
      <c r="K1088">
        <v>4158.99</v>
      </c>
      <c r="L1088">
        <v>7.8</v>
      </c>
    </row>
    <row r="1089" spans="1:12" x14ac:dyDescent="0.3">
      <c r="A1089" t="s">
        <v>1104</v>
      </c>
      <c r="B1089" t="s">
        <v>24</v>
      </c>
      <c r="C1089" t="s">
        <v>11</v>
      </c>
      <c r="D1089">
        <v>32</v>
      </c>
      <c r="E1089" s="1">
        <v>42122</v>
      </c>
      <c r="F1089">
        <v>2015</v>
      </c>
      <c r="G1089" t="s">
        <v>5040</v>
      </c>
      <c r="H1089">
        <v>28</v>
      </c>
      <c r="I1089">
        <v>3.45</v>
      </c>
      <c r="J1089">
        <v>5</v>
      </c>
      <c r="K1089">
        <v>4983.13</v>
      </c>
      <c r="L1089">
        <v>10.5</v>
      </c>
    </row>
    <row r="1090" spans="1:12" x14ac:dyDescent="0.3">
      <c r="A1090" t="s">
        <v>1105</v>
      </c>
      <c r="B1090" t="s">
        <v>16</v>
      </c>
      <c r="C1090" t="s">
        <v>11</v>
      </c>
      <c r="D1090">
        <v>22</v>
      </c>
      <c r="E1090" s="1">
        <v>43912</v>
      </c>
      <c r="F1090">
        <v>2020</v>
      </c>
      <c r="G1090" t="s">
        <v>5035</v>
      </c>
      <c r="H1090">
        <v>22</v>
      </c>
      <c r="I1090">
        <v>2.25</v>
      </c>
      <c r="J1090">
        <v>7</v>
      </c>
      <c r="K1090">
        <v>5991.28</v>
      </c>
      <c r="L1090">
        <v>5.6</v>
      </c>
    </row>
    <row r="1091" spans="1:12" x14ac:dyDescent="0.3">
      <c r="A1091" t="s">
        <v>1106</v>
      </c>
      <c r="B1091" t="s">
        <v>16</v>
      </c>
      <c r="C1091" t="s">
        <v>14</v>
      </c>
      <c r="D1091">
        <v>50</v>
      </c>
      <c r="E1091" s="1">
        <v>40796</v>
      </c>
      <c r="F1091">
        <v>2011</v>
      </c>
      <c r="G1091" t="s">
        <v>5033</v>
      </c>
      <c r="H1091">
        <v>10</v>
      </c>
      <c r="I1091">
        <v>2.61</v>
      </c>
      <c r="J1091">
        <v>6</v>
      </c>
      <c r="K1091">
        <v>9141.02</v>
      </c>
      <c r="L1091">
        <v>14.2</v>
      </c>
    </row>
    <row r="1092" spans="1:12" x14ac:dyDescent="0.3">
      <c r="A1092" t="s">
        <v>1107</v>
      </c>
      <c r="B1092" t="s">
        <v>24</v>
      </c>
      <c r="C1092" t="s">
        <v>11</v>
      </c>
      <c r="D1092">
        <v>55</v>
      </c>
      <c r="E1092" s="1">
        <v>40240</v>
      </c>
      <c r="F1092">
        <v>2010</v>
      </c>
      <c r="G1092" t="s">
        <v>5035</v>
      </c>
      <c r="H1092">
        <v>3</v>
      </c>
      <c r="I1092">
        <v>2.71</v>
      </c>
      <c r="J1092">
        <v>8</v>
      </c>
      <c r="K1092">
        <v>5056.32</v>
      </c>
      <c r="L1092">
        <v>15.7</v>
      </c>
    </row>
    <row r="1093" spans="1:12" x14ac:dyDescent="0.3">
      <c r="A1093" t="s">
        <v>1108</v>
      </c>
      <c r="B1093" t="s">
        <v>13</v>
      </c>
      <c r="C1093" t="s">
        <v>14</v>
      </c>
      <c r="D1093">
        <v>53</v>
      </c>
      <c r="E1093" s="1">
        <v>40914</v>
      </c>
      <c r="F1093">
        <v>2012</v>
      </c>
      <c r="G1093" t="s">
        <v>5037</v>
      </c>
      <c r="H1093">
        <v>6</v>
      </c>
      <c r="I1093">
        <v>4.1100000000000003</v>
      </c>
      <c r="J1093">
        <v>11</v>
      </c>
      <c r="K1093">
        <v>13159.32</v>
      </c>
      <c r="L1093">
        <v>13.8</v>
      </c>
    </row>
    <row r="1094" spans="1:12" x14ac:dyDescent="0.3">
      <c r="A1094" t="s">
        <v>1109</v>
      </c>
      <c r="B1094" t="s">
        <v>10</v>
      </c>
      <c r="C1094" t="s">
        <v>14</v>
      </c>
      <c r="D1094">
        <v>24</v>
      </c>
      <c r="E1094" s="1">
        <v>44470</v>
      </c>
      <c r="F1094">
        <v>2021</v>
      </c>
      <c r="G1094" t="s">
        <v>5039</v>
      </c>
      <c r="H1094">
        <v>1</v>
      </c>
      <c r="I1094">
        <v>3.09</v>
      </c>
      <c r="J1094">
        <v>6</v>
      </c>
      <c r="K1094">
        <v>10987.31</v>
      </c>
      <c r="L1094">
        <v>4.0999999999999996</v>
      </c>
    </row>
    <row r="1095" spans="1:12" x14ac:dyDescent="0.3">
      <c r="A1095" t="s">
        <v>1110</v>
      </c>
      <c r="B1095" t="s">
        <v>24</v>
      </c>
      <c r="C1095" t="s">
        <v>14</v>
      </c>
      <c r="D1095">
        <v>40</v>
      </c>
      <c r="E1095" s="1">
        <v>43703</v>
      </c>
      <c r="F1095">
        <v>2019</v>
      </c>
      <c r="G1095" t="s">
        <v>5031</v>
      </c>
      <c r="H1095">
        <v>26</v>
      </c>
      <c r="I1095">
        <v>1.67</v>
      </c>
      <c r="J1095">
        <v>11</v>
      </c>
      <c r="K1095">
        <v>8821.0499999999993</v>
      </c>
      <c r="L1095">
        <v>6.2</v>
      </c>
    </row>
    <row r="1096" spans="1:12" x14ac:dyDescent="0.3">
      <c r="A1096" t="s">
        <v>1111</v>
      </c>
      <c r="B1096" t="s">
        <v>34</v>
      </c>
      <c r="C1096" t="s">
        <v>14</v>
      </c>
      <c r="D1096">
        <v>43</v>
      </c>
      <c r="E1096" s="1">
        <v>41197</v>
      </c>
      <c r="F1096">
        <v>2012</v>
      </c>
      <c r="G1096" t="s">
        <v>5039</v>
      </c>
      <c r="H1096">
        <v>15</v>
      </c>
      <c r="I1096">
        <v>4.26</v>
      </c>
      <c r="J1096">
        <v>10</v>
      </c>
      <c r="K1096">
        <v>9889.94</v>
      </c>
      <c r="L1096">
        <v>13.1</v>
      </c>
    </row>
    <row r="1097" spans="1:12" x14ac:dyDescent="0.3">
      <c r="A1097" t="s">
        <v>1112</v>
      </c>
      <c r="B1097" t="s">
        <v>18</v>
      </c>
      <c r="C1097" t="s">
        <v>14</v>
      </c>
      <c r="D1097">
        <v>48</v>
      </c>
      <c r="E1097" s="1">
        <v>42136</v>
      </c>
      <c r="F1097">
        <v>2015</v>
      </c>
      <c r="G1097" t="s">
        <v>5036</v>
      </c>
      <c r="H1097">
        <v>12</v>
      </c>
      <c r="I1097">
        <v>2.64</v>
      </c>
      <c r="J1097">
        <v>8</v>
      </c>
      <c r="K1097">
        <v>14319.07</v>
      </c>
      <c r="L1097">
        <v>10.5</v>
      </c>
    </row>
    <row r="1098" spans="1:12" x14ac:dyDescent="0.3">
      <c r="A1098" t="s">
        <v>1113</v>
      </c>
      <c r="B1098" t="s">
        <v>34</v>
      </c>
      <c r="C1098" t="s">
        <v>14</v>
      </c>
      <c r="D1098">
        <v>44</v>
      </c>
      <c r="E1098" s="1">
        <v>44511</v>
      </c>
      <c r="F1098">
        <v>2021</v>
      </c>
      <c r="G1098" t="s">
        <v>5038</v>
      </c>
      <c r="H1098">
        <v>11</v>
      </c>
      <c r="I1098">
        <v>3.43</v>
      </c>
      <c r="J1098">
        <v>15</v>
      </c>
      <c r="K1098">
        <v>5380.81</v>
      </c>
      <c r="L1098">
        <v>4</v>
      </c>
    </row>
    <row r="1099" spans="1:12" x14ac:dyDescent="0.3">
      <c r="A1099" t="s">
        <v>1114</v>
      </c>
      <c r="B1099" t="s">
        <v>10</v>
      </c>
      <c r="C1099" t="s">
        <v>11</v>
      </c>
      <c r="D1099">
        <v>33</v>
      </c>
      <c r="E1099" s="1">
        <v>42288</v>
      </c>
      <c r="F1099">
        <v>2015</v>
      </c>
      <c r="G1099" t="s">
        <v>5039</v>
      </c>
      <c r="H1099">
        <v>11</v>
      </c>
      <c r="I1099">
        <v>3.22</v>
      </c>
      <c r="J1099">
        <v>14</v>
      </c>
      <c r="K1099">
        <v>8380.2800000000007</v>
      </c>
      <c r="L1099">
        <v>10.1</v>
      </c>
    </row>
    <row r="1100" spans="1:12" x14ac:dyDescent="0.3">
      <c r="A1100" t="s">
        <v>1115</v>
      </c>
      <c r="B1100" t="s">
        <v>24</v>
      </c>
      <c r="C1100" t="s">
        <v>11</v>
      </c>
      <c r="D1100">
        <v>59</v>
      </c>
      <c r="E1100" s="1">
        <v>42134</v>
      </c>
      <c r="F1100">
        <v>2015</v>
      </c>
      <c r="G1100" t="s">
        <v>5036</v>
      </c>
      <c r="H1100">
        <v>10</v>
      </c>
      <c r="I1100">
        <v>1.9</v>
      </c>
      <c r="J1100">
        <v>10</v>
      </c>
      <c r="K1100">
        <v>4393.57</v>
      </c>
      <c r="L1100">
        <v>10.5</v>
      </c>
    </row>
    <row r="1101" spans="1:12" x14ac:dyDescent="0.3">
      <c r="A1101" t="s">
        <v>1116</v>
      </c>
      <c r="B1101" t="s">
        <v>34</v>
      </c>
      <c r="C1101" t="s">
        <v>14</v>
      </c>
      <c r="D1101">
        <v>39</v>
      </c>
      <c r="E1101" s="1">
        <v>45567</v>
      </c>
      <c r="F1101">
        <v>2024</v>
      </c>
      <c r="G1101" t="s">
        <v>5039</v>
      </c>
      <c r="H1101">
        <v>2</v>
      </c>
      <c r="I1101">
        <v>2.19</v>
      </c>
      <c r="J1101">
        <v>8</v>
      </c>
      <c r="K1101">
        <v>12374.1</v>
      </c>
      <c r="L1101">
        <v>1.1000000000000001</v>
      </c>
    </row>
    <row r="1102" spans="1:12" x14ac:dyDescent="0.3">
      <c r="A1102" t="s">
        <v>1117</v>
      </c>
      <c r="B1102" t="s">
        <v>16</v>
      </c>
      <c r="C1102" t="s">
        <v>11</v>
      </c>
      <c r="D1102">
        <v>35</v>
      </c>
      <c r="E1102" s="1">
        <v>42196</v>
      </c>
      <c r="F1102">
        <v>2015</v>
      </c>
      <c r="G1102" t="s">
        <v>5034</v>
      </c>
      <c r="H1102">
        <v>11</v>
      </c>
      <c r="I1102">
        <v>1.99</v>
      </c>
      <c r="J1102">
        <v>14</v>
      </c>
      <c r="K1102">
        <v>11917.38</v>
      </c>
      <c r="L1102">
        <v>10.3</v>
      </c>
    </row>
    <row r="1103" spans="1:12" x14ac:dyDescent="0.3">
      <c r="A1103" t="s">
        <v>1118</v>
      </c>
      <c r="B1103" t="s">
        <v>16</v>
      </c>
      <c r="C1103" t="s">
        <v>11</v>
      </c>
      <c r="D1103">
        <v>59</v>
      </c>
      <c r="E1103" s="1">
        <v>45528</v>
      </c>
      <c r="F1103">
        <v>2024</v>
      </c>
      <c r="G1103" t="s">
        <v>5031</v>
      </c>
      <c r="H1103">
        <v>24</v>
      </c>
      <c r="I1103">
        <v>2.72</v>
      </c>
      <c r="J1103">
        <v>11</v>
      </c>
      <c r="K1103">
        <v>3423.02</v>
      </c>
      <c r="L1103">
        <v>1.2</v>
      </c>
    </row>
    <row r="1104" spans="1:12" x14ac:dyDescent="0.3">
      <c r="A1104" t="s">
        <v>1119</v>
      </c>
      <c r="B1104" t="s">
        <v>13</v>
      </c>
      <c r="C1104" t="s">
        <v>11</v>
      </c>
      <c r="D1104">
        <v>51</v>
      </c>
      <c r="E1104" s="1">
        <v>44603</v>
      </c>
      <c r="F1104">
        <v>2022</v>
      </c>
      <c r="G1104" t="s">
        <v>5042</v>
      </c>
      <c r="H1104">
        <v>11</v>
      </c>
      <c r="I1104">
        <v>2.79</v>
      </c>
      <c r="J1104">
        <v>6</v>
      </c>
      <c r="K1104">
        <v>10747.46</v>
      </c>
      <c r="L1104">
        <v>3.7</v>
      </c>
    </row>
    <row r="1105" spans="1:12" x14ac:dyDescent="0.3">
      <c r="A1105" t="s">
        <v>1120</v>
      </c>
      <c r="B1105" t="s">
        <v>10</v>
      </c>
      <c r="C1105" t="s">
        <v>11</v>
      </c>
      <c r="D1105">
        <v>29</v>
      </c>
      <c r="E1105" s="1">
        <v>43193</v>
      </c>
      <c r="F1105">
        <v>2018</v>
      </c>
      <c r="G1105" t="s">
        <v>5040</v>
      </c>
      <c r="H1105">
        <v>3</v>
      </c>
      <c r="I1105">
        <v>2.4500000000000002</v>
      </c>
      <c r="J1105">
        <v>14</v>
      </c>
      <c r="K1105">
        <v>9427.33</v>
      </c>
      <c r="L1105">
        <v>7.6</v>
      </c>
    </row>
    <row r="1106" spans="1:12" x14ac:dyDescent="0.3">
      <c r="A1106" t="s">
        <v>1121</v>
      </c>
      <c r="B1106" t="s">
        <v>34</v>
      </c>
      <c r="C1106" t="s">
        <v>11</v>
      </c>
      <c r="D1106">
        <v>26</v>
      </c>
      <c r="E1106" s="1">
        <v>44061</v>
      </c>
      <c r="F1106">
        <v>2020</v>
      </c>
      <c r="G1106" t="s">
        <v>5031</v>
      </c>
      <c r="H1106">
        <v>18</v>
      </c>
      <c r="I1106">
        <v>4.1100000000000003</v>
      </c>
      <c r="J1106">
        <v>4</v>
      </c>
      <c r="K1106">
        <v>7993.7</v>
      </c>
      <c r="L1106">
        <v>5.2</v>
      </c>
    </row>
    <row r="1107" spans="1:12" x14ac:dyDescent="0.3">
      <c r="A1107" t="s">
        <v>1122</v>
      </c>
      <c r="B1107" t="s">
        <v>16</v>
      </c>
      <c r="C1107" t="s">
        <v>11</v>
      </c>
      <c r="D1107">
        <v>60</v>
      </c>
      <c r="E1107" s="1">
        <v>40717</v>
      </c>
      <c r="F1107">
        <v>2011</v>
      </c>
      <c r="G1107" t="s">
        <v>5032</v>
      </c>
      <c r="H1107">
        <v>23</v>
      </c>
      <c r="I1107">
        <v>3.72</v>
      </c>
      <c r="J1107">
        <v>11</v>
      </c>
      <c r="K1107">
        <v>4075.35</v>
      </c>
      <c r="L1107">
        <v>14.4</v>
      </c>
    </row>
    <row r="1108" spans="1:12" x14ac:dyDescent="0.3">
      <c r="A1108" t="s">
        <v>1123</v>
      </c>
      <c r="B1108" t="s">
        <v>34</v>
      </c>
      <c r="C1108" t="s">
        <v>11</v>
      </c>
      <c r="D1108">
        <v>55</v>
      </c>
      <c r="E1108" s="1">
        <v>44065</v>
      </c>
      <c r="F1108">
        <v>2020</v>
      </c>
      <c r="G1108" t="s">
        <v>5031</v>
      </c>
      <c r="H1108">
        <v>22</v>
      </c>
      <c r="I1108">
        <v>2.93</v>
      </c>
      <c r="J1108">
        <v>2</v>
      </c>
      <c r="K1108">
        <v>14672.99</v>
      </c>
      <c r="L1108">
        <v>5.2</v>
      </c>
    </row>
    <row r="1109" spans="1:12" x14ac:dyDescent="0.3">
      <c r="A1109" t="s">
        <v>1124</v>
      </c>
      <c r="B1109" t="s">
        <v>34</v>
      </c>
      <c r="C1109" t="s">
        <v>14</v>
      </c>
      <c r="D1109">
        <v>52</v>
      </c>
      <c r="E1109" s="1">
        <v>43334</v>
      </c>
      <c r="F1109">
        <v>2018</v>
      </c>
      <c r="G1109" t="s">
        <v>5031</v>
      </c>
      <c r="H1109">
        <v>22</v>
      </c>
      <c r="I1109">
        <v>4.41</v>
      </c>
      <c r="J1109">
        <v>7</v>
      </c>
      <c r="K1109">
        <v>3819.77</v>
      </c>
      <c r="L1109">
        <v>7.2</v>
      </c>
    </row>
    <row r="1110" spans="1:12" x14ac:dyDescent="0.3">
      <c r="A1110" t="s">
        <v>1125</v>
      </c>
      <c r="B1110" t="s">
        <v>24</v>
      </c>
      <c r="C1110" t="s">
        <v>14</v>
      </c>
      <c r="D1110">
        <v>28</v>
      </c>
      <c r="E1110" s="1">
        <v>42437</v>
      </c>
      <c r="F1110">
        <v>2016</v>
      </c>
      <c r="G1110" t="s">
        <v>5035</v>
      </c>
      <c r="H1110">
        <v>8</v>
      </c>
      <c r="I1110">
        <v>2.2000000000000002</v>
      </c>
      <c r="J1110">
        <v>15</v>
      </c>
      <c r="K1110">
        <v>14872.76</v>
      </c>
      <c r="L1110">
        <v>9.6999999999999993</v>
      </c>
    </row>
    <row r="1111" spans="1:12" x14ac:dyDescent="0.3">
      <c r="A1111" t="s">
        <v>1126</v>
      </c>
      <c r="B1111" t="s">
        <v>16</v>
      </c>
      <c r="C1111" t="s">
        <v>14</v>
      </c>
      <c r="D1111">
        <v>50</v>
      </c>
      <c r="E1111" s="1">
        <v>41186</v>
      </c>
      <c r="F1111">
        <v>2012</v>
      </c>
      <c r="G1111" t="s">
        <v>5039</v>
      </c>
      <c r="H1111">
        <v>4</v>
      </c>
      <c r="I1111">
        <v>4.24</v>
      </c>
      <c r="J1111">
        <v>11</v>
      </c>
      <c r="K1111">
        <v>6284.02</v>
      </c>
      <c r="L1111">
        <v>13.1</v>
      </c>
    </row>
    <row r="1112" spans="1:12" x14ac:dyDescent="0.3">
      <c r="A1112" t="s">
        <v>1127</v>
      </c>
      <c r="B1112" t="s">
        <v>10</v>
      </c>
      <c r="C1112" t="s">
        <v>11</v>
      </c>
      <c r="D1112">
        <v>33</v>
      </c>
      <c r="E1112" s="1">
        <v>42233</v>
      </c>
      <c r="F1112">
        <v>2015</v>
      </c>
      <c r="G1112" t="s">
        <v>5031</v>
      </c>
      <c r="H1112">
        <v>17</v>
      </c>
      <c r="I1112">
        <v>3.66</v>
      </c>
      <c r="J1112">
        <v>1</v>
      </c>
      <c r="K1112">
        <v>4497.6400000000003</v>
      </c>
      <c r="L1112">
        <v>10.199999999999999</v>
      </c>
    </row>
    <row r="1113" spans="1:12" x14ac:dyDescent="0.3">
      <c r="A1113" t="s">
        <v>1128</v>
      </c>
      <c r="B1113" t="s">
        <v>18</v>
      </c>
      <c r="C1113" t="s">
        <v>14</v>
      </c>
      <c r="D1113">
        <v>57</v>
      </c>
      <c r="E1113" s="1">
        <v>44863</v>
      </c>
      <c r="F1113">
        <v>2022</v>
      </c>
      <c r="G1113" t="s">
        <v>5039</v>
      </c>
      <c r="H1113">
        <v>29</v>
      </c>
      <c r="I1113">
        <v>2.02</v>
      </c>
      <c r="J1113">
        <v>8</v>
      </c>
      <c r="K1113">
        <v>7938.59</v>
      </c>
      <c r="L1113">
        <v>3</v>
      </c>
    </row>
    <row r="1114" spans="1:12" x14ac:dyDescent="0.3">
      <c r="A1114" t="s">
        <v>1129</v>
      </c>
      <c r="B1114" t="s">
        <v>10</v>
      </c>
      <c r="C1114" t="s">
        <v>14</v>
      </c>
      <c r="D1114">
        <v>52</v>
      </c>
      <c r="E1114" s="1">
        <v>43087</v>
      </c>
      <c r="F1114">
        <v>2017</v>
      </c>
      <c r="G1114" t="s">
        <v>5041</v>
      </c>
      <c r="H1114">
        <v>18</v>
      </c>
      <c r="I1114">
        <v>3.64</v>
      </c>
      <c r="J1114">
        <v>11</v>
      </c>
      <c r="K1114">
        <v>7717.98</v>
      </c>
      <c r="L1114">
        <v>7.9</v>
      </c>
    </row>
    <row r="1115" spans="1:12" x14ac:dyDescent="0.3">
      <c r="A1115" t="s">
        <v>1130</v>
      </c>
      <c r="B1115" t="s">
        <v>34</v>
      </c>
      <c r="C1115" t="s">
        <v>14</v>
      </c>
      <c r="D1115">
        <v>41</v>
      </c>
      <c r="E1115" s="1">
        <v>44519</v>
      </c>
      <c r="F1115">
        <v>2021</v>
      </c>
      <c r="G1115" t="s">
        <v>5038</v>
      </c>
      <c r="H1115">
        <v>19</v>
      </c>
      <c r="I1115">
        <v>4.12</v>
      </c>
      <c r="J1115">
        <v>13</v>
      </c>
      <c r="K1115">
        <v>3824.3</v>
      </c>
      <c r="L1115">
        <v>4</v>
      </c>
    </row>
    <row r="1116" spans="1:12" x14ac:dyDescent="0.3">
      <c r="A1116" t="s">
        <v>1131</v>
      </c>
      <c r="B1116" t="s">
        <v>13</v>
      </c>
      <c r="C1116" t="s">
        <v>11</v>
      </c>
      <c r="D1116">
        <v>48</v>
      </c>
      <c r="E1116" s="1">
        <v>41147</v>
      </c>
      <c r="F1116">
        <v>2012</v>
      </c>
      <c r="G1116" t="s">
        <v>5031</v>
      </c>
      <c r="H1116">
        <v>26</v>
      </c>
      <c r="I1116">
        <v>3.6</v>
      </c>
      <c r="J1116">
        <v>15</v>
      </c>
      <c r="K1116">
        <v>4296.28</v>
      </c>
      <c r="L1116">
        <v>13.2</v>
      </c>
    </row>
    <row r="1117" spans="1:12" x14ac:dyDescent="0.3">
      <c r="A1117" t="s">
        <v>1132</v>
      </c>
      <c r="B1117" t="s">
        <v>18</v>
      </c>
      <c r="C1117" t="s">
        <v>11</v>
      </c>
      <c r="D1117">
        <v>59</v>
      </c>
      <c r="E1117" s="1">
        <v>44531</v>
      </c>
      <c r="F1117">
        <v>2021</v>
      </c>
      <c r="G1117" t="s">
        <v>5041</v>
      </c>
      <c r="H1117">
        <v>1</v>
      </c>
      <c r="I1117">
        <v>3.83</v>
      </c>
      <c r="J1117">
        <v>7</v>
      </c>
      <c r="K1117">
        <v>9602.34</v>
      </c>
      <c r="L1117">
        <v>3.9</v>
      </c>
    </row>
    <row r="1118" spans="1:12" x14ac:dyDescent="0.3">
      <c r="A1118" t="s">
        <v>1133</v>
      </c>
      <c r="B1118" t="s">
        <v>18</v>
      </c>
      <c r="C1118" t="s">
        <v>11</v>
      </c>
      <c r="D1118">
        <v>60</v>
      </c>
      <c r="E1118" s="1">
        <v>43200</v>
      </c>
      <c r="F1118">
        <v>2018</v>
      </c>
      <c r="G1118" t="s">
        <v>5040</v>
      </c>
      <c r="H1118">
        <v>10</v>
      </c>
      <c r="I1118">
        <v>2.72</v>
      </c>
      <c r="J1118">
        <v>3</v>
      </c>
      <c r="K1118">
        <v>10015.76</v>
      </c>
      <c r="L1118">
        <v>7.6</v>
      </c>
    </row>
    <row r="1119" spans="1:12" x14ac:dyDescent="0.3">
      <c r="A1119" t="s">
        <v>1134</v>
      </c>
      <c r="B1119" t="s">
        <v>24</v>
      </c>
      <c r="C1119" t="s">
        <v>14</v>
      </c>
      <c r="D1119">
        <v>46</v>
      </c>
      <c r="E1119" s="1">
        <v>41442</v>
      </c>
      <c r="F1119">
        <v>2013</v>
      </c>
      <c r="G1119" t="s">
        <v>5032</v>
      </c>
      <c r="H1119">
        <v>17</v>
      </c>
      <c r="I1119">
        <v>2.62</v>
      </c>
      <c r="J1119">
        <v>11</v>
      </c>
      <c r="K1119">
        <v>6515.43</v>
      </c>
      <c r="L1119">
        <v>12.4</v>
      </c>
    </row>
    <row r="1120" spans="1:12" x14ac:dyDescent="0.3">
      <c r="A1120" t="s">
        <v>1135</v>
      </c>
      <c r="B1120" t="s">
        <v>24</v>
      </c>
      <c r="C1120" t="s">
        <v>11</v>
      </c>
      <c r="D1120">
        <v>57</v>
      </c>
      <c r="E1120" s="1">
        <v>44709</v>
      </c>
      <c r="F1120">
        <v>2022</v>
      </c>
      <c r="G1120" t="s">
        <v>5036</v>
      </c>
      <c r="H1120">
        <v>28</v>
      </c>
      <c r="I1120">
        <v>3.62</v>
      </c>
      <c r="J1120">
        <v>13</v>
      </c>
      <c r="K1120">
        <v>10309.98</v>
      </c>
      <c r="L1120">
        <v>3.4</v>
      </c>
    </row>
    <row r="1121" spans="1:12" x14ac:dyDescent="0.3">
      <c r="A1121" t="s">
        <v>1136</v>
      </c>
      <c r="B1121" t="s">
        <v>34</v>
      </c>
      <c r="C1121" t="s">
        <v>11</v>
      </c>
      <c r="D1121">
        <v>34</v>
      </c>
      <c r="E1121" s="1">
        <v>43022</v>
      </c>
      <c r="F1121">
        <v>2017</v>
      </c>
      <c r="G1121" t="s">
        <v>5039</v>
      </c>
      <c r="H1121">
        <v>14</v>
      </c>
      <c r="I1121">
        <v>4.43</v>
      </c>
      <c r="J1121">
        <v>9</v>
      </c>
      <c r="K1121">
        <v>4337.21</v>
      </c>
      <c r="L1121">
        <v>8.1</v>
      </c>
    </row>
    <row r="1122" spans="1:12" x14ac:dyDescent="0.3">
      <c r="A1122" t="s">
        <v>1137</v>
      </c>
      <c r="B1122" t="s">
        <v>34</v>
      </c>
      <c r="C1122" t="s">
        <v>14</v>
      </c>
      <c r="D1122">
        <v>35</v>
      </c>
      <c r="E1122" s="1">
        <v>43893</v>
      </c>
      <c r="F1122">
        <v>2020</v>
      </c>
      <c r="G1122" t="s">
        <v>5035</v>
      </c>
      <c r="H1122">
        <v>3</v>
      </c>
      <c r="I1122">
        <v>2.38</v>
      </c>
      <c r="J1122">
        <v>15</v>
      </c>
      <c r="K1122">
        <v>9744.14</v>
      </c>
      <c r="L1122">
        <v>5.7</v>
      </c>
    </row>
    <row r="1123" spans="1:12" x14ac:dyDescent="0.3">
      <c r="A1123" t="s">
        <v>1138</v>
      </c>
      <c r="B1123" t="s">
        <v>18</v>
      </c>
      <c r="C1123" t="s">
        <v>11</v>
      </c>
      <c r="D1123">
        <v>51</v>
      </c>
      <c r="E1123" s="1">
        <v>41121</v>
      </c>
      <c r="F1123">
        <v>2012</v>
      </c>
      <c r="G1123" t="s">
        <v>5034</v>
      </c>
      <c r="H1123">
        <v>31</v>
      </c>
      <c r="I1123">
        <v>3.42</v>
      </c>
      <c r="J1123">
        <v>10</v>
      </c>
      <c r="K1123">
        <v>4915.8500000000004</v>
      </c>
      <c r="L1123">
        <v>13.3</v>
      </c>
    </row>
    <row r="1124" spans="1:12" x14ac:dyDescent="0.3">
      <c r="A1124" t="s">
        <v>1139</v>
      </c>
      <c r="B1124" t="s">
        <v>34</v>
      </c>
      <c r="C1124" t="s">
        <v>11</v>
      </c>
      <c r="D1124">
        <v>56</v>
      </c>
      <c r="E1124" s="1">
        <v>40283</v>
      </c>
      <c r="F1124">
        <v>2010</v>
      </c>
      <c r="G1124" t="s">
        <v>5040</v>
      </c>
      <c r="H1124">
        <v>15</v>
      </c>
      <c r="I1124">
        <v>4.26</v>
      </c>
      <c r="J1124">
        <v>6</v>
      </c>
      <c r="K1124">
        <v>6901.31</v>
      </c>
      <c r="L1124">
        <v>15.6</v>
      </c>
    </row>
    <row r="1125" spans="1:12" x14ac:dyDescent="0.3">
      <c r="A1125" t="s">
        <v>1140</v>
      </c>
      <c r="B1125" t="s">
        <v>24</v>
      </c>
      <c r="C1125" t="s">
        <v>14</v>
      </c>
      <c r="D1125">
        <v>45</v>
      </c>
      <c r="E1125" s="1">
        <v>43456</v>
      </c>
      <c r="F1125">
        <v>2018</v>
      </c>
      <c r="G1125" t="s">
        <v>5041</v>
      </c>
      <c r="H1125">
        <v>22</v>
      </c>
      <c r="I1125">
        <v>1.65</v>
      </c>
      <c r="J1125">
        <v>3</v>
      </c>
      <c r="K1125">
        <v>12475.06</v>
      </c>
      <c r="L1125">
        <v>6.9</v>
      </c>
    </row>
    <row r="1126" spans="1:12" x14ac:dyDescent="0.3">
      <c r="A1126" t="s">
        <v>1141</v>
      </c>
      <c r="B1126" t="s">
        <v>24</v>
      </c>
      <c r="C1126" t="s">
        <v>14</v>
      </c>
      <c r="D1126">
        <v>49</v>
      </c>
      <c r="E1126" s="1">
        <v>40494</v>
      </c>
      <c r="F1126">
        <v>2010</v>
      </c>
      <c r="G1126" t="s">
        <v>5038</v>
      </c>
      <c r="H1126">
        <v>12</v>
      </c>
      <c r="I1126">
        <v>3.37</v>
      </c>
      <c r="J1126">
        <v>1</v>
      </c>
      <c r="K1126">
        <v>14351.73</v>
      </c>
      <c r="L1126">
        <v>15</v>
      </c>
    </row>
    <row r="1127" spans="1:12" x14ac:dyDescent="0.3">
      <c r="A1127" t="s">
        <v>1142</v>
      </c>
      <c r="B1127" t="s">
        <v>13</v>
      </c>
      <c r="C1127" t="s">
        <v>11</v>
      </c>
      <c r="D1127">
        <v>60</v>
      </c>
      <c r="E1127" s="1">
        <v>40871</v>
      </c>
      <c r="F1127">
        <v>2011</v>
      </c>
      <c r="G1127" t="s">
        <v>5038</v>
      </c>
      <c r="H1127">
        <v>24</v>
      </c>
      <c r="I1127">
        <v>3.64</v>
      </c>
      <c r="J1127">
        <v>15</v>
      </c>
      <c r="K1127">
        <v>11032.5</v>
      </c>
      <c r="L1127">
        <v>13.9</v>
      </c>
    </row>
    <row r="1128" spans="1:12" x14ac:dyDescent="0.3">
      <c r="A1128" t="s">
        <v>1143</v>
      </c>
      <c r="B1128" t="s">
        <v>18</v>
      </c>
      <c r="C1128" t="s">
        <v>14</v>
      </c>
      <c r="D1128">
        <v>51</v>
      </c>
      <c r="E1128" s="1">
        <v>40361</v>
      </c>
      <c r="F1128">
        <v>2010</v>
      </c>
      <c r="G1128" t="s">
        <v>5034</v>
      </c>
      <c r="H1128">
        <v>2</v>
      </c>
      <c r="I1128">
        <v>2.23</v>
      </c>
      <c r="J1128">
        <v>6</v>
      </c>
      <c r="K1128">
        <v>9243.67</v>
      </c>
      <c r="L1128">
        <v>15.3</v>
      </c>
    </row>
    <row r="1129" spans="1:12" x14ac:dyDescent="0.3">
      <c r="A1129" t="s">
        <v>1144</v>
      </c>
      <c r="B1129" t="s">
        <v>16</v>
      </c>
      <c r="C1129" t="s">
        <v>14</v>
      </c>
      <c r="D1129">
        <v>27</v>
      </c>
      <c r="E1129" s="1">
        <v>43187</v>
      </c>
      <c r="F1129">
        <v>2018</v>
      </c>
      <c r="G1129" t="s">
        <v>5035</v>
      </c>
      <c r="H1129">
        <v>28</v>
      </c>
      <c r="I1129">
        <v>2.99</v>
      </c>
      <c r="J1129">
        <v>2</v>
      </c>
      <c r="K1129">
        <v>8159.64</v>
      </c>
      <c r="L1129">
        <v>7.6</v>
      </c>
    </row>
    <row r="1130" spans="1:12" x14ac:dyDescent="0.3">
      <c r="A1130" t="s">
        <v>1145</v>
      </c>
      <c r="B1130" t="s">
        <v>24</v>
      </c>
      <c r="C1130" t="s">
        <v>14</v>
      </c>
      <c r="D1130">
        <v>56</v>
      </c>
      <c r="E1130" s="1">
        <v>45349</v>
      </c>
      <c r="F1130">
        <v>2024</v>
      </c>
      <c r="G1130" t="s">
        <v>5042</v>
      </c>
      <c r="H1130">
        <v>27</v>
      </c>
      <c r="I1130">
        <v>2.41</v>
      </c>
      <c r="J1130">
        <v>12</v>
      </c>
      <c r="K1130">
        <v>7290.3</v>
      </c>
      <c r="L1130">
        <v>1.7</v>
      </c>
    </row>
    <row r="1131" spans="1:12" x14ac:dyDescent="0.3">
      <c r="A1131" t="s">
        <v>1146</v>
      </c>
      <c r="B1131" t="s">
        <v>34</v>
      </c>
      <c r="C1131" t="s">
        <v>11</v>
      </c>
      <c r="D1131">
        <v>29</v>
      </c>
      <c r="E1131" s="1">
        <v>45271</v>
      </c>
      <c r="F1131">
        <v>2023</v>
      </c>
      <c r="G1131" t="s">
        <v>5041</v>
      </c>
      <c r="H1131">
        <v>11</v>
      </c>
      <c r="I1131">
        <v>3.7</v>
      </c>
      <c r="J1131">
        <v>9</v>
      </c>
      <c r="K1131">
        <v>3657.24</v>
      </c>
      <c r="L1131">
        <v>1.9</v>
      </c>
    </row>
    <row r="1132" spans="1:12" x14ac:dyDescent="0.3">
      <c r="A1132" t="s">
        <v>1147</v>
      </c>
      <c r="B1132" t="s">
        <v>18</v>
      </c>
      <c r="C1132" t="s">
        <v>11</v>
      </c>
      <c r="D1132">
        <v>26</v>
      </c>
      <c r="E1132" s="1">
        <v>45564</v>
      </c>
      <c r="F1132">
        <v>2024</v>
      </c>
      <c r="G1132" t="s">
        <v>5033</v>
      </c>
      <c r="H1132">
        <v>29</v>
      </c>
      <c r="I1132">
        <v>2.76</v>
      </c>
      <c r="J1132">
        <v>5</v>
      </c>
      <c r="K1132">
        <v>10804.16</v>
      </c>
      <c r="L1132">
        <v>1.1000000000000001</v>
      </c>
    </row>
    <row r="1133" spans="1:12" x14ac:dyDescent="0.3">
      <c r="A1133" t="s">
        <v>1148</v>
      </c>
      <c r="B1133" t="s">
        <v>13</v>
      </c>
      <c r="C1133" t="s">
        <v>11</v>
      </c>
      <c r="D1133">
        <v>49</v>
      </c>
      <c r="E1133" s="1">
        <v>45638</v>
      </c>
      <c r="F1133">
        <v>2024</v>
      </c>
      <c r="G1133" t="s">
        <v>5041</v>
      </c>
      <c r="H1133">
        <v>12</v>
      </c>
      <c r="I1133">
        <v>4.22</v>
      </c>
      <c r="J1133">
        <v>14</v>
      </c>
      <c r="K1133">
        <v>9014.2900000000009</v>
      </c>
      <c r="L1133">
        <v>0.9</v>
      </c>
    </row>
    <row r="1134" spans="1:12" x14ac:dyDescent="0.3">
      <c r="A1134" t="s">
        <v>1149</v>
      </c>
      <c r="B1134" t="s">
        <v>18</v>
      </c>
      <c r="C1134" t="s">
        <v>14</v>
      </c>
      <c r="D1134">
        <v>41</v>
      </c>
      <c r="E1134" s="1">
        <v>42946</v>
      </c>
      <c r="F1134">
        <v>2017</v>
      </c>
      <c r="G1134" t="s">
        <v>5034</v>
      </c>
      <c r="H1134">
        <v>30</v>
      </c>
      <c r="I1134">
        <v>2.59</v>
      </c>
      <c r="J1134">
        <v>3</v>
      </c>
      <c r="K1134">
        <v>11192.91</v>
      </c>
      <c r="L1134">
        <v>8.3000000000000007</v>
      </c>
    </row>
    <row r="1135" spans="1:12" x14ac:dyDescent="0.3">
      <c r="A1135" t="s">
        <v>1150</v>
      </c>
      <c r="B1135" t="s">
        <v>16</v>
      </c>
      <c r="C1135" t="s">
        <v>11</v>
      </c>
      <c r="D1135">
        <v>23</v>
      </c>
      <c r="E1135" s="1">
        <v>41713</v>
      </c>
      <c r="F1135">
        <v>2014</v>
      </c>
      <c r="G1135" t="s">
        <v>5035</v>
      </c>
      <c r="H1135">
        <v>15</v>
      </c>
      <c r="I1135">
        <v>4.37</v>
      </c>
      <c r="J1135">
        <v>4</v>
      </c>
      <c r="K1135">
        <v>3218.49</v>
      </c>
      <c r="L1135">
        <v>11.6</v>
      </c>
    </row>
    <row r="1136" spans="1:12" x14ac:dyDescent="0.3">
      <c r="A1136" t="s">
        <v>1151</v>
      </c>
      <c r="B1136" t="s">
        <v>24</v>
      </c>
      <c r="C1136" t="s">
        <v>11</v>
      </c>
      <c r="D1136">
        <v>29</v>
      </c>
      <c r="E1136" s="1">
        <v>44902</v>
      </c>
      <c r="F1136">
        <v>2022</v>
      </c>
      <c r="G1136" t="s">
        <v>5041</v>
      </c>
      <c r="H1136">
        <v>7</v>
      </c>
      <c r="I1136">
        <v>3.62</v>
      </c>
      <c r="J1136">
        <v>10</v>
      </c>
      <c r="K1136">
        <v>9769.3799999999992</v>
      </c>
      <c r="L1136">
        <v>2.9</v>
      </c>
    </row>
    <row r="1137" spans="1:12" x14ac:dyDescent="0.3">
      <c r="A1137" t="s">
        <v>1152</v>
      </c>
      <c r="B1137" t="s">
        <v>18</v>
      </c>
      <c r="C1137" t="s">
        <v>11</v>
      </c>
      <c r="D1137">
        <v>32</v>
      </c>
      <c r="E1137" s="1">
        <v>43021</v>
      </c>
      <c r="F1137">
        <v>2017</v>
      </c>
      <c r="G1137" t="s">
        <v>5039</v>
      </c>
      <c r="H1137">
        <v>13</v>
      </c>
      <c r="I1137">
        <v>3.83</v>
      </c>
      <c r="J1137">
        <v>13</v>
      </c>
      <c r="K1137">
        <v>8940.02</v>
      </c>
      <c r="L1137">
        <v>8.1</v>
      </c>
    </row>
    <row r="1138" spans="1:12" x14ac:dyDescent="0.3">
      <c r="A1138" t="s">
        <v>1153</v>
      </c>
      <c r="B1138" t="s">
        <v>10</v>
      </c>
      <c r="C1138" t="s">
        <v>14</v>
      </c>
      <c r="D1138">
        <v>32</v>
      </c>
      <c r="E1138" s="1">
        <v>45286</v>
      </c>
      <c r="F1138">
        <v>2023</v>
      </c>
      <c r="G1138" t="s">
        <v>5041</v>
      </c>
      <c r="H1138">
        <v>26</v>
      </c>
      <c r="I1138">
        <v>4.2699999999999996</v>
      </c>
      <c r="J1138">
        <v>13</v>
      </c>
      <c r="K1138">
        <v>10615.56</v>
      </c>
      <c r="L1138">
        <v>1.9</v>
      </c>
    </row>
    <row r="1139" spans="1:12" x14ac:dyDescent="0.3">
      <c r="A1139" t="s">
        <v>1154</v>
      </c>
      <c r="B1139" t="s">
        <v>10</v>
      </c>
      <c r="C1139" t="s">
        <v>11</v>
      </c>
      <c r="D1139">
        <v>52</v>
      </c>
      <c r="E1139" s="1">
        <v>40496</v>
      </c>
      <c r="F1139">
        <v>2010</v>
      </c>
      <c r="G1139" t="s">
        <v>5038</v>
      </c>
      <c r="H1139">
        <v>14</v>
      </c>
      <c r="I1139">
        <v>4.88</v>
      </c>
      <c r="J1139">
        <v>0</v>
      </c>
      <c r="K1139">
        <v>7909.7</v>
      </c>
      <c r="L1139">
        <v>15</v>
      </c>
    </row>
    <row r="1140" spans="1:12" x14ac:dyDescent="0.3">
      <c r="A1140" t="s">
        <v>1155</v>
      </c>
      <c r="B1140" t="s">
        <v>18</v>
      </c>
      <c r="C1140" t="s">
        <v>14</v>
      </c>
      <c r="D1140">
        <v>35</v>
      </c>
      <c r="E1140" s="1">
        <v>44193</v>
      </c>
      <c r="F1140">
        <v>2020</v>
      </c>
      <c r="G1140" t="s">
        <v>5041</v>
      </c>
      <c r="H1140">
        <v>28</v>
      </c>
      <c r="I1140">
        <v>2.38</v>
      </c>
      <c r="J1140">
        <v>5</v>
      </c>
      <c r="K1140">
        <v>5644.18</v>
      </c>
      <c r="L1140">
        <v>4.8</v>
      </c>
    </row>
    <row r="1141" spans="1:12" x14ac:dyDescent="0.3">
      <c r="A1141" t="s">
        <v>1156</v>
      </c>
      <c r="B1141" t="s">
        <v>24</v>
      </c>
      <c r="C1141" t="s">
        <v>14</v>
      </c>
      <c r="D1141">
        <v>39</v>
      </c>
      <c r="E1141" s="1">
        <v>44160</v>
      </c>
      <c r="F1141">
        <v>2020</v>
      </c>
      <c r="G1141" t="s">
        <v>5038</v>
      </c>
      <c r="H1141">
        <v>25</v>
      </c>
      <c r="I1141">
        <v>2.48</v>
      </c>
      <c r="J1141">
        <v>3</v>
      </c>
      <c r="K1141">
        <v>7155.14</v>
      </c>
      <c r="L1141">
        <v>4.9000000000000004</v>
      </c>
    </row>
    <row r="1142" spans="1:12" x14ac:dyDescent="0.3">
      <c r="A1142" t="s">
        <v>1157</v>
      </c>
      <c r="B1142" t="s">
        <v>13</v>
      </c>
      <c r="C1142" t="s">
        <v>14</v>
      </c>
      <c r="D1142">
        <v>44</v>
      </c>
      <c r="E1142" s="1">
        <v>41314</v>
      </c>
      <c r="F1142">
        <v>2013</v>
      </c>
      <c r="G1142" t="s">
        <v>5042</v>
      </c>
      <c r="H1142">
        <v>9</v>
      </c>
      <c r="I1142">
        <v>2.5</v>
      </c>
      <c r="J1142">
        <v>6</v>
      </c>
      <c r="K1142">
        <v>10615.69</v>
      </c>
      <c r="L1142">
        <v>12.7</v>
      </c>
    </row>
    <row r="1143" spans="1:12" x14ac:dyDescent="0.3">
      <c r="A1143" t="s">
        <v>1158</v>
      </c>
      <c r="B1143" t="s">
        <v>10</v>
      </c>
      <c r="C1143" t="s">
        <v>14</v>
      </c>
      <c r="D1143">
        <v>52</v>
      </c>
      <c r="E1143" s="1">
        <v>42721</v>
      </c>
      <c r="F1143">
        <v>2016</v>
      </c>
      <c r="G1143" t="s">
        <v>5041</v>
      </c>
      <c r="H1143">
        <v>17</v>
      </c>
      <c r="I1143">
        <v>3.32</v>
      </c>
      <c r="J1143">
        <v>4</v>
      </c>
      <c r="K1143">
        <v>7379.63</v>
      </c>
      <c r="L1143">
        <v>8.9</v>
      </c>
    </row>
    <row r="1144" spans="1:12" x14ac:dyDescent="0.3">
      <c r="A1144" t="s">
        <v>1159</v>
      </c>
      <c r="B1144" t="s">
        <v>16</v>
      </c>
      <c r="C1144" t="s">
        <v>11</v>
      </c>
      <c r="D1144">
        <v>53</v>
      </c>
      <c r="E1144" s="1">
        <v>40593</v>
      </c>
      <c r="F1144">
        <v>2011</v>
      </c>
      <c r="G1144" t="s">
        <v>5042</v>
      </c>
      <c r="H1144">
        <v>19</v>
      </c>
      <c r="I1144">
        <v>4.0999999999999996</v>
      </c>
      <c r="J1144">
        <v>2</v>
      </c>
      <c r="K1144">
        <v>11127.4</v>
      </c>
      <c r="L1144">
        <v>14.7</v>
      </c>
    </row>
    <row r="1145" spans="1:12" x14ac:dyDescent="0.3">
      <c r="A1145" t="s">
        <v>1160</v>
      </c>
      <c r="B1145" t="s">
        <v>34</v>
      </c>
      <c r="C1145" t="s">
        <v>11</v>
      </c>
      <c r="D1145">
        <v>53</v>
      </c>
      <c r="E1145" s="1">
        <v>41687</v>
      </c>
      <c r="F1145">
        <v>2014</v>
      </c>
      <c r="G1145" t="s">
        <v>5042</v>
      </c>
      <c r="H1145">
        <v>17</v>
      </c>
      <c r="I1145">
        <v>2.73</v>
      </c>
      <c r="J1145">
        <v>2</v>
      </c>
      <c r="K1145">
        <v>3676.48</v>
      </c>
      <c r="L1145">
        <v>11.7</v>
      </c>
    </row>
    <row r="1146" spans="1:12" x14ac:dyDescent="0.3">
      <c r="A1146" t="s">
        <v>1161</v>
      </c>
      <c r="B1146" t="s">
        <v>24</v>
      </c>
      <c r="C1146" t="s">
        <v>11</v>
      </c>
      <c r="D1146">
        <v>30</v>
      </c>
      <c r="E1146" s="1">
        <v>43926</v>
      </c>
      <c r="F1146">
        <v>2020</v>
      </c>
      <c r="G1146" t="s">
        <v>5040</v>
      </c>
      <c r="H1146">
        <v>5</v>
      </c>
      <c r="I1146">
        <v>2.79</v>
      </c>
      <c r="J1146">
        <v>11</v>
      </c>
      <c r="K1146">
        <v>8636.81</v>
      </c>
      <c r="L1146">
        <v>5.6</v>
      </c>
    </row>
    <row r="1147" spans="1:12" x14ac:dyDescent="0.3">
      <c r="A1147" t="s">
        <v>1162</v>
      </c>
      <c r="B1147" t="s">
        <v>16</v>
      </c>
      <c r="C1147" t="s">
        <v>11</v>
      </c>
      <c r="D1147">
        <v>39</v>
      </c>
      <c r="E1147" s="1">
        <v>44091</v>
      </c>
      <c r="F1147">
        <v>2020</v>
      </c>
      <c r="G1147" t="s">
        <v>5033</v>
      </c>
      <c r="H1147">
        <v>17</v>
      </c>
      <c r="I1147">
        <v>2.66</v>
      </c>
      <c r="J1147">
        <v>15</v>
      </c>
      <c r="K1147">
        <v>12525.58</v>
      </c>
      <c r="L1147">
        <v>5.0999999999999996</v>
      </c>
    </row>
    <row r="1148" spans="1:12" x14ac:dyDescent="0.3">
      <c r="A1148" t="s">
        <v>1163</v>
      </c>
      <c r="B1148" t="s">
        <v>13</v>
      </c>
      <c r="C1148" t="s">
        <v>11</v>
      </c>
      <c r="D1148">
        <v>58</v>
      </c>
      <c r="E1148" s="1">
        <v>42609</v>
      </c>
      <c r="F1148">
        <v>2016</v>
      </c>
      <c r="G1148" t="s">
        <v>5031</v>
      </c>
      <c r="H1148">
        <v>27</v>
      </c>
      <c r="I1148">
        <v>4.7300000000000004</v>
      </c>
      <c r="J1148">
        <v>2</v>
      </c>
      <c r="K1148">
        <v>12375.34</v>
      </c>
      <c r="L1148">
        <v>9.1999999999999993</v>
      </c>
    </row>
    <row r="1149" spans="1:12" x14ac:dyDescent="0.3">
      <c r="A1149" t="s">
        <v>1164</v>
      </c>
      <c r="B1149" t="s">
        <v>18</v>
      </c>
      <c r="C1149" t="s">
        <v>14</v>
      </c>
      <c r="D1149">
        <v>36</v>
      </c>
      <c r="E1149" s="1">
        <v>41296</v>
      </c>
      <c r="F1149">
        <v>2013</v>
      </c>
      <c r="G1149" t="s">
        <v>5037</v>
      </c>
      <c r="H1149">
        <v>22</v>
      </c>
      <c r="I1149">
        <v>2.25</v>
      </c>
      <c r="J1149">
        <v>6</v>
      </c>
      <c r="K1149">
        <v>8879.3700000000008</v>
      </c>
      <c r="L1149">
        <v>12.8</v>
      </c>
    </row>
    <row r="1150" spans="1:12" x14ac:dyDescent="0.3">
      <c r="A1150" t="s">
        <v>1165</v>
      </c>
      <c r="B1150" t="s">
        <v>18</v>
      </c>
      <c r="C1150" t="s">
        <v>14</v>
      </c>
      <c r="D1150">
        <v>38</v>
      </c>
      <c r="E1150" s="1">
        <v>44113</v>
      </c>
      <c r="F1150">
        <v>2020</v>
      </c>
      <c r="G1150" t="s">
        <v>5039</v>
      </c>
      <c r="H1150">
        <v>9</v>
      </c>
      <c r="I1150">
        <v>2.06</v>
      </c>
      <c r="J1150">
        <v>8</v>
      </c>
      <c r="K1150">
        <v>11568.34</v>
      </c>
      <c r="L1150">
        <v>5.0999999999999996</v>
      </c>
    </row>
    <row r="1151" spans="1:12" x14ac:dyDescent="0.3">
      <c r="A1151" t="s">
        <v>1166</v>
      </c>
      <c r="B1151" t="s">
        <v>13</v>
      </c>
      <c r="C1151" t="s">
        <v>14</v>
      </c>
      <c r="D1151">
        <v>22</v>
      </c>
      <c r="E1151" s="1">
        <v>42093</v>
      </c>
      <c r="F1151">
        <v>2015</v>
      </c>
      <c r="G1151" t="s">
        <v>5035</v>
      </c>
      <c r="H1151">
        <v>30</v>
      </c>
      <c r="I1151">
        <v>2.95</v>
      </c>
      <c r="J1151">
        <v>11</v>
      </c>
      <c r="K1151">
        <v>3527.04</v>
      </c>
      <c r="L1151">
        <v>10.6</v>
      </c>
    </row>
    <row r="1152" spans="1:12" x14ac:dyDescent="0.3">
      <c r="A1152" t="s">
        <v>1167</v>
      </c>
      <c r="B1152" t="s">
        <v>18</v>
      </c>
      <c r="C1152" t="s">
        <v>14</v>
      </c>
      <c r="D1152">
        <v>37</v>
      </c>
      <c r="E1152" s="1">
        <v>41575</v>
      </c>
      <c r="F1152">
        <v>2013</v>
      </c>
      <c r="G1152" t="s">
        <v>5039</v>
      </c>
      <c r="H1152">
        <v>28</v>
      </c>
      <c r="I1152">
        <v>3.38</v>
      </c>
      <c r="J1152">
        <v>13</v>
      </c>
      <c r="K1152">
        <v>7094</v>
      </c>
      <c r="L1152">
        <v>12</v>
      </c>
    </row>
    <row r="1153" spans="1:12" x14ac:dyDescent="0.3">
      <c r="A1153" t="s">
        <v>1168</v>
      </c>
      <c r="B1153" t="s">
        <v>13</v>
      </c>
      <c r="C1153" t="s">
        <v>14</v>
      </c>
      <c r="D1153">
        <v>56</v>
      </c>
      <c r="E1153" s="1">
        <v>45391</v>
      </c>
      <c r="F1153">
        <v>2024</v>
      </c>
      <c r="G1153" t="s">
        <v>5040</v>
      </c>
      <c r="H1153">
        <v>9</v>
      </c>
      <c r="I1153">
        <v>3.86</v>
      </c>
      <c r="J1153">
        <v>11</v>
      </c>
      <c r="K1153">
        <v>8218.86</v>
      </c>
      <c r="L1153">
        <v>1.6</v>
      </c>
    </row>
    <row r="1154" spans="1:12" x14ac:dyDescent="0.3">
      <c r="A1154" t="s">
        <v>1169</v>
      </c>
      <c r="B1154" t="s">
        <v>10</v>
      </c>
      <c r="C1154" t="s">
        <v>11</v>
      </c>
      <c r="D1154">
        <v>39</v>
      </c>
      <c r="E1154" s="1">
        <v>44035</v>
      </c>
      <c r="F1154">
        <v>2020</v>
      </c>
      <c r="G1154" t="s">
        <v>5034</v>
      </c>
      <c r="H1154">
        <v>23</v>
      </c>
      <c r="I1154">
        <v>1.77</v>
      </c>
      <c r="J1154">
        <v>14</v>
      </c>
      <c r="K1154">
        <v>3904.3</v>
      </c>
      <c r="L1154">
        <v>5.3</v>
      </c>
    </row>
    <row r="1155" spans="1:12" x14ac:dyDescent="0.3">
      <c r="A1155" t="s">
        <v>1170</v>
      </c>
      <c r="B1155" t="s">
        <v>16</v>
      </c>
      <c r="C1155" t="s">
        <v>14</v>
      </c>
      <c r="D1155">
        <v>24</v>
      </c>
      <c r="E1155" s="1">
        <v>43581</v>
      </c>
      <c r="F1155">
        <v>2019</v>
      </c>
      <c r="G1155" t="s">
        <v>5040</v>
      </c>
      <c r="H1155">
        <v>26</v>
      </c>
      <c r="I1155">
        <v>2.99</v>
      </c>
      <c r="J1155">
        <v>1</v>
      </c>
      <c r="K1155">
        <v>7413.97</v>
      </c>
      <c r="L1155">
        <v>6.5</v>
      </c>
    </row>
    <row r="1156" spans="1:12" x14ac:dyDescent="0.3">
      <c r="A1156" t="s">
        <v>1171</v>
      </c>
      <c r="B1156" t="s">
        <v>10</v>
      </c>
      <c r="C1156" t="s">
        <v>14</v>
      </c>
      <c r="D1156">
        <v>57</v>
      </c>
      <c r="E1156" s="1">
        <v>44876</v>
      </c>
      <c r="F1156">
        <v>2022</v>
      </c>
      <c r="G1156" t="s">
        <v>5038</v>
      </c>
      <c r="H1156">
        <v>11</v>
      </c>
      <c r="I1156">
        <v>4.1900000000000004</v>
      </c>
      <c r="J1156">
        <v>7</v>
      </c>
      <c r="K1156">
        <v>3538</v>
      </c>
      <c r="L1156">
        <v>3</v>
      </c>
    </row>
    <row r="1157" spans="1:12" x14ac:dyDescent="0.3">
      <c r="A1157" t="s">
        <v>1172</v>
      </c>
      <c r="B1157" t="s">
        <v>24</v>
      </c>
      <c r="C1157" t="s">
        <v>11</v>
      </c>
      <c r="D1157">
        <v>53</v>
      </c>
      <c r="E1157" s="1">
        <v>40438</v>
      </c>
      <c r="F1157">
        <v>2010</v>
      </c>
      <c r="G1157" t="s">
        <v>5033</v>
      </c>
      <c r="H1157">
        <v>17</v>
      </c>
      <c r="I1157">
        <v>1.89</v>
      </c>
      <c r="J1157">
        <v>2</v>
      </c>
      <c r="K1157">
        <v>9149.5</v>
      </c>
      <c r="L1157">
        <v>15.1</v>
      </c>
    </row>
    <row r="1158" spans="1:12" x14ac:dyDescent="0.3">
      <c r="A1158" t="s">
        <v>1173</v>
      </c>
      <c r="B1158" t="s">
        <v>13</v>
      </c>
      <c r="C1158" t="s">
        <v>14</v>
      </c>
      <c r="D1158">
        <v>50</v>
      </c>
      <c r="E1158" s="1">
        <v>42842</v>
      </c>
      <c r="F1158">
        <v>2017</v>
      </c>
      <c r="G1158" t="s">
        <v>5040</v>
      </c>
      <c r="H1158">
        <v>17</v>
      </c>
      <c r="I1158">
        <v>4.72</v>
      </c>
      <c r="J1158">
        <v>4</v>
      </c>
      <c r="K1158">
        <v>6570.79</v>
      </c>
      <c r="L1158">
        <v>8.5</v>
      </c>
    </row>
    <row r="1159" spans="1:12" x14ac:dyDescent="0.3">
      <c r="A1159" t="s">
        <v>1174</v>
      </c>
      <c r="B1159" t="s">
        <v>34</v>
      </c>
      <c r="C1159" t="s">
        <v>11</v>
      </c>
      <c r="D1159">
        <v>51</v>
      </c>
      <c r="E1159" s="1">
        <v>41686</v>
      </c>
      <c r="F1159">
        <v>2014</v>
      </c>
      <c r="G1159" t="s">
        <v>5042</v>
      </c>
      <c r="H1159">
        <v>16</v>
      </c>
      <c r="I1159">
        <v>2.0299999999999998</v>
      </c>
      <c r="J1159">
        <v>7</v>
      </c>
      <c r="K1159">
        <v>3344.26</v>
      </c>
      <c r="L1159">
        <v>11.7</v>
      </c>
    </row>
    <row r="1160" spans="1:12" x14ac:dyDescent="0.3">
      <c r="A1160" t="s">
        <v>1175</v>
      </c>
      <c r="B1160" t="s">
        <v>24</v>
      </c>
      <c r="C1160" t="s">
        <v>11</v>
      </c>
      <c r="D1160">
        <v>40</v>
      </c>
      <c r="E1160" s="1">
        <v>41810</v>
      </c>
      <c r="F1160">
        <v>2014</v>
      </c>
      <c r="G1160" t="s">
        <v>5032</v>
      </c>
      <c r="H1160">
        <v>20</v>
      </c>
      <c r="I1160">
        <v>3.36</v>
      </c>
      <c r="J1160">
        <v>9</v>
      </c>
      <c r="K1160">
        <v>12263.95</v>
      </c>
      <c r="L1160">
        <v>11.4</v>
      </c>
    </row>
    <row r="1161" spans="1:12" x14ac:dyDescent="0.3">
      <c r="A1161" t="s">
        <v>1176</v>
      </c>
      <c r="B1161" t="s">
        <v>10</v>
      </c>
      <c r="C1161" t="s">
        <v>11</v>
      </c>
      <c r="D1161">
        <v>44</v>
      </c>
      <c r="E1161" s="1">
        <v>40338</v>
      </c>
      <c r="F1161">
        <v>2010</v>
      </c>
      <c r="G1161" t="s">
        <v>5032</v>
      </c>
      <c r="H1161">
        <v>9</v>
      </c>
      <c r="I1161">
        <v>3.02</v>
      </c>
      <c r="J1161">
        <v>13</v>
      </c>
      <c r="K1161">
        <v>3185.75</v>
      </c>
      <c r="L1161">
        <v>15.4</v>
      </c>
    </row>
    <row r="1162" spans="1:12" x14ac:dyDescent="0.3">
      <c r="A1162" t="s">
        <v>1177</v>
      </c>
      <c r="B1162" t="s">
        <v>16</v>
      </c>
      <c r="C1162" t="s">
        <v>11</v>
      </c>
      <c r="D1162">
        <v>52</v>
      </c>
      <c r="E1162" s="1">
        <v>45315</v>
      </c>
      <c r="F1162">
        <v>2024</v>
      </c>
      <c r="G1162" t="s">
        <v>5037</v>
      </c>
      <c r="H1162">
        <v>24</v>
      </c>
      <c r="I1162">
        <v>1.68</v>
      </c>
      <c r="J1162">
        <v>0</v>
      </c>
      <c r="K1162">
        <v>3465.03</v>
      </c>
      <c r="L1162">
        <v>1.8</v>
      </c>
    </row>
    <row r="1163" spans="1:12" x14ac:dyDescent="0.3">
      <c r="A1163" t="s">
        <v>1178</v>
      </c>
      <c r="B1163" t="s">
        <v>24</v>
      </c>
      <c r="C1163" t="s">
        <v>14</v>
      </c>
      <c r="D1163">
        <v>35</v>
      </c>
      <c r="E1163" s="1">
        <v>44591</v>
      </c>
      <c r="F1163">
        <v>2022</v>
      </c>
      <c r="G1163" t="s">
        <v>5037</v>
      </c>
      <c r="H1163">
        <v>30</v>
      </c>
      <c r="I1163">
        <v>1.93</v>
      </c>
      <c r="J1163">
        <v>12</v>
      </c>
      <c r="K1163">
        <v>14835.53</v>
      </c>
      <c r="L1163">
        <v>3.8</v>
      </c>
    </row>
    <row r="1164" spans="1:12" x14ac:dyDescent="0.3">
      <c r="A1164" t="s">
        <v>1179</v>
      </c>
      <c r="B1164" t="s">
        <v>10</v>
      </c>
      <c r="C1164" t="s">
        <v>14</v>
      </c>
      <c r="D1164">
        <v>28</v>
      </c>
      <c r="E1164" s="1">
        <v>43745</v>
      </c>
      <c r="F1164">
        <v>2019</v>
      </c>
      <c r="G1164" t="s">
        <v>5039</v>
      </c>
      <c r="H1164">
        <v>7</v>
      </c>
      <c r="I1164">
        <v>3.87</v>
      </c>
      <c r="J1164">
        <v>0</v>
      </c>
      <c r="K1164">
        <v>12496.23</v>
      </c>
      <c r="L1164">
        <v>6.1</v>
      </c>
    </row>
    <row r="1165" spans="1:12" x14ac:dyDescent="0.3">
      <c r="A1165" t="s">
        <v>1180</v>
      </c>
      <c r="B1165" t="s">
        <v>16</v>
      </c>
      <c r="C1165" t="s">
        <v>11</v>
      </c>
      <c r="D1165">
        <v>24</v>
      </c>
      <c r="E1165" s="1">
        <v>41818</v>
      </c>
      <c r="F1165">
        <v>2014</v>
      </c>
      <c r="G1165" t="s">
        <v>5032</v>
      </c>
      <c r="H1165">
        <v>28</v>
      </c>
      <c r="I1165">
        <v>3.15</v>
      </c>
      <c r="J1165">
        <v>2</v>
      </c>
      <c r="K1165">
        <v>9893.5499999999993</v>
      </c>
      <c r="L1165">
        <v>11.4</v>
      </c>
    </row>
    <row r="1166" spans="1:12" x14ac:dyDescent="0.3">
      <c r="A1166" t="s">
        <v>1181</v>
      </c>
      <c r="B1166" t="s">
        <v>13</v>
      </c>
      <c r="C1166" t="s">
        <v>11</v>
      </c>
      <c r="D1166">
        <v>37</v>
      </c>
      <c r="E1166" s="1">
        <v>44012</v>
      </c>
      <c r="F1166">
        <v>2020</v>
      </c>
      <c r="G1166" t="s">
        <v>5032</v>
      </c>
      <c r="H1166">
        <v>30</v>
      </c>
      <c r="I1166">
        <v>1.74</v>
      </c>
      <c r="J1166">
        <v>11</v>
      </c>
      <c r="K1166">
        <v>10685.29</v>
      </c>
      <c r="L1166">
        <v>5.3</v>
      </c>
    </row>
    <row r="1167" spans="1:12" x14ac:dyDescent="0.3">
      <c r="A1167" t="s">
        <v>1182</v>
      </c>
      <c r="B1167" t="s">
        <v>34</v>
      </c>
      <c r="C1167" t="s">
        <v>14</v>
      </c>
      <c r="D1167">
        <v>54</v>
      </c>
      <c r="E1167" s="1">
        <v>43059</v>
      </c>
      <c r="F1167">
        <v>2017</v>
      </c>
      <c r="G1167" t="s">
        <v>5038</v>
      </c>
      <c r="H1167">
        <v>20</v>
      </c>
      <c r="I1167">
        <v>3.3</v>
      </c>
      <c r="J1167">
        <v>13</v>
      </c>
      <c r="K1167">
        <v>11609.08</v>
      </c>
      <c r="L1167">
        <v>8</v>
      </c>
    </row>
    <row r="1168" spans="1:12" x14ac:dyDescent="0.3">
      <c r="A1168" t="s">
        <v>1183</v>
      </c>
      <c r="B1168" t="s">
        <v>18</v>
      </c>
      <c r="C1168" t="s">
        <v>14</v>
      </c>
      <c r="D1168">
        <v>36</v>
      </c>
      <c r="E1168" s="1">
        <v>40928</v>
      </c>
      <c r="F1168">
        <v>2012</v>
      </c>
      <c r="G1168" t="s">
        <v>5037</v>
      </c>
      <c r="H1168">
        <v>20</v>
      </c>
      <c r="I1168">
        <v>2.64</v>
      </c>
      <c r="J1168">
        <v>6</v>
      </c>
      <c r="K1168">
        <v>7823.68</v>
      </c>
      <c r="L1168">
        <v>13.8</v>
      </c>
    </row>
    <row r="1169" spans="1:12" x14ac:dyDescent="0.3">
      <c r="A1169" t="s">
        <v>1184</v>
      </c>
      <c r="B1169" t="s">
        <v>16</v>
      </c>
      <c r="C1169" t="s">
        <v>11</v>
      </c>
      <c r="D1169">
        <v>27</v>
      </c>
      <c r="E1169" s="1">
        <v>41582</v>
      </c>
      <c r="F1169">
        <v>2013</v>
      </c>
      <c r="G1169" t="s">
        <v>5038</v>
      </c>
      <c r="H1169">
        <v>4</v>
      </c>
      <c r="I1169">
        <v>3.46</v>
      </c>
      <c r="J1169">
        <v>8</v>
      </c>
      <c r="K1169">
        <v>7047.24</v>
      </c>
      <c r="L1169">
        <v>12</v>
      </c>
    </row>
    <row r="1170" spans="1:12" x14ac:dyDescent="0.3">
      <c r="A1170" t="s">
        <v>1185</v>
      </c>
      <c r="B1170" t="s">
        <v>34</v>
      </c>
      <c r="C1170" t="s">
        <v>11</v>
      </c>
      <c r="D1170">
        <v>34</v>
      </c>
      <c r="E1170" s="1">
        <v>43541</v>
      </c>
      <c r="F1170">
        <v>2019</v>
      </c>
      <c r="G1170" t="s">
        <v>5035</v>
      </c>
      <c r="H1170">
        <v>17</v>
      </c>
      <c r="I1170">
        <v>3.01</v>
      </c>
      <c r="J1170">
        <v>13</v>
      </c>
      <c r="K1170">
        <v>14315.04</v>
      </c>
      <c r="L1170">
        <v>6.6</v>
      </c>
    </row>
    <row r="1171" spans="1:12" x14ac:dyDescent="0.3">
      <c r="A1171" t="s">
        <v>1186</v>
      </c>
      <c r="B1171" t="s">
        <v>13</v>
      </c>
      <c r="C1171" t="s">
        <v>14</v>
      </c>
      <c r="D1171">
        <v>36</v>
      </c>
      <c r="E1171" s="1">
        <v>44828</v>
      </c>
      <c r="F1171">
        <v>2022</v>
      </c>
      <c r="G1171" t="s">
        <v>5033</v>
      </c>
      <c r="H1171">
        <v>24</v>
      </c>
      <c r="I1171">
        <v>2.0699999999999998</v>
      </c>
      <c r="J1171">
        <v>13</v>
      </c>
      <c r="K1171">
        <v>9353.93</v>
      </c>
      <c r="L1171">
        <v>3.1</v>
      </c>
    </row>
    <row r="1172" spans="1:12" x14ac:dyDescent="0.3">
      <c r="A1172" t="s">
        <v>1187</v>
      </c>
      <c r="B1172" t="s">
        <v>13</v>
      </c>
      <c r="C1172" t="s">
        <v>14</v>
      </c>
      <c r="D1172">
        <v>43</v>
      </c>
      <c r="E1172" s="1">
        <v>44006</v>
      </c>
      <c r="F1172">
        <v>2020</v>
      </c>
      <c r="G1172" t="s">
        <v>5032</v>
      </c>
      <c r="H1172">
        <v>24</v>
      </c>
      <c r="I1172">
        <v>3.13</v>
      </c>
      <c r="J1172">
        <v>11</v>
      </c>
      <c r="K1172">
        <v>11341.29</v>
      </c>
      <c r="L1172">
        <v>5.4</v>
      </c>
    </row>
    <row r="1173" spans="1:12" x14ac:dyDescent="0.3">
      <c r="A1173" t="s">
        <v>1188</v>
      </c>
      <c r="B1173" t="s">
        <v>13</v>
      </c>
      <c r="C1173" t="s">
        <v>11</v>
      </c>
      <c r="D1173">
        <v>41</v>
      </c>
      <c r="E1173" s="1">
        <v>45521</v>
      </c>
      <c r="F1173">
        <v>2024</v>
      </c>
      <c r="G1173" t="s">
        <v>5031</v>
      </c>
      <c r="H1173">
        <v>17</v>
      </c>
      <c r="I1173">
        <v>4.99</v>
      </c>
      <c r="J1173">
        <v>1</v>
      </c>
      <c r="K1173">
        <v>14498.3</v>
      </c>
      <c r="L1173">
        <v>1.2</v>
      </c>
    </row>
    <row r="1174" spans="1:12" x14ac:dyDescent="0.3">
      <c r="A1174" t="s">
        <v>1189</v>
      </c>
      <c r="B1174" t="s">
        <v>16</v>
      </c>
      <c r="C1174" t="s">
        <v>14</v>
      </c>
      <c r="D1174">
        <v>32</v>
      </c>
      <c r="E1174" s="1">
        <v>41294</v>
      </c>
      <c r="F1174">
        <v>2013</v>
      </c>
      <c r="G1174" t="s">
        <v>5037</v>
      </c>
      <c r="H1174">
        <v>20</v>
      </c>
      <c r="I1174">
        <v>4.34</v>
      </c>
      <c r="J1174">
        <v>15</v>
      </c>
      <c r="K1174">
        <v>14338.8</v>
      </c>
      <c r="L1174">
        <v>12.8</v>
      </c>
    </row>
    <row r="1175" spans="1:12" x14ac:dyDescent="0.3">
      <c r="A1175" t="s">
        <v>1190</v>
      </c>
      <c r="B1175" t="s">
        <v>13</v>
      </c>
      <c r="C1175" t="s">
        <v>14</v>
      </c>
      <c r="D1175">
        <v>58</v>
      </c>
      <c r="E1175" s="1">
        <v>44193</v>
      </c>
      <c r="F1175">
        <v>2020</v>
      </c>
      <c r="G1175" t="s">
        <v>5041</v>
      </c>
      <c r="H1175">
        <v>28</v>
      </c>
      <c r="I1175">
        <v>1.85</v>
      </c>
      <c r="J1175">
        <v>3</v>
      </c>
      <c r="K1175">
        <v>6089.2</v>
      </c>
      <c r="L1175">
        <v>4.8</v>
      </c>
    </row>
    <row r="1176" spans="1:12" x14ac:dyDescent="0.3">
      <c r="A1176" t="s">
        <v>1191</v>
      </c>
      <c r="B1176" t="s">
        <v>18</v>
      </c>
      <c r="C1176" t="s">
        <v>14</v>
      </c>
      <c r="D1176">
        <v>29</v>
      </c>
      <c r="E1176" s="1">
        <v>40291</v>
      </c>
      <c r="F1176">
        <v>2010</v>
      </c>
      <c r="G1176" t="s">
        <v>5040</v>
      </c>
      <c r="H1176">
        <v>23</v>
      </c>
      <c r="I1176">
        <v>2.62</v>
      </c>
      <c r="J1176">
        <v>3</v>
      </c>
      <c r="K1176">
        <v>13686.56</v>
      </c>
      <c r="L1176">
        <v>15.5</v>
      </c>
    </row>
    <row r="1177" spans="1:12" x14ac:dyDescent="0.3">
      <c r="A1177" t="s">
        <v>1192</v>
      </c>
      <c r="B1177" t="s">
        <v>16</v>
      </c>
      <c r="C1177" t="s">
        <v>14</v>
      </c>
      <c r="D1177">
        <v>52</v>
      </c>
      <c r="E1177" s="1">
        <v>44708</v>
      </c>
      <c r="F1177">
        <v>2022</v>
      </c>
      <c r="G1177" t="s">
        <v>5036</v>
      </c>
      <c r="H1177">
        <v>27</v>
      </c>
      <c r="I1177">
        <v>1.73</v>
      </c>
      <c r="J1177">
        <v>10</v>
      </c>
      <c r="K1177">
        <v>14690.52</v>
      </c>
      <c r="L1177">
        <v>3.4</v>
      </c>
    </row>
    <row r="1178" spans="1:12" x14ac:dyDescent="0.3">
      <c r="A1178" t="s">
        <v>1193</v>
      </c>
      <c r="B1178" t="s">
        <v>13</v>
      </c>
      <c r="C1178" t="s">
        <v>11</v>
      </c>
      <c r="D1178">
        <v>59</v>
      </c>
      <c r="E1178" s="1">
        <v>45588</v>
      </c>
      <c r="F1178">
        <v>2024</v>
      </c>
      <c r="G1178" t="s">
        <v>5039</v>
      </c>
      <c r="H1178">
        <v>23</v>
      </c>
      <c r="I1178">
        <v>4.26</v>
      </c>
      <c r="J1178">
        <v>2</v>
      </c>
      <c r="K1178">
        <v>8421.75</v>
      </c>
      <c r="L1178">
        <v>1</v>
      </c>
    </row>
    <row r="1179" spans="1:12" x14ac:dyDescent="0.3">
      <c r="A1179" t="s">
        <v>1194</v>
      </c>
      <c r="B1179" t="s">
        <v>34</v>
      </c>
      <c r="C1179" t="s">
        <v>11</v>
      </c>
      <c r="D1179">
        <v>57</v>
      </c>
      <c r="E1179" s="1">
        <v>41312</v>
      </c>
      <c r="F1179">
        <v>2013</v>
      </c>
      <c r="G1179" t="s">
        <v>5042</v>
      </c>
      <c r="H1179">
        <v>7</v>
      </c>
      <c r="I1179">
        <v>3.06</v>
      </c>
      <c r="J1179">
        <v>5</v>
      </c>
      <c r="K1179">
        <v>9494.75</v>
      </c>
      <c r="L1179">
        <v>12.7</v>
      </c>
    </row>
    <row r="1180" spans="1:12" x14ac:dyDescent="0.3">
      <c r="A1180" t="s">
        <v>1195</v>
      </c>
      <c r="B1180" t="s">
        <v>18</v>
      </c>
      <c r="C1180" t="s">
        <v>14</v>
      </c>
      <c r="D1180">
        <v>22</v>
      </c>
      <c r="E1180" s="1">
        <v>42169</v>
      </c>
      <c r="F1180">
        <v>2015</v>
      </c>
      <c r="G1180" t="s">
        <v>5032</v>
      </c>
      <c r="H1180">
        <v>14</v>
      </c>
      <c r="I1180">
        <v>3.11</v>
      </c>
      <c r="J1180">
        <v>8</v>
      </c>
      <c r="K1180">
        <v>11790.77</v>
      </c>
      <c r="L1180">
        <v>10.4</v>
      </c>
    </row>
    <row r="1181" spans="1:12" x14ac:dyDescent="0.3">
      <c r="A1181" t="s">
        <v>1196</v>
      </c>
      <c r="B1181" t="s">
        <v>18</v>
      </c>
      <c r="C1181" t="s">
        <v>11</v>
      </c>
      <c r="D1181">
        <v>51</v>
      </c>
      <c r="E1181" s="1">
        <v>45141</v>
      </c>
      <c r="F1181">
        <v>2023</v>
      </c>
      <c r="G1181" t="s">
        <v>5031</v>
      </c>
      <c r="H1181">
        <v>3</v>
      </c>
      <c r="I1181">
        <v>4.95</v>
      </c>
      <c r="J1181">
        <v>1</v>
      </c>
      <c r="K1181">
        <v>4418.67</v>
      </c>
      <c r="L1181">
        <v>2.2000000000000002</v>
      </c>
    </row>
    <row r="1182" spans="1:12" x14ac:dyDescent="0.3">
      <c r="A1182" t="s">
        <v>1197</v>
      </c>
      <c r="B1182" t="s">
        <v>18</v>
      </c>
      <c r="C1182" t="s">
        <v>11</v>
      </c>
      <c r="D1182">
        <v>31</v>
      </c>
      <c r="E1182" s="1">
        <v>40179</v>
      </c>
      <c r="F1182">
        <v>2010</v>
      </c>
      <c r="G1182" t="s">
        <v>5037</v>
      </c>
      <c r="H1182">
        <v>1</v>
      </c>
      <c r="I1182">
        <v>1.91</v>
      </c>
      <c r="J1182">
        <v>11</v>
      </c>
      <c r="K1182">
        <v>7331.91</v>
      </c>
      <c r="L1182">
        <v>15.8</v>
      </c>
    </row>
    <row r="1183" spans="1:12" x14ac:dyDescent="0.3">
      <c r="A1183" t="s">
        <v>1198</v>
      </c>
      <c r="B1183" t="s">
        <v>34</v>
      </c>
      <c r="C1183" t="s">
        <v>14</v>
      </c>
      <c r="D1183">
        <v>54</v>
      </c>
      <c r="E1183" s="1">
        <v>44305</v>
      </c>
      <c r="F1183">
        <v>2021</v>
      </c>
      <c r="G1183" t="s">
        <v>5040</v>
      </c>
      <c r="H1183">
        <v>19</v>
      </c>
      <c r="I1183">
        <v>3.53</v>
      </c>
      <c r="J1183">
        <v>6</v>
      </c>
      <c r="K1183">
        <v>6296.23</v>
      </c>
      <c r="L1183">
        <v>4.5</v>
      </c>
    </row>
    <row r="1184" spans="1:12" x14ac:dyDescent="0.3">
      <c r="A1184" t="s">
        <v>1199</v>
      </c>
      <c r="B1184" t="s">
        <v>18</v>
      </c>
      <c r="C1184" t="s">
        <v>11</v>
      </c>
      <c r="D1184">
        <v>49</v>
      </c>
      <c r="E1184" s="1">
        <v>44268</v>
      </c>
      <c r="F1184">
        <v>2021</v>
      </c>
      <c r="G1184" t="s">
        <v>5035</v>
      </c>
      <c r="H1184">
        <v>13</v>
      </c>
      <c r="I1184">
        <v>2.09</v>
      </c>
      <c r="J1184">
        <v>6</v>
      </c>
      <c r="K1184">
        <v>8245.5300000000007</v>
      </c>
      <c r="L1184">
        <v>4.5999999999999996</v>
      </c>
    </row>
    <row r="1185" spans="1:12" x14ac:dyDescent="0.3">
      <c r="A1185" t="s">
        <v>1200</v>
      </c>
      <c r="B1185" t="s">
        <v>13</v>
      </c>
      <c r="C1185" t="s">
        <v>11</v>
      </c>
      <c r="D1185">
        <v>47</v>
      </c>
      <c r="E1185" s="1">
        <v>41020</v>
      </c>
      <c r="F1185">
        <v>2012</v>
      </c>
      <c r="G1185" t="s">
        <v>5040</v>
      </c>
      <c r="H1185">
        <v>21</v>
      </c>
      <c r="I1185">
        <v>3.53</v>
      </c>
      <c r="J1185">
        <v>11</v>
      </c>
      <c r="K1185">
        <v>13842.93</v>
      </c>
      <c r="L1185">
        <v>13.5</v>
      </c>
    </row>
    <row r="1186" spans="1:12" x14ac:dyDescent="0.3">
      <c r="A1186" t="s">
        <v>1201</v>
      </c>
      <c r="B1186" t="s">
        <v>16</v>
      </c>
      <c r="C1186" t="s">
        <v>11</v>
      </c>
      <c r="D1186">
        <v>46</v>
      </c>
      <c r="E1186" s="1">
        <v>44196</v>
      </c>
      <c r="F1186">
        <v>2020</v>
      </c>
      <c r="G1186" t="s">
        <v>5041</v>
      </c>
      <c r="H1186">
        <v>31</v>
      </c>
      <c r="I1186">
        <v>3.68</v>
      </c>
      <c r="J1186">
        <v>6</v>
      </c>
      <c r="K1186">
        <v>4177.55</v>
      </c>
      <c r="L1186">
        <v>4.8</v>
      </c>
    </row>
    <row r="1187" spans="1:12" x14ac:dyDescent="0.3">
      <c r="A1187" t="s">
        <v>1202</v>
      </c>
      <c r="B1187" t="s">
        <v>13</v>
      </c>
      <c r="C1187" t="s">
        <v>14</v>
      </c>
      <c r="D1187">
        <v>55</v>
      </c>
      <c r="E1187" s="1">
        <v>44497</v>
      </c>
      <c r="F1187">
        <v>2021</v>
      </c>
      <c r="G1187" t="s">
        <v>5039</v>
      </c>
      <c r="H1187">
        <v>28</v>
      </c>
      <c r="I1187">
        <v>2.06</v>
      </c>
      <c r="J1187">
        <v>10</v>
      </c>
      <c r="K1187">
        <v>4383.8</v>
      </c>
      <c r="L1187">
        <v>4</v>
      </c>
    </row>
    <row r="1188" spans="1:12" x14ac:dyDescent="0.3">
      <c r="A1188" t="s">
        <v>1203</v>
      </c>
      <c r="B1188" t="s">
        <v>34</v>
      </c>
      <c r="C1188" t="s">
        <v>11</v>
      </c>
      <c r="D1188">
        <v>58</v>
      </c>
      <c r="E1188" s="1">
        <v>43712</v>
      </c>
      <c r="F1188">
        <v>2019</v>
      </c>
      <c r="G1188" t="s">
        <v>5033</v>
      </c>
      <c r="H1188">
        <v>4</v>
      </c>
      <c r="I1188">
        <v>2.57</v>
      </c>
      <c r="J1188">
        <v>10</v>
      </c>
      <c r="K1188">
        <v>14967.52</v>
      </c>
      <c r="L1188">
        <v>6.2</v>
      </c>
    </row>
    <row r="1189" spans="1:12" x14ac:dyDescent="0.3">
      <c r="A1189" t="s">
        <v>1204</v>
      </c>
      <c r="B1189" t="s">
        <v>16</v>
      </c>
      <c r="C1189" t="s">
        <v>11</v>
      </c>
      <c r="D1189">
        <v>42</v>
      </c>
      <c r="E1189" s="1">
        <v>45277</v>
      </c>
      <c r="F1189">
        <v>2023</v>
      </c>
      <c r="G1189" t="s">
        <v>5041</v>
      </c>
      <c r="H1189">
        <v>17</v>
      </c>
      <c r="I1189">
        <v>4.5999999999999996</v>
      </c>
      <c r="J1189">
        <v>3</v>
      </c>
      <c r="K1189">
        <v>7665.57</v>
      </c>
      <c r="L1189">
        <v>1.9</v>
      </c>
    </row>
    <row r="1190" spans="1:12" x14ac:dyDescent="0.3">
      <c r="A1190" t="s">
        <v>1205</v>
      </c>
      <c r="B1190" t="s">
        <v>13</v>
      </c>
      <c r="C1190" t="s">
        <v>11</v>
      </c>
      <c r="D1190">
        <v>55</v>
      </c>
      <c r="E1190" s="1">
        <v>44571</v>
      </c>
      <c r="F1190">
        <v>2022</v>
      </c>
      <c r="G1190" t="s">
        <v>5037</v>
      </c>
      <c r="H1190">
        <v>10</v>
      </c>
      <c r="I1190">
        <v>3.5</v>
      </c>
      <c r="J1190">
        <v>4</v>
      </c>
      <c r="K1190">
        <v>6435.5</v>
      </c>
      <c r="L1190">
        <v>3.8</v>
      </c>
    </row>
    <row r="1191" spans="1:12" x14ac:dyDescent="0.3">
      <c r="A1191" t="s">
        <v>1206</v>
      </c>
      <c r="B1191" t="s">
        <v>18</v>
      </c>
      <c r="C1191" t="s">
        <v>11</v>
      </c>
      <c r="D1191">
        <v>30</v>
      </c>
      <c r="E1191" s="1">
        <v>44448</v>
      </c>
      <c r="F1191">
        <v>2021</v>
      </c>
      <c r="G1191" t="s">
        <v>5033</v>
      </c>
      <c r="H1191">
        <v>9</v>
      </c>
      <c r="I1191">
        <v>4.7699999999999996</v>
      </c>
      <c r="J1191">
        <v>5</v>
      </c>
      <c r="K1191">
        <v>3776.25</v>
      </c>
      <c r="L1191">
        <v>4.0999999999999996</v>
      </c>
    </row>
    <row r="1192" spans="1:12" x14ac:dyDescent="0.3">
      <c r="A1192" t="s">
        <v>1207</v>
      </c>
      <c r="B1192" t="s">
        <v>13</v>
      </c>
      <c r="C1192" t="s">
        <v>11</v>
      </c>
      <c r="D1192">
        <v>58</v>
      </c>
      <c r="E1192" s="1">
        <v>42492</v>
      </c>
      <c r="F1192">
        <v>2016</v>
      </c>
      <c r="G1192" t="s">
        <v>5036</v>
      </c>
      <c r="H1192">
        <v>2</v>
      </c>
      <c r="I1192">
        <v>2.15</v>
      </c>
      <c r="J1192">
        <v>4</v>
      </c>
      <c r="K1192">
        <v>6397.5</v>
      </c>
      <c r="L1192">
        <v>9.5</v>
      </c>
    </row>
    <row r="1193" spans="1:12" x14ac:dyDescent="0.3">
      <c r="A1193" t="s">
        <v>1208</v>
      </c>
      <c r="B1193" t="s">
        <v>13</v>
      </c>
      <c r="C1193" t="s">
        <v>14</v>
      </c>
      <c r="D1193">
        <v>49</v>
      </c>
      <c r="E1193" s="1">
        <v>42605</v>
      </c>
      <c r="F1193">
        <v>2016</v>
      </c>
      <c r="G1193" t="s">
        <v>5031</v>
      </c>
      <c r="H1193">
        <v>23</v>
      </c>
      <c r="I1193">
        <v>1.97</v>
      </c>
      <c r="J1193">
        <v>4</v>
      </c>
      <c r="K1193">
        <v>10884.04</v>
      </c>
      <c r="L1193">
        <v>9.1999999999999993</v>
      </c>
    </row>
    <row r="1194" spans="1:12" x14ac:dyDescent="0.3">
      <c r="A1194" t="s">
        <v>1209</v>
      </c>
      <c r="B1194" t="s">
        <v>34</v>
      </c>
      <c r="C1194" t="s">
        <v>11</v>
      </c>
      <c r="D1194">
        <v>34</v>
      </c>
      <c r="E1194" s="1">
        <v>42123</v>
      </c>
      <c r="F1194">
        <v>2015</v>
      </c>
      <c r="G1194" t="s">
        <v>5040</v>
      </c>
      <c r="H1194">
        <v>29</v>
      </c>
      <c r="I1194">
        <v>1.89</v>
      </c>
      <c r="J1194">
        <v>14</v>
      </c>
      <c r="K1194">
        <v>4022.56</v>
      </c>
      <c r="L1194">
        <v>10.5</v>
      </c>
    </row>
    <row r="1195" spans="1:12" x14ac:dyDescent="0.3">
      <c r="A1195" t="s">
        <v>1210</v>
      </c>
      <c r="B1195" t="s">
        <v>24</v>
      </c>
      <c r="C1195" t="s">
        <v>14</v>
      </c>
      <c r="D1195">
        <v>26</v>
      </c>
      <c r="E1195" s="1">
        <v>42600</v>
      </c>
      <c r="F1195">
        <v>2016</v>
      </c>
      <c r="G1195" t="s">
        <v>5031</v>
      </c>
      <c r="H1195">
        <v>18</v>
      </c>
      <c r="I1195">
        <v>3.21</v>
      </c>
      <c r="J1195">
        <v>9</v>
      </c>
      <c r="K1195">
        <v>12022.83</v>
      </c>
      <c r="L1195">
        <v>9.1999999999999993</v>
      </c>
    </row>
    <row r="1196" spans="1:12" x14ac:dyDescent="0.3">
      <c r="A1196" t="s">
        <v>1211</v>
      </c>
      <c r="B1196" t="s">
        <v>24</v>
      </c>
      <c r="C1196" t="s">
        <v>11</v>
      </c>
      <c r="D1196">
        <v>58</v>
      </c>
      <c r="E1196" s="1">
        <v>44921</v>
      </c>
      <c r="F1196">
        <v>2022</v>
      </c>
      <c r="G1196" t="s">
        <v>5041</v>
      </c>
      <c r="H1196">
        <v>26</v>
      </c>
      <c r="I1196">
        <v>2.52</v>
      </c>
      <c r="J1196">
        <v>9</v>
      </c>
      <c r="K1196">
        <v>9282.32</v>
      </c>
      <c r="L1196">
        <v>2.9</v>
      </c>
    </row>
    <row r="1197" spans="1:12" x14ac:dyDescent="0.3">
      <c r="A1197" t="s">
        <v>1212</v>
      </c>
      <c r="B1197" t="s">
        <v>18</v>
      </c>
      <c r="C1197" t="s">
        <v>11</v>
      </c>
      <c r="D1197">
        <v>23</v>
      </c>
      <c r="E1197" s="1">
        <v>44221</v>
      </c>
      <c r="F1197">
        <v>2021</v>
      </c>
      <c r="G1197" t="s">
        <v>5037</v>
      </c>
      <c r="H1197">
        <v>25</v>
      </c>
      <c r="I1197">
        <v>2.83</v>
      </c>
      <c r="J1197">
        <v>3</v>
      </c>
      <c r="K1197">
        <v>3996.79</v>
      </c>
      <c r="L1197">
        <v>4.8</v>
      </c>
    </row>
    <row r="1198" spans="1:12" x14ac:dyDescent="0.3">
      <c r="A1198" t="s">
        <v>1213</v>
      </c>
      <c r="B1198" t="s">
        <v>10</v>
      </c>
      <c r="C1198" t="s">
        <v>11</v>
      </c>
      <c r="D1198">
        <v>22</v>
      </c>
      <c r="E1198" s="1">
        <v>44156</v>
      </c>
      <c r="F1198">
        <v>2020</v>
      </c>
      <c r="G1198" t="s">
        <v>5038</v>
      </c>
      <c r="H1198">
        <v>21</v>
      </c>
      <c r="I1198">
        <v>3.3</v>
      </c>
      <c r="J1198">
        <v>15</v>
      </c>
      <c r="K1198">
        <v>13087.86</v>
      </c>
      <c r="L1198">
        <v>4.9000000000000004</v>
      </c>
    </row>
    <row r="1199" spans="1:12" x14ac:dyDescent="0.3">
      <c r="A1199" t="s">
        <v>1214</v>
      </c>
      <c r="B1199" t="s">
        <v>34</v>
      </c>
      <c r="C1199" t="s">
        <v>14</v>
      </c>
      <c r="D1199">
        <v>41</v>
      </c>
      <c r="E1199" s="1">
        <v>44052</v>
      </c>
      <c r="F1199">
        <v>2020</v>
      </c>
      <c r="G1199" t="s">
        <v>5031</v>
      </c>
      <c r="H1199">
        <v>9</v>
      </c>
      <c r="I1199">
        <v>4.07</v>
      </c>
      <c r="J1199">
        <v>15</v>
      </c>
      <c r="K1199">
        <v>7816.65</v>
      </c>
      <c r="L1199">
        <v>5.2</v>
      </c>
    </row>
    <row r="1200" spans="1:12" x14ac:dyDescent="0.3">
      <c r="A1200" t="s">
        <v>1215</v>
      </c>
      <c r="B1200" t="s">
        <v>13</v>
      </c>
      <c r="C1200" t="s">
        <v>14</v>
      </c>
      <c r="D1200">
        <v>37</v>
      </c>
      <c r="E1200" s="1">
        <v>42474</v>
      </c>
      <c r="F1200">
        <v>2016</v>
      </c>
      <c r="G1200" t="s">
        <v>5040</v>
      </c>
      <c r="H1200">
        <v>14</v>
      </c>
      <c r="I1200">
        <v>2</v>
      </c>
      <c r="J1200">
        <v>12</v>
      </c>
      <c r="K1200">
        <v>14985.76</v>
      </c>
      <c r="L1200">
        <v>9.6</v>
      </c>
    </row>
    <row r="1201" spans="1:12" x14ac:dyDescent="0.3">
      <c r="A1201" t="s">
        <v>1216</v>
      </c>
      <c r="B1201" t="s">
        <v>10</v>
      </c>
      <c r="C1201" t="s">
        <v>14</v>
      </c>
      <c r="D1201">
        <v>27</v>
      </c>
      <c r="E1201" s="1">
        <v>44477</v>
      </c>
      <c r="F1201">
        <v>2021</v>
      </c>
      <c r="G1201" t="s">
        <v>5039</v>
      </c>
      <c r="H1201">
        <v>8</v>
      </c>
      <c r="I1201">
        <v>4.82</v>
      </c>
      <c r="J1201">
        <v>5</v>
      </c>
      <c r="K1201">
        <v>4079.14</v>
      </c>
      <c r="L1201">
        <v>4.0999999999999996</v>
      </c>
    </row>
    <row r="1202" spans="1:12" x14ac:dyDescent="0.3">
      <c r="A1202" t="s">
        <v>1217</v>
      </c>
      <c r="B1202" t="s">
        <v>24</v>
      </c>
      <c r="C1202" t="s">
        <v>14</v>
      </c>
      <c r="D1202">
        <v>50</v>
      </c>
      <c r="E1202" s="1">
        <v>45854</v>
      </c>
      <c r="F1202">
        <v>2025</v>
      </c>
      <c r="G1202" t="s">
        <v>5034</v>
      </c>
      <c r="H1202">
        <v>16</v>
      </c>
      <c r="I1202">
        <v>2.83</v>
      </c>
      <c r="J1202">
        <v>3</v>
      </c>
      <c r="K1202">
        <v>13607.93</v>
      </c>
      <c r="L1202">
        <v>0.3</v>
      </c>
    </row>
    <row r="1203" spans="1:12" x14ac:dyDescent="0.3">
      <c r="A1203" t="s">
        <v>1218</v>
      </c>
      <c r="B1203" t="s">
        <v>16</v>
      </c>
      <c r="C1203" t="s">
        <v>11</v>
      </c>
      <c r="D1203">
        <v>59</v>
      </c>
      <c r="E1203" s="1">
        <v>40239</v>
      </c>
      <c r="F1203">
        <v>2010</v>
      </c>
      <c r="G1203" t="s">
        <v>5035</v>
      </c>
      <c r="H1203">
        <v>2</v>
      </c>
      <c r="I1203">
        <v>3.41</v>
      </c>
      <c r="J1203">
        <v>4</v>
      </c>
      <c r="K1203">
        <v>9259.7999999999993</v>
      </c>
      <c r="L1203">
        <v>15.7</v>
      </c>
    </row>
    <row r="1204" spans="1:12" x14ac:dyDescent="0.3">
      <c r="A1204" t="s">
        <v>1219</v>
      </c>
      <c r="B1204" t="s">
        <v>10</v>
      </c>
      <c r="C1204" t="s">
        <v>14</v>
      </c>
      <c r="D1204">
        <v>32</v>
      </c>
      <c r="E1204" s="1">
        <v>41490</v>
      </c>
      <c r="F1204">
        <v>2013</v>
      </c>
      <c r="G1204" t="s">
        <v>5031</v>
      </c>
      <c r="H1204">
        <v>4</v>
      </c>
      <c r="I1204">
        <v>4.16</v>
      </c>
      <c r="J1204">
        <v>3</v>
      </c>
      <c r="K1204">
        <v>4013.82</v>
      </c>
      <c r="L1204">
        <v>12.3</v>
      </c>
    </row>
    <row r="1205" spans="1:12" x14ac:dyDescent="0.3">
      <c r="A1205" t="s">
        <v>1220</v>
      </c>
      <c r="B1205" t="s">
        <v>18</v>
      </c>
      <c r="C1205" t="s">
        <v>14</v>
      </c>
      <c r="D1205">
        <v>55</v>
      </c>
      <c r="E1205" s="1">
        <v>40390</v>
      </c>
      <c r="F1205">
        <v>2010</v>
      </c>
      <c r="G1205" t="s">
        <v>5034</v>
      </c>
      <c r="H1205">
        <v>31</v>
      </c>
      <c r="I1205">
        <v>4.79</v>
      </c>
      <c r="J1205">
        <v>4</v>
      </c>
      <c r="K1205">
        <v>12216.96</v>
      </c>
      <c r="L1205">
        <v>15.3</v>
      </c>
    </row>
    <row r="1206" spans="1:12" x14ac:dyDescent="0.3">
      <c r="A1206" t="s">
        <v>1221</v>
      </c>
      <c r="B1206" t="s">
        <v>34</v>
      </c>
      <c r="C1206" t="s">
        <v>11</v>
      </c>
      <c r="D1206">
        <v>27</v>
      </c>
      <c r="E1206" s="1">
        <v>45029</v>
      </c>
      <c r="F1206">
        <v>2023</v>
      </c>
      <c r="G1206" t="s">
        <v>5040</v>
      </c>
      <c r="H1206">
        <v>13</v>
      </c>
      <c r="I1206">
        <v>4.53</v>
      </c>
      <c r="J1206">
        <v>2</v>
      </c>
      <c r="K1206">
        <v>14602.67</v>
      </c>
      <c r="L1206">
        <v>2.6</v>
      </c>
    </row>
    <row r="1207" spans="1:12" x14ac:dyDescent="0.3">
      <c r="A1207" t="s">
        <v>1222</v>
      </c>
      <c r="B1207" t="s">
        <v>13</v>
      </c>
      <c r="C1207" t="s">
        <v>14</v>
      </c>
      <c r="D1207">
        <v>53</v>
      </c>
      <c r="E1207" s="1">
        <v>41790</v>
      </c>
      <c r="F1207">
        <v>2014</v>
      </c>
      <c r="G1207" t="s">
        <v>5036</v>
      </c>
      <c r="H1207">
        <v>31</v>
      </c>
      <c r="I1207">
        <v>2.09</v>
      </c>
      <c r="J1207">
        <v>14</v>
      </c>
      <c r="K1207">
        <v>10400.780000000001</v>
      </c>
      <c r="L1207">
        <v>11.4</v>
      </c>
    </row>
    <row r="1208" spans="1:12" x14ac:dyDescent="0.3">
      <c r="A1208" t="s">
        <v>1223</v>
      </c>
      <c r="B1208" t="s">
        <v>34</v>
      </c>
      <c r="C1208" t="s">
        <v>14</v>
      </c>
      <c r="D1208">
        <v>23</v>
      </c>
      <c r="E1208" s="1">
        <v>41502</v>
      </c>
      <c r="F1208">
        <v>2013</v>
      </c>
      <c r="G1208" t="s">
        <v>5031</v>
      </c>
      <c r="H1208">
        <v>16</v>
      </c>
      <c r="I1208">
        <v>2.4700000000000002</v>
      </c>
      <c r="J1208">
        <v>4</v>
      </c>
      <c r="K1208">
        <v>5040.74</v>
      </c>
      <c r="L1208">
        <v>12.2</v>
      </c>
    </row>
    <row r="1209" spans="1:12" x14ac:dyDescent="0.3">
      <c r="A1209" t="s">
        <v>1224</v>
      </c>
      <c r="B1209" t="s">
        <v>10</v>
      </c>
      <c r="C1209" t="s">
        <v>14</v>
      </c>
      <c r="D1209">
        <v>38</v>
      </c>
      <c r="E1209" s="1">
        <v>44153</v>
      </c>
      <c r="F1209">
        <v>2020</v>
      </c>
      <c r="G1209" t="s">
        <v>5038</v>
      </c>
      <c r="H1209">
        <v>18</v>
      </c>
      <c r="I1209">
        <v>3.75</v>
      </c>
      <c r="J1209">
        <v>2</v>
      </c>
      <c r="K1209">
        <v>10828.96</v>
      </c>
      <c r="L1209">
        <v>5</v>
      </c>
    </row>
    <row r="1210" spans="1:12" x14ac:dyDescent="0.3">
      <c r="A1210" t="s">
        <v>1225</v>
      </c>
      <c r="B1210" t="s">
        <v>16</v>
      </c>
      <c r="C1210" t="s">
        <v>14</v>
      </c>
      <c r="D1210">
        <v>37</v>
      </c>
      <c r="E1210" s="1">
        <v>42937</v>
      </c>
      <c r="F1210">
        <v>2017</v>
      </c>
      <c r="G1210" t="s">
        <v>5034</v>
      </c>
      <c r="H1210">
        <v>21</v>
      </c>
      <c r="I1210">
        <v>3.03</v>
      </c>
      <c r="J1210">
        <v>11</v>
      </c>
      <c r="K1210">
        <v>11439.52</v>
      </c>
      <c r="L1210">
        <v>8.3000000000000007</v>
      </c>
    </row>
    <row r="1211" spans="1:12" x14ac:dyDescent="0.3">
      <c r="A1211" t="s">
        <v>1226</v>
      </c>
      <c r="B1211" t="s">
        <v>34</v>
      </c>
      <c r="C1211" t="s">
        <v>11</v>
      </c>
      <c r="D1211">
        <v>24</v>
      </c>
      <c r="E1211" s="1">
        <v>43228</v>
      </c>
      <c r="F1211">
        <v>2018</v>
      </c>
      <c r="G1211" t="s">
        <v>5036</v>
      </c>
      <c r="H1211">
        <v>8</v>
      </c>
      <c r="I1211">
        <v>1.52</v>
      </c>
      <c r="J1211">
        <v>4</v>
      </c>
      <c r="K1211">
        <v>10090.32</v>
      </c>
      <c r="L1211">
        <v>7.5</v>
      </c>
    </row>
    <row r="1212" spans="1:12" x14ac:dyDescent="0.3">
      <c r="A1212" t="s">
        <v>1227</v>
      </c>
      <c r="B1212" t="s">
        <v>10</v>
      </c>
      <c r="C1212" t="s">
        <v>11</v>
      </c>
      <c r="D1212">
        <v>46</v>
      </c>
      <c r="E1212" s="1">
        <v>41924</v>
      </c>
      <c r="F1212">
        <v>2014</v>
      </c>
      <c r="G1212" t="s">
        <v>5039</v>
      </c>
      <c r="H1212">
        <v>12</v>
      </c>
      <c r="I1212">
        <v>4.54</v>
      </c>
      <c r="J1212">
        <v>8</v>
      </c>
      <c r="K1212">
        <v>12724.7</v>
      </c>
      <c r="L1212">
        <v>11.1</v>
      </c>
    </row>
    <row r="1213" spans="1:12" x14ac:dyDescent="0.3">
      <c r="A1213" t="s">
        <v>1228</v>
      </c>
      <c r="B1213" t="s">
        <v>24</v>
      </c>
      <c r="C1213" t="s">
        <v>11</v>
      </c>
      <c r="D1213">
        <v>52</v>
      </c>
      <c r="E1213" s="1">
        <v>45208</v>
      </c>
      <c r="F1213">
        <v>2023</v>
      </c>
      <c r="G1213" t="s">
        <v>5039</v>
      </c>
      <c r="H1213">
        <v>9</v>
      </c>
      <c r="I1213">
        <v>3.8</v>
      </c>
      <c r="J1213">
        <v>9</v>
      </c>
      <c r="K1213">
        <v>12213.52</v>
      </c>
      <c r="L1213">
        <v>2.1</v>
      </c>
    </row>
    <row r="1214" spans="1:12" x14ac:dyDescent="0.3">
      <c r="A1214" t="s">
        <v>1229</v>
      </c>
      <c r="B1214" t="s">
        <v>24</v>
      </c>
      <c r="C1214" t="s">
        <v>11</v>
      </c>
      <c r="D1214">
        <v>52</v>
      </c>
      <c r="E1214" s="1">
        <v>42581</v>
      </c>
      <c r="F1214">
        <v>2016</v>
      </c>
      <c r="G1214" t="s">
        <v>5034</v>
      </c>
      <c r="H1214">
        <v>30</v>
      </c>
      <c r="I1214">
        <v>3.35</v>
      </c>
      <c r="J1214">
        <v>6</v>
      </c>
      <c r="K1214">
        <v>6294.26</v>
      </c>
      <c r="L1214">
        <v>9.3000000000000007</v>
      </c>
    </row>
    <row r="1215" spans="1:12" x14ac:dyDescent="0.3">
      <c r="A1215" t="s">
        <v>1230</v>
      </c>
      <c r="B1215" t="s">
        <v>24</v>
      </c>
      <c r="C1215" t="s">
        <v>11</v>
      </c>
      <c r="D1215">
        <v>38</v>
      </c>
      <c r="E1215" s="1">
        <v>44517</v>
      </c>
      <c r="F1215">
        <v>2021</v>
      </c>
      <c r="G1215" t="s">
        <v>5038</v>
      </c>
      <c r="H1215">
        <v>17</v>
      </c>
      <c r="I1215">
        <v>2.76</v>
      </c>
      <c r="J1215">
        <v>11</v>
      </c>
      <c r="K1215">
        <v>8916.08</v>
      </c>
      <c r="L1215">
        <v>4</v>
      </c>
    </row>
    <row r="1216" spans="1:12" x14ac:dyDescent="0.3">
      <c r="A1216" t="s">
        <v>1231</v>
      </c>
      <c r="B1216" t="s">
        <v>18</v>
      </c>
      <c r="C1216" t="s">
        <v>14</v>
      </c>
      <c r="D1216">
        <v>32</v>
      </c>
      <c r="E1216" s="1">
        <v>43101</v>
      </c>
      <c r="F1216">
        <v>2018</v>
      </c>
      <c r="G1216" t="s">
        <v>5037</v>
      </c>
      <c r="H1216">
        <v>1</v>
      </c>
      <c r="I1216">
        <v>2.44</v>
      </c>
      <c r="J1216">
        <v>1</v>
      </c>
      <c r="K1216">
        <v>12473.66</v>
      </c>
      <c r="L1216">
        <v>7.8</v>
      </c>
    </row>
    <row r="1217" spans="1:12" x14ac:dyDescent="0.3">
      <c r="A1217" t="s">
        <v>1232</v>
      </c>
      <c r="B1217" t="s">
        <v>13</v>
      </c>
      <c r="C1217" t="s">
        <v>14</v>
      </c>
      <c r="D1217">
        <v>24</v>
      </c>
      <c r="E1217" s="1">
        <v>41100</v>
      </c>
      <c r="F1217">
        <v>2012</v>
      </c>
      <c r="G1217" t="s">
        <v>5034</v>
      </c>
      <c r="H1217">
        <v>10</v>
      </c>
      <c r="I1217">
        <v>1.51</v>
      </c>
      <c r="J1217">
        <v>1</v>
      </c>
      <c r="K1217">
        <v>12251.28</v>
      </c>
      <c r="L1217">
        <v>13.3</v>
      </c>
    </row>
    <row r="1218" spans="1:12" x14ac:dyDescent="0.3">
      <c r="A1218" t="s">
        <v>1233</v>
      </c>
      <c r="B1218" t="s">
        <v>34</v>
      </c>
      <c r="C1218" t="s">
        <v>14</v>
      </c>
      <c r="D1218">
        <v>58</v>
      </c>
      <c r="E1218" s="1">
        <v>45476</v>
      </c>
      <c r="F1218">
        <v>2024</v>
      </c>
      <c r="G1218" t="s">
        <v>5034</v>
      </c>
      <c r="H1218">
        <v>3</v>
      </c>
      <c r="I1218">
        <v>1.87</v>
      </c>
      <c r="J1218">
        <v>4</v>
      </c>
      <c r="K1218">
        <v>12008.86</v>
      </c>
      <c r="L1218">
        <v>1.3</v>
      </c>
    </row>
    <row r="1219" spans="1:12" x14ac:dyDescent="0.3">
      <c r="A1219" t="s">
        <v>1234</v>
      </c>
      <c r="B1219" t="s">
        <v>13</v>
      </c>
      <c r="C1219" t="s">
        <v>11</v>
      </c>
      <c r="D1219">
        <v>30</v>
      </c>
      <c r="E1219" s="1">
        <v>45248</v>
      </c>
      <c r="F1219">
        <v>2023</v>
      </c>
      <c r="G1219" t="s">
        <v>5038</v>
      </c>
      <c r="H1219">
        <v>18</v>
      </c>
      <c r="I1219">
        <v>1.61</v>
      </c>
      <c r="J1219">
        <v>11</v>
      </c>
      <c r="K1219">
        <v>3610.17</v>
      </c>
      <c r="L1219">
        <v>2</v>
      </c>
    </row>
    <row r="1220" spans="1:12" x14ac:dyDescent="0.3">
      <c r="A1220" t="s">
        <v>1235</v>
      </c>
      <c r="B1220" t="s">
        <v>24</v>
      </c>
      <c r="C1220" t="s">
        <v>14</v>
      </c>
      <c r="D1220">
        <v>57</v>
      </c>
      <c r="E1220" s="1">
        <v>41083</v>
      </c>
      <c r="F1220">
        <v>2012</v>
      </c>
      <c r="G1220" t="s">
        <v>5032</v>
      </c>
      <c r="H1220">
        <v>23</v>
      </c>
      <c r="I1220">
        <v>3.88</v>
      </c>
      <c r="J1220">
        <v>14</v>
      </c>
      <c r="K1220">
        <v>7069.94</v>
      </c>
      <c r="L1220">
        <v>13.4</v>
      </c>
    </row>
    <row r="1221" spans="1:12" x14ac:dyDescent="0.3">
      <c r="A1221" t="s">
        <v>1236</v>
      </c>
      <c r="B1221" t="s">
        <v>24</v>
      </c>
      <c r="C1221" t="s">
        <v>11</v>
      </c>
      <c r="D1221">
        <v>58</v>
      </c>
      <c r="E1221" s="1">
        <v>43721</v>
      </c>
      <c r="F1221">
        <v>2019</v>
      </c>
      <c r="G1221" t="s">
        <v>5033</v>
      </c>
      <c r="H1221">
        <v>13</v>
      </c>
      <c r="I1221">
        <v>4.2300000000000004</v>
      </c>
      <c r="J1221">
        <v>7</v>
      </c>
      <c r="K1221">
        <v>9894.58</v>
      </c>
      <c r="L1221">
        <v>6.1</v>
      </c>
    </row>
    <row r="1222" spans="1:12" x14ac:dyDescent="0.3">
      <c r="A1222" t="s">
        <v>1237</v>
      </c>
      <c r="B1222" t="s">
        <v>16</v>
      </c>
      <c r="C1222" t="s">
        <v>11</v>
      </c>
      <c r="D1222">
        <v>36</v>
      </c>
      <c r="E1222" s="1">
        <v>42017</v>
      </c>
      <c r="F1222">
        <v>2015</v>
      </c>
      <c r="G1222" t="s">
        <v>5037</v>
      </c>
      <c r="H1222">
        <v>13</v>
      </c>
      <c r="I1222">
        <v>4.55</v>
      </c>
      <c r="J1222">
        <v>7</v>
      </c>
      <c r="K1222">
        <v>12360.77</v>
      </c>
      <c r="L1222">
        <v>10.8</v>
      </c>
    </row>
    <row r="1223" spans="1:12" x14ac:dyDescent="0.3">
      <c r="A1223" t="s">
        <v>1238</v>
      </c>
      <c r="B1223" t="s">
        <v>24</v>
      </c>
      <c r="C1223" t="s">
        <v>11</v>
      </c>
      <c r="D1223">
        <v>39</v>
      </c>
      <c r="E1223" s="1">
        <v>43719</v>
      </c>
      <c r="F1223">
        <v>2019</v>
      </c>
      <c r="G1223" t="s">
        <v>5033</v>
      </c>
      <c r="H1223">
        <v>11</v>
      </c>
      <c r="I1223">
        <v>2.74</v>
      </c>
      <c r="J1223">
        <v>7</v>
      </c>
      <c r="K1223">
        <v>5856.21</v>
      </c>
      <c r="L1223">
        <v>6.1</v>
      </c>
    </row>
    <row r="1224" spans="1:12" x14ac:dyDescent="0.3">
      <c r="A1224" t="s">
        <v>1239</v>
      </c>
      <c r="B1224" t="s">
        <v>13</v>
      </c>
      <c r="C1224" t="s">
        <v>11</v>
      </c>
      <c r="D1224">
        <v>23</v>
      </c>
      <c r="E1224" s="1">
        <v>44784</v>
      </c>
      <c r="F1224">
        <v>2022</v>
      </c>
      <c r="G1224" t="s">
        <v>5031</v>
      </c>
      <c r="H1224">
        <v>11</v>
      </c>
      <c r="I1224">
        <v>1.71</v>
      </c>
      <c r="J1224">
        <v>6</v>
      </c>
      <c r="K1224">
        <v>8879.3799999999992</v>
      </c>
      <c r="L1224">
        <v>3.2</v>
      </c>
    </row>
    <row r="1225" spans="1:12" x14ac:dyDescent="0.3">
      <c r="A1225" t="s">
        <v>1240</v>
      </c>
      <c r="B1225" t="s">
        <v>16</v>
      </c>
      <c r="C1225" t="s">
        <v>14</v>
      </c>
      <c r="D1225">
        <v>52</v>
      </c>
      <c r="E1225" s="1">
        <v>42411</v>
      </c>
      <c r="F1225">
        <v>2016</v>
      </c>
      <c r="G1225" t="s">
        <v>5042</v>
      </c>
      <c r="H1225">
        <v>11</v>
      </c>
      <c r="I1225">
        <v>2.27</v>
      </c>
      <c r="J1225">
        <v>1</v>
      </c>
      <c r="K1225">
        <v>14125.46</v>
      </c>
      <c r="L1225">
        <v>9.6999999999999993</v>
      </c>
    </row>
    <row r="1226" spans="1:12" x14ac:dyDescent="0.3">
      <c r="A1226" t="s">
        <v>1241</v>
      </c>
      <c r="B1226" t="s">
        <v>24</v>
      </c>
      <c r="C1226" t="s">
        <v>11</v>
      </c>
      <c r="D1226">
        <v>40</v>
      </c>
      <c r="E1226" s="1">
        <v>40421</v>
      </c>
      <c r="F1226">
        <v>2010</v>
      </c>
      <c r="G1226" t="s">
        <v>5031</v>
      </c>
      <c r="H1226">
        <v>31</v>
      </c>
      <c r="I1226">
        <v>3.07</v>
      </c>
      <c r="J1226">
        <v>12</v>
      </c>
      <c r="K1226">
        <v>14306.77</v>
      </c>
      <c r="L1226">
        <v>15.2</v>
      </c>
    </row>
    <row r="1227" spans="1:12" x14ac:dyDescent="0.3">
      <c r="A1227" t="s">
        <v>1242</v>
      </c>
      <c r="B1227" t="s">
        <v>34</v>
      </c>
      <c r="C1227" t="s">
        <v>14</v>
      </c>
      <c r="D1227">
        <v>31</v>
      </c>
      <c r="E1227" s="1">
        <v>44148</v>
      </c>
      <c r="F1227">
        <v>2020</v>
      </c>
      <c r="G1227" t="s">
        <v>5038</v>
      </c>
      <c r="H1227">
        <v>13</v>
      </c>
      <c r="I1227">
        <v>2.5499999999999998</v>
      </c>
      <c r="J1227">
        <v>14</v>
      </c>
      <c r="K1227">
        <v>5814.01</v>
      </c>
      <c r="L1227">
        <v>5</v>
      </c>
    </row>
    <row r="1228" spans="1:12" x14ac:dyDescent="0.3">
      <c r="A1228" t="s">
        <v>1243</v>
      </c>
      <c r="B1228" t="s">
        <v>18</v>
      </c>
      <c r="C1228" t="s">
        <v>11</v>
      </c>
      <c r="D1228">
        <v>43</v>
      </c>
      <c r="E1228" s="1">
        <v>43324</v>
      </c>
      <c r="F1228">
        <v>2018</v>
      </c>
      <c r="G1228" t="s">
        <v>5031</v>
      </c>
      <c r="H1228">
        <v>12</v>
      </c>
      <c r="I1228">
        <v>3.07</v>
      </c>
      <c r="J1228">
        <v>9</v>
      </c>
      <c r="K1228">
        <v>13939.03</v>
      </c>
      <c r="L1228">
        <v>7.2</v>
      </c>
    </row>
    <row r="1229" spans="1:12" x14ac:dyDescent="0.3">
      <c r="A1229" t="s">
        <v>1244</v>
      </c>
      <c r="B1229" t="s">
        <v>18</v>
      </c>
      <c r="C1229" t="s">
        <v>14</v>
      </c>
      <c r="D1229">
        <v>24</v>
      </c>
      <c r="E1229" s="1">
        <v>44815</v>
      </c>
      <c r="F1229">
        <v>2022</v>
      </c>
      <c r="G1229" t="s">
        <v>5033</v>
      </c>
      <c r="H1229">
        <v>11</v>
      </c>
      <c r="I1229">
        <v>4.58</v>
      </c>
      <c r="J1229">
        <v>1</v>
      </c>
      <c r="K1229">
        <v>13410.29</v>
      </c>
      <c r="L1229">
        <v>3.1</v>
      </c>
    </row>
    <row r="1230" spans="1:12" x14ac:dyDescent="0.3">
      <c r="A1230" t="s">
        <v>1245</v>
      </c>
      <c r="B1230" t="s">
        <v>34</v>
      </c>
      <c r="C1230" t="s">
        <v>14</v>
      </c>
      <c r="D1230">
        <v>36</v>
      </c>
      <c r="E1230" s="1">
        <v>42681</v>
      </c>
      <c r="F1230">
        <v>2016</v>
      </c>
      <c r="G1230" t="s">
        <v>5038</v>
      </c>
      <c r="H1230">
        <v>7</v>
      </c>
      <c r="I1230">
        <v>3.48</v>
      </c>
      <c r="J1230">
        <v>2</v>
      </c>
      <c r="K1230">
        <v>14779.07</v>
      </c>
      <c r="L1230">
        <v>9</v>
      </c>
    </row>
    <row r="1231" spans="1:12" x14ac:dyDescent="0.3">
      <c r="A1231" t="s">
        <v>1246</v>
      </c>
      <c r="B1231" t="s">
        <v>10</v>
      </c>
      <c r="C1231" t="s">
        <v>14</v>
      </c>
      <c r="D1231">
        <v>29</v>
      </c>
      <c r="E1231" s="1">
        <v>42542</v>
      </c>
      <c r="F1231">
        <v>2016</v>
      </c>
      <c r="G1231" t="s">
        <v>5032</v>
      </c>
      <c r="H1231">
        <v>21</v>
      </c>
      <c r="I1231">
        <v>2.2200000000000002</v>
      </c>
      <c r="J1231">
        <v>15</v>
      </c>
      <c r="K1231">
        <v>6308.78</v>
      </c>
      <c r="L1231">
        <v>9.4</v>
      </c>
    </row>
    <row r="1232" spans="1:12" x14ac:dyDescent="0.3">
      <c r="A1232" t="s">
        <v>1247</v>
      </c>
      <c r="B1232" t="s">
        <v>13</v>
      </c>
      <c r="C1232" t="s">
        <v>14</v>
      </c>
      <c r="D1232">
        <v>55</v>
      </c>
      <c r="E1232" s="1">
        <v>41049</v>
      </c>
      <c r="F1232">
        <v>2012</v>
      </c>
      <c r="G1232" t="s">
        <v>5036</v>
      </c>
      <c r="H1232">
        <v>20</v>
      </c>
      <c r="I1232">
        <v>2.63</v>
      </c>
      <c r="J1232">
        <v>9</v>
      </c>
      <c r="K1232">
        <v>13722.73</v>
      </c>
      <c r="L1232">
        <v>13.5</v>
      </c>
    </row>
    <row r="1233" spans="1:12" x14ac:dyDescent="0.3">
      <c r="A1233" t="s">
        <v>1248</v>
      </c>
      <c r="B1233" t="s">
        <v>18</v>
      </c>
      <c r="C1233" t="s">
        <v>14</v>
      </c>
      <c r="D1233">
        <v>33</v>
      </c>
      <c r="E1233" s="1">
        <v>41346</v>
      </c>
      <c r="F1233">
        <v>2013</v>
      </c>
      <c r="G1233" t="s">
        <v>5035</v>
      </c>
      <c r="H1233">
        <v>13</v>
      </c>
      <c r="I1233">
        <v>2.0099999999999998</v>
      </c>
      <c r="J1233">
        <v>8</v>
      </c>
      <c r="K1233">
        <v>5358.94</v>
      </c>
      <c r="L1233">
        <v>12.6</v>
      </c>
    </row>
    <row r="1234" spans="1:12" x14ac:dyDescent="0.3">
      <c r="A1234" t="s">
        <v>1249</v>
      </c>
      <c r="B1234" t="s">
        <v>24</v>
      </c>
      <c r="C1234" t="s">
        <v>11</v>
      </c>
      <c r="D1234">
        <v>42</v>
      </c>
      <c r="E1234" s="1">
        <v>41213</v>
      </c>
      <c r="F1234">
        <v>2012</v>
      </c>
      <c r="G1234" t="s">
        <v>5039</v>
      </c>
      <c r="H1234">
        <v>31</v>
      </c>
      <c r="I1234">
        <v>3.75</v>
      </c>
      <c r="J1234">
        <v>0</v>
      </c>
      <c r="K1234">
        <v>9519.4500000000007</v>
      </c>
      <c r="L1234">
        <v>13</v>
      </c>
    </row>
    <row r="1235" spans="1:12" x14ac:dyDescent="0.3">
      <c r="A1235" t="s">
        <v>1250</v>
      </c>
      <c r="B1235" t="s">
        <v>13</v>
      </c>
      <c r="C1235" t="s">
        <v>14</v>
      </c>
      <c r="D1235">
        <v>35</v>
      </c>
      <c r="E1235" s="1">
        <v>42593</v>
      </c>
      <c r="F1235">
        <v>2016</v>
      </c>
      <c r="G1235" t="s">
        <v>5031</v>
      </c>
      <c r="H1235">
        <v>11</v>
      </c>
      <c r="I1235">
        <v>2.88</v>
      </c>
      <c r="J1235">
        <v>2</v>
      </c>
      <c r="K1235">
        <v>10755.78</v>
      </c>
      <c r="L1235">
        <v>9.1999999999999993</v>
      </c>
    </row>
    <row r="1236" spans="1:12" x14ac:dyDescent="0.3">
      <c r="A1236" t="s">
        <v>1251</v>
      </c>
      <c r="B1236" t="s">
        <v>34</v>
      </c>
      <c r="C1236" t="s">
        <v>14</v>
      </c>
      <c r="D1236">
        <v>43</v>
      </c>
      <c r="E1236" s="1">
        <v>42640</v>
      </c>
      <c r="F1236">
        <v>2016</v>
      </c>
      <c r="G1236" t="s">
        <v>5033</v>
      </c>
      <c r="H1236">
        <v>27</v>
      </c>
      <c r="I1236">
        <v>3.93</v>
      </c>
      <c r="J1236">
        <v>3</v>
      </c>
      <c r="K1236">
        <v>9844.43</v>
      </c>
      <c r="L1236">
        <v>9.1</v>
      </c>
    </row>
    <row r="1237" spans="1:12" x14ac:dyDescent="0.3">
      <c r="A1237" t="s">
        <v>1252</v>
      </c>
      <c r="B1237" t="s">
        <v>10</v>
      </c>
      <c r="C1237" t="s">
        <v>14</v>
      </c>
      <c r="D1237">
        <v>59</v>
      </c>
      <c r="E1237" s="1">
        <v>44479</v>
      </c>
      <c r="F1237">
        <v>2021</v>
      </c>
      <c r="G1237" t="s">
        <v>5039</v>
      </c>
      <c r="H1237">
        <v>10</v>
      </c>
      <c r="I1237">
        <v>1.66</v>
      </c>
      <c r="J1237">
        <v>6</v>
      </c>
      <c r="K1237">
        <v>11467.41</v>
      </c>
      <c r="L1237">
        <v>4.0999999999999996</v>
      </c>
    </row>
    <row r="1238" spans="1:12" x14ac:dyDescent="0.3">
      <c r="A1238" t="s">
        <v>1253</v>
      </c>
      <c r="B1238" t="s">
        <v>34</v>
      </c>
      <c r="C1238" t="s">
        <v>11</v>
      </c>
      <c r="D1238">
        <v>27</v>
      </c>
      <c r="E1238" s="1">
        <v>40968</v>
      </c>
      <c r="F1238">
        <v>2012</v>
      </c>
      <c r="G1238" t="s">
        <v>5042</v>
      </c>
      <c r="H1238">
        <v>29</v>
      </c>
      <c r="I1238">
        <v>2.62</v>
      </c>
      <c r="J1238">
        <v>0</v>
      </c>
      <c r="K1238">
        <v>12211.87</v>
      </c>
      <c r="L1238">
        <v>13.7</v>
      </c>
    </row>
    <row r="1239" spans="1:12" x14ac:dyDescent="0.3">
      <c r="A1239" t="s">
        <v>1254</v>
      </c>
      <c r="B1239" t="s">
        <v>16</v>
      </c>
      <c r="C1239" t="s">
        <v>14</v>
      </c>
      <c r="D1239">
        <v>23</v>
      </c>
      <c r="E1239" s="1">
        <v>44760</v>
      </c>
      <c r="F1239">
        <v>2022</v>
      </c>
      <c r="G1239" t="s">
        <v>5034</v>
      </c>
      <c r="H1239">
        <v>18</v>
      </c>
      <c r="I1239">
        <v>2.19</v>
      </c>
      <c r="J1239">
        <v>4</v>
      </c>
      <c r="K1239">
        <v>14758.25</v>
      </c>
      <c r="L1239">
        <v>3.3</v>
      </c>
    </row>
    <row r="1240" spans="1:12" x14ac:dyDescent="0.3">
      <c r="A1240" t="s">
        <v>1255</v>
      </c>
      <c r="B1240" t="s">
        <v>24</v>
      </c>
      <c r="C1240" t="s">
        <v>11</v>
      </c>
      <c r="D1240">
        <v>51</v>
      </c>
      <c r="E1240" s="1">
        <v>43528</v>
      </c>
      <c r="F1240">
        <v>2019</v>
      </c>
      <c r="G1240" t="s">
        <v>5035</v>
      </c>
      <c r="H1240">
        <v>4</v>
      </c>
      <c r="I1240">
        <v>4.5</v>
      </c>
      <c r="J1240">
        <v>4</v>
      </c>
      <c r="K1240">
        <v>3428.07</v>
      </c>
      <c r="L1240">
        <v>6.7</v>
      </c>
    </row>
    <row r="1241" spans="1:12" x14ac:dyDescent="0.3">
      <c r="A1241" t="s">
        <v>1256</v>
      </c>
      <c r="B1241" t="s">
        <v>34</v>
      </c>
      <c r="C1241" t="s">
        <v>14</v>
      </c>
      <c r="D1241">
        <v>36</v>
      </c>
      <c r="E1241" s="1">
        <v>40665</v>
      </c>
      <c r="F1241">
        <v>2011</v>
      </c>
      <c r="G1241" t="s">
        <v>5036</v>
      </c>
      <c r="H1241">
        <v>2</v>
      </c>
      <c r="I1241">
        <v>4.37</v>
      </c>
      <c r="J1241">
        <v>0</v>
      </c>
      <c r="K1241">
        <v>9955.9500000000007</v>
      </c>
      <c r="L1241">
        <v>14.5</v>
      </c>
    </row>
    <row r="1242" spans="1:12" x14ac:dyDescent="0.3">
      <c r="A1242" t="s">
        <v>1257</v>
      </c>
      <c r="B1242" t="s">
        <v>10</v>
      </c>
      <c r="C1242" t="s">
        <v>11</v>
      </c>
      <c r="D1242">
        <v>47</v>
      </c>
      <c r="E1242" s="1">
        <v>43166</v>
      </c>
      <c r="F1242">
        <v>2018</v>
      </c>
      <c r="G1242" t="s">
        <v>5035</v>
      </c>
      <c r="H1242">
        <v>7</v>
      </c>
      <c r="I1242">
        <v>3.62</v>
      </c>
      <c r="J1242">
        <v>6</v>
      </c>
      <c r="K1242">
        <v>4098.71</v>
      </c>
      <c r="L1242">
        <v>7.7</v>
      </c>
    </row>
    <row r="1243" spans="1:12" x14ac:dyDescent="0.3">
      <c r="A1243" t="s">
        <v>1258</v>
      </c>
      <c r="B1243" t="s">
        <v>18</v>
      </c>
      <c r="C1243" t="s">
        <v>14</v>
      </c>
      <c r="D1243">
        <v>40</v>
      </c>
      <c r="E1243" s="1">
        <v>40275</v>
      </c>
      <c r="F1243">
        <v>2010</v>
      </c>
      <c r="G1243" t="s">
        <v>5040</v>
      </c>
      <c r="H1243">
        <v>7</v>
      </c>
      <c r="I1243">
        <v>4.97</v>
      </c>
      <c r="J1243">
        <v>11</v>
      </c>
      <c r="K1243">
        <v>7277.1</v>
      </c>
      <c r="L1243">
        <v>15.6</v>
      </c>
    </row>
    <row r="1244" spans="1:12" x14ac:dyDescent="0.3">
      <c r="A1244" t="s">
        <v>1259</v>
      </c>
      <c r="B1244" t="s">
        <v>16</v>
      </c>
      <c r="C1244" t="s">
        <v>14</v>
      </c>
      <c r="D1244">
        <v>31</v>
      </c>
      <c r="E1244" s="1">
        <v>43980</v>
      </c>
      <c r="F1244">
        <v>2020</v>
      </c>
      <c r="G1244" t="s">
        <v>5036</v>
      </c>
      <c r="H1244">
        <v>29</v>
      </c>
      <c r="I1244">
        <v>4.4400000000000004</v>
      </c>
      <c r="J1244">
        <v>11</v>
      </c>
      <c r="K1244">
        <v>11320.47</v>
      </c>
      <c r="L1244">
        <v>5.4</v>
      </c>
    </row>
    <row r="1245" spans="1:12" x14ac:dyDescent="0.3">
      <c r="A1245" t="s">
        <v>1260</v>
      </c>
      <c r="B1245" t="s">
        <v>16</v>
      </c>
      <c r="C1245" t="s">
        <v>14</v>
      </c>
      <c r="D1245">
        <v>49</v>
      </c>
      <c r="E1245" s="1">
        <v>40707</v>
      </c>
      <c r="F1245">
        <v>2011</v>
      </c>
      <c r="G1245" t="s">
        <v>5032</v>
      </c>
      <c r="H1245">
        <v>13</v>
      </c>
      <c r="I1245">
        <v>2.52</v>
      </c>
      <c r="J1245">
        <v>13</v>
      </c>
      <c r="K1245">
        <v>5603.76</v>
      </c>
      <c r="L1245">
        <v>14.4</v>
      </c>
    </row>
    <row r="1246" spans="1:12" x14ac:dyDescent="0.3">
      <c r="A1246" t="s">
        <v>1261</v>
      </c>
      <c r="B1246" t="s">
        <v>16</v>
      </c>
      <c r="C1246" t="s">
        <v>11</v>
      </c>
      <c r="D1246">
        <v>27</v>
      </c>
      <c r="E1246" s="1">
        <v>45308</v>
      </c>
      <c r="F1246">
        <v>2024</v>
      </c>
      <c r="G1246" t="s">
        <v>5037</v>
      </c>
      <c r="H1246">
        <v>17</v>
      </c>
      <c r="I1246">
        <v>4.0999999999999996</v>
      </c>
      <c r="J1246">
        <v>7</v>
      </c>
      <c r="K1246">
        <v>5562.42</v>
      </c>
      <c r="L1246">
        <v>1.8</v>
      </c>
    </row>
    <row r="1247" spans="1:12" x14ac:dyDescent="0.3">
      <c r="A1247" t="s">
        <v>1262</v>
      </c>
      <c r="B1247" t="s">
        <v>18</v>
      </c>
      <c r="C1247" t="s">
        <v>14</v>
      </c>
      <c r="D1247">
        <v>26</v>
      </c>
      <c r="E1247" s="1">
        <v>45334</v>
      </c>
      <c r="F1247">
        <v>2024</v>
      </c>
      <c r="G1247" t="s">
        <v>5042</v>
      </c>
      <c r="H1247">
        <v>12</v>
      </c>
      <c r="I1247">
        <v>3.88</v>
      </c>
      <c r="J1247">
        <v>12</v>
      </c>
      <c r="K1247">
        <v>8838</v>
      </c>
      <c r="L1247">
        <v>1.7</v>
      </c>
    </row>
    <row r="1248" spans="1:12" x14ac:dyDescent="0.3">
      <c r="A1248" t="s">
        <v>1263</v>
      </c>
      <c r="B1248" t="s">
        <v>10</v>
      </c>
      <c r="C1248" t="s">
        <v>14</v>
      </c>
      <c r="D1248">
        <v>43</v>
      </c>
      <c r="E1248" s="1">
        <v>42471</v>
      </c>
      <c r="F1248">
        <v>2016</v>
      </c>
      <c r="G1248" t="s">
        <v>5040</v>
      </c>
      <c r="H1248">
        <v>11</v>
      </c>
      <c r="I1248">
        <v>2.2400000000000002</v>
      </c>
      <c r="J1248">
        <v>12</v>
      </c>
      <c r="K1248">
        <v>3653.38</v>
      </c>
      <c r="L1248">
        <v>9.6</v>
      </c>
    </row>
    <row r="1249" spans="1:12" x14ac:dyDescent="0.3">
      <c r="A1249" t="s">
        <v>1264</v>
      </c>
      <c r="B1249" t="s">
        <v>24</v>
      </c>
      <c r="C1249" t="s">
        <v>14</v>
      </c>
      <c r="D1249">
        <v>51</v>
      </c>
      <c r="E1249" s="1">
        <v>42228</v>
      </c>
      <c r="F1249">
        <v>2015</v>
      </c>
      <c r="G1249" t="s">
        <v>5031</v>
      </c>
      <c r="H1249">
        <v>12</v>
      </c>
      <c r="I1249">
        <v>4</v>
      </c>
      <c r="J1249">
        <v>2</v>
      </c>
      <c r="K1249">
        <v>10976.6</v>
      </c>
      <c r="L1249">
        <v>10.199999999999999</v>
      </c>
    </row>
    <row r="1250" spans="1:12" x14ac:dyDescent="0.3">
      <c r="A1250" t="s">
        <v>1265</v>
      </c>
      <c r="B1250" t="s">
        <v>13</v>
      </c>
      <c r="C1250" t="s">
        <v>11</v>
      </c>
      <c r="D1250">
        <v>29</v>
      </c>
      <c r="E1250" s="1">
        <v>44175</v>
      </c>
      <c r="F1250">
        <v>2020</v>
      </c>
      <c r="G1250" t="s">
        <v>5041</v>
      </c>
      <c r="H1250">
        <v>10</v>
      </c>
      <c r="I1250">
        <v>1.82</v>
      </c>
      <c r="J1250">
        <v>1</v>
      </c>
      <c r="K1250">
        <v>8555.14</v>
      </c>
      <c r="L1250">
        <v>4.9000000000000004</v>
      </c>
    </row>
    <row r="1251" spans="1:12" x14ac:dyDescent="0.3">
      <c r="A1251" t="s">
        <v>1266</v>
      </c>
      <c r="B1251" t="s">
        <v>18</v>
      </c>
      <c r="C1251" t="s">
        <v>11</v>
      </c>
      <c r="D1251">
        <v>26</v>
      </c>
      <c r="E1251" s="1">
        <v>45710</v>
      </c>
      <c r="F1251">
        <v>2025</v>
      </c>
      <c r="G1251" t="s">
        <v>5042</v>
      </c>
      <c r="H1251">
        <v>22</v>
      </c>
      <c r="I1251">
        <v>4.88</v>
      </c>
      <c r="J1251">
        <v>11</v>
      </c>
      <c r="K1251">
        <v>9061.07</v>
      </c>
      <c r="L1251">
        <v>0.7</v>
      </c>
    </row>
    <row r="1252" spans="1:12" x14ac:dyDescent="0.3">
      <c r="A1252" t="s">
        <v>1267</v>
      </c>
      <c r="B1252" t="s">
        <v>18</v>
      </c>
      <c r="C1252" t="s">
        <v>11</v>
      </c>
      <c r="D1252">
        <v>54</v>
      </c>
      <c r="E1252" s="1">
        <v>42217</v>
      </c>
      <c r="F1252">
        <v>2015</v>
      </c>
      <c r="G1252" t="s">
        <v>5031</v>
      </c>
      <c r="H1252">
        <v>1</v>
      </c>
      <c r="I1252">
        <v>4.13</v>
      </c>
      <c r="J1252">
        <v>15</v>
      </c>
      <c r="K1252">
        <v>14691.73</v>
      </c>
      <c r="L1252">
        <v>10.3</v>
      </c>
    </row>
    <row r="1253" spans="1:12" x14ac:dyDescent="0.3">
      <c r="A1253" t="s">
        <v>1268</v>
      </c>
      <c r="B1253" t="s">
        <v>16</v>
      </c>
      <c r="C1253" t="s">
        <v>11</v>
      </c>
      <c r="D1253">
        <v>42</v>
      </c>
      <c r="E1253" s="1">
        <v>42756</v>
      </c>
      <c r="F1253">
        <v>2017</v>
      </c>
      <c r="G1253" t="s">
        <v>5037</v>
      </c>
      <c r="H1253">
        <v>21</v>
      </c>
      <c r="I1253">
        <v>4.08</v>
      </c>
      <c r="J1253">
        <v>7</v>
      </c>
      <c r="K1253">
        <v>5153.22</v>
      </c>
      <c r="L1253">
        <v>8.8000000000000007</v>
      </c>
    </row>
    <row r="1254" spans="1:12" x14ac:dyDescent="0.3">
      <c r="A1254" t="s">
        <v>1269</v>
      </c>
      <c r="B1254" t="s">
        <v>18</v>
      </c>
      <c r="C1254" t="s">
        <v>14</v>
      </c>
      <c r="D1254">
        <v>56</v>
      </c>
      <c r="E1254" s="1">
        <v>45171</v>
      </c>
      <c r="F1254">
        <v>2023</v>
      </c>
      <c r="G1254" t="s">
        <v>5033</v>
      </c>
      <c r="H1254">
        <v>2</v>
      </c>
      <c r="I1254">
        <v>3.6</v>
      </c>
      <c r="J1254">
        <v>1</v>
      </c>
      <c r="K1254">
        <v>10937.88</v>
      </c>
      <c r="L1254">
        <v>2.2000000000000002</v>
      </c>
    </row>
    <row r="1255" spans="1:12" x14ac:dyDescent="0.3">
      <c r="A1255" t="s">
        <v>1270</v>
      </c>
      <c r="B1255" t="s">
        <v>24</v>
      </c>
      <c r="C1255" t="s">
        <v>14</v>
      </c>
      <c r="D1255">
        <v>27</v>
      </c>
      <c r="E1255" s="1">
        <v>45511</v>
      </c>
      <c r="F1255">
        <v>2024</v>
      </c>
      <c r="G1255" t="s">
        <v>5031</v>
      </c>
      <c r="H1255">
        <v>7</v>
      </c>
      <c r="I1255">
        <v>2.95</v>
      </c>
      <c r="J1255">
        <v>15</v>
      </c>
      <c r="K1255">
        <v>10159.51</v>
      </c>
      <c r="L1255">
        <v>1.2</v>
      </c>
    </row>
    <row r="1256" spans="1:12" x14ac:dyDescent="0.3">
      <c r="A1256" t="s">
        <v>1271</v>
      </c>
      <c r="B1256" t="s">
        <v>24</v>
      </c>
      <c r="C1256" t="s">
        <v>11</v>
      </c>
      <c r="D1256">
        <v>59</v>
      </c>
      <c r="E1256" s="1">
        <v>44763</v>
      </c>
      <c r="F1256">
        <v>2022</v>
      </c>
      <c r="G1256" t="s">
        <v>5034</v>
      </c>
      <c r="H1256">
        <v>21</v>
      </c>
      <c r="I1256">
        <v>3.61</v>
      </c>
      <c r="J1256">
        <v>3</v>
      </c>
      <c r="K1256">
        <v>14924.36</v>
      </c>
      <c r="L1256">
        <v>3.3</v>
      </c>
    </row>
    <row r="1257" spans="1:12" x14ac:dyDescent="0.3">
      <c r="A1257" t="s">
        <v>1272</v>
      </c>
      <c r="B1257" t="s">
        <v>16</v>
      </c>
      <c r="C1257" t="s">
        <v>14</v>
      </c>
      <c r="D1257">
        <v>41</v>
      </c>
      <c r="E1257" s="1">
        <v>43869</v>
      </c>
      <c r="F1257">
        <v>2020</v>
      </c>
      <c r="G1257" t="s">
        <v>5042</v>
      </c>
      <c r="H1257">
        <v>8</v>
      </c>
      <c r="I1257">
        <v>2.1</v>
      </c>
      <c r="J1257">
        <v>14</v>
      </c>
      <c r="K1257">
        <v>4559.68</v>
      </c>
      <c r="L1257">
        <v>5.7</v>
      </c>
    </row>
    <row r="1258" spans="1:12" x14ac:dyDescent="0.3">
      <c r="A1258" t="s">
        <v>1273</v>
      </c>
      <c r="B1258" t="s">
        <v>16</v>
      </c>
      <c r="C1258" t="s">
        <v>11</v>
      </c>
      <c r="D1258">
        <v>60</v>
      </c>
      <c r="E1258" s="1">
        <v>43518</v>
      </c>
      <c r="F1258">
        <v>2019</v>
      </c>
      <c r="G1258" t="s">
        <v>5042</v>
      </c>
      <c r="H1258">
        <v>22</v>
      </c>
      <c r="I1258">
        <v>2.29</v>
      </c>
      <c r="J1258">
        <v>2</v>
      </c>
      <c r="K1258">
        <v>7594.13</v>
      </c>
      <c r="L1258">
        <v>6.7</v>
      </c>
    </row>
    <row r="1259" spans="1:12" x14ac:dyDescent="0.3">
      <c r="A1259" t="s">
        <v>1274</v>
      </c>
      <c r="B1259" t="s">
        <v>13</v>
      </c>
      <c r="C1259" t="s">
        <v>11</v>
      </c>
      <c r="D1259">
        <v>46</v>
      </c>
      <c r="E1259" s="1">
        <v>44907</v>
      </c>
      <c r="F1259">
        <v>2022</v>
      </c>
      <c r="G1259" t="s">
        <v>5041</v>
      </c>
      <c r="H1259">
        <v>12</v>
      </c>
      <c r="I1259">
        <v>1.56</v>
      </c>
      <c r="J1259">
        <v>12</v>
      </c>
      <c r="K1259">
        <v>9351.2800000000007</v>
      </c>
      <c r="L1259">
        <v>2.9</v>
      </c>
    </row>
    <row r="1260" spans="1:12" x14ac:dyDescent="0.3">
      <c r="A1260" t="s">
        <v>1275</v>
      </c>
      <c r="B1260" t="s">
        <v>16</v>
      </c>
      <c r="C1260" t="s">
        <v>11</v>
      </c>
      <c r="D1260">
        <v>47</v>
      </c>
      <c r="E1260" s="1">
        <v>42389</v>
      </c>
      <c r="F1260">
        <v>2016</v>
      </c>
      <c r="G1260" t="s">
        <v>5037</v>
      </c>
      <c r="H1260">
        <v>20</v>
      </c>
      <c r="I1260">
        <v>4.07</v>
      </c>
      <c r="J1260">
        <v>9</v>
      </c>
      <c r="K1260">
        <v>12034.05</v>
      </c>
      <c r="L1260">
        <v>9.8000000000000007</v>
      </c>
    </row>
    <row r="1261" spans="1:12" x14ac:dyDescent="0.3">
      <c r="A1261" t="s">
        <v>1276</v>
      </c>
      <c r="B1261" t="s">
        <v>34</v>
      </c>
      <c r="C1261" t="s">
        <v>14</v>
      </c>
      <c r="D1261">
        <v>58</v>
      </c>
      <c r="E1261" s="1">
        <v>43689</v>
      </c>
      <c r="F1261">
        <v>2019</v>
      </c>
      <c r="G1261" t="s">
        <v>5031</v>
      </c>
      <c r="H1261">
        <v>12</v>
      </c>
      <c r="I1261">
        <v>3.89</v>
      </c>
      <c r="J1261">
        <v>5</v>
      </c>
      <c r="K1261">
        <v>11605.67</v>
      </c>
      <c r="L1261">
        <v>6.2</v>
      </c>
    </row>
    <row r="1262" spans="1:12" x14ac:dyDescent="0.3">
      <c r="A1262" t="s">
        <v>1277</v>
      </c>
      <c r="B1262" t="s">
        <v>16</v>
      </c>
      <c r="C1262" t="s">
        <v>11</v>
      </c>
      <c r="D1262">
        <v>59</v>
      </c>
      <c r="E1262" s="1">
        <v>42180</v>
      </c>
      <c r="F1262">
        <v>2015</v>
      </c>
      <c r="G1262" t="s">
        <v>5032</v>
      </c>
      <c r="H1262">
        <v>25</v>
      </c>
      <c r="I1262">
        <v>2.95</v>
      </c>
      <c r="J1262">
        <v>4</v>
      </c>
      <c r="K1262">
        <v>8746.4699999999993</v>
      </c>
      <c r="L1262">
        <v>10.4</v>
      </c>
    </row>
    <row r="1263" spans="1:12" x14ac:dyDescent="0.3">
      <c r="A1263" t="s">
        <v>1278</v>
      </c>
      <c r="B1263" t="s">
        <v>18</v>
      </c>
      <c r="C1263" t="s">
        <v>11</v>
      </c>
      <c r="D1263">
        <v>29</v>
      </c>
      <c r="E1263" s="1">
        <v>42962</v>
      </c>
      <c r="F1263">
        <v>2017</v>
      </c>
      <c r="G1263" t="s">
        <v>5031</v>
      </c>
      <c r="H1263">
        <v>15</v>
      </c>
      <c r="I1263">
        <v>4.8099999999999996</v>
      </c>
      <c r="J1263">
        <v>4</v>
      </c>
      <c r="K1263">
        <v>11713.72</v>
      </c>
      <c r="L1263">
        <v>8.1999999999999993</v>
      </c>
    </row>
    <row r="1264" spans="1:12" x14ac:dyDescent="0.3">
      <c r="A1264" t="s">
        <v>1279</v>
      </c>
      <c r="B1264" t="s">
        <v>34</v>
      </c>
      <c r="C1264" t="s">
        <v>11</v>
      </c>
      <c r="D1264">
        <v>28</v>
      </c>
      <c r="E1264" s="1">
        <v>41243</v>
      </c>
      <c r="F1264">
        <v>2012</v>
      </c>
      <c r="G1264" t="s">
        <v>5038</v>
      </c>
      <c r="H1264">
        <v>30</v>
      </c>
      <c r="I1264">
        <v>3.41</v>
      </c>
      <c r="J1264">
        <v>8</v>
      </c>
      <c r="K1264">
        <v>6970.94</v>
      </c>
      <c r="L1264">
        <v>12.9</v>
      </c>
    </row>
    <row r="1265" spans="1:12" x14ac:dyDescent="0.3">
      <c r="A1265" t="s">
        <v>1280</v>
      </c>
      <c r="B1265" t="s">
        <v>24</v>
      </c>
      <c r="C1265" t="s">
        <v>11</v>
      </c>
      <c r="D1265">
        <v>54</v>
      </c>
      <c r="E1265" s="1">
        <v>40294</v>
      </c>
      <c r="F1265">
        <v>2010</v>
      </c>
      <c r="G1265" t="s">
        <v>5040</v>
      </c>
      <c r="H1265">
        <v>26</v>
      </c>
      <c r="I1265">
        <v>4.78</v>
      </c>
      <c r="J1265">
        <v>2</v>
      </c>
      <c r="K1265">
        <v>11953.24</v>
      </c>
      <c r="L1265">
        <v>15.5</v>
      </c>
    </row>
    <row r="1266" spans="1:12" x14ac:dyDescent="0.3">
      <c r="A1266" t="s">
        <v>1281</v>
      </c>
      <c r="B1266" t="s">
        <v>13</v>
      </c>
      <c r="C1266" t="s">
        <v>14</v>
      </c>
      <c r="D1266">
        <v>38</v>
      </c>
      <c r="E1266" s="1">
        <v>45098</v>
      </c>
      <c r="F1266">
        <v>2023</v>
      </c>
      <c r="G1266" t="s">
        <v>5032</v>
      </c>
      <c r="H1266">
        <v>21</v>
      </c>
      <c r="I1266">
        <v>4.8899999999999997</v>
      </c>
      <c r="J1266">
        <v>12</v>
      </c>
      <c r="K1266">
        <v>6976.91</v>
      </c>
      <c r="L1266">
        <v>2.4</v>
      </c>
    </row>
    <row r="1267" spans="1:12" x14ac:dyDescent="0.3">
      <c r="A1267" t="s">
        <v>1282</v>
      </c>
      <c r="B1267" t="s">
        <v>10</v>
      </c>
      <c r="C1267" t="s">
        <v>11</v>
      </c>
      <c r="D1267">
        <v>44</v>
      </c>
      <c r="E1267" s="1">
        <v>44403</v>
      </c>
      <c r="F1267">
        <v>2021</v>
      </c>
      <c r="G1267" t="s">
        <v>5034</v>
      </c>
      <c r="H1267">
        <v>26</v>
      </c>
      <c r="I1267">
        <v>3.16</v>
      </c>
      <c r="J1267">
        <v>2</v>
      </c>
      <c r="K1267">
        <v>6462.33</v>
      </c>
      <c r="L1267">
        <v>4.3</v>
      </c>
    </row>
    <row r="1268" spans="1:12" x14ac:dyDescent="0.3">
      <c r="A1268" t="s">
        <v>1283</v>
      </c>
      <c r="B1268" t="s">
        <v>10</v>
      </c>
      <c r="C1268" t="s">
        <v>14</v>
      </c>
      <c r="D1268">
        <v>46</v>
      </c>
      <c r="E1268" s="1">
        <v>44523</v>
      </c>
      <c r="F1268">
        <v>2021</v>
      </c>
      <c r="G1268" t="s">
        <v>5038</v>
      </c>
      <c r="H1268">
        <v>23</v>
      </c>
      <c r="I1268">
        <v>4.74</v>
      </c>
      <c r="J1268">
        <v>2</v>
      </c>
      <c r="K1268">
        <v>6127.38</v>
      </c>
      <c r="L1268">
        <v>3.9</v>
      </c>
    </row>
    <row r="1269" spans="1:12" x14ac:dyDescent="0.3">
      <c r="A1269" t="s">
        <v>1284</v>
      </c>
      <c r="B1269" t="s">
        <v>16</v>
      </c>
      <c r="C1269" t="s">
        <v>11</v>
      </c>
      <c r="D1269">
        <v>56</v>
      </c>
      <c r="E1269" s="1">
        <v>43640</v>
      </c>
      <c r="F1269">
        <v>2019</v>
      </c>
      <c r="G1269" t="s">
        <v>5032</v>
      </c>
      <c r="H1269">
        <v>24</v>
      </c>
      <c r="I1269">
        <v>3.31</v>
      </c>
      <c r="J1269">
        <v>12</v>
      </c>
      <c r="K1269">
        <v>12287.27</v>
      </c>
      <c r="L1269">
        <v>6.4</v>
      </c>
    </row>
    <row r="1270" spans="1:12" x14ac:dyDescent="0.3">
      <c r="A1270" t="s">
        <v>1285</v>
      </c>
      <c r="B1270" t="s">
        <v>16</v>
      </c>
      <c r="C1270" t="s">
        <v>11</v>
      </c>
      <c r="D1270">
        <v>27</v>
      </c>
      <c r="E1270" s="1">
        <v>45372</v>
      </c>
      <c r="F1270">
        <v>2024</v>
      </c>
      <c r="G1270" t="s">
        <v>5035</v>
      </c>
      <c r="H1270">
        <v>21</v>
      </c>
      <c r="I1270">
        <v>3.82</v>
      </c>
      <c r="J1270">
        <v>14</v>
      </c>
      <c r="K1270">
        <v>12690.25</v>
      </c>
      <c r="L1270">
        <v>1.6</v>
      </c>
    </row>
    <row r="1271" spans="1:12" x14ac:dyDescent="0.3">
      <c r="A1271" t="s">
        <v>1286</v>
      </c>
      <c r="B1271" t="s">
        <v>10</v>
      </c>
      <c r="C1271" t="s">
        <v>11</v>
      </c>
      <c r="D1271">
        <v>53</v>
      </c>
      <c r="E1271" s="1">
        <v>41364</v>
      </c>
      <c r="F1271">
        <v>2013</v>
      </c>
      <c r="G1271" t="s">
        <v>5035</v>
      </c>
      <c r="H1271">
        <v>31</v>
      </c>
      <c r="I1271">
        <v>4.4800000000000004</v>
      </c>
      <c r="J1271">
        <v>6</v>
      </c>
      <c r="K1271">
        <v>8535.24</v>
      </c>
      <c r="L1271">
        <v>12.6</v>
      </c>
    </row>
    <row r="1272" spans="1:12" x14ac:dyDescent="0.3">
      <c r="A1272" t="s">
        <v>1287</v>
      </c>
      <c r="B1272" t="s">
        <v>18</v>
      </c>
      <c r="C1272" t="s">
        <v>14</v>
      </c>
      <c r="D1272">
        <v>37</v>
      </c>
      <c r="E1272" s="1">
        <v>43806</v>
      </c>
      <c r="F1272">
        <v>2019</v>
      </c>
      <c r="G1272" t="s">
        <v>5041</v>
      </c>
      <c r="H1272">
        <v>7</v>
      </c>
      <c r="I1272">
        <v>3.93</v>
      </c>
      <c r="J1272">
        <v>5</v>
      </c>
      <c r="K1272">
        <v>7292.88</v>
      </c>
      <c r="L1272">
        <v>5.9</v>
      </c>
    </row>
    <row r="1273" spans="1:12" x14ac:dyDescent="0.3">
      <c r="A1273" t="s">
        <v>1288</v>
      </c>
      <c r="B1273" t="s">
        <v>10</v>
      </c>
      <c r="C1273" t="s">
        <v>11</v>
      </c>
      <c r="D1273">
        <v>37</v>
      </c>
      <c r="E1273" s="1">
        <v>44558</v>
      </c>
      <c r="F1273">
        <v>2021</v>
      </c>
      <c r="G1273" t="s">
        <v>5041</v>
      </c>
      <c r="H1273">
        <v>28</v>
      </c>
      <c r="I1273">
        <v>3.21</v>
      </c>
      <c r="J1273">
        <v>0</v>
      </c>
      <c r="K1273">
        <v>8617.94</v>
      </c>
      <c r="L1273">
        <v>3.8</v>
      </c>
    </row>
    <row r="1274" spans="1:12" x14ac:dyDescent="0.3">
      <c r="A1274" t="s">
        <v>1289</v>
      </c>
      <c r="B1274" t="s">
        <v>34</v>
      </c>
      <c r="C1274" t="s">
        <v>14</v>
      </c>
      <c r="D1274">
        <v>34</v>
      </c>
      <c r="E1274" s="1">
        <v>42314</v>
      </c>
      <c r="F1274">
        <v>2015</v>
      </c>
      <c r="G1274" t="s">
        <v>5038</v>
      </c>
      <c r="H1274">
        <v>6</v>
      </c>
      <c r="I1274">
        <v>4.33</v>
      </c>
      <c r="J1274">
        <v>8</v>
      </c>
      <c r="K1274">
        <v>12446.21</v>
      </c>
      <c r="L1274">
        <v>10</v>
      </c>
    </row>
    <row r="1275" spans="1:12" x14ac:dyDescent="0.3">
      <c r="A1275" t="s">
        <v>1290</v>
      </c>
      <c r="B1275" t="s">
        <v>18</v>
      </c>
      <c r="C1275" t="s">
        <v>11</v>
      </c>
      <c r="D1275">
        <v>52</v>
      </c>
      <c r="E1275" s="1">
        <v>44590</v>
      </c>
      <c r="F1275">
        <v>2022</v>
      </c>
      <c r="G1275" t="s">
        <v>5037</v>
      </c>
      <c r="H1275">
        <v>29</v>
      </c>
      <c r="I1275">
        <v>3.33</v>
      </c>
      <c r="J1275">
        <v>4</v>
      </c>
      <c r="K1275">
        <v>9101.9</v>
      </c>
      <c r="L1275">
        <v>3.8</v>
      </c>
    </row>
    <row r="1276" spans="1:12" x14ac:dyDescent="0.3">
      <c r="A1276" t="s">
        <v>1291</v>
      </c>
      <c r="B1276" t="s">
        <v>24</v>
      </c>
      <c r="C1276" t="s">
        <v>14</v>
      </c>
      <c r="D1276">
        <v>41</v>
      </c>
      <c r="E1276" s="1">
        <v>41551</v>
      </c>
      <c r="F1276">
        <v>2013</v>
      </c>
      <c r="G1276" t="s">
        <v>5039</v>
      </c>
      <c r="H1276">
        <v>4</v>
      </c>
      <c r="I1276">
        <v>2.4</v>
      </c>
      <c r="J1276">
        <v>14</v>
      </c>
      <c r="K1276">
        <v>11455.42</v>
      </c>
      <c r="L1276">
        <v>12.1</v>
      </c>
    </row>
    <row r="1277" spans="1:12" x14ac:dyDescent="0.3">
      <c r="A1277" t="s">
        <v>1292</v>
      </c>
      <c r="B1277" t="s">
        <v>18</v>
      </c>
      <c r="C1277" t="s">
        <v>11</v>
      </c>
      <c r="D1277">
        <v>48</v>
      </c>
      <c r="E1277" s="1">
        <v>41331</v>
      </c>
      <c r="F1277">
        <v>2013</v>
      </c>
      <c r="G1277" t="s">
        <v>5042</v>
      </c>
      <c r="H1277">
        <v>26</v>
      </c>
      <c r="I1277">
        <v>1.73</v>
      </c>
      <c r="J1277">
        <v>2</v>
      </c>
      <c r="K1277">
        <v>14034.65</v>
      </c>
      <c r="L1277">
        <v>12.7</v>
      </c>
    </row>
    <row r="1278" spans="1:12" x14ac:dyDescent="0.3">
      <c r="A1278" t="s">
        <v>1293</v>
      </c>
      <c r="B1278" t="s">
        <v>34</v>
      </c>
      <c r="C1278" t="s">
        <v>11</v>
      </c>
      <c r="D1278">
        <v>60</v>
      </c>
      <c r="E1278" s="1">
        <v>43358</v>
      </c>
      <c r="F1278">
        <v>2018</v>
      </c>
      <c r="G1278" t="s">
        <v>5033</v>
      </c>
      <c r="H1278">
        <v>15</v>
      </c>
      <c r="I1278">
        <v>2.54</v>
      </c>
      <c r="J1278">
        <v>4</v>
      </c>
      <c r="K1278">
        <v>6922.64</v>
      </c>
      <c r="L1278">
        <v>7.1</v>
      </c>
    </row>
    <row r="1279" spans="1:12" x14ac:dyDescent="0.3">
      <c r="A1279" t="s">
        <v>1294</v>
      </c>
      <c r="B1279" t="s">
        <v>24</v>
      </c>
      <c r="C1279" t="s">
        <v>11</v>
      </c>
      <c r="D1279">
        <v>58</v>
      </c>
      <c r="E1279" s="1">
        <v>44923</v>
      </c>
      <c r="F1279">
        <v>2022</v>
      </c>
      <c r="G1279" t="s">
        <v>5041</v>
      </c>
      <c r="H1279">
        <v>28</v>
      </c>
      <c r="I1279">
        <v>2.38</v>
      </c>
      <c r="J1279">
        <v>1</v>
      </c>
      <c r="K1279">
        <v>9572.11</v>
      </c>
      <c r="L1279">
        <v>2.8</v>
      </c>
    </row>
    <row r="1280" spans="1:12" x14ac:dyDescent="0.3">
      <c r="A1280" t="s">
        <v>1295</v>
      </c>
      <c r="B1280" t="s">
        <v>10</v>
      </c>
      <c r="C1280" t="s">
        <v>11</v>
      </c>
      <c r="D1280">
        <v>53</v>
      </c>
      <c r="E1280" s="1">
        <v>43961</v>
      </c>
      <c r="F1280">
        <v>2020</v>
      </c>
      <c r="G1280" t="s">
        <v>5036</v>
      </c>
      <c r="H1280">
        <v>10</v>
      </c>
      <c r="I1280">
        <v>3.56</v>
      </c>
      <c r="J1280">
        <v>7</v>
      </c>
      <c r="K1280">
        <v>5344.37</v>
      </c>
      <c r="L1280">
        <v>5.5</v>
      </c>
    </row>
    <row r="1281" spans="1:12" x14ac:dyDescent="0.3">
      <c r="A1281" t="s">
        <v>1296</v>
      </c>
      <c r="B1281" t="s">
        <v>24</v>
      </c>
      <c r="C1281" t="s">
        <v>14</v>
      </c>
      <c r="D1281">
        <v>24</v>
      </c>
      <c r="E1281" s="1">
        <v>44770</v>
      </c>
      <c r="F1281">
        <v>2022</v>
      </c>
      <c r="G1281" t="s">
        <v>5034</v>
      </c>
      <c r="H1281">
        <v>28</v>
      </c>
      <c r="I1281">
        <v>3.17</v>
      </c>
      <c r="J1281">
        <v>10</v>
      </c>
      <c r="K1281">
        <v>13620.39</v>
      </c>
      <c r="L1281">
        <v>3.3</v>
      </c>
    </row>
    <row r="1282" spans="1:12" x14ac:dyDescent="0.3">
      <c r="A1282" t="s">
        <v>1297</v>
      </c>
      <c r="B1282" t="s">
        <v>10</v>
      </c>
      <c r="C1282" t="s">
        <v>14</v>
      </c>
      <c r="D1282">
        <v>23</v>
      </c>
      <c r="E1282" s="1">
        <v>41757</v>
      </c>
      <c r="F1282">
        <v>2014</v>
      </c>
      <c r="G1282" t="s">
        <v>5040</v>
      </c>
      <c r="H1282">
        <v>28</v>
      </c>
      <c r="I1282">
        <v>4.4800000000000004</v>
      </c>
      <c r="J1282">
        <v>9</v>
      </c>
      <c r="K1282">
        <v>7022.91</v>
      </c>
      <c r="L1282">
        <v>11.5</v>
      </c>
    </row>
    <row r="1283" spans="1:12" x14ac:dyDescent="0.3">
      <c r="A1283" t="s">
        <v>1298</v>
      </c>
      <c r="B1283" t="s">
        <v>34</v>
      </c>
      <c r="C1283" t="s">
        <v>14</v>
      </c>
      <c r="D1283">
        <v>46</v>
      </c>
      <c r="E1283" s="1">
        <v>45661</v>
      </c>
      <c r="F1283">
        <v>2025</v>
      </c>
      <c r="G1283" t="s">
        <v>5037</v>
      </c>
      <c r="H1283">
        <v>4</v>
      </c>
      <c r="I1283">
        <v>1.98</v>
      </c>
      <c r="J1283">
        <v>6</v>
      </c>
      <c r="K1283">
        <v>4740.2700000000004</v>
      </c>
      <c r="L1283">
        <v>0.8</v>
      </c>
    </row>
    <row r="1284" spans="1:12" x14ac:dyDescent="0.3">
      <c r="A1284" t="s">
        <v>1299</v>
      </c>
      <c r="B1284" t="s">
        <v>24</v>
      </c>
      <c r="C1284" t="s">
        <v>11</v>
      </c>
      <c r="D1284">
        <v>31</v>
      </c>
      <c r="E1284" s="1">
        <v>42222</v>
      </c>
      <c r="F1284">
        <v>2015</v>
      </c>
      <c r="G1284" t="s">
        <v>5031</v>
      </c>
      <c r="H1284">
        <v>6</v>
      </c>
      <c r="I1284">
        <v>1.64</v>
      </c>
      <c r="J1284">
        <v>1</v>
      </c>
      <c r="K1284">
        <v>4241.75</v>
      </c>
      <c r="L1284">
        <v>10.199999999999999</v>
      </c>
    </row>
    <row r="1285" spans="1:12" x14ac:dyDescent="0.3">
      <c r="A1285" t="s">
        <v>1300</v>
      </c>
      <c r="B1285" t="s">
        <v>24</v>
      </c>
      <c r="C1285" t="s">
        <v>11</v>
      </c>
      <c r="D1285">
        <v>46</v>
      </c>
      <c r="E1285" s="1">
        <v>43263</v>
      </c>
      <c r="F1285">
        <v>2018</v>
      </c>
      <c r="G1285" t="s">
        <v>5032</v>
      </c>
      <c r="H1285">
        <v>12</v>
      </c>
      <c r="I1285">
        <v>2.85</v>
      </c>
      <c r="J1285">
        <v>3</v>
      </c>
      <c r="K1285">
        <v>6343.91</v>
      </c>
      <c r="L1285">
        <v>7.4</v>
      </c>
    </row>
    <row r="1286" spans="1:12" x14ac:dyDescent="0.3">
      <c r="A1286" t="s">
        <v>1301</v>
      </c>
      <c r="B1286" t="s">
        <v>10</v>
      </c>
      <c r="C1286" t="s">
        <v>11</v>
      </c>
      <c r="D1286">
        <v>28</v>
      </c>
      <c r="E1286" s="1">
        <v>44785</v>
      </c>
      <c r="F1286">
        <v>2022</v>
      </c>
      <c r="G1286" t="s">
        <v>5031</v>
      </c>
      <c r="H1286">
        <v>12</v>
      </c>
      <c r="I1286">
        <v>1.51</v>
      </c>
      <c r="J1286">
        <v>4</v>
      </c>
      <c r="K1286">
        <v>14209.62</v>
      </c>
      <c r="L1286">
        <v>3.2</v>
      </c>
    </row>
    <row r="1287" spans="1:12" x14ac:dyDescent="0.3">
      <c r="A1287" t="s">
        <v>1302</v>
      </c>
      <c r="B1287" t="s">
        <v>16</v>
      </c>
      <c r="C1287" t="s">
        <v>14</v>
      </c>
      <c r="D1287">
        <v>39</v>
      </c>
      <c r="E1287" s="1">
        <v>42448</v>
      </c>
      <c r="F1287">
        <v>2016</v>
      </c>
      <c r="G1287" t="s">
        <v>5035</v>
      </c>
      <c r="H1287">
        <v>19</v>
      </c>
      <c r="I1287">
        <v>4.32</v>
      </c>
      <c r="J1287">
        <v>1</v>
      </c>
      <c r="K1287">
        <v>6310.64</v>
      </c>
      <c r="L1287">
        <v>9.6</v>
      </c>
    </row>
    <row r="1288" spans="1:12" x14ac:dyDescent="0.3">
      <c r="A1288" t="s">
        <v>1303</v>
      </c>
      <c r="B1288" t="s">
        <v>34</v>
      </c>
      <c r="C1288" t="s">
        <v>14</v>
      </c>
      <c r="D1288">
        <v>51</v>
      </c>
      <c r="E1288" s="1">
        <v>40461</v>
      </c>
      <c r="F1288">
        <v>2010</v>
      </c>
      <c r="G1288" t="s">
        <v>5039</v>
      </c>
      <c r="H1288">
        <v>10</v>
      </c>
      <c r="I1288">
        <v>2.85</v>
      </c>
      <c r="J1288">
        <v>9</v>
      </c>
      <c r="K1288">
        <v>8963.32</v>
      </c>
      <c r="L1288">
        <v>15.1</v>
      </c>
    </row>
    <row r="1289" spans="1:12" x14ac:dyDescent="0.3">
      <c r="A1289" t="s">
        <v>1304</v>
      </c>
      <c r="B1289" t="s">
        <v>18</v>
      </c>
      <c r="C1289" t="s">
        <v>14</v>
      </c>
      <c r="D1289">
        <v>24</v>
      </c>
      <c r="E1289" s="1">
        <v>45671</v>
      </c>
      <c r="F1289">
        <v>2025</v>
      </c>
      <c r="G1289" t="s">
        <v>5037</v>
      </c>
      <c r="H1289">
        <v>14</v>
      </c>
      <c r="I1289">
        <v>2.46</v>
      </c>
      <c r="J1289">
        <v>8</v>
      </c>
      <c r="K1289">
        <v>9595.65</v>
      </c>
      <c r="L1289">
        <v>0.8</v>
      </c>
    </row>
    <row r="1290" spans="1:12" x14ac:dyDescent="0.3">
      <c r="A1290" t="s">
        <v>1305</v>
      </c>
      <c r="B1290" t="s">
        <v>13</v>
      </c>
      <c r="C1290" t="s">
        <v>14</v>
      </c>
      <c r="D1290">
        <v>52</v>
      </c>
      <c r="E1290" s="1">
        <v>43177</v>
      </c>
      <c r="F1290">
        <v>2018</v>
      </c>
      <c r="G1290" t="s">
        <v>5035</v>
      </c>
      <c r="H1290">
        <v>18</v>
      </c>
      <c r="I1290">
        <v>2.83</v>
      </c>
      <c r="J1290">
        <v>1</v>
      </c>
      <c r="K1290">
        <v>6677.87</v>
      </c>
      <c r="L1290">
        <v>7.6</v>
      </c>
    </row>
    <row r="1291" spans="1:12" x14ac:dyDescent="0.3">
      <c r="A1291" t="s">
        <v>1306</v>
      </c>
      <c r="B1291" t="s">
        <v>18</v>
      </c>
      <c r="C1291" t="s">
        <v>11</v>
      </c>
      <c r="D1291">
        <v>30</v>
      </c>
      <c r="E1291" s="1">
        <v>41554</v>
      </c>
      <c r="F1291">
        <v>2013</v>
      </c>
      <c r="G1291" t="s">
        <v>5039</v>
      </c>
      <c r="H1291">
        <v>7</v>
      </c>
      <c r="I1291">
        <v>2.94</v>
      </c>
      <c r="J1291">
        <v>0</v>
      </c>
      <c r="K1291">
        <v>9631.64</v>
      </c>
      <c r="L1291">
        <v>12.1</v>
      </c>
    </row>
    <row r="1292" spans="1:12" x14ac:dyDescent="0.3">
      <c r="A1292" t="s">
        <v>1307</v>
      </c>
      <c r="B1292" t="s">
        <v>24</v>
      </c>
      <c r="C1292" t="s">
        <v>14</v>
      </c>
      <c r="D1292">
        <v>24</v>
      </c>
      <c r="E1292" s="1">
        <v>41667</v>
      </c>
      <c r="F1292">
        <v>2014</v>
      </c>
      <c r="G1292" t="s">
        <v>5037</v>
      </c>
      <c r="H1292">
        <v>28</v>
      </c>
      <c r="I1292">
        <v>3.3</v>
      </c>
      <c r="J1292">
        <v>3</v>
      </c>
      <c r="K1292">
        <v>13096.54</v>
      </c>
      <c r="L1292">
        <v>11.8</v>
      </c>
    </row>
    <row r="1293" spans="1:12" x14ac:dyDescent="0.3">
      <c r="A1293" t="s">
        <v>1308</v>
      </c>
      <c r="B1293" t="s">
        <v>13</v>
      </c>
      <c r="C1293" t="s">
        <v>14</v>
      </c>
      <c r="D1293">
        <v>52</v>
      </c>
      <c r="E1293" s="1">
        <v>43261</v>
      </c>
      <c r="F1293">
        <v>2018</v>
      </c>
      <c r="G1293" t="s">
        <v>5032</v>
      </c>
      <c r="H1293">
        <v>10</v>
      </c>
      <c r="I1293">
        <v>4.21</v>
      </c>
      <c r="J1293">
        <v>11</v>
      </c>
      <c r="K1293">
        <v>5398.23</v>
      </c>
      <c r="L1293">
        <v>7.4</v>
      </c>
    </row>
    <row r="1294" spans="1:12" x14ac:dyDescent="0.3">
      <c r="A1294" t="s">
        <v>1309</v>
      </c>
      <c r="B1294" t="s">
        <v>13</v>
      </c>
      <c r="C1294" t="s">
        <v>14</v>
      </c>
      <c r="D1294">
        <v>42</v>
      </c>
      <c r="E1294" s="1">
        <v>42474</v>
      </c>
      <c r="F1294">
        <v>2016</v>
      </c>
      <c r="G1294" t="s">
        <v>5040</v>
      </c>
      <c r="H1294">
        <v>14</v>
      </c>
      <c r="I1294">
        <v>4.38</v>
      </c>
      <c r="J1294">
        <v>12</v>
      </c>
      <c r="K1294">
        <v>6386.8</v>
      </c>
      <c r="L1294">
        <v>9.6</v>
      </c>
    </row>
    <row r="1295" spans="1:12" x14ac:dyDescent="0.3">
      <c r="A1295" t="s">
        <v>1310</v>
      </c>
      <c r="B1295" t="s">
        <v>18</v>
      </c>
      <c r="C1295" t="s">
        <v>11</v>
      </c>
      <c r="D1295">
        <v>23</v>
      </c>
      <c r="E1295" s="1">
        <v>45833</v>
      </c>
      <c r="F1295">
        <v>2025</v>
      </c>
      <c r="G1295" t="s">
        <v>5032</v>
      </c>
      <c r="H1295">
        <v>25</v>
      </c>
      <c r="I1295">
        <v>2.4</v>
      </c>
      <c r="J1295">
        <v>5</v>
      </c>
      <c r="K1295">
        <v>12160.89</v>
      </c>
      <c r="L1295">
        <v>0.4</v>
      </c>
    </row>
    <row r="1296" spans="1:12" x14ac:dyDescent="0.3">
      <c r="A1296" t="s">
        <v>1311</v>
      </c>
      <c r="B1296" t="s">
        <v>24</v>
      </c>
      <c r="C1296" t="s">
        <v>11</v>
      </c>
      <c r="D1296">
        <v>31</v>
      </c>
      <c r="E1296" s="1">
        <v>41003</v>
      </c>
      <c r="F1296">
        <v>2012</v>
      </c>
      <c r="G1296" t="s">
        <v>5040</v>
      </c>
      <c r="H1296">
        <v>4</v>
      </c>
      <c r="I1296">
        <v>2.11</v>
      </c>
      <c r="J1296">
        <v>15</v>
      </c>
      <c r="K1296">
        <v>10667.42</v>
      </c>
      <c r="L1296">
        <v>13.6</v>
      </c>
    </row>
    <row r="1297" spans="1:12" x14ac:dyDescent="0.3">
      <c r="A1297" t="s">
        <v>1312</v>
      </c>
      <c r="B1297" t="s">
        <v>18</v>
      </c>
      <c r="C1297" t="s">
        <v>14</v>
      </c>
      <c r="D1297">
        <v>33</v>
      </c>
      <c r="E1297" s="1">
        <v>43701</v>
      </c>
      <c r="F1297">
        <v>2019</v>
      </c>
      <c r="G1297" t="s">
        <v>5031</v>
      </c>
      <c r="H1297">
        <v>24</v>
      </c>
      <c r="I1297">
        <v>2.62</v>
      </c>
      <c r="J1297">
        <v>3</v>
      </c>
      <c r="K1297">
        <v>3017.87</v>
      </c>
      <c r="L1297">
        <v>6.2</v>
      </c>
    </row>
    <row r="1298" spans="1:12" x14ac:dyDescent="0.3">
      <c r="A1298" t="s">
        <v>1313</v>
      </c>
      <c r="B1298" t="s">
        <v>18</v>
      </c>
      <c r="C1298" t="s">
        <v>11</v>
      </c>
      <c r="D1298">
        <v>43</v>
      </c>
      <c r="E1298" s="1">
        <v>45699</v>
      </c>
      <c r="F1298">
        <v>2025</v>
      </c>
      <c r="G1298" t="s">
        <v>5042</v>
      </c>
      <c r="H1298">
        <v>11</v>
      </c>
      <c r="I1298">
        <v>2.98</v>
      </c>
      <c r="J1298">
        <v>7</v>
      </c>
      <c r="K1298">
        <v>12964.38</v>
      </c>
      <c r="L1298">
        <v>0.7</v>
      </c>
    </row>
    <row r="1299" spans="1:12" x14ac:dyDescent="0.3">
      <c r="A1299" t="s">
        <v>1314</v>
      </c>
      <c r="B1299" t="s">
        <v>18</v>
      </c>
      <c r="C1299" t="s">
        <v>11</v>
      </c>
      <c r="D1299">
        <v>32</v>
      </c>
      <c r="E1299" s="1">
        <v>40428</v>
      </c>
      <c r="F1299">
        <v>2010</v>
      </c>
      <c r="G1299" t="s">
        <v>5033</v>
      </c>
      <c r="H1299">
        <v>7</v>
      </c>
      <c r="I1299">
        <v>3.85</v>
      </c>
      <c r="J1299">
        <v>5</v>
      </c>
      <c r="K1299">
        <v>13889.71</v>
      </c>
      <c r="L1299">
        <v>15.2</v>
      </c>
    </row>
    <row r="1300" spans="1:12" x14ac:dyDescent="0.3">
      <c r="A1300" t="s">
        <v>1315</v>
      </c>
      <c r="B1300" t="s">
        <v>10</v>
      </c>
      <c r="C1300" t="s">
        <v>14</v>
      </c>
      <c r="D1300">
        <v>60</v>
      </c>
      <c r="E1300" s="1">
        <v>41801</v>
      </c>
      <c r="F1300">
        <v>2014</v>
      </c>
      <c r="G1300" t="s">
        <v>5032</v>
      </c>
      <c r="H1300">
        <v>11</v>
      </c>
      <c r="I1300">
        <v>4.9800000000000004</v>
      </c>
      <c r="J1300">
        <v>5</v>
      </c>
      <c r="K1300">
        <v>4454.55</v>
      </c>
      <c r="L1300">
        <v>11.4</v>
      </c>
    </row>
    <row r="1301" spans="1:12" x14ac:dyDescent="0.3">
      <c r="A1301" t="s">
        <v>1316</v>
      </c>
      <c r="B1301" t="s">
        <v>24</v>
      </c>
      <c r="C1301" t="s">
        <v>11</v>
      </c>
      <c r="D1301">
        <v>33</v>
      </c>
      <c r="E1301" s="1">
        <v>40649</v>
      </c>
      <c r="F1301">
        <v>2011</v>
      </c>
      <c r="G1301" t="s">
        <v>5040</v>
      </c>
      <c r="H1301">
        <v>16</v>
      </c>
      <c r="I1301">
        <v>3.02</v>
      </c>
      <c r="J1301">
        <v>6</v>
      </c>
      <c r="K1301">
        <v>14011.82</v>
      </c>
      <c r="L1301">
        <v>14.6</v>
      </c>
    </row>
    <row r="1302" spans="1:12" x14ac:dyDescent="0.3">
      <c r="A1302" t="s">
        <v>1317</v>
      </c>
      <c r="B1302" t="s">
        <v>10</v>
      </c>
      <c r="C1302" t="s">
        <v>14</v>
      </c>
      <c r="D1302">
        <v>51</v>
      </c>
      <c r="E1302" s="1">
        <v>40617</v>
      </c>
      <c r="F1302">
        <v>2011</v>
      </c>
      <c r="G1302" t="s">
        <v>5035</v>
      </c>
      <c r="H1302">
        <v>15</v>
      </c>
      <c r="I1302">
        <v>4.47</v>
      </c>
      <c r="J1302">
        <v>13</v>
      </c>
      <c r="K1302">
        <v>6749.54</v>
      </c>
      <c r="L1302">
        <v>14.6</v>
      </c>
    </row>
    <row r="1303" spans="1:12" x14ac:dyDescent="0.3">
      <c r="A1303" t="s">
        <v>1318</v>
      </c>
      <c r="B1303" t="s">
        <v>13</v>
      </c>
      <c r="C1303" t="s">
        <v>14</v>
      </c>
      <c r="D1303">
        <v>23</v>
      </c>
      <c r="E1303" s="1">
        <v>45951</v>
      </c>
      <c r="F1303">
        <v>2025</v>
      </c>
      <c r="G1303" t="s">
        <v>5039</v>
      </c>
      <c r="H1303">
        <v>21</v>
      </c>
      <c r="I1303">
        <v>2.67</v>
      </c>
      <c r="J1303">
        <v>9</v>
      </c>
      <c r="K1303">
        <v>4532.37</v>
      </c>
      <c r="L1303">
        <v>0</v>
      </c>
    </row>
    <row r="1304" spans="1:12" x14ac:dyDescent="0.3">
      <c r="A1304" t="s">
        <v>1319</v>
      </c>
      <c r="B1304" t="s">
        <v>34</v>
      </c>
      <c r="C1304" t="s">
        <v>11</v>
      </c>
      <c r="D1304">
        <v>53</v>
      </c>
      <c r="E1304" s="1">
        <v>40727</v>
      </c>
      <c r="F1304">
        <v>2011</v>
      </c>
      <c r="G1304" t="s">
        <v>5034</v>
      </c>
      <c r="H1304">
        <v>3</v>
      </c>
      <c r="I1304">
        <v>3.25</v>
      </c>
      <c r="J1304">
        <v>5</v>
      </c>
      <c r="K1304">
        <v>10646.13</v>
      </c>
      <c r="L1304">
        <v>14.3</v>
      </c>
    </row>
    <row r="1305" spans="1:12" x14ac:dyDescent="0.3">
      <c r="A1305" t="s">
        <v>1320</v>
      </c>
      <c r="B1305" t="s">
        <v>13</v>
      </c>
      <c r="C1305" t="s">
        <v>11</v>
      </c>
      <c r="D1305">
        <v>38</v>
      </c>
      <c r="E1305" s="1">
        <v>44747</v>
      </c>
      <c r="F1305">
        <v>2022</v>
      </c>
      <c r="G1305" t="s">
        <v>5034</v>
      </c>
      <c r="H1305">
        <v>5</v>
      </c>
      <c r="I1305">
        <v>4.47</v>
      </c>
      <c r="J1305">
        <v>14</v>
      </c>
      <c r="K1305">
        <v>7937.88</v>
      </c>
      <c r="L1305">
        <v>3.3</v>
      </c>
    </row>
    <row r="1306" spans="1:12" x14ac:dyDescent="0.3">
      <c r="A1306" t="s">
        <v>1321</v>
      </c>
      <c r="B1306" t="s">
        <v>10</v>
      </c>
      <c r="C1306" t="s">
        <v>14</v>
      </c>
      <c r="D1306">
        <v>32</v>
      </c>
      <c r="E1306" s="1">
        <v>43613</v>
      </c>
      <c r="F1306">
        <v>2019</v>
      </c>
      <c r="G1306" t="s">
        <v>5036</v>
      </c>
      <c r="H1306">
        <v>28</v>
      </c>
      <c r="I1306">
        <v>2.97</v>
      </c>
      <c r="J1306">
        <v>10</v>
      </c>
      <c r="K1306">
        <v>13507.08</v>
      </c>
      <c r="L1306">
        <v>6.4</v>
      </c>
    </row>
    <row r="1307" spans="1:12" x14ac:dyDescent="0.3">
      <c r="A1307" t="s">
        <v>1322</v>
      </c>
      <c r="B1307" t="s">
        <v>10</v>
      </c>
      <c r="C1307" t="s">
        <v>11</v>
      </c>
      <c r="D1307">
        <v>31</v>
      </c>
      <c r="E1307" s="1">
        <v>43843</v>
      </c>
      <c r="F1307">
        <v>2020</v>
      </c>
      <c r="G1307" t="s">
        <v>5037</v>
      </c>
      <c r="H1307">
        <v>13</v>
      </c>
      <c r="I1307">
        <v>2.33</v>
      </c>
      <c r="J1307">
        <v>12</v>
      </c>
      <c r="K1307">
        <v>7680.74</v>
      </c>
      <c r="L1307">
        <v>5.8</v>
      </c>
    </row>
    <row r="1308" spans="1:12" x14ac:dyDescent="0.3">
      <c r="A1308" t="s">
        <v>1323</v>
      </c>
      <c r="B1308" t="s">
        <v>24</v>
      </c>
      <c r="C1308" t="s">
        <v>11</v>
      </c>
      <c r="D1308">
        <v>24</v>
      </c>
      <c r="E1308" s="1">
        <v>42944</v>
      </c>
      <c r="F1308">
        <v>2017</v>
      </c>
      <c r="G1308" t="s">
        <v>5034</v>
      </c>
      <c r="H1308">
        <v>28</v>
      </c>
      <c r="I1308">
        <v>2.4300000000000002</v>
      </c>
      <c r="J1308">
        <v>13</v>
      </c>
      <c r="K1308">
        <v>12668.28</v>
      </c>
      <c r="L1308">
        <v>8.3000000000000007</v>
      </c>
    </row>
    <row r="1309" spans="1:12" x14ac:dyDescent="0.3">
      <c r="A1309" t="s">
        <v>1324</v>
      </c>
      <c r="B1309" t="s">
        <v>13</v>
      </c>
      <c r="C1309" t="s">
        <v>11</v>
      </c>
      <c r="D1309">
        <v>42</v>
      </c>
      <c r="E1309" s="1">
        <v>43188</v>
      </c>
      <c r="F1309">
        <v>2018</v>
      </c>
      <c r="G1309" t="s">
        <v>5035</v>
      </c>
      <c r="H1309">
        <v>29</v>
      </c>
      <c r="I1309">
        <v>2</v>
      </c>
      <c r="J1309">
        <v>6</v>
      </c>
      <c r="K1309">
        <v>12839.32</v>
      </c>
      <c r="L1309">
        <v>7.6</v>
      </c>
    </row>
    <row r="1310" spans="1:12" x14ac:dyDescent="0.3">
      <c r="A1310" t="s">
        <v>1325</v>
      </c>
      <c r="B1310" t="s">
        <v>10</v>
      </c>
      <c r="C1310" t="s">
        <v>11</v>
      </c>
      <c r="D1310">
        <v>27</v>
      </c>
      <c r="E1310" s="1">
        <v>43926</v>
      </c>
      <c r="F1310">
        <v>2020</v>
      </c>
      <c r="G1310" t="s">
        <v>5040</v>
      </c>
      <c r="H1310">
        <v>5</v>
      </c>
      <c r="I1310">
        <v>2.31</v>
      </c>
      <c r="J1310">
        <v>5</v>
      </c>
      <c r="K1310">
        <v>4758.25</v>
      </c>
      <c r="L1310">
        <v>5.6</v>
      </c>
    </row>
    <row r="1311" spans="1:12" x14ac:dyDescent="0.3">
      <c r="A1311" t="s">
        <v>1326</v>
      </c>
      <c r="B1311" t="s">
        <v>10</v>
      </c>
      <c r="C1311" t="s">
        <v>14</v>
      </c>
      <c r="D1311">
        <v>35</v>
      </c>
      <c r="E1311" s="1">
        <v>44050</v>
      </c>
      <c r="F1311">
        <v>2020</v>
      </c>
      <c r="G1311" t="s">
        <v>5031</v>
      </c>
      <c r="H1311">
        <v>7</v>
      </c>
      <c r="I1311">
        <v>3.51</v>
      </c>
      <c r="J1311">
        <v>0</v>
      </c>
      <c r="K1311">
        <v>3821.58</v>
      </c>
      <c r="L1311">
        <v>5.2</v>
      </c>
    </row>
    <row r="1312" spans="1:12" x14ac:dyDescent="0.3">
      <c r="A1312" t="s">
        <v>1327</v>
      </c>
      <c r="B1312" t="s">
        <v>13</v>
      </c>
      <c r="C1312" t="s">
        <v>14</v>
      </c>
      <c r="D1312">
        <v>29</v>
      </c>
      <c r="E1312" s="1">
        <v>43050</v>
      </c>
      <c r="F1312">
        <v>2017</v>
      </c>
      <c r="G1312" t="s">
        <v>5038</v>
      </c>
      <c r="H1312">
        <v>11</v>
      </c>
      <c r="I1312">
        <v>4.29</v>
      </c>
      <c r="J1312">
        <v>1</v>
      </c>
      <c r="K1312">
        <v>12867.04</v>
      </c>
      <c r="L1312">
        <v>8</v>
      </c>
    </row>
    <row r="1313" spans="1:12" x14ac:dyDescent="0.3">
      <c r="A1313" t="s">
        <v>1328</v>
      </c>
      <c r="B1313" t="s">
        <v>24</v>
      </c>
      <c r="C1313" t="s">
        <v>14</v>
      </c>
      <c r="D1313">
        <v>41</v>
      </c>
      <c r="E1313" s="1">
        <v>42569</v>
      </c>
      <c r="F1313">
        <v>2016</v>
      </c>
      <c r="G1313" t="s">
        <v>5034</v>
      </c>
      <c r="H1313">
        <v>18</v>
      </c>
      <c r="I1313">
        <v>2.15</v>
      </c>
      <c r="J1313">
        <v>10</v>
      </c>
      <c r="K1313">
        <v>9332.14</v>
      </c>
      <c r="L1313">
        <v>9.3000000000000007</v>
      </c>
    </row>
    <row r="1314" spans="1:12" x14ac:dyDescent="0.3">
      <c r="A1314" t="s">
        <v>1329</v>
      </c>
      <c r="B1314" t="s">
        <v>18</v>
      </c>
      <c r="C1314" t="s">
        <v>11</v>
      </c>
      <c r="D1314">
        <v>38</v>
      </c>
      <c r="E1314" s="1">
        <v>44014</v>
      </c>
      <c r="F1314">
        <v>2020</v>
      </c>
      <c r="G1314" t="s">
        <v>5034</v>
      </c>
      <c r="H1314">
        <v>2</v>
      </c>
      <c r="I1314">
        <v>2.1800000000000002</v>
      </c>
      <c r="J1314">
        <v>8</v>
      </c>
      <c r="K1314">
        <v>11379.36</v>
      </c>
      <c r="L1314">
        <v>5.3</v>
      </c>
    </row>
    <row r="1315" spans="1:12" x14ac:dyDescent="0.3">
      <c r="A1315" t="s">
        <v>1330</v>
      </c>
      <c r="B1315" t="s">
        <v>18</v>
      </c>
      <c r="C1315" t="s">
        <v>11</v>
      </c>
      <c r="D1315">
        <v>28</v>
      </c>
      <c r="E1315" s="1">
        <v>41332</v>
      </c>
      <c r="F1315">
        <v>2013</v>
      </c>
      <c r="G1315" t="s">
        <v>5042</v>
      </c>
      <c r="H1315">
        <v>27</v>
      </c>
      <c r="I1315">
        <v>1.56</v>
      </c>
      <c r="J1315">
        <v>14</v>
      </c>
      <c r="K1315">
        <v>4549.07</v>
      </c>
      <c r="L1315">
        <v>12.7</v>
      </c>
    </row>
    <row r="1316" spans="1:12" x14ac:dyDescent="0.3">
      <c r="A1316" t="s">
        <v>1331</v>
      </c>
      <c r="B1316" t="s">
        <v>10</v>
      </c>
      <c r="C1316" t="s">
        <v>11</v>
      </c>
      <c r="D1316">
        <v>24</v>
      </c>
      <c r="E1316" s="1">
        <v>41252</v>
      </c>
      <c r="F1316">
        <v>2012</v>
      </c>
      <c r="G1316" t="s">
        <v>5041</v>
      </c>
      <c r="H1316">
        <v>9</v>
      </c>
      <c r="I1316">
        <v>2.83</v>
      </c>
      <c r="J1316">
        <v>4</v>
      </c>
      <c r="K1316">
        <v>9485.73</v>
      </c>
      <c r="L1316">
        <v>12.9</v>
      </c>
    </row>
    <row r="1317" spans="1:12" x14ac:dyDescent="0.3">
      <c r="A1317" t="s">
        <v>1332</v>
      </c>
      <c r="B1317" t="s">
        <v>10</v>
      </c>
      <c r="C1317" t="s">
        <v>11</v>
      </c>
      <c r="D1317">
        <v>57</v>
      </c>
      <c r="E1317" s="1">
        <v>42876</v>
      </c>
      <c r="F1317">
        <v>2017</v>
      </c>
      <c r="G1317" t="s">
        <v>5036</v>
      </c>
      <c r="H1317">
        <v>21</v>
      </c>
      <c r="I1317">
        <v>3.63</v>
      </c>
      <c r="J1317">
        <v>11</v>
      </c>
      <c r="K1317">
        <v>10547</v>
      </c>
      <c r="L1317">
        <v>8.5</v>
      </c>
    </row>
    <row r="1318" spans="1:12" x14ac:dyDescent="0.3">
      <c r="A1318" t="s">
        <v>1333</v>
      </c>
      <c r="B1318" t="s">
        <v>18</v>
      </c>
      <c r="C1318" t="s">
        <v>11</v>
      </c>
      <c r="D1318">
        <v>56</v>
      </c>
      <c r="E1318" s="1">
        <v>42087</v>
      </c>
      <c r="F1318">
        <v>2015</v>
      </c>
      <c r="G1318" t="s">
        <v>5035</v>
      </c>
      <c r="H1318">
        <v>24</v>
      </c>
      <c r="I1318">
        <v>2.13</v>
      </c>
      <c r="J1318">
        <v>10</v>
      </c>
      <c r="K1318">
        <v>3910.28</v>
      </c>
      <c r="L1318">
        <v>10.6</v>
      </c>
    </row>
    <row r="1319" spans="1:12" x14ac:dyDescent="0.3">
      <c r="A1319" t="s">
        <v>1334</v>
      </c>
      <c r="B1319" t="s">
        <v>34</v>
      </c>
      <c r="C1319" t="s">
        <v>11</v>
      </c>
      <c r="D1319">
        <v>41</v>
      </c>
      <c r="E1319" s="1">
        <v>42105</v>
      </c>
      <c r="F1319">
        <v>2015</v>
      </c>
      <c r="G1319" t="s">
        <v>5040</v>
      </c>
      <c r="H1319">
        <v>11</v>
      </c>
      <c r="I1319">
        <v>2.81</v>
      </c>
      <c r="J1319">
        <v>14</v>
      </c>
      <c r="K1319">
        <v>13442.94</v>
      </c>
      <c r="L1319">
        <v>10.6</v>
      </c>
    </row>
    <row r="1320" spans="1:12" x14ac:dyDescent="0.3">
      <c r="A1320" t="s">
        <v>1335</v>
      </c>
      <c r="B1320" t="s">
        <v>13</v>
      </c>
      <c r="C1320" t="s">
        <v>11</v>
      </c>
      <c r="D1320">
        <v>46</v>
      </c>
      <c r="E1320" s="1">
        <v>41587</v>
      </c>
      <c r="F1320">
        <v>2013</v>
      </c>
      <c r="G1320" t="s">
        <v>5038</v>
      </c>
      <c r="H1320">
        <v>9</v>
      </c>
      <c r="I1320">
        <v>2.4700000000000002</v>
      </c>
      <c r="J1320">
        <v>13</v>
      </c>
      <c r="K1320">
        <v>8046.72</v>
      </c>
      <c r="L1320">
        <v>12</v>
      </c>
    </row>
    <row r="1321" spans="1:12" x14ac:dyDescent="0.3">
      <c r="A1321" t="s">
        <v>1336</v>
      </c>
      <c r="B1321" t="s">
        <v>10</v>
      </c>
      <c r="C1321" t="s">
        <v>14</v>
      </c>
      <c r="D1321">
        <v>39</v>
      </c>
      <c r="E1321" s="1">
        <v>45139</v>
      </c>
      <c r="F1321">
        <v>2023</v>
      </c>
      <c r="G1321" t="s">
        <v>5031</v>
      </c>
      <c r="H1321">
        <v>1</v>
      </c>
      <c r="I1321">
        <v>1.78</v>
      </c>
      <c r="J1321">
        <v>8</v>
      </c>
      <c r="K1321">
        <v>8864.77</v>
      </c>
      <c r="L1321">
        <v>2.2999999999999998</v>
      </c>
    </row>
    <row r="1322" spans="1:12" x14ac:dyDescent="0.3">
      <c r="A1322" t="s">
        <v>1337</v>
      </c>
      <c r="B1322" t="s">
        <v>10</v>
      </c>
      <c r="C1322" t="s">
        <v>14</v>
      </c>
      <c r="D1322">
        <v>38</v>
      </c>
      <c r="E1322" s="1">
        <v>41601</v>
      </c>
      <c r="F1322">
        <v>2013</v>
      </c>
      <c r="G1322" t="s">
        <v>5038</v>
      </c>
      <c r="H1322">
        <v>23</v>
      </c>
      <c r="I1322">
        <v>3.73</v>
      </c>
      <c r="J1322">
        <v>6</v>
      </c>
      <c r="K1322">
        <v>13547.21</v>
      </c>
      <c r="L1322">
        <v>11.9</v>
      </c>
    </row>
    <row r="1323" spans="1:12" x14ac:dyDescent="0.3">
      <c r="A1323" t="s">
        <v>1338</v>
      </c>
      <c r="B1323" t="s">
        <v>34</v>
      </c>
      <c r="C1323" t="s">
        <v>14</v>
      </c>
      <c r="D1323">
        <v>40</v>
      </c>
      <c r="E1323" s="1">
        <v>43391</v>
      </c>
      <c r="F1323">
        <v>2018</v>
      </c>
      <c r="G1323" t="s">
        <v>5039</v>
      </c>
      <c r="H1323">
        <v>18</v>
      </c>
      <c r="I1323">
        <v>4.08</v>
      </c>
      <c r="J1323">
        <v>0</v>
      </c>
      <c r="K1323">
        <v>10716.56</v>
      </c>
      <c r="L1323">
        <v>7</v>
      </c>
    </row>
    <row r="1324" spans="1:12" x14ac:dyDescent="0.3">
      <c r="A1324" t="s">
        <v>1339</v>
      </c>
      <c r="B1324" t="s">
        <v>16</v>
      </c>
      <c r="C1324" t="s">
        <v>14</v>
      </c>
      <c r="D1324">
        <v>37</v>
      </c>
      <c r="E1324" s="1">
        <v>42292</v>
      </c>
      <c r="F1324">
        <v>2015</v>
      </c>
      <c r="G1324" t="s">
        <v>5039</v>
      </c>
      <c r="H1324">
        <v>15</v>
      </c>
      <c r="I1324">
        <v>3.87</v>
      </c>
      <c r="J1324">
        <v>11</v>
      </c>
      <c r="K1324">
        <v>11043.96</v>
      </c>
      <c r="L1324">
        <v>10.1</v>
      </c>
    </row>
    <row r="1325" spans="1:12" x14ac:dyDescent="0.3">
      <c r="A1325" t="s">
        <v>1340</v>
      </c>
      <c r="B1325" t="s">
        <v>10</v>
      </c>
      <c r="C1325" t="s">
        <v>14</v>
      </c>
      <c r="D1325">
        <v>51</v>
      </c>
      <c r="E1325" s="1">
        <v>43252</v>
      </c>
      <c r="F1325">
        <v>2018</v>
      </c>
      <c r="G1325" t="s">
        <v>5032</v>
      </c>
      <c r="H1325">
        <v>1</v>
      </c>
      <c r="I1325">
        <v>2.83</v>
      </c>
      <c r="J1325">
        <v>7</v>
      </c>
      <c r="K1325">
        <v>12983.92</v>
      </c>
      <c r="L1325">
        <v>7.4</v>
      </c>
    </row>
    <row r="1326" spans="1:12" x14ac:dyDescent="0.3">
      <c r="A1326" t="s">
        <v>1341</v>
      </c>
      <c r="B1326" t="s">
        <v>16</v>
      </c>
      <c r="C1326" t="s">
        <v>14</v>
      </c>
      <c r="D1326">
        <v>23</v>
      </c>
      <c r="E1326" s="1">
        <v>41409</v>
      </c>
      <c r="F1326">
        <v>2013</v>
      </c>
      <c r="G1326" t="s">
        <v>5036</v>
      </c>
      <c r="H1326">
        <v>15</v>
      </c>
      <c r="I1326">
        <v>2.65</v>
      </c>
      <c r="J1326">
        <v>3</v>
      </c>
      <c r="K1326">
        <v>13113.26</v>
      </c>
      <c r="L1326">
        <v>12.5</v>
      </c>
    </row>
    <row r="1327" spans="1:12" x14ac:dyDescent="0.3">
      <c r="A1327" t="s">
        <v>1342</v>
      </c>
      <c r="B1327" t="s">
        <v>24</v>
      </c>
      <c r="C1327" t="s">
        <v>14</v>
      </c>
      <c r="D1327">
        <v>54</v>
      </c>
      <c r="E1327" s="1">
        <v>45630</v>
      </c>
      <c r="F1327">
        <v>2024</v>
      </c>
      <c r="G1327" t="s">
        <v>5041</v>
      </c>
      <c r="H1327">
        <v>4</v>
      </c>
      <c r="I1327">
        <v>4.5599999999999996</v>
      </c>
      <c r="J1327">
        <v>3</v>
      </c>
      <c r="K1327">
        <v>8225.1200000000008</v>
      </c>
      <c r="L1327">
        <v>0.9</v>
      </c>
    </row>
    <row r="1328" spans="1:12" x14ac:dyDescent="0.3">
      <c r="A1328" t="s">
        <v>1343</v>
      </c>
      <c r="B1328" t="s">
        <v>13</v>
      </c>
      <c r="C1328" t="s">
        <v>14</v>
      </c>
      <c r="D1328">
        <v>50</v>
      </c>
      <c r="E1328" s="1">
        <v>44295</v>
      </c>
      <c r="F1328">
        <v>2021</v>
      </c>
      <c r="G1328" t="s">
        <v>5040</v>
      </c>
      <c r="H1328">
        <v>9</v>
      </c>
      <c r="I1328">
        <v>4.51</v>
      </c>
      <c r="J1328">
        <v>11</v>
      </c>
      <c r="K1328">
        <v>5997.45</v>
      </c>
      <c r="L1328">
        <v>4.5999999999999996</v>
      </c>
    </row>
    <row r="1329" spans="1:12" x14ac:dyDescent="0.3">
      <c r="A1329" t="s">
        <v>1344</v>
      </c>
      <c r="B1329" t="s">
        <v>24</v>
      </c>
      <c r="C1329" t="s">
        <v>11</v>
      </c>
      <c r="D1329">
        <v>24</v>
      </c>
      <c r="E1329" s="1">
        <v>42697</v>
      </c>
      <c r="F1329">
        <v>2016</v>
      </c>
      <c r="G1329" t="s">
        <v>5038</v>
      </c>
      <c r="H1329">
        <v>23</v>
      </c>
      <c r="I1329">
        <v>2.8</v>
      </c>
      <c r="J1329">
        <v>15</v>
      </c>
      <c r="K1329">
        <v>4725.43</v>
      </c>
      <c r="L1329">
        <v>8.9</v>
      </c>
    </row>
    <row r="1330" spans="1:12" x14ac:dyDescent="0.3">
      <c r="A1330" t="s">
        <v>1345</v>
      </c>
      <c r="B1330" t="s">
        <v>24</v>
      </c>
      <c r="C1330" t="s">
        <v>11</v>
      </c>
      <c r="D1330">
        <v>44</v>
      </c>
      <c r="E1330" s="1">
        <v>43808</v>
      </c>
      <c r="F1330">
        <v>2019</v>
      </c>
      <c r="G1330" t="s">
        <v>5041</v>
      </c>
      <c r="H1330">
        <v>9</v>
      </c>
      <c r="I1330">
        <v>4.7699999999999996</v>
      </c>
      <c r="J1330">
        <v>6</v>
      </c>
      <c r="K1330">
        <v>13718.38</v>
      </c>
      <c r="L1330">
        <v>5.9</v>
      </c>
    </row>
    <row r="1331" spans="1:12" x14ac:dyDescent="0.3">
      <c r="A1331" t="s">
        <v>1346</v>
      </c>
      <c r="B1331" t="s">
        <v>18</v>
      </c>
      <c r="C1331" t="s">
        <v>14</v>
      </c>
      <c r="D1331">
        <v>51</v>
      </c>
      <c r="E1331" s="1">
        <v>41046</v>
      </c>
      <c r="F1331">
        <v>2012</v>
      </c>
      <c r="G1331" t="s">
        <v>5036</v>
      </c>
      <c r="H1331">
        <v>17</v>
      </c>
      <c r="I1331">
        <v>1.5</v>
      </c>
      <c r="J1331">
        <v>11</v>
      </c>
      <c r="K1331">
        <v>11711.3</v>
      </c>
      <c r="L1331">
        <v>13.5</v>
      </c>
    </row>
    <row r="1332" spans="1:12" x14ac:dyDescent="0.3">
      <c r="A1332" t="s">
        <v>1347</v>
      </c>
      <c r="B1332" t="s">
        <v>24</v>
      </c>
      <c r="C1332" t="s">
        <v>11</v>
      </c>
      <c r="D1332">
        <v>41</v>
      </c>
      <c r="E1332" s="1">
        <v>41893</v>
      </c>
      <c r="F1332">
        <v>2014</v>
      </c>
      <c r="G1332" t="s">
        <v>5033</v>
      </c>
      <c r="H1332">
        <v>11</v>
      </c>
      <c r="I1332">
        <v>3.68</v>
      </c>
      <c r="J1332">
        <v>14</v>
      </c>
      <c r="K1332">
        <v>6377.17</v>
      </c>
      <c r="L1332">
        <v>11.1</v>
      </c>
    </row>
    <row r="1333" spans="1:12" x14ac:dyDescent="0.3">
      <c r="A1333" t="s">
        <v>1348</v>
      </c>
      <c r="B1333" t="s">
        <v>16</v>
      </c>
      <c r="C1333" t="s">
        <v>11</v>
      </c>
      <c r="D1333">
        <v>29</v>
      </c>
      <c r="E1333" s="1">
        <v>41694</v>
      </c>
      <c r="F1333">
        <v>2014</v>
      </c>
      <c r="G1333" t="s">
        <v>5042</v>
      </c>
      <c r="H1333">
        <v>24</v>
      </c>
      <c r="I1333">
        <v>1.94</v>
      </c>
      <c r="J1333">
        <v>3</v>
      </c>
      <c r="K1333">
        <v>13964.66</v>
      </c>
      <c r="L1333">
        <v>11.7</v>
      </c>
    </row>
    <row r="1334" spans="1:12" x14ac:dyDescent="0.3">
      <c r="A1334" t="s">
        <v>1349</v>
      </c>
      <c r="B1334" t="s">
        <v>34</v>
      </c>
      <c r="C1334" t="s">
        <v>11</v>
      </c>
      <c r="D1334">
        <v>24</v>
      </c>
      <c r="E1334" s="1">
        <v>45711</v>
      </c>
      <c r="F1334">
        <v>2025</v>
      </c>
      <c r="G1334" t="s">
        <v>5042</v>
      </c>
      <c r="H1334">
        <v>23</v>
      </c>
      <c r="I1334">
        <v>4.26</v>
      </c>
      <c r="J1334">
        <v>2</v>
      </c>
      <c r="K1334">
        <v>7036.11</v>
      </c>
      <c r="L1334">
        <v>0.7</v>
      </c>
    </row>
    <row r="1335" spans="1:12" x14ac:dyDescent="0.3">
      <c r="A1335" t="s">
        <v>1350</v>
      </c>
      <c r="B1335" t="s">
        <v>13</v>
      </c>
      <c r="C1335" t="s">
        <v>11</v>
      </c>
      <c r="D1335">
        <v>31</v>
      </c>
      <c r="E1335" s="1">
        <v>44638</v>
      </c>
      <c r="F1335">
        <v>2022</v>
      </c>
      <c r="G1335" t="s">
        <v>5035</v>
      </c>
      <c r="H1335">
        <v>18</v>
      </c>
      <c r="I1335">
        <v>3</v>
      </c>
      <c r="J1335">
        <v>15</v>
      </c>
      <c r="K1335">
        <v>6553.52</v>
      </c>
      <c r="L1335">
        <v>3.6</v>
      </c>
    </row>
    <row r="1336" spans="1:12" x14ac:dyDescent="0.3">
      <c r="A1336" t="s">
        <v>1351</v>
      </c>
      <c r="B1336" t="s">
        <v>16</v>
      </c>
      <c r="C1336" t="s">
        <v>11</v>
      </c>
      <c r="D1336">
        <v>30</v>
      </c>
      <c r="E1336" s="1">
        <v>43798</v>
      </c>
      <c r="F1336">
        <v>2019</v>
      </c>
      <c r="G1336" t="s">
        <v>5038</v>
      </c>
      <c r="H1336">
        <v>29</v>
      </c>
      <c r="I1336">
        <v>3.21</v>
      </c>
      <c r="J1336">
        <v>12</v>
      </c>
      <c r="K1336">
        <v>5332.91</v>
      </c>
      <c r="L1336">
        <v>5.9</v>
      </c>
    </row>
    <row r="1337" spans="1:12" x14ac:dyDescent="0.3">
      <c r="A1337" t="s">
        <v>1352</v>
      </c>
      <c r="B1337" t="s">
        <v>24</v>
      </c>
      <c r="C1337" t="s">
        <v>11</v>
      </c>
      <c r="D1337">
        <v>56</v>
      </c>
      <c r="E1337" s="1">
        <v>45595</v>
      </c>
      <c r="F1337">
        <v>2024</v>
      </c>
      <c r="G1337" t="s">
        <v>5039</v>
      </c>
      <c r="H1337">
        <v>30</v>
      </c>
      <c r="I1337">
        <v>2.82</v>
      </c>
      <c r="J1337">
        <v>12</v>
      </c>
      <c r="K1337">
        <v>3641.47</v>
      </c>
      <c r="L1337">
        <v>1</v>
      </c>
    </row>
    <row r="1338" spans="1:12" x14ac:dyDescent="0.3">
      <c r="A1338" t="s">
        <v>1353</v>
      </c>
      <c r="B1338" t="s">
        <v>18</v>
      </c>
      <c r="C1338" t="s">
        <v>14</v>
      </c>
      <c r="D1338">
        <v>39</v>
      </c>
      <c r="E1338" s="1">
        <v>43590</v>
      </c>
      <c r="F1338">
        <v>2019</v>
      </c>
      <c r="G1338" t="s">
        <v>5036</v>
      </c>
      <c r="H1338">
        <v>5</v>
      </c>
      <c r="I1338">
        <v>4.17</v>
      </c>
      <c r="J1338">
        <v>12</v>
      </c>
      <c r="K1338">
        <v>12843.43</v>
      </c>
      <c r="L1338">
        <v>6.5</v>
      </c>
    </row>
    <row r="1339" spans="1:12" x14ac:dyDescent="0.3">
      <c r="A1339" t="s">
        <v>1354</v>
      </c>
      <c r="B1339" t="s">
        <v>16</v>
      </c>
      <c r="C1339" t="s">
        <v>11</v>
      </c>
      <c r="D1339">
        <v>28</v>
      </c>
      <c r="E1339" s="1">
        <v>43603</v>
      </c>
      <c r="F1339">
        <v>2019</v>
      </c>
      <c r="G1339" t="s">
        <v>5036</v>
      </c>
      <c r="H1339">
        <v>18</v>
      </c>
      <c r="I1339">
        <v>4.79</v>
      </c>
      <c r="J1339">
        <v>6</v>
      </c>
      <c r="K1339">
        <v>13790.04</v>
      </c>
      <c r="L1339">
        <v>6.5</v>
      </c>
    </row>
    <row r="1340" spans="1:12" x14ac:dyDescent="0.3">
      <c r="A1340" t="s">
        <v>1355</v>
      </c>
      <c r="B1340" t="s">
        <v>13</v>
      </c>
      <c r="C1340" t="s">
        <v>11</v>
      </c>
      <c r="D1340">
        <v>55</v>
      </c>
      <c r="E1340" s="1">
        <v>42128</v>
      </c>
      <c r="F1340">
        <v>2015</v>
      </c>
      <c r="G1340" t="s">
        <v>5036</v>
      </c>
      <c r="H1340">
        <v>4</v>
      </c>
      <c r="I1340">
        <v>1.56</v>
      </c>
      <c r="J1340">
        <v>11</v>
      </c>
      <c r="K1340">
        <v>12719.67</v>
      </c>
      <c r="L1340">
        <v>10.5</v>
      </c>
    </row>
    <row r="1341" spans="1:12" x14ac:dyDescent="0.3">
      <c r="A1341" t="s">
        <v>1356</v>
      </c>
      <c r="B1341" t="s">
        <v>18</v>
      </c>
      <c r="C1341" t="s">
        <v>14</v>
      </c>
      <c r="D1341">
        <v>27</v>
      </c>
      <c r="E1341" s="1">
        <v>44753</v>
      </c>
      <c r="F1341">
        <v>2022</v>
      </c>
      <c r="G1341" t="s">
        <v>5034</v>
      </c>
      <c r="H1341">
        <v>11</v>
      </c>
      <c r="I1341">
        <v>3.59</v>
      </c>
      <c r="J1341">
        <v>14</v>
      </c>
      <c r="K1341">
        <v>14541.28</v>
      </c>
      <c r="L1341">
        <v>3.3</v>
      </c>
    </row>
    <row r="1342" spans="1:12" x14ac:dyDescent="0.3">
      <c r="A1342" t="s">
        <v>1357</v>
      </c>
      <c r="B1342" t="s">
        <v>13</v>
      </c>
      <c r="C1342" t="s">
        <v>11</v>
      </c>
      <c r="D1342">
        <v>44</v>
      </c>
      <c r="E1342" s="1">
        <v>43798</v>
      </c>
      <c r="F1342">
        <v>2019</v>
      </c>
      <c r="G1342" t="s">
        <v>5038</v>
      </c>
      <c r="H1342">
        <v>29</v>
      </c>
      <c r="I1342">
        <v>4.1399999999999997</v>
      </c>
      <c r="J1342">
        <v>7</v>
      </c>
      <c r="K1342">
        <v>5458.84</v>
      </c>
      <c r="L1342">
        <v>5.9</v>
      </c>
    </row>
    <row r="1343" spans="1:12" x14ac:dyDescent="0.3">
      <c r="A1343" t="s">
        <v>1358</v>
      </c>
      <c r="B1343" t="s">
        <v>34</v>
      </c>
      <c r="C1343" t="s">
        <v>14</v>
      </c>
      <c r="D1343">
        <v>47</v>
      </c>
      <c r="E1343" s="1">
        <v>41758</v>
      </c>
      <c r="F1343">
        <v>2014</v>
      </c>
      <c r="G1343" t="s">
        <v>5040</v>
      </c>
      <c r="H1343">
        <v>29</v>
      </c>
      <c r="I1343">
        <v>4.37</v>
      </c>
      <c r="J1343">
        <v>15</v>
      </c>
      <c r="K1343">
        <v>13196.37</v>
      </c>
      <c r="L1343">
        <v>11.5</v>
      </c>
    </row>
    <row r="1344" spans="1:12" x14ac:dyDescent="0.3">
      <c r="A1344" t="s">
        <v>1359</v>
      </c>
      <c r="B1344" t="s">
        <v>10</v>
      </c>
      <c r="C1344" t="s">
        <v>14</v>
      </c>
      <c r="D1344">
        <v>41</v>
      </c>
      <c r="E1344" s="1">
        <v>41248</v>
      </c>
      <c r="F1344">
        <v>2012</v>
      </c>
      <c r="G1344" t="s">
        <v>5041</v>
      </c>
      <c r="H1344">
        <v>5</v>
      </c>
      <c r="I1344">
        <v>3.99</v>
      </c>
      <c r="J1344">
        <v>9</v>
      </c>
      <c r="K1344">
        <v>10637.76</v>
      </c>
      <c r="L1344">
        <v>12.9</v>
      </c>
    </row>
    <row r="1345" spans="1:12" x14ac:dyDescent="0.3">
      <c r="A1345" t="s">
        <v>1360</v>
      </c>
      <c r="B1345" t="s">
        <v>18</v>
      </c>
      <c r="C1345" t="s">
        <v>11</v>
      </c>
      <c r="D1345">
        <v>28</v>
      </c>
      <c r="E1345" s="1">
        <v>42972</v>
      </c>
      <c r="F1345">
        <v>2017</v>
      </c>
      <c r="G1345" t="s">
        <v>5031</v>
      </c>
      <c r="H1345">
        <v>25</v>
      </c>
      <c r="I1345">
        <v>4.76</v>
      </c>
      <c r="J1345">
        <v>15</v>
      </c>
      <c r="K1345">
        <v>8582.5300000000007</v>
      </c>
      <c r="L1345">
        <v>8.1999999999999993</v>
      </c>
    </row>
    <row r="1346" spans="1:12" x14ac:dyDescent="0.3">
      <c r="A1346" t="s">
        <v>1361</v>
      </c>
      <c r="B1346" t="s">
        <v>13</v>
      </c>
      <c r="C1346" t="s">
        <v>14</v>
      </c>
      <c r="D1346">
        <v>28</v>
      </c>
      <c r="E1346" s="1">
        <v>45689</v>
      </c>
      <c r="F1346">
        <v>2025</v>
      </c>
      <c r="G1346" t="s">
        <v>5042</v>
      </c>
      <c r="H1346">
        <v>1</v>
      </c>
      <c r="I1346">
        <v>4.87</v>
      </c>
      <c r="J1346">
        <v>3</v>
      </c>
      <c r="K1346">
        <v>9279.4</v>
      </c>
      <c r="L1346">
        <v>0.7</v>
      </c>
    </row>
    <row r="1347" spans="1:12" x14ac:dyDescent="0.3">
      <c r="A1347" t="s">
        <v>1362</v>
      </c>
      <c r="B1347" t="s">
        <v>34</v>
      </c>
      <c r="C1347" t="s">
        <v>11</v>
      </c>
      <c r="D1347">
        <v>29</v>
      </c>
      <c r="E1347" s="1">
        <v>41237</v>
      </c>
      <c r="F1347">
        <v>2012</v>
      </c>
      <c r="G1347" t="s">
        <v>5038</v>
      </c>
      <c r="H1347">
        <v>24</v>
      </c>
      <c r="I1347">
        <v>2.52</v>
      </c>
      <c r="J1347">
        <v>6</v>
      </c>
      <c r="K1347">
        <v>6736.52</v>
      </c>
      <c r="L1347">
        <v>12.9</v>
      </c>
    </row>
    <row r="1348" spans="1:12" x14ac:dyDescent="0.3">
      <c r="A1348" t="s">
        <v>1363</v>
      </c>
      <c r="B1348" t="s">
        <v>18</v>
      </c>
      <c r="C1348" t="s">
        <v>14</v>
      </c>
      <c r="D1348">
        <v>60</v>
      </c>
      <c r="E1348" s="1">
        <v>44299</v>
      </c>
      <c r="F1348">
        <v>2021</v>
      </c>
      <c r="G1348" t="s">
        <v>5040</v>
      </c>
      <c r="H1348">
        <v>13</v>
      </c>
      <c r="I1348">
        <v>2.5499999999999998</v>
      </c>
      <c r="J1348">
        <v>8</v>
      </c>
      <c r="K1348">
        <v>14124.62</v>
      </c>
      <c r="L1348">
        <v>4.5999999999999996</v>
      </c>
    </row>
    <row r="1349" spans="1:12" x14ac:dyDescent="0.3">
      <c r="A1349" t="s">
        <v>1364</v>
      </c>
      <c r="B1349" t="s">
        <v>16</v>
      </c>
      <c r="C1349" t="s">
        <v>14</v>
      </c>
      <c r="D1349">
        <v>46</v>
      </c>
      <c r="E1349" s="1">
        <v>43328</v>
      </c>
      <c r="F1349">
        <v>2018</v>
      </c>
      <c r="G1349" t="s">
        <v>5031</v>
      </c>
      <c r="H1349">
        <v>16</v>
      </c>
      <c r="I1349">
        <v>4</v>
      </c>
      <c r="J1349">
        <v>2</v>
      </c>
      <c r="K1349">
        <v>10572.2</v>
      </c>
      <c r="L1349">
        <v>7.2</v>
      </c>
    </row>
    <row r="1350" spans="1:12" x14ac:dyDescent="0.3">
      <c r="A1350" t="s">
        <v>1365</v>
      </c>
      <c r="B1350" t="s">
        <v>18</v>
      </c>
      <c r="C1350" t="s">
        <v>14</v>
      </c>
      <c r="D1350">
        <v>58</v>
      </c>
      <c r="E1350" s="1">
        <v>40884</v>
      </c>
      <c r="F1350">
        <v>2011</v>
      </c>
      <c r="G1350" t="s">
        <v>5041</v>
      </c>
      <c r="H1350">
        <v>7</v>
      </c>
      <c r="I1350">
        <v>1.78</v>
      </c>
      <c r="J1350">
        <v>12</v>
      </c>
      <c r="K1350">
        <v>3873</v>
      </c>
      <c r="L1350">
        <v>13.9</v>
      </c>
    </row>
    <row r="1351" spans="1:12" x14ac:dyDescent="0.3">
      <c r="A1351" t="s">
        <v>1366</v>
      </c>
      <c r="B1351" t="s">
        <v>34</v>
      </c>
      <c r="C1351" t="s">
        <v>11</v>
      </c>
      <c r="D1351">
        <v>26</v>
      </c>
      <c r="E1351" s="1">
        <v>43416</v>
      </c>
      <c r="F1351">
        <v>2018</v>
      </c>
      <c r="G1351" t="s">
        <v>5038</v>
      </c>
      <c r="H1351">
        <v>12</v>
      </c>
      <c r="I1351">
        <v>3.47</v>
      </c>
      <c r="J1351">
        <v>9</v>
      </c>
      <c r="K1351">
        <v>5048.74</v>
      </c>
      <c r="L1351">
        <v>7</v>
      </c>
    </row>
    <row r="1352" spans="1:12" x14ac:dyDescent="0.3">
      <c r="A1352" t="s">
        <v>1367</v>
      </c>
      <c r="B1352" t="s">
        <v>13</v>
      </c>
      <c r="C1352" t="s">
        <v>11</v>
      </c>
      <c r="D1352">
        <v>41</v>
      </c>
      <c r="E1352" s="1">
        <v>40605</v>
      </c>
      <c r="F1352">
        <v>2011</v>
      </c>
      <c r="G1352" t="s">
        <v>5035</v>
      </c>
      <c r="H1352">
        <v>3</v>
      </c>
      <c r="I1352">
        <v>1.98</v>
      </c>
      <c r="J1352">
        <v>7</v>
      </c>
      <c r="K1352">
        <v>7772.89</v>
      </c>
      <c r="L1352">
        <v>14.7</v>
      </c>
    </row>
    <row r="1353" spans="1:12" x14ac:dyDescent="0.3">
      <c r="A1353" t="s">
        <v>1368</v>
      </c>
      <c r="B1353" t="s">
        <v>34</v>
      </c>
      <c r="C1353" t="s">
        <v>11</v>
      </c>
      <c r="D1353">
        <v>49</v>
      </c>
      <c r="E1353" s="1">
        <v>43604</v>
      </c>
      <c r="F1353">
        <v>2019</v>
      </c>
      <c r="G1353" t="s">
        <v>5036</v>
      </c>
      <c r="H1353">
        <v>19</v>
      </c>
      <c r="I1353">
        <v>3.71</v>
      </c>
      <c r="J1353">
        <v>11</v>
      </c>
      <c r="K1353">
        <v>9378</v>
      </c>
      <c r="L1353">
        <v>6.5</v>
      </c>
    </row>
    <row r="1354" spans="1:12" x14ac:dyDescent="0.3">
      <c r="A1354" t="s">
        <v>1369</v>
      </c>
      <c r="B1354" t="s">
        <v>16</v>
      </c>
      <c r="C1354" t="s">
        <v>14</v>
      </c>
      <c r="D1354">
        <v>60</v>
      </c>
      <c r="E1354" s="1">
        <v>45185</v>
      </c>
      <c r="F1354">
        <v>2023</v>
      </c>
      <c r="G1354" t="s">
        <v>5033</v>
      </c>
      <c r="H1354">
        <v>16</v>
      </c>
      <c r="I1354">
        <v>4.34</v>
      </c>
      <c r="J1354">
        <v>0</v>
      </c>
      <c r="K1354">
        <v>7485.25</v>
      </c>
      <c r="L1354">
        <v>2.1</v>
      </c>
    </row>
    <row r="1355" spans="1:12" x14ac:dyDescent="0.3">
      <c r="A1355" t="s">
        <v>1370</v>
      </c>
      <c r="B1355" t="s">
        <v>18</v>
      </c>
      <c r="C1355" t="s">
        <v>11</v>
      </c>
      <c r="D1355">
        <v>28</v>
      </c>
      <c r="E1355" s="1">
        <v>45150</v>
      </c>
      <c r="F1355">
        <v>2023</v>
      </c>
      <c r="G1355" t="s">
        <v>5031</v>
      </c>
      <c r="H1355">
        <v>12</v>
      </c>
      <c r="I1355">
        <v>3.15</v>
      </c>
      <c r="J1355">
        <v>5</v>
      </c>
      <c r="K1355">
        <v>10318.11</v>
      </c>
      <c r="L1355">
        <v>2.2000000000000002</v>
      </c>
    </row>
    <row r="1356" spans="1:12" x14ac:dyDescent="0.3">
      <c r="A1356" t="s">
        <v>1371</v>
      </c>
      <c r="B1356" t="s">
        <v>13</v>
      </c>
      <c r="C1356" t="s">
        <v>14</v>
      </c>
      <c r="D1356">
        <v>31</v>
      </c>
      <c r="E1356" s="1">
        <v>45242</v>
      </c>
      <c r="F1356">
        <v>2023</v>
      </c>
      <c r="G1356" t="s">
        <v>5038</v>
      </c>
      <c r="H1356">
        <v>12</v>
      </c>
      <c r="I1356">
        <v>4.58</v>
      </c>
      <c r="J1356">
        <v>14</v>
      </c>
      <c r="K1356">
        <v>11127.43</v>
      </c>
      <c r="L1356">
        <v>2</v>
      </c>
    </row>
    <row r="1357" spans="1:12" x14ac:dyDescent="0.3">
      <c r="A1357" t="s">
        <v>1372</v>
      </c>
      <c r="B1357" t="s">
        <v>34</v>
      </c>
      <c r="C1357" t="s">
        <v>11</v>
      </c>
      <c r="D1357">
        <v>29</v>
      </c>
      <c r="E1357" s="1">
        <v>40409</v>
      </c>
      <c r="F1357">
        <v>2010</v>
      </c>
      <c r="G1357" t="s">
        <v>5031</v>
      </c>
      <c r="H1357">
        <v>19</v>
      </c>
      <c r="I1357">
        <v>2.04</v>
      </c>
      <c r="J1357">
        <v>14</v>
      </c>
      <c r="K1357">
        <v>4130.88</v>
      </c>
      <c r="L1357">
        <v>15.2</v>
      </c>
    </row>
    <row r="1358" spans="1:12" x14ac:dyDescent="0.3">
      <c r="A1358" t="s">
        <v>1373</v>
      </c>
      <c r="B1358" t="s">
        <v>10</v>
      </c>
      <c r="C1358" t="s">
        <v>14</v>
      </c>
      <c r="D1358">
        <v>33</v>
      </c>
      <c r="E1358" s="1">
        <v>40653</v>
      </c>
      <c r="F1358">
        <v>2011</v>
      </c>
      <c r="G1358" t="s">
        <v>5040</v>
      </c>
      <c r="H1358">
        <v>20</v>
      </c>
      <c r="I1358">
        <v>2.39</v>
      </c>
      <c r="J1358">
        <v>2</v>
      </c>
      <c r="K1358">
        <v>8959.2000000000007</v>
      </c>
      <c r="L1358">
        <v>14.5</v>
      </c>
    </row>
    <row r="1359" spans="1:12" x14ac:dyDescent="0.3">
      <c r="A1359" t="s">
        <v>1374</v>
      </c>
      <c r="B1359" t="s">
        <v>18</v>
      </c>
      <c r="C1359" t="s">
        <v>11</v>
      </c>
      <c r="D1359">
        <v>35</v>
      </c>
      <c r="E1359" s="1">
        <v>45639</v>
      </c>
      <c r="F1359">
        <v>2024</v>
      </c>
      <c r="G1359" t="s">
        <v>5041</v>
      </c>
      <c r="H1359">
        <v>13</v>
      </c>
      <c r="I1359">
        <v>3.63</v>
      </c>
      <c r="J1359">
        <v>13</v>
      </c>
      <c r="K1359">
        <v>4641.97</v>
      </c>
      <c r="L1359">
        <v>0.9</v>
      </c>
    </row>
    <row r="1360" spans="1:12" x14ac:dyDescent="0.3">
      <c r="A1360" t="s">
        <v>1375</v>
      </c>
      <c r="B1360" t="s">
        <v>34</v>
      </c>
      <c r="C1360" t="s">
        <v>11</v>
      </c>
      <c r="D1360">
        <v>47</v>
      </c>
      <c r="E1360" s="1">
        <v>43240</v>
      </c>
      <c r="F1360">
        <v>2018</v>
      </c>
      <c r="G1360" t="s">
        <v>5036</v>
      </c>
      <c r="H1360">
        <v>20</v>
      </c>
      <c r="I1360">
        <v>1.63</v>
      </c>
      <c r="J1360">
        <v>14</v>
      </c>
      <c r="K1360">
        <v>6491.32</v>
      </c>
      <c r="L1360">
        <v>7.5</v>
      </c>
    </row>
    <row r="1361" spans="1:12" x14ac:dyDescent="0.3">
      <c r="A1361" t="s">
        <v>1376</v>
      </c>
      <c r="B1361" t="s">
        <v>13</v>
      </c>
      <c r="C1361" t="s">
        <v>14</v>
      </c>
      <c r="D1361">
        <v>60</v>
      </c>
      <c r="E1361" s="1">
        <v>42139</v>
      </c>
      <c r="F1361">
        <v>2015</v>
      </c>
      <c r="G1361" t="s">
        <v>5036</v>
      </c>
      <c r="H1361">
        <v>15</v>
      </c>
      <c r="I1361">
        <v>2.42</v>
      </c>
      <c r="J1361">
        <v>3</v>
      </c>
      <c r="K1361">
        <v>9967.49</v>
      </c>
      <c r="L1361">
        <v>10.5</v>
      </c>
    </row>
    <row r="1362" spans="1:12" x14ac:dyDescent="0.3">
      <c r="A1362" t="s">
        <v>1377</v>
      </c>
      <c r="B1362" t="s">
        <v>16</v>
      </c>
      <c r="C1362" t="s">
        <v>11</v>
      </c>
      <c r="D1362">
        <v>47</v>
      </c>
      <c r="E1362" s="1">
        <v>44561</v>
      </c>
      <c r="F1362">
        <v>2021</v>
      </c>
      <c r="G1362" t="s">
        <v>5041</v>
      </c>
      <c r="H1362">
        <v>31</v>
      </c>
      <c r="I1362">
        <v>2.7</v>
      </c>
      <c r="J1362">
        <v>8</v>
      </c>
      <c r="K1362">
        <v>9171.9500000000007</v>
      </c>
      <c r="L1362">
        <v>3.8</v>
      </c>
    </row>
    <row r="1363" spans="1:12" x14ac:dyDescent="0.3">
      <c r="A1363" t="s">
        <v>1378</v>
      </c>
      <c r="B1363" t="s">
        <v>13</v>
      </c>
      <c r="C1363" t="s">
        <v>11</v>
      </c>
      <c r="D1363">
        <v>45</v>
      </c>
      <c r="E1363" s="1">
        <v>45183</v>
      </c>
      <c r="F1363">
        <v>2023</v>
      </c>
      <c r="G1363" t="s">
        <v>5033</v>
      </c>
      <c r="H1363">
        <v>14</v>
      </c>
      <c r="I1363">
        <v>4.59</v>
      </c>
      <c r="J1363">
        <v>9</v>
      </c>
      <c r="K1363">
        <v>11915.3</v>
      </c>
      <c r="L1363">
        <v>2.1</v>
      </c>
    </row>
    <row r="1364" spans="1:12" x14ac:dyDescent="0.3">
      <c r="A1364" t="s">
        <v>1379</v>
      </c>
      <c r="B1364" t="s">
        <v>24</v>
      </c>
      <c r="C1364" t="s">
        <v>14</v>
      </c>
      <c r="D1364">
        <v>34</v>
      </c>
      <c r="E1364" s="1">
        <v>44656</v>
      </c>
      <c r="F1364">
        <v>2022</v>
      </c>
      <c r="G1364" t="s">
        <v>5040</v>
      </c>
      <c r="H1364">
        <v>5</v>
      </c>
      <c r="I1364">
        <v>4.55</v>
      </c>
      <c r="J1364">
        <v>1</v>
      </c>
      <c r="K1364">
        <v>13869.33</v>
      </c>
      <c r="L1364">
        <v>3.6</v>
      </c>
    </row>
    <row r="1365" spans="1:12" x14ac:dyDescent="0.3">
      <c r="A1365" t="s">
        <v>1380</v>
      </c>
      <c r="B1365" t="s">
        <v>24</v>
      </c>
      <c r="C1365" t="s">
        <v>14</v>
      </c>
      <c r="D1365">
        <v>53</v>
      </c>
      <c r="E1365" s="1">
        <v>41142</v>
      </c>
      <c r="F1365">
        <v>2012</v>
      </c>
      <c r="G1365" t="s">
        <v>5031</v>
      </c>
      <c r="H1365">
        <v>21</v>
      </c>
      <c r="I1365">
        <v>4.4400000000000004</v>
      </c>
      <c r="J1365">
        <v>0</v>
      </c>
      <c r="K1365">
        <v>3939.56</v>
      </c>
      <c r="L1365">
        <v>13.2</v>
      </c>
    </row>
    <row r="1366" spans="1:12" x14ac:dyDescent="0.3">
      <c r="A1366" t="s">
        <v>1381</v>
      </c>
      <c r="B1366" t="s">
        <v>16</v>
      </c>
      <c r="C1366" t="s">
        <v>14</v>
      </c>
      <c r="D1366">
        <v>43</v>
      </c>
      <c r="E1366" s="1">
        <v>45220</v>
      </c>
      <c r="F1366">
        <v>2023</v>
      </c>
      <c r="G1366" t="s">
        <v>5039</v>
      </c>
      <c r="H1366">
        <v>21</v>
      </c>
      <c r="I1366">
        <v>2.16</v>
      </c>
      <c r="J1366">
        <v>6</v>
      </c>
      <c r="K1366">
        <v>3294.97</v>
      </c>
      <c r="L1366">
        <v>2</v>
      </c>
    </row>
    <row r="1367" spans="1:12" x14ac:dyDescent="0.3">
      <c r="A1367" t="s">
        <v>1382</v>
      </c>
      <c r="B1367" t="s">
        <v>34</v>
      </c>
      <c r="C1367" t="s">
        <v>14</v>
      </c>
      <c r="D1367">
        <v>56</v>
      </c>
      <c r="E1367" s="1">
        <v>43228</v>
      </c>
      <c r="F1367">
        <v>2018</v>
      </c>
      <c r="G1367" t="s">
        <v>5036</v>
      </c>
      <c r="H1367">
        <v>8</v>
      </c>
      <c r="I1367">
        <v>2.04</v>
      </c>
      <c r="J1367">
        <v>7</v>
      </c>
      <c r="K1367">
        <v>12730.83</v>
      </c>
      <c r="L1367">
        <v>7.5</v>
      </c>
    </row>
    <row r="1368" spans="1:12" x14ac:dyDescent="0.3">
      <c r="A1368" t="s">
        <v>1383</v>
      </c>
      <c r="B1368" t="s">
        <v>16</v>
      </c>
      <c r="C1368" t="s">
        <v>14</v>
      </c>
      <c r="D1368">
        <v>49</v>
      </c>
      <c r="E1368" s="1">
        <v>44640</v>
      </c>
      <c r="F1368">
        <v>2022</v>
      </c>
      <c r="G1368" t="s">
        <v>5035</v>
      </c>
      <c r="H1368">
        <v>20</v>
      </c>
      <c r="I1368">
        <v>1.89</v>
      </c>
      <c r="J1368">
        <v>0</v>
      </c>
      <c r="K1368">
        <v>4662.09</v>
      </c>
      <c r="L1368">
        <v>3.6</v>
      </c>
    </row>
    <row r="1369" spans="1:12" x14ac:dyDescent="0.3">
      <c r="A1369" t="s">
        <v>1384</v>
      </c>
      <c r="B1369" t="s">
        <v>13</v>
      </c>
      <c r="C1369" t="s">
        <v>11</v>
      </c>
      <c r="D1369">
        <v>22</v>
      </c>
      <c r="E1369" s="1">
        <v>40925</v>
      </c>
      <c r="F1369">
        <v>2012</v>
      </c>
      <c r="G1369" t="s">
        <v>5037</v>
      </c>
      <c r="H1369">
        <v>17</v>
      </c>
      <c r="I1369">
        <v>2.4700000000000002</v>
      </c>
      <c r="J1369">
        <v>11</v>
      </c>
      <c r="K1369">
        <v>6881.23</v>
      </c>
      <c r="L1369">
        <v>13.8</v>
      </c>
    </row>
    <row r="1370" spans="1:12" x14ac:dyDescent="0.3">
      <c r="A1370" t="s">
        <v>1385</v>
      </c>
      <c r="B1370" t="s">
        <v>34</v>
      </c>
      <c r="C1370" t="s">
        <v>11</v>
      </c>
      <c r="D1370">
        <v>49</v>
      </c>
      <c r="E1370" s="1">
        <v>43778</v>
      </c>
      <c r="F1370">
        <v>2019</v>
      </c>
      <c r="G1370" t="s">
        <v>5038</v>
      </c>
      <c r="H1370">
        <v>9</v>
      </c>
      <c r="I1370">
        <v>3.82</v>
      </c>
      <c r="J1370">
        <v>8</v>
      </c>
      <c r="K1370">
        <v>11542.38</v>
      </c>
      <c r="L1370">
        <v>6</v>
      </c>
    </row>
    <row r="1371" spans="1:12" x14ac:dyDescent="0.3">
      <c r="A1371" t="s">
        <v>1386</v>
      </c>
      <c r="B1371" t="s">
        <v>24</v>
      </c>
      <c r="C1371" t="s">
        <v>11</v>
      </c>
      <c r="D1371">
        <v>40</v>
      </c>
      <c r="E1371" s="1">
        <v>41586</v>
      </c>
      <c r="F1371">
        <v>2013</v>
      </c>
      <c r="G1371" t="s">
        <v>5038</v>
      </c>
      <c r="H1371">
        <v>8</v>
      </c>
      <c r="I1371">
        <v>4.28</v>
      </c>
      <c r="J1371">
        <v>7</v>
      </c>
      <c r="K1371">
        <v>7583.67</v>
      </c>
      <c r="L1371">
        <v>12</v>
      </c>
    </row>
    <row r="1372" spans="1:12" x14ac:dyDescent="0.3">
      <c r="A1372" t="s">
        <v>1387</v>
      </c>
      <c r="B1372" t="s">
        <v>34</v>
      </c>
      <c r="C1372" t="s">
        <v>11</v>
      </c>
      <c r="D1372">
        <v>48</v>
      </c>
      <c r="E1372" s="1">
        <v>44659</v>
      </c>
      <c r="F1372">
        <v>2022</v>
      </c>
      <c r="G1372" t="s">
        <v>5040</v>
      </c>
      <c r="H1372">
        <v>8</v>
      </c>
      <c r="I1372">
        <v>4.16</v>
      </c>
      <c r="J1372">
        <v>13</v>
      </c>
      <c r="K1372">
        <v>13428.08</v>
      </c>
      <c r="L1372">
        <v>3.6</v>
      </c>
    </row>
    <row r="1373" spans="1:12" x14ac:dyDescent="0.3">
      <c r="A1373" t="s">
        <v>1388</v>
      </c>
      <c r="B1373" t="s">
        <v>16</v>
      </c>
      <c r="C1373" t="s">
        <v>14</v>
      </c>
      <c r="D1373">
        <v>51</v>
      </c>
      <c r="E1373" s="1">
        <v>43878</v>
      </c>
      <c r="F1373">
        <v>2020</v>
      </c>
      <c r="G1373" t="s">
        <v>5042</v>
      </c>
      <c r="H1373">
        <v>17</v>
      </c>
      <c r="I1373">
        <v>3.24</v>
      </c>
      <c r="J1373">
        <v>8</v>
      </c>
      <c r="K1373">
        <v>11081.14</v>
      </c>
      <c r="L1373">
        <v>5.7</v>
      </c>
    </row>
    <row r="1374" spans="1:12" x14ac:dyDescent="0.3">
      <c r="A1374" t="s">
        <v>1389</v>
      </c>
      <c r="B1374" t="s">
        <v>10</v>
      </c>
      <c r="C1374" t="s">
        <v>11</v>
      </c>
      <c r="D1374">
        <v>40</v>
      </c>
      <c r="E1374" s="1">
        <v>44559</v>
      </c>
      <c r="F1374">
        <v>2021</v>
      </c>
      <c r="G1374" t="s">
        <v>5041</v>
      </c>
      <c r="H1374">
        <v>29</v>
      </c>
      <c r="I1374">
        <v>2.39</v>
      </c>
      <c r="J1374">
        <v>10</v>
      </c>
      <c r="K1374">
        <v>14067.43</v>
      </c>
      <c r="L1374">
        <v>3.8</v>
      </c>
    </row>
    <row r="1375" spans="1:12" x14ac:dyDescent="0.3">
      <c r="A1375" t="s">
        <v>1390</v>
      </c>
      <c r="B1375" t="s">
        <v>24</v>
      </c>
      <c r="C1375" t="s">
        <v>14</v>
      </c>
      <c r="D1375">
        <v>40</v>
      </c>
      <c r="E1375" s="1">
        <v>40414</v>
      </c>
      <c r="F1375">
        <v>2010</v>
      </c>
      <c r="G1375" t="s">
        <v>5031</v>
      </c>
      <c r="H1375">
        <v>24</v>
      </c>
      <c r="I1375">
        <v>2.1</v>
      </c>
      <c r="J1375">
        <v>11</v>
      </c>
      <c r="K1375">
        <v>10009.52</v>
      </c>
      <c r="L1375">
        <v>15.2</v>
      </c>
    </row>
    <row r="1376" spans="1:12" x14ac:dyDescent="0.3">
      <c r="A1376" t="s">
        <v>1391</v>
      </c>
      <c r="B1376" t="s">
        <v>10</v>
      </c>
      <c r="C1376" t="s">
        <v>14</v>
      </c>
      <c r="D1376">
        <v>37</v>
      </c>
      <c r="E1376" s="1">
        <v>41186</v>
      </c>
      <c r="F1376">
        <v>2012</v>
      </c>
      <c r="G1376" t="s">
        <v>5039</v>
      </c>
      <c r="H1376">
        <v>4</v>
      </c>
      <c r="I1376">
        <v>3.15</v>
      </c>
      <c r="J1376">
        <v>7</v>
      </c>
      <c r="K1376">
        <v>14545.69</v>
      </c>
      <c r="L1376">
        <v>13.1</v>
      </c>
    </row>
    <row r="1377" spans="1:12" x14ac:dyDescent="0.3">
      <c r="A1377" t="s">
        <v>1392</v>
      </c>
      <c r="B1377" t="s">
        <v>24</v>
      </c>
      <c r="C1377" t="s">
        <v>14</v>
      </c>
      <c r="D1377">
        <v>60</v>
      </c>
      <c r="E1377" s="1">
        <v>44218</v>
      </c>
      <c r="F1377">
        <v>2021</v>
      </c>
      <c r="G1377" t="s">
        <v>5037</v>
      </c>
      <c r="H1377">
        <v>22</v>
      </c>
      <c r="I1377">
        <v>4.82</v>
      </c>
      <c r="J1377">
        <v>7</v>
      </c>
      <c r="K1377">
        <v>4173.53</v>
      </c>
      <c r="L1377">
        <v>4.8</v>
      </c>
    </row>
    <row r="1378" spans="1:12" x14ac:dyDescent="0.3">
      <c r="A1378" t="s">
        <v>1393</v>
      </c>
      <c r="B1378" t="s">
        <v>34</v>
      </c>
      <c r="C1378" t="s">
        <v>14</v>
      </c>
      <c r="D1378">
        <v>36</v>
      </c>
      <c r="E1378" s="1">
        <v>42298</v>
      </c>
      <c r="F1378">
        <v>2015</v>
      </c>
      <c r="G1378" t="s">
        <v>5039</v>
      </c>
      <c r="H1378">
        <v>21</v>
      </c>
      <c r="I1378">
        <v>4.96</v>
      </c>
      <c r="J1378">
        <v>14</v>
      </c>
      <c r="K1378">
        <v>5080.09</v>
      </c>
      <c r="L1378">
        <v>10</v>
      </c>
    </row>
    <row r="1379" spans="1:12" x14ac:dyDescent="0.3">
      <c r="A1379" t="s">
        <v>1394</v>
      </c>
      <c r="B1379" t="s">
        <v>16</v>
      </c>
      <c r="C1379" t="s">
        <v>14</v>
      </c>
      <c r="D1379">
        <v>26</v>
      </c>
      <c r="E1379" s="1">
        <v>42048</v>
      </c>
      <c r="F1379">
        <v>2015</v>
      </c>
      <c r="G1379" t="s">
        <v>5042</v>
      </c>
      <c r="H1379">
        <v>13</v>
      </c>
      <c r="I1379">
        <v>2.75</v>
      </c>
      <c r="J1379">
        <v>1</v>
      </c>
      <c r="K1379">
        <v>8636.8799999999992</v>
      </c>
      <c r="L1379">
        <v>10.7</v>
      </c>
    </row>
    <row r="1380" spans="1:12" x14ac:dyDescent="0.3">
      <c r="A1380" t="s">
        <v>1395</v>
      </c>
      <c r="B1380" t="s">
        <v>13</v>
      </c>
      <c r="C1380" t="s">
        <v>11</v>
      </c>
      <c r="D1380">
        <v>60</v>
      </c>
      <c r="E1380" s="1">
        <v>44279</v>
      </c>
      <c r="F1380">
        <v>2021</v>
      </c>
      <c r="G1380" t="s">
        <v>5035</v>
      </c>
      <c r="H1380">
        <v>24</v>
      </c>
      <c r="I1380">
        <v>4.55</v>
      </c>
      <c r="J1380">
        <v>10</v>
      </c>
      <c r="K1380">
        <v>10610.3</v>
      </c>
      <c r="L1380">
        <v>4.5999999999999996</v>
      </c>
    </row>
    <row r="1381" spans="1:12" x14ac:dyDescent="0.3">
      <c r="A1381" t="s">
        <v>1396</v>
      </c>
      <c r="B1381" t="s">
        <v>18</v>
      </c>
      <c r="C1381" t="s">
        <v>11</v>
      </c>
      <c r="D1381">
        <v>44</v>
      </c>
      <c r="E1381" s="1">
        <v>45000</v>
      </c>
      <c r="F1381">
        <v>2023</v>
      </c>
      <c r="G1381" t="s">
        <v>5035</v>
      </c>
      <c r="H1381">
        <v>15</v>
      </c>
      <c r="I1381">
        <v>3.53</v>
      </c>
      <c r="J1381">
        <v>7</v>
      </c>
      <c r="K1381">
        <v>4885.49</v>
      </c>
      <c r="L1381">
        <v>2.6</v>
      </c>
    </row>
    <row r="1382" spans="1:12" x14ac:dyDescent="0.3">
      <c r="A1382" t="s">
        <v>1397</v>
      </c>
      <c r="B1382" t="s">
        <v>16</v>
      </c>
      <c r="C1382" t="s">
        <v>11</v>
      </c>
      <c r="D1382">
        <v>41</v>
      </c>
      <c r="E1382" s="1">
        <v>45160</v>
      </c>
      <c r="F1382">
        <v>2023</v>
      </c>
      <c r="G1382" t="s">
        <v>5031</v>
      </c>
      <c r="H1382">
        <v>22</v>
      </c>
      <c r="I1382">
        <v>3.67</v>
      </c>
      <c r="J1382">
        <v>1</v>
      </c>
      <c r="K1382">
        <v>10145.950000000001</v>
      </c>
      <c r="L1382">
        <v>2.2000000000000002</v>
      </c>
    </row>
    <row r="1383" spans="1:12" x14ac:dyDescent="0.3">
      <c r="A1383" t="s">
        <v>1398</v>
      </c>
      <c r="B1383" t="s">
        <v>10</v>
      </c>
      <c r="C1383" t="s">
        <v>11</v>
      </c>
      <c r="D1383">
        <v>26</v>
      </c>
      <c r="E1383" s="1">
        <v>40495</v>
      </c>
      <c r="F1383">
        <v>2010</v>
      </c>
      <c r="G1383" t="s">
        <v>5038</v>
      </c>
      <c r="H1383">
        <v>13</v>
      </c>
      <c r="I1383">
        <v>4.1900000000000004</v>
      </c>
      <c r="J1383">
        <v>8</v>
      </c>
      <c r="K1383">
        <v>6135.56</v>
      </c>
      <c r="L1383">
        <v>15</v>
      </c>
    </row>
    <row r="1384" spans="1:12" x14ac:dyDescent="0.3">
      <c r="A1384" t="s">
        <v>1399</v>
      </c>
      <c r="B1384" t="s">
        <v>16</v>
      </c>
      <c r="C1384" t="s">
        <v>11</v>
      </c>
      <c r="D1384">
        <v>49</v>
      </c>
      <c r="E1384" s="1">
        <v>44928</v>
      </c>
      <c r="F1384">
        <v>2023</v>
      </c>
      <c r="G1384" t="s">
        <v>5037</v>
      </c>
      <c r="H1384">
        <v>2</v>
      </c>
      <c r="I1384">
        <v>4.33</v>
      </c>
      <c r="J1384">
        <v>0</v>
      </c>
      <c r="K1384">
        <v>10916.87</v>
      </c>
      <c r="L1384">
        <v>2.8</v>
      </c>
    </row>
    <row r="1385" spans="1:12" x14ac:dyDescent="0.3">
      <c r="A1385" t="s">
        <v>1400</v>
      </c>
      <c r="B1385" t="s">
        <v>10</v>
      </c>
      <c r="C1385" t="s">
        <v>11</v>
      </c>
      <c r="D1385">
        <v>57</v>
      </c>
      <c r="E1385" s="1">
        <v>44906</v>
      </c>
      <c r="F1385">
        <v>2022</v>
      </c>
      <c r="G1385" t="s">
        <v>5041</v>
      </c>
      <c r="H1385">
        <v>11</v>
      </c>
      <c r="I1385">
        <v>2.82</v>
      </c>
      <c r="J1385">
        <v>13</v>
      </c>
      <c r="K1385">
        <v>12861.9</v>
      </c>
      <c r="L1385">
        <v>2.9</v>
      </c>
    </row>
    <row r="1386" spans="1:12" x14ac:dyDescent="0.3">
      <c r="A1386" t="s">
        <v>1401</v>
      </c>
      <c r="B1386" t="s">
        <v>24</v>
      </c>
      <c r="C1386" t="s">
        <v>14</v>
      </c>
      <c r="D1386">
        <v>41</v>
      </c>
      <c r="E1386" s="1">
        <v>42563</v>
      </c>
      <c r="F1386">
        <v>2016</v>
      </c>
      <c r="G1386" t="s">
        <v>5034</v>
      </c>
      <c r="H1386">
        <v>12</v>
      </c>
      <c r="I1386">
        <v>1.81</v>
      </c>
      <c r="J1386">
        <v>11</v>
      </c>
      <c r="K1386">
        <v>10229.32</v>
      </c>
      <c r="L1386">
        <v>9.3000000000000007</v>
      </c>
    </row>
    <row r="1387" spans="1:12" x14ac:dyDescent="0.3">
      <c r="A1387" t="s">
        <v>1402</v>
      </c>
      <c r="B1387" t="s">
        <v>10</v>
      </c>
      <c r="C1387" t="s">
        <v>14</v>
      </c>
      <c r="D1387">
        <v>40</v>
      </c>
      <c r="E1387" s="1">
        <v>40880</v>
      </c>
      <c r="F1387">
        <v>2011</v>
      </c>
      <c r="G1387" t="s">
        <v>5041</v>
      </c>
      <c r="H1387">
        <v>3</v>
      </c>
      <c r="I1387">
        <v>3.81</v>
      </c>
      <c r="J1387">
        <v>6</v>
      </c>
      <c r="K1387">
        <v>7213.57</v>
      </c>
      <c r="L1387">
        <v>13.9</v>
      </c>
    </row>
    <row r="1388" spans="1:12" x14ac:dyDescent="0.3">
      <c r="A1388" t="s">
        <v>1403</v>
      </c>
      <c r="B1388" t="s">
        <v>10</v>
      </c>
      <c r="C1388" t="s">
        <v>14</v>
      </c>
      <c r="D1388">
        <v>55</v>
      </c>
      <c r="E1388" s="1">
        <v>40614</v>
      </c>
      <c r="F1388">
        <v>2011</v>
      </c>
      <c r="G1388" t="s">
        <v>5035</v>
      </c>
      <c r="H1388">
        <v>12</v>
      </c>
      <c r="I1388">
        <v>4.3099999999999996</v>
      </c>
      <c r="J1388">
        <v>12</v>
      </c>
      <c r="K1388">
        <v>10609.77</v>
      </c>
      <c r="L1388">
        <v>14.7</v>
      </c>
    </row>
    <row r="1389" spans="1:12" x14ac:dyDescent="0.3">
      <c r="A1389" t="s">
        <v>1404</v>
      </c>
      <c r="B1389" t="s">
        <v>16</v>
      </c>
      <c r="C1389" t="s">
        <v>11</v>
      </c>
      <c r="D1389">
        <v>30</v>
      </c>
      <c r="E1389" s="1">
        <v>42955</v>
      </c>
      <c r="F1389">
        <v>2017</v>
      </c>
      <c r="G1389" t="s">
        <v>5031</v>
      </c>
      <c r="H1389">
        <v>8</v>
      </c>
      <c r="I1389">
        <v>3.88</v>
      </c>
      <c r="J1389">
        <v>5</v>
      </c>
      <c r="K1389">
        <v>6971.69</v>
      </c>
      <c r="L1389">
        <v>8.1999999999999993</v>
      </c>
    </row>
    <row r="1390" spans="1:12" x14ac:dyDescent="0.3">
      <c r="A1390" t="s">
        <v>1405</v>
      </c>
      <c r="B1390" t="s">
        <v>16</v>
      </c>
      <c r="C1390" t="s">
        <v>14</v>
      </c>
      <c r="D1390">
        <v>52</v>
      </c>
      <c r="E1390" s="1">
        <v>42042</v>
      </c>
      <c r="F1390">
        <v>2015</v>
      </c>
      <c r="G1390" t="s">
        <v>5042</v>
      </c>
      <c r="H1390">
        <v>7</v>
      </c>
      <c r="I1390">
        <v>1.81</v>
      </c>
      <c r="J1390">
        <v>10</v>
      </c>
      <c r="K1390">
        <v>11323.53</v>
      </c>
      <c r="L1390">
        <v>10.7</v>
      </c>
    </row>
    <row r="1391" spans="1:12" x14ac:dyDescent="0.3">
      <c r="A1391" t="s">
        <v>1406</v>
      </c>
      <c r="B1391" t="s">
        <v>16</v>
      </c>
      <c r="C1391" t="s">
        <v>11</v>
      </c>
      <c r="D1391">
        <v>52</v>
      </c>
      <c r="E1391" s="1">
        <v>41986</v>
      </c>
      <c r="F1391">
        <v>2014</v>
      </c>
      <c r="G1391" t="s">
        <v>5041</v>
      </c>
      <c r="H1391">
        <v>13</v>
      </c>
      <c r="I1391">
        <v>2.59</v>
      </c>
      <c r="J1391">
        <v>9</v>
      </c>
      <c r="K1391">
        <v>14479.71</v>
      </c>
      <c r="L1391">
        <v>10.9</v>
      </c>
    </row>
    <row r="1392" spans="1:12" x14ac:dyDescent="0.3">
      <c r="A1392" t="s">
        <v>1407</v>
      </c>
      <c r="B1392" t="s">
        <v>18</v>
      </c>
      <c r="C1392" t="s">
        <v>11</v>
      </c>
      <c r="D1392">
        <v>29</v>
      </c>
      <c r="E1392" s="1">
        <v>40419</v>
      </c>
      <c r="F1392">
        <v>2010</v>
      </c>
      <c r="G1392" t="s">
        <v>5031</v>
      </c>
      <c r="H1392">
        <v>29</v>
      </c>
      <c r="I1392">
        <v>4.9400000000000004</v>
      </c>
      <c r="J1392">
        <v>7</v>
      </c>
      <c r="K1392">
        <v>14777.9</v>
      </c>
      <c r="L1392">
        <v>15.2</v>
      </c>
    </row>
    <row r="1393" spans="1:12" x14ac:dyDescent="0.3">
      <c r="A1393" t="s">
        <v>1408</v>
      </c>
      <c r="B1393" t="s">
        <v>13</v>
      </c>
      <c r="C1393" t="s">
        <v>14</v>
      </c>
      <c r="D1393">
        <v>43</v>
      </c>
      <c r="E1393" s="1">
        <v>44658</v>
      </c>
      <c r="F1393">
        <v>2022</v>
      </c>
      <c r="G1393" t="s">
        <v>5040</v>
      </c>
      <c r="H1393">
        <v>7</v>
      </c>
      <c r="I1393">
        <v>4.33</v>
      </c>
      <c r="J1393">
        <v>4</v>
      </c>
      <c r="K1393">
        <v>3360.9</v>
      </c>
      <c r="L1393">
        <v>3.6</v>
      </c>
    </row>
    <row r="1394" spans="1:12" x14ac:dyDescent="0.3">
      <c r="A1394" t="s">
        <v>1409</v>
      </c>
      <c r="B1394" t="s">
        <v>10</v>
      </c>
      <c r="C1394" t="s">
        <v>14</v>
      </c>
      <c r="D1394">
        <v>48</v>
      </c>
      <c r="E1394" s="1">
        <v>45799</v>
      </c>
      <c r="F1394">
        <v>2025</v>
      </c>
      <c r="G1394" t="s">
        <v>5036</v>
      </c>
      <c r="H1394">
        <v>22</v>
      </c>
      <c r="I1394">
        <v>3.07</v>
      </c>
      <c r="J1394">
        <v>13</v>
      </c>
      <c r="K1394">
        <v>6018.7</v>
      </c>
      <c r="L1394">
        <v>0.4</v>
      </c>
    </row>
    <row r="1395" spans="1:12" x14ac:dyDescent="0.3">
      <c r="A1395" t="s">
        <v>1410</v>
      </c>
      <c r="B1395" t="s">
        <v>16</v>
      </c>
      <c r="C1395" t="s">
        <v>14</v>
      </c>
      <c r="D1395">
        <v>38</v>
      </c>
      <c r="E1395" s="1">
        <v>41969</v>
      </c>
      <c r="F1395">
        <v>2014</v>
      </c>
      <c r="G1395" t="s">
        <v>5038</v>
      </c>
      <c r="H1395">
        <v>26</v>
      </c>
      <c r="I1395">
        <v>3.79</v>
      </c>
      <c r="J1395">
        <v>2</v>
      </c>
      <c r="K1395">
        <v>3069.23</v>
      </c>
      <c r="L1395">
        <v>10.9</v>
      </c>
    </row>
    <row r="1396" spans="1:12" x14ac:dyDescent="0.3">
      <c r="A1396" t="s">
        <v>1411</v>
      </c>
      <c r="B1396" t="s">
        <v>10</v>
      </c>
      <c r="C1396" t="s">
        <v>14</v>
      </c>
      <c r="D1396">
        <v>25</v>
      </c>
      <c r="E1396" s="1">
        <v>43052</v>
      </c>
      <c r="F1396">
        <v>2017</v>
      </c>
      <c r="G1396" t="s">
        <v>5038</v>
      </c>
      <c r="H1396">
        <v>13</v>
      </c>
      <c r="I1396">
        <v>4.76</v>
      </c>
      <c r="J1396">
        <v>6</v>
      </c>
      <c r="K1396">
        <v>10788.62</v>
      </c>
      <c r="L1396">
        <v>8</v>
      </c>
    </row>
    <row r="1397" spans="1:12" x14ac:dyDescent="0.3">
      <c r="A1397" t="s">
        <v>1412</v>
      </c>
      <c r="B1397" t="s">
        <v>24</v>
      </c>
      <c r="C1397" t="s">
        <v>14</v>
      </c>
      <c r="D1397">
        <v>39</v>
      </c>
      <c r="E1397" s="1">
        <v>41970</v>
      </c>
      <c r="F1397">
        <v>2014</v>
      </c>
      <c r="G1397" t="s">
        <v>5038</v>
      </c>
      <c r="H1397">
        <v>27</v>
      </c>
      <c r="I1397">
        <v>4.1900000000000004</v>
      </c>
      <c r="J1397">
        <v>7</v>
      </c>
      <c r="K1397">
        <v>9479.25</v>
      </c>
      <c r="L1397">
        <v>10.9</v>
      </c>
    </row>
    <row r="1398" spans="1:12" x14ac:dyDescent="0.3">
      <c r="A1398" t="s">
        <v>1413</v>
      </c>
      <c r="B1398" t="s">
        <v>24</v>
      </c>
      <c r="C1398" t="s">
        <v>14</v>
      </c>
      <c r="D1398">
        <v>54</v>
      </c>
      <c r="E1398" s="1">
        <v>40523</v>
      </c>
      <c r="F1398">
        <v>2010</v>
      </c>
      <c r="G1398" t="s">
        <v>5041</v>
      </c>
      <c r="H1398">
        <v>11</v>
      </c>
      <c r="I1398">
        <v>4.63</v>
      </c>
      <c r="J1398">
        <v>8</v>
      </c>
      <c r="K1398">
        <v>10673.95</v>
      </c>
      <c r="L1398">
        <v>14.9</v>
      </c>
    </row>
    <row r="1399" spans="1:12" x14ac:dyDescent="0.3">
      <c r="A1399" t="s">
        <v>1414</v>
      </c>
      <c r="B1399" t="s">
        <v>16</v>
      </c>
      <c r="C1399" t="s">
        <v>11</v>
      </c>
      <c r="D1399">
        <v>33</v>
      </c>
      <c r="E1399" s="1">
        <v>43643</v>
      </c>
      <c r="F1399">
        <v>2019</v>
      </c>
      <c r="G1399" t="s">
        <v>5032</v>
      </c>
      <c r="H1399">
        <v>27</v>
      </c>
      <c r="I1399">
        <v>2.02</v>
      </c>
      <c r="J1399">
        <v>10</v>
      </c>
      <c r="K1399">
        <v>12919.94</v>
      </c>
      <c r="L1399">
        <v>6.4</v>
      </c>
    </row>
    <row r="1400" spans="1:12" x14ac:dyDescent="0.3">
      <c r="A1400" t="s">
        <v>1415</v>
      </c>
      <c r="B1400" t="s">
        <v>16</v>
      </c>
      <c r="C1400" t="s">
        <v>11</v>
      </c>
      <c r="D1400">
        <v>22</v>
      </c>
      <c r="E1400" s="1">
        <v>40881</v>
      </c>
      <c r="F1400">
        <v>2011</v>
      </c>
      <c r="G1400" t="s">
        <v>5041</v>
      </c>
      <c r="H1400">
        <v>4</v>
      </c>
      <c r="I1400">
        <v>2.5299999999999998</v>
      </c>
      <c r="J1400">
        <v>15</v>
      </c>
      <c r="K1400">
        <v>10360.82</v>
      </c>
      <c r="L1400">
        <v>13.9</v>
      </c>
    </row>
    <row r="1401" spans="1:12" x14ac:dyDescent="0.3">
      <c r="A1401" t="s">
        <v>1416</v>
      </c>
      <c r="B1401" t="s">
        <v>13</v>
      </c>
      <c r="C1401" t="s">
        <v>11</v>
      </c>
      <c r="D1401">
        <v>34</v>
      </c>
      <c r="E1401" s="1">
        <v>42856</v>
      </c>
      <c r="F1401">
        <v>2017</v>
      </c>
      <c r="G1401" t="s">
        <v>5036</v>
      </c>
      <c r="H1401">
        <v>1</v>
      </c>
      <c r="I1401">
        <v>4.54</v>
      </c>
      <c r="J1401">
        <v>6</v>
      </c>
      <c r="K1401">
        <v>8734.36</v>
      </c>
      <c r="L1401">
        <v>8.5</v>
      </c>
    </row>
    <row r="1402" spans="1:12" x14ac:dyDescent="0.3">
      <c r="A1402" t="s">
        <v>1417</v>
      </c>
      <c r="B1402" t="s">
        <v>24</v>
      </c>
      <c r="C1402" t="s">
        <v>14</v>
      </c>
      <c r="D1402">
        <v>41</v>
      </c>
      <c r="E1402" s="1">
        <v>42571</v>
      </c>
      <c r="F1402">
        <v>2016</v>
      </c>
      <c r="G1402" t="s">
        <v>5034</v>
      </c>
      <c r="H1402">
        <v>20</v>
      </c>
      <c r="I1402">
        <v>3.05</v>
      </c>
      <c r="J1402">
        <v>15</v>
      </c>
      <c r="K1402">
        <v>4078.24</v>
      </c>
      <c r="L1402">
        <v>9.3000000000000007</v>
      </c>
    </row>
    <row r="1403" spans="1:12" x14ac:dyDescent="0.3">
      <c r="A1403" t="s">
        <v>1418</v>
      </c>
      <c r="B1403" t="s">
        <v>13</v>
      </c>
      <c r="C1403" t="s">
        <v>11</v>
      </c>
      <c r="D1403">
        <v>53</v>
      </c>
      <c r="E1403" s="1">
        <v>44221</v>
      </c>
      <c r="F1403">
        <v>2021</v>
      </c>
      <c r="G1403" t="s">
        <v>5037</v>
      </c>
      <c r="H1403">
        <v>25</v>
      </c>
      <c r="I1403">
        <v>2.0099999999999998</v>
      </c>
      <c r="J1403">
        <v>9</v>
      </c>
      <c r="K1403">
        <v>6968.45</v>
      </c>
      <c r="L1403">
        <v>4.8</v>
      </c>
    </row>
    <row r="1404" spans="1:12" x14ac:dyDescent="0.3">
      <c r="A1404" t="s">
        <v>1419</v>
      </c>
      <c r="B1404" t="s">
        <v>34</v>
      </c>
      <c r="C1404" t="s">
        <v>14</v>
      </c>
      <c r="D1404">
        <v>28</v>
      </c>
      <c r="E1404" s="1">
        <v>44867</v>
      </c>
      <c r="F1404">
        <v>2022</v>
      </c>
      <c r="G1404" t="s">
        <v>5038</v>
      </c>
      <c r="H1404">
        <v>2</v>
      </c>
      <c r="I1404">
        <v>3.51</v>
      </c>
      <c r="J1404">
        <v>2</v>
      </c>
      <c r="K1404">
        <v>6252.75</v>
      </c>
      <c r="L1404">
        <v>3</v>
      </c>
    </row>
    <row r="1405" spans="1:12" x14ac:dyDescent="0.3">
      <c r="A1405" t="s">
        <v>1420</v>
      </c>
      <c r="B1405" t="s">
        <v>10</v>
      </c>
      <c r="C1405" t="s">
        <v>14</v>
      </c>
      <c r="D1405">
        <v>31</v>
      </c>
      <c r="E1405" s="1">
        <v>44862</v>
      </c>
      <c r="F1405">
        <v>2022</v>
      </c>
      <c r="G1405" t="s">
        <v>5039</v>
      </c>
      <c r="H1405">
        <v>28</v>
      </c>
      <c r="I1405">
        <v>2.58</v>
      </c>
      <c r="J1405">
        <v>0</v>
      </c>
      <c r="K1405">
        <v>11863.21</v>
      </c>
      <c r="L1405">
        <v>3</v>
      </c>
    </row>
    <row r="1406" spans="1:12" x14ac:dyDescent="0.3">
      <c r="A1406" t="s">
        <v>1421</v>
      </c>
      <c r="B1406" t="s">
        <v>13</v>
      </c>
      <c r="C1406" t="s">
        <v>14</v>
      </c>
      <c r="D1406">
        <v>47</v>
      </c>
      <c r="E1406" s="1">
        <v>45106</v>
      </c>
      <c r="F1406">
        <v>2023</v>
      </c>
      <c r="G1406" t="s">
        <v>5032</v>
      </c>
      <c r="H1406">
        <v>29</v>
      </c>
      <c r="I1406">
        <v>2.7</v>
      </c>
      <c r="J1406">
        <v>11</v>
      </c>
      <c r="K1406">
        <v>10216.51</v>
      </c>
      <c r="L1406">
        <v>2.2999999999999998</v>
      </c>
    </row>
    <row r="1407" spans="1:12" x14ac:dyDescent="0.3">
      <c r="A1407" t="s">
        <v>1422</v>
      </c>
      <c r="B1407" t="s">
        <v>18</v>
      </c>
      <c r="C1407" t="s">
        <v>11</v>
      </c>
      <c r="D1407">
        <v>26</v>
      </c>
      <c r="E1407" s="1">
        <v>42996</v>
      </c>
      <c r="F1407">
        <v>2017</v>
      </c>
      <c r="G1407" t="s">
        <v>5033</v>
      </c>
      <c r="H1407">
        <v>18</v>
      </c>
      <c r="I1407">
        <v>3.64</v>
      </c>
      <c r="J1407">
        <v>6</v>
      </c>
      <c r="K1407">
        <v>12095.42</v>
      </c>
      <c r="L1407">
        <v>8.1</v>
      </c>
    </row>
    <row r="1408" spans="1:12" x14ac:dyDescent="0.3">
      <c r="A1408" t="s">
        <v>1423</v>
      </c>
      <c r="B1408" t="s">
        <v>18</v>
      </c>
      <c r="C1408" t="s">
        <v>14</v>
      </c>
      <c r="D1408">
        <v>51</v>
      </c>
      <c r="E1408" s="1">
        <v>43579</v>
      </c>
      <c r="F1408">
        <v>2019</v>
      </c>
      <c r="G1408" t="s">
        <v>5040</v>
      </c>
      <c r="H1408">
        <v>24</v>
      </c>
      <c r="I1408">
        <v>3.94</v>
      </c>
      <c r="J1408">
        <v>12</v>
      </c>
      <c r="K1408">
        <v>13240.56</v>
      </c>
      <c r="L1408">
        <v>6.5</v>
      </c>
    </row>
    <row r="1409" spans="1:12" x14ac:dyDescent="0.3">
      <c r="A1409" t="s">
        <v>1424</v>
      </c>
      <c r="B1409" t="s">
        <v>18</v>
      </c>
      <c r="C1409" t="s">
        <v>14</v>
      </c>
      <c r="D1409">
        <v>54</v>
      </c>
      <c r="E1409" s="1">
        <v>43774</v>
      </c>
      <c r="F1409">
        <v>2019</v>
      </c>
      <c r="G1409" t="s">
        <v>5038</v>
      </c>
      <c r="H1409">
        <v>5</v>
      </c>
      <c r="I1409">
        <v>3.53</v>
      </c>
      <c r="J1409">
        <v>13</v>
      </c>
      <c r="K1409">
        <v>7759.26</v>
      </c>
      <c r="L1409">
        <v>6</v>
      </c>
    </row>
    <row r="1410" spans="1:12" x14ac:dyDescent="0.3">
      <c r="A1410" t="s">
        <v>1425</v>
      </c>
      <c r="B1410" t="s">
        <v>10</v>
      </c>
      <c r="C1410" t="s">
        <v>14</v>
      </c>
      <c r="D1410">
        <v>37</v>
      </c>
      <c r="E1410" s="1">
        <v>44594</v>
      </c>
      <c r="F1410">
        <v>2022</v>
      </c>
      <c r="G1410" t="s">
        <v>5042</v>
      </c>
      <c r="H1410">
        <v>2</v>
      </c>
      <c r="I1410">
        <v>2.83</v>
      </c>
      <c r="J1410">
        <v>5</v>
      </c>
      <c r="K1410">
        <v>9281.3799999999992</v>
      </c>
      <c r="L1410">
        <v>3.7</v>
      </c>
    </row>
    <row r="1411" spans="1:12" x14ac:dyDescent="0.3">
      <c r="A1411" t="s">
        <v>1426</v>
      </c>
      <c r="B1411" t="s">
        <v>34</v>
      </c>
      <c r="C1411" t="s">
        <v>14</v>
      </c>
      <c r="D1411">
        <v>56</v>
      </c>
      <c r="E1411" s="1">
        <v>43784</v>
      </c>
      <c r="F1411">
        <v>2019</v>
      </c>
      <c r="G1411" t="s">
        <v>5038</v>
      </c>
      <c r="H1411">
        <v>15</v>
      </c>
      <c r="I1411">
        <v>3.89</v>
      </c>
      <c r="J1411">
        <v>10</v>
      </c>
      <c r="K1411">
        <v>4203.83</v>
      </c>
      <c r="L1411">
        <v>6</v>
      </c>
    </row>
    <row r="1412" spans="1:12" x14ac:dyDescent="0.3">
      <c r="A1412" t="s">
        <v>1427</v>
      </c>
      <c r="B1412" t="s">
        <v>18</v>
      </c>
      <c r="C1412" t="s">
        <v>14</v>
      </c>
      <c r="D1412">
        <v>29</v>
      </c>
      <c r="E1412" s="1">
        <v>43743</v>
      </c>
      <c r="F1412">
        <v>2019</v>
      </c>
      <c r="G1412" t="s">
        <v>5039</v>
      </c>
      <c r="H1412">
        <v>5</v>
      </c>
      <c r="I1412">
        <v>2.0099999999999998</v>
      </c>
      <c r="J1412">
        <v>2</v>
      </c>
      <c r="K1412">
        <v>8714.9500000000007</v>
      </c>
      <c r="L1412">
        <v>6.1</v>
      </c>
    </row>
    <row r="1413" spans="1:12" x14ac:dyDescent="0.3">
      <c r="A1413" t="s">
        <v>1428</v>
      </c>
      <c r="B1413" t="s">
        <v>16</v>
      </c>
      <c r="C1413" t="s">
        <v>11</v>
      </c>
      <c r="D1413">
        <v>43</v>
      </c>
      <c r="E1413" s="1">
        <v>44487</v>
      </c>
      <c r="F1413">
        <v>2021</v>
      </c>
      <c r="G1413" t="s">
        <v>5039</v>
      </c>
      <c r="H1413">
        <v>18</v>
      </c>
      <c r="I1413">
        <v>4.5</v>
      </c>
      <c r="J1413">
        <v>15</v>
      </c>
      <c r="K1413">
        <v>10715.32</v>
      </c>
      <c r="L1413">
        <v>4</v>
      </c>
    </row>
    <row r="1414" spans="1:12" x14ac:dyDescent="0.3">
      <c r="A1414" t="s">
        <v>1429</v>
      </c>
      <c r="B1414" t="s">
        <v>16</v>
      </c>
      <c r="C1414" t="s">
        <v>14</v>
      </c>
      <c r="D1414">
        <v>33</v>
      </c>
      <c r="E1414" s="1">
        <v>40994</v>
      </c>
      <c r="F1414">
        <v>2012</v>
      </c>
      <c r="G1414" t="s">
        <v>5035</v>
      </c>
      <c r="H1414">
        <v>26</v>
      </c>
      <c r="I1414">
        <v>2.69</v>
      </c>
      <c r="J1414">
        <v>14</v>
      </c>
      <c r="K1414">
        <v>14562.29</v>
      </c>
      <c r="L1414">
        <v>13.6</v>
      </c>
    </row>
    <row r="1415" spans="1:12" x14ac:dyDescent="0.3">
      <c r="A1415" t="s">
        <v>1430</v>
      </c>
      <c r="B1415" t="s">
        <v>10</v>
      </c>
      <c r="C1415" t="s">
        <v>11</v>
      </c>
      <c r="D1415">
        <v>39</v>
      </c>
      <c r="E1415" s="1">
        <v>44457</v>
      </c>
      <c r="F1415">
        <v>2021</v>
      </c>
      <c r="G1415" t="s">
        <v>5033</v>
      </c>
      <c r="H1415">
        <v>18</v>
      </c>
      <c r="I1415">
        <v>1.98</v>
      </c>
      <c r="J1415">
        <v>9</v>
      </c>
      <c r="K1415">
        <v>8240.02</v>
      </c>
      <c r="L1415">
        <v>4.0999999999999996</v>
      </c>
    </row>
    <row r="1416" spans="1:12" x14ac:dyDescent="0.3">
      <c r="A1416" t="s">
        <v>1431</v>
      </c>
      <c r="B1416" t="s">
        <v>34</v>
      </c>
      <c r="C1416" t="s">
        <v>14</v>
      </c>
      <c r="D1416">
        <v>22</v>
      </c>
      <c r="E1416" s="1">
        <v>41704</v>
      </c>
      <c r="F1416">
        <v>2014</v>
      </c>
      <c r="G1416" t="s">
        <v>5035</v>
      </c>
      <c r="H1416">
        <v>6</v>
      </c>
      <c r="I1416">
        <v>4.7</v>
      </c>
      <c r="J1416">
        <v>10</v>
      </c>
      <c r="K1416">
        <v>3388.5</v>
      </c>
      <c r="L1416">
        <v>11.7</v>
      </c>
    </row>
    <row r="1417" spans="1:12" x14ac:dyDescent="0.3">
      <c r="A1417" t="s">
        <v>1432</v>
      </c>
      <c r="B1417" t="s">
        <v>24</v>
      </c>
      <c r="C1417" t="s">
        <v>11</v>
      </c>
      <c r="D1417">
        <v>53</v>
      </c>
      <c r="E1417" s="1">
        <v>40446</v>
      </c>
      <c r="F1417">
        <v>2010</v>
      </c>
      <c r="G1417" t="s">
        <v>5033</v>
      </c>
      <c r="H1417">
        <v>25</v>
      </c>
      <c r="I1417">
        <v>2.2799999999999998</v>
      </c>
      <c r="J1417">
        <v>8</v>
      </c>
      <c r="K1417">
        <v>3376.65</v>
      </c>
      <c r="L1417">
        <v>15.1</v>
      </c>
    </row>
    <row r="1418" spans="1:12" x14ac:dyDescent="0.3">
      <c r="A1418" t="s">
        <v>1433</v>
      </c>
      <c r="B1418" t="s">
        <v>13</v>
      </c>
      <c r="C1418" t="s">
        <v>11</v>
      </c>
      <c r="D1418">
        <v>55</v>
      </c>
      <c r="E1418" s="1">
        <v>42677</v>
      </c>
      <c r="F1418">
        <v>2016</v>
      </c>
      <c r="G1418" t="s">
        <v>5038</v>
      </c>
      <c r="H1418">
        <v>3</v>
      </c>
      <c r="I1418">
        <v>2.2200000000000002</v>
      </c>
      <c r="J1418">
        <v>0</v>
      </c>
      <c r="K1418">
        <v>11349.86</v>
      </c>
      <c r="L1418">
        <v>9</v>
      </c>
    </row>
    <row r="1419" spans="1:12" x14ac:dyDescent="0.3">
      <c r="A1419" t="s">
        <v>1434</v>
      </c>
      <c r="B1419" t="s">
        <v>16</v>
      </c>
      <c r="C1419" t="s">
        <v>14</v>
      </c>
      <c r="D1419">
        <v>58</v>
      </c>
      <c r="E1419" s="1">
        <v>45454</v>
      </c>
      <c r="F1419">
        <v>2024</v>
      </c>
      <c r="G1419" t="s">
        <v>5032</v>
      </c>
      <c r="H1419">
        <v>11</v>
      </c>
      <c r="I1419">
        <v>3.67</v>
      </c>
      <c r="J1419">
        <v>8</v>
      </c>
      <c r="K1419">
        <v>4478.41</v>
      </c>
      <c r="L1419">
        <v>1.4</v>
      </c>
    </row>
    <row r="1420" spans="1:12" x14ac:dyDescent="0.3">
      <c r="A1420" t="s">
        <v>1435</v>
      </c>
      <c r="B1420" t="s">
        <v>10</v>
      </c>
      <c r="C1420" t="s">
        <v>14</v>
      </c>
      <c r="D1420">
        <v>34</v>
      </c>
      <c r="E1420" s="1">
        <v>45470</v>
      </c>
      <c r="F1420">
        <v>2024</v>
      </c>
      <c r="G1420" t="s">
        <v>5032</v>
      </c>
      <c r="H1420">
        <v>27</v>
      </c>
      <c r="I1420">
        <v>2.6</v>
      </c>
      <c r="J1420">
        <v>2</v>
      </c>
      <c r="K1420">
        <v>5332.49</v>
      </c>
      <c r="L1420">
        <v>1.3</v>
      </c>
    </row>
    <row r="1421" spans="1:12" x14ac:dyDescent="0.3">
      <c r="A1421" t="s">
        <v>1436</v>
      </c>
      <c r="B1421" t="s">
        <v>18</v>
      </c>
      <c r="C1421" t="s">
        <v>11</v>
      </c>
      <c r="D1421">
        <v>31</v>
      </c>
      <c r="E1421" s="1">
        <v>41995</v>
      </c>
      <c r="F1421">
        <v>2014</v>
      </c>
      <c r="G1421" t="s">
        <v>5041</v>
      </c>
      <c r="H1421">
        <v>22</v>
      </c>
      <c r="I1421">
        <v>2.96</v>
      </c>
      <c r="J1421">
        <v>9</v>
      </c>
      <c r="K1421">
        <v>10185.25</v>
      </c>
      <c r="L1421">
        <v>10.9</v>
      </c>
    </row>
    <row r="1422" spans="1:12" x14ac:dyDescent="0.3">
      <c r="A1422" t="s">
        <v>1437</v>
      </c>
      <c r="B1422" t="s">
        <v>16</v>
      </c>
      <c r="C1422" t="s">
        <v>11</v>
      </c>
      <c r="D1422">
        <v>56</v>
      </c>
      <c r="E1422" s="1">
        <v>45346</v>
      </c>
      <c r="F1422">
        <v>2024</v>
      </c>
      <c r="G1422" t="s">
        <v>5042</v>
      </c>
      <c r="H1422">
        <v>24</v>
      </c>
      <c r="I1422">
        <v>2.0699999999999998</v>
      </c>
      <c r="J1422">
        <v>1</v>
      </c>
      <c r="K1422">
        <v>3848.9</v>
      </c>
      <c r="L1422">
        <v>1.7</v>
      </c>
    </row>
    <row r="1423" spans="1:12" x14ac:dyDescent="0.3">
      <c r="A1423" t="s">
        <v>1438</v>
      </c>
      <c r="B1423" t="s">
        <v>10</v>
      </c>
      <c r="C1423" t="s">
        <v>11</v>
      </c>
      <c r="D1423">
        <v>51</v>
      </c>
      <c r="E1423" s="1">
        <v>43507</v>
      </c>
      <c r="F1423">
        <v>2019</v>
      </c>
      <c r="G1423" t="s">
        <v>5042</v>
      </c>
      <c r="H1423">
        <v>11</v>
      </c>
      <c r="I1423">
        <v>1.72</v>
      </c>
      <c r="J1423">
        <v>5</v>
      </c>
      <c r="K1423">
        <v>11477.86</v>
      </c>
      <c r="L1423">
        <v>6.7</v>
      </c>
    </row>
    <row r="1424" spans="1:12" x14ac:dyDescent="0.3">
      <c r="A1424" t="s">
        <v>1439</v>
      </c>
      <c r="B1424" t="s">
        <v>34</v>
      </c>
      <c r="C1424" t="s">
        <v>14</v>
      </c>
      <c r="D1424">
        <v>41</v>
      </c>
      <c r="E1424" s="1">
        <v>40469</v>
      </c>
      <c r="F1424">
        <v>2010</v>
      </c>
      <c r="G1424" t="s">
        <v>5039</v>
      </c>
      <c r="H1424">
        <v>18</v>
      </c>
      <c r="I1424">
        <v>2.2799999999999998</v>
      </c>
      <c r="J1424">
        <v>7</v>
      </c>
      <c r="K1424">
        <v>4189.33</v>
      </c>
      <c r="L1424">
        <v>15</v>
      </c>
    </row>
    <row r="1425" spans="1:12" x14ac:dyDescent="0.3">
      <c r="A1425" t="s">
        <v>1440</v>
      </c>
      <c r="B1425" t="s">
        <v>24</v>
      </c>
      <c r="C1425" t="s">
        <v>11</v>
      </c>
      <c r="D1425">
        <v>44</v>
      </c>
      <c r="E1425" s="1">
        <v>40562</v>
      </c>
      <c r="F1425">
        <v>2011</v>
      </c>
      <c r="G1425" t="s">
        <v>5037</v>
      </c>
      <c r="H1425">
        <v>19</v>
      </c>
      <c r="I1425">
        <v>1.53</v>
      </c>
      <c r="J1425">
        <v>5</v>
      </c>
      <c r="K1425">
        <v>9465.1</v>
      </c>
      <c r="L1425">
        <v>14.8</v>
      </c>
    </row>
    <row r="1426" spans="1:12" x14ac:dyDescent="0.3">
      <c r="A1426" t="s">
        <v>1441</v>
      </c>
      <c r="B1426" t="s">
        <v>34</v>
      </c>
      <c r="C1426" t="s">
        <v>14</v>
      </c>
      <c r="D1426">
        <v>33</v>
      </c>
      <c r="E1426" s="1">
        <v>43207</v>
      </c>
      <c r="F1426">
        <v>2018</v>
      </c>
      <c r="G1426" t="s">
        <v>5040</v>
      </c>
      <c r="H1426">
        <v>17</v>
      </c>
      <c r="I1426">
        <v>2.92</v>
      </c>
      <c r="J1426">
        <v>0</v>
      </c>
      <c r="K1426">
        <v>6697.13</v>
      </c>
      <c r="L1426">
        <v>7.5</v>
      </c>
    </row>
    <row r="1427" spans="1:12" x14ac:dyDescent="0.3">
      <c r="A1427" t="s">
        <v>1442</v>
      </c>
      <c r="B1427" t="s">
        <v>34</v>
      </c>
      <c r="C1427" t="s">
        <v>11</v>
      </c>
      <c r="D1427">
        <v>51</v>
      </c>
      <c r="E1427" s="1">
        <v>44352</v>
      </c>
      <c r="F1427">
        <v>2021</v>
      </c>
      <c r="G1427" t="s">
        <v>5032</v>
      </c>
      <c r="H1427">
        <v>5</v>
      </c>
      <c r="I1427">
        <v>4.6399999999999997</v>
      </c>
      <c r="J1427">
        <v>6</v>
      </c>
      <c r="K1427">
        <v>13640.02</v>
      </c>
      <c r="L1427">
        <v>4.4000000000000004</v>
      </c>
    </row>
    <row r="1428" spans="1:12" x14ac:dyDescent="0.3">
      <c r="A1428" t="s">
        <v>1443</v>
      </c>
      <c r="B1428" t="s">
        <v>18</v>
      </c>
      <c r="C1428" t="s">
        <v>14</v>
      </c>
      <c r="D1428">
        <v>39</v>
      </c>
      <c r="E1428" s="1">
        <v>42765</v>
      </c>
      <c r="F1428">
        <v>2017</v>
      </c>
      <c r="G1428" t="s">
        <v>5037</v>
      </c>
      <c r="H1428">
        <v>30</v>
      </c>
      <c r="I1428">
        <v>3.67</v>
      </c>
      <c r="J1428">
        <v>6</v>
      </c>
      <c r="K1428">
        <v>9514.83</v>
      </c>
      <c r="L1428">
        <v>8.8000000000000007</v>
      </c>
    </row>
    <row r="1429" spans="1:12" x14ac:dyDescent="0.3">
      <c r="A1429" t="s">
        <v>1444</v>
      </c>
      <c r="B1429" t="s">
        <v>24</v>
      </c>
      <c r="C1429" t="s">
        <v>14</v>
      </c>
      <c r="D1429">
        <v>56</v>
      </c>
      <c r="E1429" s="1">
        <v>42713</v>
      </c>
      <c r="F1429">
        <v>2016</v>
      </c>
      <c r="G1429" t="s">
        <v>5041</v>
      </c>
      <c r="H1429">
        <v>9</v>
      </c>
      <c r="I1429">
        <v>1.51</v>
      </c>
      <c r="J1429">
        <v>6</v>
      </c>
      <c r="K1429">
        <v>12486.21</v>
      </c>
      <c r="L1429">
        <v>8.9</v>
      </c>
    </row>
    <row r="1430" spans="1:12" x14ac:dyDescent="0.3">
      <c r="A1430" t="s">
        <v>1445</v>
      </c>
      <c r="B1430" t="s">
        <v>24</v>
      </c>
      <c r="C1430" t="s">
        <v>14</v>
      </c>
      <c r="D1430">
        <v>34</v>
      </c>
      <c r="E1430" s="1">
        <v>41077</v>
      </c>
      <c r="F1430">
        <v>2012</v>
      </c>
      <c r="G1430" t="s">
        <v>5032</v>
      </c>
      <c r="H1430">
        <v>17</v>
      </c>
      <c r="I1430">
        <v>4.3</v>
      </c>
      <c r="J1430">
        <v>0</v>
      </c>
      <c r="K1430">
        <v>7046.83</v>
      </c>
      <c r="L1430">
        <v>13.4</v>
      </c>
    </row>
    <row r="1431" spans="1:12" x14ac:dyDescent="0.3">
      <c r="A1431" t="s">
        <v>1446</v>
      </c>
      <c r="B1431" t="s">
        <v>10</v>
      </c>
      <c r="C1431" t="s">
        <v>14</v>
      </c>
      <c r="D1431">
        <v>41</v>
      </c>
      <c r="E1431" s="1">
        <v>41990</v>
      </c>
      <c r="F1431">
        <v>2014</v>
      </c>
      <c r="G1431" t="s">
        <v>5041</v>
      </c>
      <c r="H1431">
        <v>17</v>
      </c>
      <c r="I1431">
        <v>4.8099999999999996</v>
      </c>
      <c r="J1431">
        <v>9</v>
      </c>
      <c r="K1431">
        <v>4358.22</v>
      </c>
      <c r="L1431">
        <v>10.9</v>
      </c>
    </row>
    <row r="1432" spans="1:12" x14ac:dyDescent="0.3">
      <c r="A1432" t="s">
        <v>1447</v>
      </c>
      <c r="B1432" t="s">
        <v>34</v>
      </c>
      <c r="C1432" t="s">
        <v>11</v>
      </c>
      <c r="D1432">
        <v>36</v>
      </c>
      <c r="E1432" s="1">
        <v>41755</v>
      </c>
      <c r="F1432">
        <v>2014</v>
      </c>
      <c r="G1432" t="s">
        <v>5040</v>
      </c>
      <c r="H1432">
        <v>26</v>
      </c>
      <c r="I1432">
        <v>3.64</v>
      </c>
      <c r="J1432">
        <v>0</v>
      </c>
      <c r="K1432">
        <v>10976.8</v>
      </c>
      <c r="L1432">
        <v>11.5</v>
      </c>
    </row>
    <row r="1433" spans="1:12" x14ac:dyDescent="0.3">
      <c r="A1433" t="s">
        <v>1448</v>
      </c>
      <c r="B1433" t="s">
        <v>16</v>
      </c>
      <c r="C1433" t="s">
        <v>11</v>
      </c>
      <c r="D1433">
        <v>60</v>
      </c>
      <c r="E1433" s="1">
        <v>41861</v>
      </c>
      <c r="F1433">
        <v>2014</v>
      </c>
      <c r="G1433" t="s">
        <v>5031</v>
      </c>
      <c r="H1433">
        <v>10</v>
      </c>
      <c r="I1433">
        <v>1.77</v>
      </c>
      <c r="J1433">
        <v>10</v>
      </c>
      <c r="K1433">
        <v>3854.12</v>
      </c>
      <c r="L1433">
        <v>11.2</v>
      </c>
    </row>
    <row r="1434" spans="1:12" x14ac:dyDescent="0.3">
      <c r="A1434" t="s">
        <v>1449</v>
      </c>
      <c r="B1434" t="s">
        <v>13</v>
      </c>
      <c r="C1434" t="s">
        <v>11</v>
      </c>
      <c r="D1434">
        <v>43</v>
      </c>
      <c r="E1434" s="1">
        <v>45948</v>
      </c>
      <c r="F1434">
        <v>2025</v>
      </c>
      <c r="G1434" t="s">
        <v>5039</v>
      </c>
      <c r="H1434">
        <v>18</v>
      </c>
      <c r="I1434">
        <v>1.56</v>
      </c>
      <c r="J1434">
        <v>12</v>
      </c>
      <c r="K1434">
        <v>14365.76</v>
      </c>
      <c r="L1434">
        <v>0</v>
      </c>
    </row>
    <row r="1435" spans="1:12" x14ac:dyDescent="0.3">
      <c r="A1435" t="s">
        <v>1450</v>
      </c>
      <c r="B1435" t="s">
        <v>13</v>
      </c>
      <c r="C1435" t="s">
        <v>11</v>
      </c>
      <c r="D1435">
        <v>42</v>
      </c>
      <c r="E1435" s="1">
        <v>43361</v>
      </c>
      <c r="F1435">
        <v>2018</v>
      </c>
      <c r="G1435" t="s">
        <v>5033</v>
      </c>
      <c r="H1435">
        <v>18</v>
      </c>
      <c r="I1435">
        <v>2.0499999999999998</v>
      </c>
      <c r="J1435">
        <v>10</v>
      </c>
      <c r="K1435">
        <v>8706.61</v>
      </c>
      <c r="L1435">
        <v>7.1</v>
      </c>
    </row>
    <row r="1436" spans="1:12" x14ac:dyDescent="0.3">
      <c r="A1436" t="s">
        <v>1451</v>
      </c>
      <c r="B1436" t="s">
        <v>24</v>
      </c>
      <c r="C1436" t="s">
        <v>14</v>
      </c>
      <c r="D1436">
        <v>26</v>
      </c>
      <c r="E1436" s="1">
        <v>44249</v>
      </c>
      <c r="F1436">
        <v>2021</v>
      </c>
      <c r="G1436" t="s">
        <v>5042</v>
      </c>
      <c r="H1436">
        <v>22</v>
      </c>
      <c r="I1436">
        <v>2.85</v>
      </c>
      <c r="J1436">
        <v>2</v>
      </c>
      <c r="K1436">
        <v>11722.98</v>
      </c>
      <c r="L1436">
        <v>4.7</v>
      </c>
    </row>
    <row r="1437" spans="1:12" x14ac:dyDescent="0.3">
      <c r="A1437" t="s">
        <v>1452</v>
      </c>
      <c r="B1437" t="s">
        <v>13</v>
      </c>
      <c r="C1437" t="s">
        <v>11</v>
      </c>
      <c r="D1437">
        <v>44</v>
      </c>
      <c r="E1437" s="1">
        <v>40608</v>
      </c>
      <c r="F1437">
        <v>2011</v>
      </c>
      <c r="G1437" t="s">
        <v>5035</v>
      </c>
      <c r="H1437">
        <v>6</v>
      </c>
      <c r="I1437">
        <v>3.42</v>
      </c>
      <c r="J1437">
        <v>15</v>
      </c>
      <c r="K1437">
        <v>11524.53</v>
      </c>
      <c r="L1437">
        <v>14.7</v>
      </c>
    </row>
    <row r="1438" spans="1:12" x14ac:dyDescent="0.3">
      <c r="A1438" t="s">
        <v>1453</v>
      </c>
      <c r="B1438" t="s">
        <v>10</v>
      </c>
      <c r="C1438" t="s">
        <v>14</v>
      </c>
      <c r="D1438">
        <v>45</v>
      </c>
      <c r="E1438" s="1">
        <v>41290</v>
      </c>
      <c r="F1438">
        <v>2013</v>
      </c>
      <c r="G1438" t="s">
        <v>5037</v>
      </c>
      <c r="H1438">
        <v>16</v>
      </c>
      <c r="I1438">
        <v>4.9800000000000004</v>
      </c>
      <c r="J1438">
        <v>14</v>
      </c>
      <c r="K1438">
        <v>8986.27</v>
      </c>
      <c r="L1438">
        <v>12.8</v>
      </c>
    </row>
    <row r="1439" spans="1:12" x14ac:dyDescent="0.3">
      <c r="A1439" t="s">
        <v>1454</v>
      </c>
      <c r="B1439" t="s">
        <v>24</v>
      </c>
      <c r="C1439" t="s">
        <v>11</v>
      </c>
      <c r="D1439">
        <v>31</v>
      </c>
      <c r="E1439" s="1">
        <v>40965</v>
      </c>
      <c r="F1439">
        <v>2012</v>
      </c>
      <c r="G1439" t="s">
        <v>5042</v>
      </c>
      <c r="H1439">
        <v>26</v>
      </c>
      <c r="I1439">
        <v>3.09</v>
      </c>
      <c r="J1439">
        <v>0</v>
      </c>
      <c r="K1439">
        <v>8724.74</v>
      </c>
      <c r="L1439">
        <v>13.7</v>
      </c>
    </row>
    <row r="1440" spans="1:12" x14ac:dyDescent="0.3">
      <c r="A1440" t="s">
        <v>1455</v>
      </c>
      <c r="B1440" t="s">
        <v>13</v>
      </c>
      <c r="C1440" t="s">
        <v>14</v>
      </c>
      <c r="D1440">
        <v>36</v>
      </c>
      <c r="E1440" s="1">
        <v>40323</v>
      </c>
      <c r="F1440">
        <v>2010</v>
      </c>
      <c r="G1440" t="s">
        <v>5036</v>
      </c>
      <c r="H1440">
        <v>25</v>
      </c>
      <c r="I1440">
        <v>4.93</v>
      </c>
      <c r="J1440">
        <v>11</v>
      </c>
      <c r="K1440">
        <v>13388.27</v>
      </c>
      <c r="L1440">
        <v>15.4</v>
      </c>
    </row>
    <row r="1441" spans="1:12" x14ac:dyDescent="0.3">
      <c r="A1441" t="s">
        <v>1456</v>
      </c>
      <c r="B1441" t="s">
        <v>13</v>
      </c>
      <c r="C1441" t="s">
        <v>11</v>
      </c>
      <c r="D1441">
        <v>38</v>
      </c>
      <c r="E1441" s="1">
        <v>42143</v>
      </c>
      <c r="F1441">
        <v>2015</v>
      </c>
      <c r="G1441" t="s">
        <v>5036</v>
      </c>
      <c r="H1441">
        <v>19</v>
      </c>
      <c r="I1441">
        <v>2.82</v>
      </c>
      <c r="J1441">
        <v>14</v>
      </c>
      <c r="K1441">
        <v>14152.21</v>
      </c>
      <c r="L1441">
        <v>10.5</v>
      </c>
    </row>
    <row r="1442" spans="1:12" x14ac:dyDescent="0.3">
      <c r="A1442" t="s">
        <v>1457</v>
      </c>
      <c r="B1442" t="s">
        <v>10</v>
      </c>
      <c r="C1442" t="s">
        <v>11</v>
      </c>
      <c r="D1442">
        <v>45</v>
      </c>
      <c r="E1442" s="1">
        <v>43922</v>
      </c>
      <c r="F1442">
        <v>2020</v>
      </c>
      <c r="G1442" t="s">
        <v>5040</v>
      </c>
      <c r="H1442">
        <v>1</v>
      </c>
      <c r="I1442">
        <v>2.59</v>
      </c>
      <c r="J1442">
        <v>1</v>
      </c>
      <c r="K1442">
        <v>11661.25</v>
      </c>
      <c r="L1442">
        <v>5.6</v>
      </c>
    </row>
    <row r="1443" spans="1:12" x14ac:dyDescent="0.3">
      <c r="A1443" t="s">
        <v>1458</v>
      </c>
      <c r="B1443" t="s">
        <v>34</v>
      </c>
      <c r="C1443" t="s">
        <v>11</v>
      </c>
      <c r="D1443">
        <v>29</v>
      </c>
      <c r="E1443" s="1">
        <v>44521</v>
      </c>
      <c r="F1443">
        <v>2021</v>
      </c>
      <c r="G1443" t="s">
        <v>5038</v>
      </c>
      <c r="H1443">
        <v>21</v>
      </c>
      <c r="I1443">
        <v>2.2000000000000002</v>
      </c>
      <c r="J1443">
        <v>11</v>
      </c>
      <c r="K1443">
        <v>9629.7000000000007</v>
      </c>
      <c r="L1443">
        <v>3.9</v>
      </c>
    </row>
    <row r="1444" spans="1:12" x14ac:dyDescent="0.3">
      <c r="A1444" t="s">
        <v>1459</v>
      </c>
      <c r="B1444" t="s">
        <v>16</v>
      </c>
      <c r="C1444" t="s">
        <v>11</v>
      </c>
      <c r="D1444">
        <v>29</v>
      </c>
      <c r="E1444" s="1">
        <v>45393</v>
      </c>
      <c r="F1444">
        <v>2024</v>
      </c>
      <c r="G1444" t="s">
        <v>5040</v>
      </c>
      <c r="H1444">
        <v>11</v>
      </c>
      <c r="I1444">
        <v>3.72</v>
      </c>
      <c r="J1444">
        <v>7</v>
      </c>
      <c r="K1444">
        <v>4503.01</v>
      </c>
      <c r="L1444">
        <v>1.6</v>
      </c>
    </row>
    <row r="1445" spans="1:12" x14ac:dyDescent="0.3">
      <c r="A1445" t="s">
        <v>1460</v>
      </c>
      <c r="B1445" t="s">
        <v>34</v>
      </c>
      <c r="C1445" t="s">
        <v>14</v>
      </c>
      <c r="D1445">
        <v>38</v>
      </c>
      <c r="E1445" s="1">
        <v>41698</v>
      </c>
      <c r="F1445">
        <v>2014</v>
      </c>
      <c r="G1445" t="s">
        <v>5042</v>
      </c>
      <c r="H1445">
        <v>28</v>
      </c>
      <c r="I1445">
        <v>1.6</v>
      </c>
      <c r="J1445">
        <v>1</v>
      </c>
      <c r="K1445">
        <v>3871.92</v>
      </c>
      <c r="L1445">
        <v>11.7</v>
      </c>
    </row>
    <row r="1446" spans="1:12" x14ac:dyDescent="0.3">
      <c r="A1446" t="s">
        <v>1461</v>
      </c>
      <c r="B1446" t="s">
        <v>18</v>
      </c>
      <c r="C1446" t="s">
        <v>11</v>
      </c>
      <c r="D1446">
        <v>35</v>
      </c>
      <c r="E1446" s="1">
        <v>42621</v>
      </c>
      <c r="F1446">
        <v>2016</v>
      </c>
      <c r="G1446" t="s">
        <v>5033</v>
      </c>
      <c r="H1446">
        <v>8</v>
      </c>
      <c r="I1446">
        <v>4.8499999999999996</v>
      </c>
      <c r="J1446">
        <v>14</v>
      </c>
      <c r="K1446">
        <v>10703.16</v>
      </c>
      <c r="L1446">
        <v>9.1999999999999993</v>
      </c>
    </row>
    <row r="1447" spans="1:12" x14ac:dyDescent="0.3">
      <c r="A1447" t="s">
        <v>1462</v>
      </c>
      <c r="B1447" t="s">
        <v>18</v>
      </c>
      <c r="C1447" t="s">
        <v>14</v>
      </c>
      <c r="D1447">
        <v>44</v>
      </c>
      <c r="E1447" s="1">
        <v>42276</v>
      </c>
      <c r="F1447">
        <v>2015</v>
      </c>
      <c r="G1447" t="s">
        <v>5033</v>
      </c>
      <c r="H1447">
        <v>29</v>
      </c>
      <c r="I1447">
        <v>1.9</v>
      </c>
      <c r="J1447">
        <v>4</v>
      </c>
      <c r="K1447">
        <v>13341.04</v>
      </c>
      <c r="L1447">
        <v>10.1</v>
      </c>
    </row>
    <row r="1448" spans="1:12" x14ac:dyDescent="0.3">
      <c r="A1448" t="s">
        <v>1463</v>
      </c>
      <c r="B1448" t="s">
        <v>18</v>
      </c>
      <c r="C1448" t="s">
        <v>14</v>
      </c>
      <c r="D1448">
        <v>32</v>
      </c>
      <c r="E1448" s="1">
        <v>40697</v>
      </c>
      <c r="F1448">
        <v>2011</v>
      </c>
      <c r="G1448" t="s">
        <v>5032</v>
      </c>
      <c r="H1448">
        <v>3</v>
      </c>
      <c r="I1448">
        <v>2.4</v>
      </c>
      <c r="J1448">
        <v>14</v>
      </c>
      <c r="K1448">
        <v>7552.81</v>
      </c>
      <c r="L1448">
        <v>14.4</v>
      </c>
    </row>
    <row r="1449" spans="1:12" x14ac:dyDescent="0.3">
      <c r="A1449" t="s">
        <v>1464</v>
      </c>
      <c r="B1449" t="s">
        <v>24</v>
      </c>
      <c r="C1449" t="s">
        <v>11</v>
      </c>
      <c r="D1449">
        <v>44</v>
      </c>
      <c r="E1449" s="1">
        <v>45467</v>
      </c>
      <c r="F1449">
        <v>2024</v>
      </c>
      <c r="G1449" t="s">
        <v>5032</v>
      </c>
      <c r="H1449">
        <v>24</v>
      </c>
      <c r="I1449">
        <v>1.55</v>
      </c>
      <c r="J1449">
        <v>10</v>
      </c>
      <c r="K1449">
        <v>12005.64</v>
      </c>
      <c r="L1449">
        <v>1.4</v>
      </c>
    </row>
    <row r="1450" spans="1:12" x14ac:dyDescent="0.3">
      <c r="A1450" t="s">
        <v>1465</v>
      </c>
      <c r="B1450" t="s">
        <v>24</v>
      </c>
      <c r="C1450" t="s">
        <v>11</v>
      </c>
      <c r="D1450">
        <v>29</v>
      </c>
      <c r="E1450" s="1">
        <v>44244</v>
      </c>
      <c r="F1450">
        <v>2021</v>
      </c>
      <c r="G1450" t="s">
        <v>5042</v>
      </c>
      <c r="H1450">
        <v>17</v>
      </c>
      <c r="I1450">
        <v>3.08</v>
      </c>
      <c r="J1450">
        <v>14</v>
      </c>
      <c r="K1450">
        <v>7264.17</v>
      </c>
      <c r="L1450">
        <v>4.7</v>
      </c>
    </row>
    <row r="1451" spans="1:12" x14ac:dyDescent="0.3">
      <c r="A1451" t="s">
        <v>1466</v>
      </c>
      <c r="B1451" t="s">
        <v>10</v>
      </c>
      <c r="C1451" t="s">
        <v>11</v>
      </c>
      <c r="D1451">
        <v>48</v>
      </c>
      <c r="E1451" s="1">
        <v>45954</v>
      </c>
      <c r="F1451">
        <v>2025</v>
      </c>
      <c r="G1451" t="s">
        <v>5039</v>
      </c>
      <c r="H1451">
        <v>24</v>
      </c>
      <c r="I1451">
        <v>4.87</v>
      </c>
      <c r="J1451">
        <v>1</v>
      </c>
      <c r="K1451">
        <v>5723.11</v>
      </c>
      <c r="L1451">
        <v>0</v>
      </c>
    </row>
    <row r="1452" spans="1:12" x14ac:dyDescent="0.3">
      <c r="A1452" t="s">
        <v>1467</v>
      </c>
      <c r="B1452" t="s">
        <v>24</v>
      </c>
      <c r="C1452" t="s">
        <v>14</v>
      </c>
      <c r="D1452">
        <v>41</v>
      </c>
      <c r="E1452" s="1">
        <v>41021</v>
      </c>
      <c r="F1452">
        <v>2012</v>
      </c>
      <c r="G1452" t="s">
        <v>5040</v>
      </c>
      <c r="H1452">
        <v>22</v>
      </c>
      <c r="I1452">
        <v>1.89</v>
      </c>
      <c r="J1452">
        <v>14</v>
      </c>
      <c r="K1452">
        <v>4675.47</v>
      </c>
      <c r="L1452">
        <v>13.5</v>
      </c>
    </row>
    <row r="1453" spans="1:12" x14ac:dyDescent="0.3">
      <c r="A1453" t="s">
        <v>1468</v>
      </c>
      <c r="B1453" t="s">
        <v>10</v>
      </c>
      <c r="C1453" t="s">
        <v>14</v>
      </c>
      <c r="D1453">
        <v>49</v>
      </c>
      <c r="E1453" s="1">
        <v>40609</v>
      </c>
      <c r="F1453">
        <v>2011</v>
      </c>
      <c r="G1453" t="s">
        <v>5035</v>
      </c>
      <c r="H1453">
        <v>7</v>
      </c>
      <c r="I1453">
        <v>2.29</v>
      </c>
      <c r="J1453">
        <v>15</v>
      </c>
      <c r="K1453">
        <v>5662.43</v>
      </c>
      <c r="L1453">
        <v>14.7</v>
      </c>
    </row>
    <row r="1454" spans="1:12" x14ac:dyDescent="0.3">
      <c r="A1454" t="s">
        <v>1469</v>
      </c>
      <c r="B1454" t="s">
        <v>13</v>
      </c>
      <c r="C1454" t="s">
        <v>14</v>
      </c>
      <c r="D1454">
        <v>57</v>
      </c>
      <c r="E1454" s="1">
        <v>45459</v>
      </c>
      <c r="F1454">
        <v>2024</v>
      </c>
      <c r="G1454" t="s">
        <v>5032</v>
      </c>
      <c r="H1454">
        <v>16</v>
      </c>
      <c r="I1454">
        <v>4.18</v>
      </c>
      <c r="J1454">
        <v>11</v>
      </c>
      <c r="K1454">
        <v>3672</v>
      </c>
      <c r="L1454">
        <v>1.4</v>
      </c>
    </row>
    <row r="1455" spans="1:12" x14ac:dyDescent="0.3">
      <c r="A1455" t="s">
        <v>1470</v>
      </c>
      <c r="B1455" t="s">
        <v>34</v>
      </c>
      <c r="C1455" t="s">
        <v>14</v>
      </c>
      <c r="D1455">
        <v>48</v>
      </c>
      <c r="E1455" s="1">
        <v>43474</v>
      </c>
      <c r="F1455">
        <v>2019</v>
      </c>
      <c r="G1455" t="s">
        <v>5037</v>
      </c>
      <c r="H1455">
        <v>9</v>
      </c>
      <c r="I1455">
        <v>2.65</v>
      </c>
      <c r="J1455">
        <v>1</v>
      </c>
      <c r="K1455">
        <v>6175.96</v>
      </c>
      <c r="L1455">
        <v>6.8</v>
      </c>
    </row>
    <row r="1456" spans="1:12" x14ac:dyDescent="0.3">
      <c r="A1456" t="s">
        <v>1471</v>
      </c>
      <c r="B1456" t="s">
        <v>13</v>
      </c>
      <c r="C1456" t="s">
        <v>11</v>
      </c>
      <c r="D1456">
        <v>32</v>
      </c>
      <c r="E1456" s="1">
        <v>41236</v>
      </c>
      <c r="F1456">
        <v>2012</v>
      </c>
      <c r="G1456" t="s">
        <v>5038</v>
      </c>
      <c r="H1456">
        <v>23</v>
      </c>
      <c r="I1456">
        <v>2.74</v>
      </c>
      <c r="J1456">
        <v>14</v>
      </c>
      <c r="K1456">
        <v>14255.77</v>
      </c>
      <c r="L1456">
        <v>12.9</v>
      </c>
    </row>
    <row r="1457" spans="1:12" x14ac:dyDescent="0.3">
      <c r="A1457" t="s">
        <v>1472</v>
      </c>
      <c r="B1457" t="s">
        <v>16</v>
      </c>
      <c r="C1457" t="s">
        <v>14</v>
      </c>
      <c r="D1457">
        <v>22</v>
      </c>
      <c r="E1457" s="1">
        <v>43929</v>
      </c>
      <c r="F1457">
        <v>2020</v>
      </c>
      <c r="G1457" t="s">
        <v>5040</v>
      </c>
      <c r="H1457">
        <v>8</v>
      </c>
      <c r="I1457">
        <v>3.29</v>
      </c>
      <c r="J1457">
        <v>4</v>
      </c>
      <c r="K1457">
        <v>12859.33</v>
      </c>
      <c r="L1457">
        <v>5.6</v>
      </c>
    </row>
    <row r="1458" spans="1:12" x14ac:dyDescent="0.3">
      <c r="A1458" t="s">
        <v>1473</v>
      </c>
      <c r="B1458" t="s">
        <v>34</v>
      </c>
      <c r="C1458" t="s">
        <v>11</v>
      </c>
      <c r="D1458">
        <v>33</v>
      </c>
      <c r="E1458" s="1">
        <v>45739</v>
      </c>
      <c r="F1458">
        <v>2025</v>
      </c>
      <c r="G1458" t="s">
        <v>5035</v>
      </c>
      <c r="H1458">
        <v>23</v>
      </c>
      <c r="I1458">
        <v>4.09</v>
      </c>
      <c r="J1458">
        <v>4</v>
      </c>
      <c r="K1458">
        <v>11433.28</v>
      </c>
      <c r="L1458">
        <v>0.6</v>
      </c>
    </row>
    <row r="1459" spans="1:12" x14ac:dyDescent="0.3">
      <c r="A1459" t="s">
        <v>1474</v>
      </c>
      <c r="B1459" t="s">
        <v>18</v>
      </c>
      <c r="C1459" t="s">
        <v>11</v>
      </c>
      <c r="D1459">
        <v>36</v>
      </c>
      <c r="E1459" s="1">
        <v>43214</v>
      </c>
      <c r="F1459">
        <v>2018</v>
      </c>
      <c r="G1459" t="s">
        <v>5040</v>
      </c>
      <c r="H1459">
        <v>24</v>
      </c>
      <c r="I1459">
        <v>1.64</v>
      </c>
      <c r="J1459">
        <v>3</v>
      </c>
      <c r="K1459">
        <v>12653.01</v>
      </c>
      <c r="L1459">
        <v>7.5</v>
      </c>
    </row>
    <row r="1460" spans="1:12" x14ac:dyDescent="0.3">
      <c r="A1460" t="s">
        <v>1475</v>
      </c>
      <c r="B1460" t="s">
        <v>10</v>
      </c>
      <c r="C1460" t="s">
        <v>11</v>
      </c>
      <c r="D1460">
        <v>33</v>
      </c>
      <c r="E1460" s="1">
        <v>40965</v>
      </c>
      <c r="F1460">
        <v>2012</v>
      </c>
      <c r="G1460" t="s">
        <v>5042</v>
      </c>
      <c r="H1460">
        <v>26</v>
      </c>
      <c r="I1460">
        <v>4.18</v>
      </c>
      <c r="J1460">
        <v>10</v>
      </c>
      <c r="K1460">
        <v>3368.83</v>
      </c>
      <c r="L1460">
        <v>13.7</v>
      </c>
    </row>
    <row r="1461" spans="1:12" x14ac:dyDescent="0.3">
      <c r="A1461" t="s">
        <v>1476</v>
      </c>
      <c r="B1461" t="s">
        <v>18</v>
      </c>
      <c r="C1461" t="s">
        <v>14</v>
      </c>
      <c r="D1461">
        <v>47</v>
      </c>
      <c r="E1461" s="1">
        <v>42768</v>
      </c>
      <c r="F1461">
        <v>2017</v>
      </c>
      <c r="G1461" t="s">
        <v>5042</v>
      </c>
      <c r="H1461">
        <v>2</v>
      </c>
      <c r="I1461">
        <v>1.8</v>
      </c>
      <c r="J1461">
        <v>7</v>
      </c>
      <c r="K1461">
        <v>4280.03</v>
      </c>
      <c r="L1461">
        <v>8.8000000000000007</v>
      </c>
    </row>
    <row r="1462" spans="1:12" x14ac:dyDescent="0.3">
      <c r="A1462" t="s">
        <v>1477</v>
      </c>
      <c r="B1462" t="s">
        <v>16</v>
      </c>
      <c r="C1462" t="s">
        <v>11</v>
      </c>
      <c r="D1462">
        <v>26</v>
      </c>
      <c r="E1462" s="1">
        <v>44748</v>
      </c>
      <c r="F1462">
        <v>2022</v>
      </c>
      <c r="G1462" t="s">
        <v>5034</v>
      </c>
      <c r="H1462">
        <v>6</v>
      </c>
      <c r="I1462">
        <v>2.4500000000000002</v>
      </c>
      <c r="J1462">
        <v>6</v>
      </c>
      <c r="K1462">
        <v>4276.25</v>
      </c>
      <c r="L1462">
        <v>3.3</v>
      </c>
    </row>
    <row r="1463" spans="1:12" x14ac:dyDescent="0.3">
      <c r="A1463" t="s">
        <v>1478</v>
      </c>
      <c r="B1463" t="s">
        <v>34</v>
      </c>
      <c r="C1463" t="s">
        <v>11</v>
      </c>
      <c r="D1463">
        <v>37</v>
      </c>
      <c r="E1463" s="1">
        <v>45523</v>
      </c>
      <c r="F1463">
        <v>2024</v>
      </c>
      <c r="G1463" t="s">
        <v>5031</v>
      </c>
      <c r="H1463">
        <v>19</v>
      </c>
      <c r="I1463">
        <v>4.87</v>
      </c>
      <c r="J1463">
        <v>12</v>
      </c>
      <c r="K1463">
        <v>9915.94</v>
      </c>
      <c r="L1463">
        <v>1.2</v>
      </c>
    </row>
    <row r="1464" spans="1:12" x14ac:dyDescent="0.3">
      <c r="A1464" t="s">
        <v>1479</v>
      </c>
      <c r="B1464" t="s">
        <v>10</v>
      </c>
      <c r="C1464" t="s">
        <v>11</v>
      </c>
      <c r="D1464">
        <v>34</v>
      </c>
      <c r="E1464" s="1">
        <v>43889</v>
      </c>
      <c r="F1464">
        <v>2020</v>
      </c>
      <c r="G1464" t="s">
        <v>5042</v>
      </c>
      <c r="H1464">
        <v>28</v>
      </c>
      <c r="I1464">
        <v>2.81</v>
      </c>
      <c r="J1464">
        <v>4</v>
      </c>
      <c r="K1464">
        <v>14953.11</v>
      </c>
      <c r="L1464">
        <v>5.7</v>
      </c>
    </row>
    <row r="1465" spans="1:12" x14ac:dyDescent="0.3">
      <c r="A1465" t="s">
        <v>1480</v>
      </c>
      <c r="B1465" t="s">
        <v>34</v>
      </c>
      <c r="C1465" t="s">
        <v>11</v>
      </c>
      <c r="D1465">
        <v>29</v>
      </c>
      <c r="E1465" s="1">
        <v>40526</v>
      </c>
      <c r="F1465">
        <v>2010</v>
      </c>
      <c r="G1465" t="s">
        <v>5041</v>
      </c>
      <c r="H1465">
        <v>14</v>
      </c>
      <c r="I1465">
        <v>4.32</v>
      </c>
      <c r="J1465">
        <v>3</v>
      </c>
      <c r="K1465">
        <v>13582.19</v>
      </c>
      <c r="L1465">
        <v>14.9</v>
      </c>
    </row>
    <row r="1466" spans="1:12" x14ac:dyDescent="0.3">
      <c r="A1466" t="s">
        <v>1481</v>
      </c>
      <c r="B1466" t="s">
        <v>10</v>
      </c>
      <c r="C1466" t="s">
        <v>14</v>
      </c>
      <c r="D1466">
        <v>51</v>
      </c>
      <c r="E1466" s="1">
        <v>42091</v>
      </c>
      <c r="F1466">
        <v>2015</v>
      </c>
      <c r="G1466" t="s">
        <v>5035</v>
      </c>
      <c r="H1466">
        <v>28</v>
      </c>
      <c r="I1466">
        <v>4.83</v>
      </c>
      <c r="J1466">
        <v>8</v>
      </c>
      <c r="K1466">
        <v>7627.5</v>
      </c>
      <c r="L1466">
        <v>10.6</v>
      </c>
    </row>
    <row r="1467" spans="1:12" x14ac:dyDescent="0.3">
      <c r="A1467" t="s">
        <v>1482</v>
      </c>
      <c r="B1467" t="s">
        <v>16</v>
      </c>
      <c r="C1467" t="s">
        <v>11</v>
      </c>
      <c r="D1467">
        <v>29</v>
      </c>
      <c r="E1467" s="1">
        <v>41418</v>
      </c>
      <c r="F1467">
        <v>2013</v>
      </c>
      <c r="G1467" t="s">
        <v>5036</v>
      </c>
      <c r="H1467">
        <v>24</v>
      </c>
      <c r="I1467">
        <v>4.33</v>
      </c>
      <c r="J1467">
        <v>11</v>
      </c>
      <c r="K1467">
        <v>9665.0499999999993</v>
      </c>
      <c r="L1467">
        <v>12.4</v>
      </c>
    </row>
    <row r="1468" spans="1:12" x14ac:dyDescent="0.3">
      <c r="A1468" t="s">
        <v>1483</v>
      </c>
      <c r="B1468" t="s">
        <v>16</v>
      </c>
      <c r="C1468" t="s">
        <v>14</v>
      </c>
      <c r="D1468">
        <v>59</v>
      </c>
      <c r="E1468" s="1">
        <v>41430</v>
      </c>
      <c r="F1468">
        <v>2013</v>
      </c>
      <c r="G1468" t="s">
        <v>5032</v>
      </c>
      <c r="H1468">
        <v>5</v>
      </c>
      <c r="I1468">
        <v>4.51</v>
      </c>
      <c r="J1468">
        <v>9</v>
      </c>
      <c r="K1468">
        <v>5714.86</v>
      </c>
      <c r="L1468">
        <v>12.4</v>
      </c>
    </row>
    <row r="1469" spans="1:12" x14ac:dyDescent="0.3">
      <c r="A1469" t="s">
        <v>1484</v>
      </c>
      <c r="B1469" t="s">
        <v>10</v>
      </c>
      <c r="C1469" t="s">
        <v>11</v>
      </c>
      <c r="D1469">
        <v>48</v>
      </c>
      <c r="E1469" s="1">
        <v>43681</v>
      </c>
      <c r="F1469">
        <v>2019</v>
      </c>
      <c r="G1469" t="s">
        <v>5031</v>
      </c>
      <c r="H1469">
        <v>4</v>
      </c>
      <c r="I1469">
        <v>2.36</v>
      </c>
      <c r="J1469">
        <v>3</v>
      </c>
      <c r="K1469">
        <v>8588.2900000000009</v>
      </c>
      <c r="L1469">
        <v>6.2</v>
      </c>
    </row>
    <row r="1470" spans="1:12" x14ac:dyDescent="0.3">
      <c r="A1470" t="s">
        <v>1485</v>
      </c>
      <c r="B1470" t="s">
        <v>16</v>
      </c>
      <c r="C1470" t="s">
        <v>11</v>
      </c>
      <c r="D1470">
        <v>31</v>
      </c>
      <c r="E1470" s="1">
        <v>41759</v>
      </c>
      <c r="F1470">
        <v>2014</v>
      </c>
      <c r="G1470" t="s">
        <v>5040</v>
      </c>
      <c r="H1470">
        <v>30</v>
      </c>
      <c r="I1470">
        <v>4.68</v>
      </c>
      <c r="J1470">
        <v>1</v>
      </c>
      <c r="K1470">
        <v>4432.84</v>
      </c>
      <c r="L1470">
        <v>11.5</v>
      </c>
    </row>
    <row r="1471" spans="1:12" x14ac:dyDescent="0.3">
      <c r="A1471" t="s">
        <v>1486</v>
      </c>
      <c r="B1471" t="s">
        <v>10</v>
      </c>
      <c r="C1471" t="s">
        <v>14</v>
      </c>
      <c r="D1471">
        <v>40</v>
      </c>
      <c r="E1471" s="1">
        <v>40459</v>
      </c>
      <c r="F1471">
        <v>2010</v>
      </c>
      <c r="G1471" t="s">
        <v>5039</v>
      </c>
      <c r="H1471">
        <v>8</v>
      </c>
      <c r="I1471">
        <v>4.38</v>
      </c>
      <c r="J1471">
        <v>1</v>
      </c>
      <c r="K1471">
        <v>5411.64</v>
      </c>
      <c r="L1471">
        <v>15.1</v>
      </c>
    </row>
    <row r="1472" spans="1:12" x14ac:dyDescent="0.3">
      <c r="A1472" t="s">
        <v>1487</v>
      </c>
      <c r="B1472" t="s">
        <v>13</v>
      </c>
      <c r="C1472" t="s">
        <v>14</v>
      </c>
      <c r="D1472">
        <v>40</v>
      </c>
      <c r="E1472" s="1">
        <v>41171</v>
      </c>
      <c r="F1472">
        <v>2012</v>
      </c>
      <c r="G1472" t="s">
        <v>5033</v>
      </c>
      <c r="H1472">
        <v>19</v>
      </c>
      <c r="I1472">
        <v>1.67</v>
      </c>
      <c r="J1472">
        <v>1</v>
      </c>
      <c r="K1472">
        <v>6743.29</v>
      </c>
      <c r="L1472">
        <v>13.1</v>
      </c>
    </row>
    <row r="1473" spans="1:12" x14ac:dyDescent="0.3">
      <c r="A1473" t="s">
        <v>1488</v>
      </c>
      <c r="B1473" t="s">
        <v>34</v>
      </c>
      <c r="C1473" t="s">
        <v>11</v>
      </c>
      <c r="D1473">
        <v>50</v>
      </c>
      <c r="E1473" s="1">
        <v>42606</v>
      </c>
      <c r="F1473">
        <v>2016</v>
      </c>
      <c r="G1473" t="s">
        <v>5031</v>
      </c>
      <c r="H1473">
        <v>24</v>
      </c>
      <c r="I1473">
        <v>3.4</v>
      </c>
      <c r="J1473">
        <v>1</v>
      </c>
      <c r="K1473">
        <v>6598.46</v>
      </c>
      <c r="L1473">
        <v>9.1999999999999993</v>
      </c>
    </row>
    <row r="1474" spans="1:12" x14ac:dyDescent="0.3">
      <c r="A1474" t="s">
        <v>1489</v>
      </c>
      <c r="B1474" t="s">
        <v>18</v>
      </c>
      <c r="C1474" t="s">
        <v>14</v>
      </c>
      <c r="D1474">
        <v>45</v>
      </c>
      <c r="E1474" s="1">
        <v>43985</v>
      </c>
      <c r="F1474">
        <v>2020</v>
      </c>
      <c r="G1474" t="s">
        <v>5032</v>
      </c>
      <c r="H1474">
        <v>3</v>
      </c>
      <c r="I1474">
        <v>3.52</v>
      </c>
      <c r="J1474">
        <v>7</v>
      </c>
      <c r="K1474">
        <v>9362.15</v>
      </c>
      <c r="L1474">
        <v>5.4</v>
      </c>
    </row>
    <row r="1475" spans="1:12" x14ac:dyDescent="0.3">
      <c r="A1475" t="s">
        <v>1490</v>
      </c>
      <c r="B1475" t="s">
        <v>10</v>
      </c>
      <c r="C1475" t="s">
        <v>11</v>
      </c>
      <c r="D1475">
        <v>33</v>
      </c>
      <c r="E1475" s="1">
        <v>45946</v>
      </c>
      <c r="F1475">
        <v>2025</v>
      </c>
      <c r="G1475" t="s">
        <v>5039</v>
      </c>
      <c r="H1475">
        <v>16</v>
      </c>
      <c r="I1475">
        <v>4.26</v>
      </c>
      <c r="J1475">
        <v>2</v>
      </c>
      <c r="K1475">
        <v>9720.33</v>
      </c>
      <c r="L1475">
        <v>0</v>
      </c>
    </row>
    <row r="1476" spans="1:12" x14ac:dyDescent="0.3">
      <c r="A1476" t="s">
        <v>1491</v>
      </c>
      <c r="B1476" t="s">
        <v>34</v>
      </c>
      <c r="C1476" t="s">
        <v>14</v>
      </c>
      <c r="D1476">
        <v>43</v>
      </c>
      <c r="E1476" s="1">
        <v>40863</v>
      </c>
      <c r="F1476">
        <v>2011</v>
      </c>
      <c r="G1476" t="s">
        <v>5038</v>
      </c>
      <c r="H1476">
        <v>16</v>
      </c>
      <c r="I1476">
        <v>4.2</v>
      </c>
      <c r="J1476">
        <v>9</v>
      </c>
      <c r="K1476">
        <v>3270.6</v>
      </c>
      <c r="L1476">
        <v>14</v>
      </c>
    </row>
    <row r="1477" spans="1:12" x14ac:dyDescent="0.3">
      <c r="A1477" t="s">
        <v>1492</v>
      </c>
      <c r="B1477" t="s">
        <v>24</v>
      </c>
      <c r="C1477" t="s">
        <v>14</v>
      </c>
      <c r="D1477">
        <v>59</v>
      </c>
      <c r="E1477" s="1">
        <v>44465</v>
      </c>
      <c r="F1477">
        <v>2021</v>
      </c>
      <c r="G1477" t="s">
        <v>5033</v>
      </c>
      <c r="H1477">
        <v>26</v>
      </c>
      <c r="I1477">
        <v>1.84</v>
      </c>
      <c r="J1477">
        <v>15</v>
      </c>
      <c r="K1477">
        <v>5591.66</v>
      </c>
      <c r="L1477">
        <v>4.0999999999999996</v>
      </c>
    </row>
    <row r="1478" spans="1:12" x14ac:dyDescent="0.3">
      <c r="A1478" t="s">
        <v>1493</v>
      </c>
      <c r="B1478" t="s">
        <v>16</v>
      </c>
      <c r="C1478" t="s">
        <v>14</v>
      </c>
      <c r="D1478">
        <v>43</v>
      </c>
      <c r="E1478" s="1">
        <v>41169</v>
      </c>
      <c r="F1478">
        <v>2012</v>
      </c>
      <c r="G1478" t="s">
        <v>5033</v>
      </c>
      <c r="H1478">
        <v>17</v>
      </c>
      <c r="I1478">
        <v>4.49</v>
      </c>
      <c r="J1478">
        <v>10</v>
      </c>
      <c r="K1478">
        <v>3510.58</v>
      </c>
      <c r="L1478">
        <v>13.1</v>
      </c>
    </row>
    <row r="1479" spans="1:12" x14ac:dyDescent="0.3">
      <c r="A1479" t="s">
        <v>1494</v>
      </c>
      <c r="B1479" t="s">
        <v>24</v>
      </c>
      <c r="C1479" t="s">
        <v>14</v>
      </c>
      <c r="D1479">
        <v>47</v>
      </c>
      <c r="E1479" s="1">
        <v>43749</v>
      </c>
      <c r="F1479">
        <v>2019</v>
      </c>
      <c r="G1479" t="s">
        <v>5039</v>
      </c>
      <c r="H1479">
        <v>11</v>
      </c>
      <c r="I1479">
        <v>2.73</v>
      </c>
      <c r="J1479">
        <v>13</v>
      </c>
      <c r="K1479">
        <v>14759.64</v>
      </c>
      <c r="L1479">
        <v>6.1</v>
      </c>
    </row>
    <row r="1480" spans="1:12" x14ac:dyDescent="0.3">
      <c r="A1480" t="s">
        <v>1495</v>
      </c>
      <c r="B1480" t="s">
        <v>13</v>
      </c>
      <c r="C1480" t="s">
        <v>14</v>
      </c>
      <c r="D1480">
        <v>34</v>
      </c>
      <c r="E1480" s="1">
        <v>43153</v>
      </c>
      <c r="F1480">
        <v>2018</v>
      </c>
      <c r="G1480" t="s">
        <v>5042</v>
      </c>
      <c r="H1480">
        <v>22</v>
      </c>
      <c r="I1480">
        <v>2.72</v>
      </c>
      <c r="J1480">
        <v>1</v>
      </c>
      <c r="K1480">
        <v>7427.87</v>
      </c>
      <c r="L1480">
        <v>7.7</v>
      </c>
    </row>
    <row r="1481" spans="1:12" x14ac:dyDescent="0.3">
      <c r="A1481" t="s">
        <v>1496</v>
      </c>
      <c r="B1481" t="s">
        <v>13</v>
      </c>
      <c r="C1481" t="s">
        <v>11</v>
      </c>
      <c r="D1481">
        <v>54</v>
      </c>
      <c r="E1481" s="1">
        <v>44780</v>
      </c>
      <c r="F1481">
        <v>2022</v>
      </c>
      <c r="G1481" t="s">
        <v>5031</v>
      </c>
      <c r="H1481">
        <v>7</v>
      </c>
      <c r="I1481">
        <v>3.31</v>
      </c>
      <c r="J1481">
        <v>13</v>
      </c>
      <c r="K1481">
        <v>4675.6499999999996</v>
      </c>
      <c r="L1481">
        <v>3.2</v>
      </c>
    </row>
    <row r="1482" spans="1:12" x14ac:dyDescent="0.3">
      <c r="A1482" t="s">
        <v>1497</v>
      </c>
      <c r="B1482" t="s">
        <v>18</v>
      </c>
      <c r="C1482" t="s">
        <v>14</v>
      </c>
      <c r="D1482">
        <v>48</v>
      </c>
      <c r="E1482" s="1">
        <v>44657</v>
      </c>
      <c r="F1482">
        <v>2022</v>
      </c>
      <c r="G1482" t="s">
        <v>5040</v>
      </c>
      <c r="H1482">
        <v>6</v>
      </c>
      <c r="I1482">
        <v>3.4</v>
      </c>
      <c r="J1482">
        <v>1</v>
      </c>
      <c r="K1482">
        <v>12261.8</v>
      </c>
      <c r="L1482">
        <v>3.6</v>
      </c>
    </row>
    <row r="1483" spans="1:12" x14ac:dyDescent="0.3">
      <c r="A1483" t="s">
        <v>1498</v>
      </c>
      <c r="B1483" t="s">
        <v>34</v>
      </c>
      <c r="C1483" t="s">
        <v>11</v>
      </c>
      <c r="D1483">
        <v>25</v>
      </c>
      <c r="E1483" s="1">
        <v>44647</v>
      </c>
      <c r="F1483">
        <v>2022</v>
      </c>
      <c r="G1483" t="s">
        <v>5035</v>
      </c>
      <c r="H1483">
        <v>27</v>
      </c>
      <c r="I1483">
        <v>3.57</v>
      </c>
      <c r="J1483">
        <v>9</v>
      </c>
      <c r="K1483">
        <v>5040.78</v>
      </c>
      <c r="L1483">
        <v>3.6</v>
      </c>
    </row>
    <row r="1484" spans="1:12" x14ac:dyDescent="0.3">
      <c r="A1484" t="s">
        <v>1499</v>
      </c>
      <c r="B1484" t="s">
        <v>18</v>
      </c>
      <c r="C1484" t="s">
        <v>11</v>
      </c>
      <c r="D1484">
        <v>29</v>
      </c>
      <c r="E1484" s="1">
        <v>41720</v>
      </c>
      <c r="F1484">
        <v>2014</v>
      </c>
      <c r="G1484" t="s">
        <v>5035</v>
      </c>
      <c r="H1484">
        <v>22</v>
      </c>
      <c r="I1484">
        <v>2.2400000000000002</v>
      </c>
      <c r="J1484">
        <v>9</v>
      </c>
      <c r="K1484">
        <v>4145.72</v>
      </c>
      <c r="L1484">
        <v>11.6</v>
      </c>
    </row>
    <row r="1485" spans="1:12" x14ac:dyDescent="0.3">
      <c r="A1485" t="s">
        <v>1500</v>
      </c>
      <c r="B1485" t="s">
        <v>13</v>
      </c>
      <c r="C1485" t="s">
        <v>11</v>
      </c>
      <c r="D1485">
        <v>59</v>
      </c>
      <c r="E1485" s="1">
        <v>43860</v>
      </c>
      <c r="F1485">
        <v>2020</v>
      </c>
      <c r="G1485" t="s">
        <v>5037</v>
      </c>
      <c r="H1485">
        <v>30</v>
      </c>
      <c r="I1485">
        <v>4.7699999999999996</v>
      </c>
      <c r="J1485">
        <v>2</v>
      </c>
      <c r="K1485">
        <v>5884.5</v>
      </c>
      <c r="L1485">
        <v>5.8</v>
      </c>
    </row>
    <row r="1486" spans="1:12" x14ac:dyDescent="0.3">
      <c r="A1486" t="s">
        <v>1501</v>
      </c>
      <c r="B1486" t="s">
        <v>18</v>
      </c>
      <c r="C1486" t="s">
        <v>14</v>
      </c>
      <c r="D1486">
        <v>48</v>
      </c>
      <c r="E1486" s="1">
        <v>42942</v>
      </c>
      <c r="F1486">
        <v>2017</v>
      </c>
      <c r="G1486" t="s">
        <v>5034</v>
      </c>
      <c r="H1486">
        <v>26</v>
      </c>
      <c r="I1486">
        <v>1.58</v>
      </c>
      <c r="J1486">
        <v>1</v>
      </c>
      <c r="K1486">
        <v>13245.63</v>
      </c>
      <c r="L1486">
        <v>8.3000000000000007</v>
      </c>
    </row>
    <row r="1487" spans="1:12" x14ac:dyDescent="0.3">
      <c r="A1487" t="s">
        <v>1502</v>
      </c>
      <c r="B1487" t="s">
        <v>16</v>
      </c>
      <c r="C1487" t="s">
        <v>14</v>
      </c>
      <c r="D1487">
        <v>51</v>
      </c>
      <c r="E1487" s="1">
        <v>42512</v>
      </c>
      <c r="F1487">
        <v>2016</v>
      </c>
      <c r="G1487" t="s">
        <v>5036</v>
      </c>
      <c r="H1487">
        <v>22</v>
      </c>
      <c r="I1487">
        <v>3.96</v>
      </c>
      <c r="J1487">
        <v>0</v>
      </c>
      <c r="K1487">
        <v>7744.06</v>
      </c>
      <c r="L1487">
        <v>9.5</v>
      </c>
    </row>
    <row r="1488" spans="1:12" x14ac:dyDescent="0.3">
      <c r="A1488" t="s">
        <v>1503</v>
      </c>
      <c r="B1488" t="s">
        <v>18</v>
      </c>
      <c r="C1488" t="s">
        <v>14</v>
      </c>
      <c r="D1488">
        <v>27</v>
      </c>
      <c r="E1488" s="1">
        <v>41246</v>
      </c>
      <c r="F1488">
        <v>2012</v>
      </c>
      <c r="G1488" t="s">
        <v>5041</v>
      </c>
      <c r="H1488">
        <v>3</v>
      </c>
      <c r="I1488">
        <v>2.56</v>
      </c>
      <c r="J1488">
        <v>10</v>
      </c>
      <c r="K1488">
        <v>7796.72</v>
      </c>
      <c r="L1488">
        <v>12.9</v>
      </c>
    </row>
    <row r="1489" spans="1:12" x14ac:dyDescent="0.3">
      <c r="A1489" t="s">
        <v>1504</v>
      </c>
      <c r="B1489" t="s">
        <v>18</v>
      </c>
      <c r="C1489" t="s">
        <v>14</v>
      </c>
      <c r="D1489">
        <v>39</v>
      </c>
      <c r="E1489" s="1">
        <v>43885</v>
      </c>
      <c r="F1489">
        <v>2020</v>
      </c>
      <c r="G1489" t="s">
        <v>5042</v>
      </c>
      <c r="H1489">
        <v>24</v>
      </c>
      <c r="I1489">
        <v>3.72</v>
      </c>
      <c r="J1489">
        <v>7</v>
      </c>
      <c r="K1489">
        <v>10678.77</v>
      </c>
      <c r="L1489">
        <v>5.7</v>
      </c>
    </row>
    <row r="1490" spans="1:12" x14ac:dyDescent="0.3">
      <c r="A1490" t="s">
        <v>1505</v>
      </c>
      <c r="B1490" t="s">
        <v>16</v>
      </c>
      <c r="C1490" t="s">
        <v>14</v>
      </c>
      <c r="D1490">
        <v>38</v>
      </c>
      <c r="E1490" s="1">
        <v>43835</v>
      </c>
      <c r="F1490">
        <v>2020</v>
      </c>
      <c r="G1490" t="s">
        <v>5037</v>
      </c>
      <c r="H1490">
        <v>5</v>
      </c>
      <c r="I1490">
        <v>3.21</v>
      </c>
      <c r="J1490">
        <v>11</v>
      </c>
      <c r="K1490">
        <v>5783.77</v>
      </c>
      <c r="L1490">
        <v>5.8</v>
      </c>
    </row>
    <row r="1491" spans="1:12" x14ac:dyDescent="0.3">
      <c r="A1491" t="s">
        <v>1506</v>
      </c>
      <c r="B1491" t="s">
        <v>18</v>
      </c>
      <c r="C1491" t="s">
        <v>11</v>
      </c>
      <c r="D1491">
        <v>38</v>
      </c>
      <c r="E1491" s="1">
        <v>41552</v>
      </c>
      <c r="F1491">
        <v>2013</v>
      </c>
      <c r="G1491" t="s">
        <v>5039</v>
      </c>
      <c r="H1491">
        <v>5</v>
      </c>
      <c r="I1491">
        <v>2.5499999999999998</v>
      </c>
      <c r="J1491">
        <v>4</v>
      </c>
      <c r="K1491">
        <v>3010.55</v>
      </c>
      <c r="L1491">
        <v>12.1</v>
      </c>
    </row>
    <row r="1492" spans="1:12" x14ac:dyDescent="0.3">
      <c r="A1492" t="s">
        <v>1507</v>
      </c>
      <c r="B1492" t="s">
        <v>18</v>
      </c>
      <c r="C1492" t="s">
        <v>14</v>
      </c>
      <c r="D1492">
        <v>28</v>
      </c>
      <c r="E1492" s="1">
        <v>43349</v>
      </c>
      <c r="F1492">
        <v>2018</v>
      </c>
      <c r="G1492" t="s">
        <v>5033</v>
      </c>
      <c r="H1492">
        <v>6</v>
      </c>
      <c r="I1492">
        <v>2.6</v>
      </c>
      <c r="J1492">
        <v>6</v>
      </c>
      <c r="K1492">
        <v>3141.41</v>
      </c>
      <c r="L1492">
        <v>7.2</v>
      </c>
    </row>
    <row r="1493" spans="1:12" x14ac:dyDescent="0.3">
      <c r="A1493" t="s">
        <v>1508</v>
      </c>
      <c r="B1493" t="s">
        <v>24</v>
      </c>
      <c r="C1493" t="s">
        <v>14</v>
      </c>
      <c r="D1493">
        <v>42</v>
      </c>
      <c r="E1493" s="1">
        <v>41104</v>
      </c>
      <c r="F1493">
        <v>2012</v>
      </c>
      <c r="G1493" t="s">
        <v>5034</v>
      </c>
      <c r="H1493">
        <v>14</v>
      </c>
      <c r="I1493">
        <v>4.95</v>
      </c>
      <c r="J1493">
        <v>7</v>
      </c>
      <c r="K1493">
        <v>9962.48</v>
      </c>
      <c r="L1493">
        <v>13.3</v>
      </c>
    </row>
    <row r="1494" spans="1:12" x14ac:dyDescent="0.3">
      <c r="A1494" t="s">
        <v>1509</v>
      </c>
      <c r="B1494" t="s">
        <v>10</v>
      </c>
      <c r="C1494" t="s">
        <v>11</v>
      </c>
      <c r="D1494">
        <v>34</v>
      </c>
      <c r="E1494" s="1">
        <v>41398</v>
      </c>
      <c r="F1494">
        <v>2013</v>
      </c>
      <c r="G1494" t="s">
        <v>5036</v>
      </c>
      <c r="H1494">
        <v>4</v>
      </c>
      <c r="I1494">
        <v>3.46</v>
      </c>
      <c r="J1494">
        <v>3</v>
      </c>
      <c r="K1494">
        <v>6643.89</v>
      </c>
      <c r="L1494">
        <v>12.5</v>
      </c>
    </row>
    <row r="1495" spans="1:12" x14ac:dyDescent="0.3">
      <c r="A1495" t="s">
        <v>1510</v>
      </c>
      <c r="B1495" t="s">
        <v>24</v>
      </c>
      <c r="C1495" t="s">
        <v>14</v>
      </c>
      <c r="D1495">
        <v>34</v>
      </c>
      <c r="E1495" s="1">
        <v>41550</v>
      </c>
      <c r="F1495">
        <v>2013</v>
      </c>
      <c r="G1495" t="s">
        <v>5039</v>
      </c>
      <c r="H1495">
        <v>3</v>
      </c>
      <c r="I1495">
        <v>1.61</v>
      </c>
      <c r="J1495">
        <v>8</v>
      </c>
      <c r="K1495">
        <v>11678.37</v>
      </c>
      <c r="L1495">
        <v>12.1</v>
      </c>
    </row>
    <row r="1496" spans="1:12" x14ac:dyDescent="0.3">
      <c r="A1496" t="s">
        <v>1511</v>
      </c>
      <c r="B1496" t="s">
        <v>18</v>
      </c>
      <c r="C1496" t="s">
        <v>14</v>
      </c>
      <c r="D1496">
        <v>22</v>
      </c>
      <c r="E1496" s="1">
        <v>42424</v>
      </c>
      <c r="F1496">
        <v>2016</v>
      </c>
      <c r="G1496" t="s">
        <v>5042</v>
      </c>
      <c r="H1496">
        <v>24</v>
      </c>
      <c r="I1496">
        <v>4.6500000000000004</v>
      </c>
      <c r="J1496">
        <v>0</v>
      </c>
      <c r="K1496">
        <v>14112.21</v>
      </c>
      <c r="L1496">
        <v>9.6999999999999993</v>
      </c>
    </row>
    <row r="1497" spans="1:12" x14ac:dyDescent="0.3">
      <c r="A1497" t="s">
        <v>1512</v>
      </c>
      <c r="B1497" t="s">
        <v>10</v>
      </c>
      <c r="C1497" t="s">
        <v>14</v>
      </c>
      <c r="D1497">
        <v>41</v>
      </c>
      <c r="E1497" s="1">
        <v>41253</v>
      </c>
      <c r="F1497">
        <v>2012</v>
      </c>
      <c r="G1497" t="s">
        <v>5041</v>
      </c>
      <c r="H1497">
        <v>10</v>
      </c>
      <c r="I1497">
        <v>2.62</v>
      </c>
      <c r="J1497">
        <v>0</v>
      </c>
      <c r="K1497">
        <v>14722.34</v>
      </c>
      <c r="L1497">
        <v>12.9</v>
      </c>
    </row>
    <row r="1498" spans="1:12" x14ac:dyDescent="0.3">
      <c r="A1498" t="s">
        <v>1513</v>
      </c>
      <c r="B1498" t="s">
        <v>10</v>
      </c>
      <c r="C1498" t="s">
        <v>14</v>
      </c>
      <c r="D1498">
        <v>59</v>
      </c>
      <c r="E1498" s="1">
        <v>42733</v>
      </c>
      <c r="F1498">
        <v>2016</v>
      </c>
      <c r="G1498" t="s">
        <v>5041</v>
      </c>
      <c r="H1498">
        <v>29</v>
      </c>
      <c r="I1498">
        <v>2.4300000000000002</v>
      </c>
      <c r="J1498">
        <v>4</v>
      </c>
      <c r="K1498">
        <v>6459.71</v>
      </c>
      <c r="L1498">
        <v>8.8000000000000007</v>
      </c>
    </row>
    <row r="1499" spans="1:12" x14ac:dyDescent="0.3">
      <c r="A1499" t="s">
        <v>1514</v>
      </c>
      <c r="B1499" t="s">
        <v>34</v>
      </c>
      <c r="C1499" t="s">
        <v>14</v>
      </c>
      <c r="D1499">
        <v>48</v>
      </c>
      <c r="E1499" s="1">
        <v>45085</v>
      </c>
      <c r="F1499">
        <v>2023</v>
      </c>
      <c r="G1499" t="s">
        <v>5032</v>
      </c>
      <c r="H1499">
        <v>8</v>
      </c>
      <c r="I1499">
        <v>2.85</v>
      </c>
      <c r="J1499">
        <v>2</v>
      </c>
      <c r="K1499">
        <v>4121.58</v>
      </c>
      <c r="L1499">
        <v>2.4</v>
      </c>
    </row>
    <row r="1500" spans="1:12" x14ac:dyDescent="0.3">
      <c r="A1500" t="s">
        <v>1515</v>
      </c>
      <c r="B1500" t="s">
        <v>24</v>
      </c>
      <c r="C1500" t="s">
        <v>11</v>
      </c>
      <c r="D1500">
        <v>22</v>
      </c>
      <c r="E1500" s="1">
        <v>40457</v>
      </c>
      <c r="F1500">
        <v>2010</v>
      </c>
      <c r="G1500" t="s">
        <v>5039</v>
      </c>
      <c r="H1500">
        <v>6</v>
      </c>
      <c r="I1500">
        <v>2.74</v>
      </c>
      <c r="J1500">
        <v>14</v>
      </c>
      <c r="K1500">
        <v>11825.56</v>
      </c>
      <c r="L1500">
        <v>15.1</v>
      </c>
    </row>
    <row r="1501" spans="1:12" x14ac:dyDescent="0.3">
      <c r="A1501" t="s">
        <v>1516</v>
      </c>
      <c r="B1501" t="s">
        <v>24</v>
      </c>
      <c r="C1501" t="s">
        <v>14</v>
      </c>
      <c r="D1501">
        <v>29</v>
      </c>
      <c r="E1501" s="1">
        <v>40268</v>
      </c>
      <c r="F1501">
        <v>2010</v>
      </c>
      <c r="G1501" t="s">
        <v>5035</v>
      </c>
      <c r="H1501">
        <v>31</v>
      </c>
      <c r="I1501">
        <v>4.18</v>
      </c>
      <c r="J1501">
        <v>13</v>
      </c>
      <c r="K1501">
        <v>10964.27</v>
      </c>
      <c r="L1501">
        <v>15.6</v>
      </c>
    </row>
    <row r="1502" spans="1:12" x14ac:dyDescent="0.3">
      <c r="A1502" t="s">
        <v>1517</v>
      </c>
      <c r="B1502" t="s">
        <v>24</v>
      </c>
      <c r="C1502" t="s">
        <v>14</v>
      </c>
      <c r="D1502">
        <v>59</v>
      </c>
      <c r="E1502" s="1">
        <v>40253</v>
      </c>
      <c r="F1502">
        <v>2010</v>
      </c>
      <c r="G1502" t="s">
        <v>5035</v>
      </c>
      <c r="H1502">
        <v>16</v>
      </c>
      <c r="I1502">
        <v>3.35</v>
      </c>
      <c r="J1502">
        <v>9</v>
      </c>
      <c r="K1502">
        <v>9414.5300000000007</v>
      </c>
      <c r="L1502">
        <v>15.6</v>
      </c>
    </row>
    <row r="1503" spans="1:12" x14ac:dyDescent="0.3">
      <c r="A1503" t="s">
        <v>1518</v>
      </c>
      <c r="B1503" t="s">
        <v>10</v>
      </c>
      <c r="C1503" t="s">
        <v>11</v>
      </c>
      <c r="D1503">
        <v>56</v>
      </c>
      <c r="E1503" s="1">
        <v>45912</v>
      </c>
      <c r="F1503">
        <v>2025</v>
      </c>
      <c r="G1503" t="s">
        <v>5033</v>
      </c>
      <c r="H1503">
        <v>12</v>
      </c>
      <c r="I1503">
        <v>4.97</v>
      </c>
      <c r="J1503">
        <v>1</v>
      </c>
      <c r="K1503">
        <v>4589.2</v>
      </c>
      <c r="L1503">
        <v>0.1</v>
      </c>
    </row>
    <row r="1504" spans="1:12" x14ac:dyDescent="0.3">
      <c r="A1504" t="s">
        <v>1519</v>
      </c>
      <c r="B1504" t="s">
        <v>18</v>
      </c>
      <c r="C1504" t="s">
        <v>11</v>
      </c>
      <c r="D1504">
        <v>37</v>
      </c>
      <c r="E1504" s="1">
        <v>40920</v>
      </c>
      <c r="F1504">
        <v>2012</v>
      </c>
      <c r="G1504" t="s">
        <v>5037</v>
      </c>
      <c r="H1504">
        <v>12</v>
      </c>
      <c r="I1504">
        <v>4.17</v>
      </c>
      <c r="J1504">
        <v>3</v>
      </c>
      <c r="K1504">
        <v>8718.2099999999991</v>
      </c>
      <c r="L1504">
        <v>13.8</v>
      </c>
    </row>
    <row r="1505" spans="1:12" x14ac:dyDescent="0.3">
      <c r="A1505" t="s">
        <v>1520</v>
      </c>
      <c r="B1505" t="s">
        <v>13</v>
      </c>
      <c r="C1505" t="s">
        <v>14</v>
      </c>
      <c r="D1505">
        <v>53</v>
      </c>
      <c r="E1505" s="1">
        <v>44492</v>
      </c>
      <c r="F1505">
        <v>2021</v>
      </c>
      <c r="G1505" t="s">
        <v>5039</v>
      </c>
      <c r="H1505">
        <v>23</v>
      </c>
      <c r="I1505">
        <v>3.44</v>
      </c>
      <c r="J1505">
        <v>0</v>
      </c>
      <c r="K1505">
        <v>11290.3</v>
      </c>
      <c r="L1505">
        <v>4</v>
      </c>
    </row>
    <row r="1506" spans="1:12" x14ac:dyDescent="0.3">
      <c r="A1506" t="s">
        <v>1521</v>
      </c>
      <c r="B1506" t="s">
        <v>24</v>
      </c>
      <c r="C1506" t="s">
        <v>11</v>
      </c>
      <c r="D1506">
        <v>35</v>
      </c>
      <c r="E1506" s="1">
        <v>42443</v>
      </c>
      <c r="F1506">
        <v>2016</v>
      </c>
      <c r="G1506" t="s">
        <v>5035</v>
      </c>
      <c r="H1506">
        <v>14</v>
      </c>
      <c r="I1506">
        <v>1.71</v>
      </c>
      <c r="J1506">
        <v>14</v>
      </c>
      <c r="K1506">
        <v>5922.15</v>
      </c>
      <c r="L1506">
        <v>9.6</v>
      </c>
    </row>
    <row r="1507" spans="1:12" x14ac:dyDescent="0.3">
      <c r="A1507" t="s">
        <v>1522</v>
      </c>
      <c r="B1507" t="s">
        <v>16</v>
      </c>
      <c r="C1507" t="s">
        <v>11</v>
      </c>
      <c r="D1507">
        <v>52</v>
      </c>
      <c r="E1507" s="1">
        <v>45344</v>
      </c>
      <c r="F1507">
        <v>2024</v>
      </c>
      <c r="G1507" t="s">
        <v>5042</v>
      </c>
      <c r="H1507">
        <v>22</v>
      </c>
      <c r="I1507">
        <v>4.91</v>
      </c>
      <c r="J1507">
        <v>7</v>
      </c>
      <c r="K1507">
        <v>9074.6</v>
      </c>
      <c r="L1507">
        <v>1.7</v>
      </c>
    </row>
    <row r="1508" spans="1:12" x14ac:dyDescent="0.3">
      <c r="A1508" t="s">
        <v>1523</v>
      </c>
      <c r="B1508" t="s">
        <v>13</v>
      </c>
      <c r="C1508" t="s">
        <v>11</v>
      </c>
      <c r="D1508">
        <v>29</v>
      </c>
      <c r="E1508" s="1">
        <v>44389</v>
      </c>
      <c r="F1508">
        <v>2021</v>
      </c>
      <c r="G1508" t="s">
        <v>5034</v>
      </c>
      <c r="H1508">
        <v>12</v>
      </c>
      <c r="I1508">
        <v>3.69</v>
      </c>
      <c r="J1508">
        <v>11</v>
      </c>
      <c r="K1508">
        <v>13725</v>
      </c>
      <c r="L1508">
        <v>4.3</v>
      </c>
    </row>
    <row r="1509" spans="1:12" x14ac:dyDescent="0.3">
      <c r="A1509" t="s">
        <v>1524</v>
      </c>
      <c r="B1509" t="s">
        <v>24</v>
      </c>
      <c r="C1509" t="s">
        <v>11</v>
      </c>
      <c r="D1509">
        <v>33</v>
      </c>
      <c r="E1509" s="1">
        <v>45353</v>
      </c>
      <c r="F1509">
        <v>2024</v>
      </c>
      <c r="G1509" t="s">
        <v>5035</v>
      </c>
      <c r="H1509">
        <v>2</v>
      </c>
      <c r="I1509">
        <v>3.77</v>
      </c>
      <c r="J1509">
        <v>14</v>
      </c>
      <c r="K1509">
        <v>7413.89</v>
      </c>
      <c r="L1509">
        <v>1.7</v>
      </c>
    </row>
    <row r="1510" spans="1:12" x14ac:dyDescent="0.3">
      <c r="A1510" t="s">
        <v>1525</v>
      </c>
      <c r="B1510" t="s">
        <v>24</v>
      </c>
      <c r="C1510" t="s">
        <v>11</v>
      </c>
      <c r="D1510">
        <v>33</v>
      </c>
      <c r="E1510" s="1">
        <v>42474</v>
      </c>
      <c r="F1510">
        <v>2016</v>
      </c>
      <c r="G1510" t="s">
        <v>5040</v>
      </c>
      <c r="H1510">
        <v>14</v>
      </c>
      <c r="I1510">
        <v>4.5</v>
      </c>
      <c r="J1510">
        <v>8</v>
      </c>
      <c r="K1510">
        <v>12076.37</v>
      </c>
      <c r="L1510">
        <v>9.6</v>
      </c>
    </row>
    <row r="1511" spans="1:12" x14ac:dyDescent="0.3">
      <c r="A1511" t="s">
        <v>1526</v>
      </c>
      <c r="B1511" t="s">
        <v>34</v>
      </c>
      <c r="C1511" t="s">
        <v>14</v>
      </c>
      <c r="D1511">
        <v>52</v>
      </c>
      <c r="E1511" s="1">
        <v>44341</v>
      </c>
      <c r="F1511">
        <v>2021</v>
      </c>
      <c r="G1511" t="s">
        <v>5036</v>
      </c>
      <c r="H1511">
        <v>25</v>
      </c>
      <c r="I1511">
        <v>3.12</v>
      </c>
      <c r="J1511">
        <v>7</v>
      </c>
      <c r="K1511">
        <v>8391.39</v>
      </c>
      <c r="L1511">
        <v>4.4000000000000004</v>
      </c>
    </row>
    <row r="1512" spans="1:12" x14ac:dyDescent="0.3">
      <c r="A1512" t="s">
        <v>1527</v>
      </c>
      <c r="B1512" t="s">
        <v>24</v>
      </c>
      <c r="C1512" t="s">
        <v>14</v>
      </c>
      <c r="D1512">
        <v>49</v>
      </c>
      <c r="E1512" s="1">
        <v>45301</v>
      </c>
      <c r="F1512">
        <v>2024</v>
      </c>
      <c r="G1512" t="s">
        <v>5037</v>
      </c>
      <c r="H1512">
        <v>10</v>
      </c>
      <c r="I1512">
        <v>1.72</v>
      </c>
      <c r="J1512">
        <v>1</v>
      </c>
      <c r="K1512">
        <v>11940.64</v>
      </c>
      <c r="L1512">
        <v>1.8</v>
      </c>
    </row>
    <row r="1513" spans="1:12" x14ac:dyDescent="0.3">
      <c r="A1513" t="s">
        <v>1528</v>
      </c>
      <c r="B1513" t="s">
        <v>16</v>
      </c>
      <c r="C1513" t="s">
        <v>11</v>
      </c>
      <c r="D1513">
        <v>39</v>
      </c>
      <c r="E1513" s="1">
        <v>43676</v>
      </c>
      <c r="F1513">
        <v>2019</v>
      </c>
      <c r="G1513" t="s">
        <v>5034</v>
      </c>
      <c r="H1513">
        <v>30</v>
      </c>
      <c r="I1513">
        <v>3.02</v>
      </c>
      <c r="J1513">
        <v>14</v>
      </c>
      <c r="K1513">
        <v>6540.61</v>
      </c>
      <c r="L1513">
        <v>6.3</v>
      </c>
    </row>
    <row r="1514" spans="1:12" x14ac:dyDescent="0.3">
      <c r="A1514" t="s">
        <v>1529</v>
      </c>
      <c r="B1514" t="s">
        <v>16</v>
      </c>
      <c r="C1514" t="s">
        <v>14</v>
      </c>
      <c r="D1514">
        <v>29</v>
      </c>
      <c r="E1514" s="1">
        <v>40294</v>
      </c>
      <c r="F1514">
        <v>2010</v>
      </c>
      <c r="G1514" t="s">
        <v>5040</v>
      </c>
      <c r="H1514">
        <v>26</v>
      </c>
      <c r="I1514">
        <v>4.75</v>
      </c>
      <c r="J1514">
        <v>11</v>
      </c>
      <c r="K1514">
        <v>9757.09</v>
      </c>
      <c r="L1514">
        <v>15.5</v>
      </c>
    </row>
    <row r="1515" spans="1:12" x14ac:dyDescent="0.3">
      <c r="A1515" t="s">
        <v>1530</v>
      </c>
      <c r="B1515" t="s">
        <v>13</v>
      </c>
      <c r="C1515" t="s">
        <v>14</v>
      </c>
      <c r="D1515">
        <v>48</v>
      </c>
      <c r="E1515" s="1">
        <v>42196</v>
      </c>
      <c r="F1515">
        <v>2015</v>
      </c>
      <c r="G1515" t="s">
        <v>5034</v>
      </c>
      <c r="H1515">
        <v>11</v>
      </c>
      <c r="I1515">
        <v>2.67</v>
      </c>
      <c r="J1515">
        <v>15</v>
      </c>
      <c r="K1515">
        <v>13295.03</v>
      </c>
      <c r="L1515">
        <v>10.3</v>
      </c>
    </row>
    <row r="1516" spans="1:12" x14ac:dyDescent="0.3">
      <c r="A1516" t="s">
        <v>1531</v>
      </c>
      <c r="B1516" t="s">
        <v>13</v>
      </c>
      <c r="C1516" t="s">
        <v>14</v>
      </c>
      <c r="D1516">
        <v>45</v>
      </c>
      <c r="E1516" s="1">
        <v>45517</v>
      </c>
      <c r="F1516">
        <v>2024</v>
      </c>
      <c r="G1516" t="s">
        <v>5031</v>
      </c>
      <c r="H1516">
        <v>13</v>
      </c>
      <c r="I1516">
        <v>1.91</v>
      </c>
      <c r="J1516">
        <v>15</v>
      </c>
      <c r="K1516">
        <v>12550.32</v>
      </c>
      <c r="L1516">
        <v>1.2</v>
      </c>
    </row>
    <row r="1517" spans="1:12" x14ac:dyDescent="0.3">
      <c r="A1517" t="s">
        <v>1532</v>
      </c>
      <c r="B1517" t="s">
        <v>24</v>
      </c>
      <c r="C1517" t="s">
        <v>14</v>
      </c>
      <c r="D1517">
        <v>42</v>
      </c>
      <c r="E1517" s="1">
        <v>40779</v>
      </c>
      <c r="F1517">
        <v>2011</v>
      </c>
      <c r="G1517" t="s">
        <v>5031</v>
      </c>
      <c r="H1517">
        <v>24</v>
      </c>
      <c r="I1517">
        <v>4.45</v>
      </c>
      <c r="J1517">
        <v>2</v>
      </c>
      <c r="K1517">
        <v>7439.79</v>
      </c>
      <c r="L1517">
        <v>14.2</v>
      </c>
    </row>
    <row r="1518" spans="1:12" x14ac:dyDescent="0.3">
      <c r="A1518" t="s">
        <v>1533</v>
      </c>
      <c r="B1518" t="s">
        <v>24</v>
      </c>
      <c r="C1518" t="s">
        <v>14</v>
      </c>
      <c r="D1518">
        <v>54</v>
      </c>
      <c r="E1518" s="1">
        <v>41888</v>
      </c>
      <c r="F1518">
        <v>2014</v>
      </c>
      <c r="G1518" t="s">
        <v>5033</v>
      </c>
      <c r="H1518">
        <v>6</v>
      </c>
      <c r="I1518">
        <v>2.84</v>
      </c>
      <c r="J1518">
        <v>6</v>
      </c>
      <c r="K1518">
        <v>14612.93</v>
      </c>
      <c r="L1518">
        <v>11.2</v>
      </c>
    </row>
    <row r="1519" spans="1:12" x14ac:dyDescent="0.3">
      <c r="A1519" t="s">
        <v>1534</v>
      </c>
      <c r="B1519" t="s">
        <v>24</v>
      </c>
      <c r="C1519" t="s">
        <v>11</v>
      </c>
      <c r="D1519">
        <v>46</v>
      </c>
      <c r="E1519" s="1">
        <v>45929</v>
      </c>
      <c r="F1519">
        <v>2025</v>
      </c>
      <c r="G1519" t="s">
        <v>5033</v>
      </c>
      <c r="H1519">
        <v>29</v>
      </c>
      <c r="I1519">
        <v>1.7</v>
      </c>
      <c r="J1519">
        <v>11</v>
      </c>
      <c r="K1519">
        <v>9800.84</v>
      </c>
      <c r="L1519">
        <v>0.1</v>
      </c>
    </row>
    <row r="1520" spans="1:12" x14ac:dyDescent="0.3">
      <c r="A1520" t="s">
        <v>1535</v>
      </c>
      <c r="B1520" t="s">
        <v>24</v>
      </c>
      <c r="C1520" t="s">
        <v>14</v>
      </c>
      <c r="D1520">
        <v>56</v>
      </c>
      <c r="E1520" s="1">
        <v>44675</v>
      </c>
      <c r="F1520">
        <v>2022</v>
      </c>
      <c r="G1520" t="s">
        <v>5040</v>
      </c>
      <c r="H1520">
        <v>24</v>
      </c>
      <c r="I1520">
        <v>1.81</v>
      </c>
      <c r="J1520">
        <v>9</v>
      </c>
      <c r="K1520">
        <v>9912.08</v>
      </c>
      <c r="L1520">
        <v>3.5</v>
      </c>
    </row>
    <row r="1521" spans="1:12" x14ac:dyDescent="0.3">
      <c r="A1521" t="s">
        <v>1536</v>
      </c>
      <c r="B1521" t="s">
        <v>34</v>
      </c>
      <c r="C1521" t="s">
        <v>11</v>
      </c>
      <c r="D1521">
        <v>47</v>
      </c>
      <c r="E1521" s="1">
        <v>41538</v>
      </c>
      <c r="F1521">
        <v>2013</v>
      </c>
      <c r="G1521" t="s">
        <v>5033</v>
      </c>
      <c r="H1521">
        <v>21</v>
      </c>
      <c r="I1521">
        <v>1.75</v>
      </c>
      <c r="J1521">
        <v>2</v>
      </c>
      <c r="K1521">
        <v>3583.95</v>
      </c>
      <c r="L1521">
        <v>12.1</v>
      </c>
    </row>
    <row r="1522" spans="1:12" x14ac:dyDescent="0.3">
      <c r="A1522" t="s">
        <v>1537</v>
      </c>
      <c r="B1522" t="s">
        <v>16</v>
      </c>
      <c r="C1522" t="s">
        <v>11</v>
      </c>
      <c r="D1522">
        <v>42</v>
      </c>
      <c r="E1522" s="1">
        <v>40332</v>
      </c>
      <c r="F1522">
        <v>2010</v>
      </c>
      <c r="G1522" t="s">
        <v>5032</v>
      </c>
      <c r="H1522">
        <v>3</v>
      </c>
      <c r="I1522">
        <v>4.6500000000000004</v>
      </c>
      <c r="J1522">
        <v>5</v>
      </c>
      <c r="K1522">
        <v>8935.09</v>
      </c>
      <c r="L1522">
        <v>15.4</v>
      </c>
    </row>
    <row r="1523" spans="1:12" x14ac:dyDescent="0.3">
      <c r="A1523" t="s">
        <v>1538</v>
      </c>
      <c r="B1523" t="s">
        <v>34</v>
      </c>
      <c r="C1523" t="s">
        <v>11</v>
      </c>
      <c r="D1523">
        <v>42</v>
      </c>
      <c r="E1523" s="1">
        <v>44684</v>
      </c>
      <c r="F1523">
        <v>2022</v>
      </c>
      <c r="G1523" t="s">
        <v>5036</v>
      </c>
      <c r="H1523">
        <v>3</v>
      </c>
      <c r="I1523">
        <v>3.58</v>
      </c>
      <c r="J1523">
        <v>1</v>
      </c>
      <c r="K1523">
        <v>7753.51</v>
      </c>
      <c r="L1523">
        <v>3.5</v>
      </c>
    </row>
    <row r="1524" spans="1:12" x14ac:dyDescent="0.3">
      <c r="A1524" t="s">
        <v>1539</v>
      </c>
      <c r="B1524" t="s">
        <v>18</v>
      </c>
      <c r="C1524" t="s">
        <v>11</v>
      </c>
      <c r="D1524">
        <v>49</v>
      </c>
      <c r="E1524" s="1">
        <v>44217</v>
      </c>
      <c r="F1524">
        <v>2021</v>
      </c>
      <c r="G1524" t="s">
        <v>5037</v>
      </c>
      <c r="H1524">
        <v>21</v>
      </c>
      <c r="I1524">
        <v>2.54</v>
      </c>
      <c r="J1524">
        <v>14</v>
      </c>
      <c r="K1524">
        <v>7002.77</v>
      </c>
      <c r="L1524">
        <v>4.8</v>
      </c>
    </row>
    <row r="1525" spans="1:12" x14ac:dyDescent="0.3">
      <c r="A1525" t="s">
        <v>1540</v>
      </c>
      <c r="B1525" t="s">
        <v>16</v>
      </c>
      <c r="C1525" t="s">
        <v>14</v>
      </c>
      <c r="D1525">
        <v>30</v>
      </c>
      <c r="E1525" s="1">
        <v>40778</v>
      </c>
      <c r="F1525">
        <v>2011</v>
      </c>
      <c r="G1525" t="s">
        <v>5031</v>
      </c>
      <c r="H1525">
        <v>23</v>
      </c>
      <c r="I1525">
        <v>4.71</v>
      </c>
      <c r="J1525">
        <v>6</v>
      </c>
      <c r="K1525">
        <v>7031.21</v>
      </c>
      <c r="L1525">
        <v>14.2</v>
      </c>
    </row>
    <row r="1526" spans="1:12" x14ac:dyDescent="0.3">
      <c r="A1526" t="s">
        <v>1541</v>
      </c>
      <c r="B1526" t="s">
        <v>16</v>
      </c>
      <c r="C1526" t="s">
        <v>11</v>
      </c>
      <c r="D1526">
        <v>27</v>
      </c>
      <c r="E1526" s="1">
        <v>45352</v>
      </c>
      <c r="F1526">
        <v>2024</v>
      </c>
      <c r="G1526" t="s">
        <v>5035</v>
      </c>
      <c r="H1526">
        <v>1</v>
      </c>
      <c r="I1526">
        <v>4.63</v>
      </c>
      <c r="J1526">
        <v>14</v>
      </c>
      <c r="K1526">
        <v>12724.53</v>
      </c>
      <c r="L1526">
        <v>1.7</v>
      </c>
    </row>
    <row r="1527" spans="1:12" x14ac:dyDescent="0.3">
      <c r="A1527" t="s">
        <v>1542</v>
      </c>
      <c r="B1527" t="s">
        <v>13</v>
      </c>
      <c r="C1527" t="s">
        <v>14</v>
      </c>
      <c r="D1527">
        <v>35</v>
      </c>
      <c r="E1527" s="1">
        <v>41330</v>
      </c>
      <c r="F1527">
        <v>2013</v>
      </c>
      <c r="G1527" t="s">
        <v>5042</v>
      </c>
      <c r="H1527">
        <v>25</v>
      </c>
      <c r="I1527">
        <v>4.76</v>
      </c>
      <c r="J1527">
        <v>13</v>
      </c>
      <c r="K1527">
        <v>6309.32</v>
      </c>
      <c r="L1527">
        <v>12.7</v>
      </c>
    </row>
    <row r="1528" spans="1:12" x14ac:dyDescent="0.3">
      <c r="A1528" t="s">
        <v>1543</v>
      </c>
      <c r="B1528" t="s">
        <v>10</v>
      </c>
      <c r="C1528" t="s">
        <v>11</v>
      </c>
      <c r="D1528">
        <v>42</v>
      </c>
      <c r="E1528" s="1">
        <v>43922</v>
      </c>
      <c r="F1528">
        <v>2020</v>
      </c>
      <c r="G1528" t="s">
        <v>5040</v>
      </c>
      <c r="H1528">
        <v>1</v>
      </c>
      <c r="I1528">
        <v>3.28</v>
      </c>
      <c r="J1528">
        <v>0</v>
      </c>
      <c r="K1528">
        <v>6549.78</v>
      </c>
      <c r="L1528">
        <v>5.6</v>
      </c>
    </row>
    <row r="1529" spans="1:12" x14ac:dyDescent="0.3">
      <c r="A1529" t="s">
        <v>1544</v>
      </c>
      <c r="B1529" t="s">
        <v>18</v>
      </c>
      <c r="C1529" t="s">
        <v>14</v>
      </c>
      <c r="D1529">
        <v>30</v>
      </c>
      <c r="E1529" s="1">
        <v>41587</v>
      </c>
      <c r="F1529">
        <v>2013</v>
      </c>
      <c r="G1529" t="s">
        <v>5038</v>
      </c>
      <c r="H1529">
        <v>9</v>
      </c>
      <c r="I1529">
        <v>4.84</v>
      </c>
      <c r="J1529">
        <v>1</v>
      </c>
      <c r="K1529">
        <v>11929.08</v>
      </c>
      <c r="L1529">
        <v>12</v>
      </c>
    </row>
    <row r="1530" spans="1:12" x14ac:dyDescent="0.3">
      <c r="A1530" t="s">
        <v>1545</v>
      </c>
      <c r="B1530" t="s">
        <v>16</v>
      </c>
      <c r="C1530" t="s">
        <v>14</v>
      </c>
      <c r="D1530">
        <v>26</v>
      </c>
      <c r="E1530" s="1">
        <v>41778</v>
      </c>
      <c r="F1530">
        <v>2014</v>
      </c>
      <c r="G1530" t="s">
        <v>5036</v>
      </c>
      <c r="H1530">
        <v>19</v>
      </c>
      <c r="I1530">
        <v>4.45</v>
      </c>
      <c r="J1530">
        <v>8</v>
      </c>
      <c r="K1530">
        <v>4209.66</v>
      </c>
      <c r="L1530">
        <v>11.5</v>
      </c>
    </row>
    <row r="1531" spans="1:12" x14ac:dyDescent="0.3">
      <c r="A1531" t="s">
        <v>1546</v>
      </c>
      <c r="B1531" t="s">
        <v>10</v>
      </c>
      <c r="C1531" t="s">
        <v>11</v>
      </c>
      <c r="D1531">
        <v>32</v>
      </c>
      <c r="E1531" s="1">
        <v>42627</v>
      </c>
      <c r="F1531">
        <v>2016</v>
      </c>
      <c r="G1531" t="s">
        <v>5033</v>
      </c>
      <c r="H1531">
        <v>14</v>
      </c>
      <c r="I1531">
        <v>1.86</v>
      </c>
      <c r="J1531">
        <v>10</v>
      </c>
      <c r="K1531">
        <v>9515.49</v>
      </c>
      <c r="L1531">
        <v>9.1</v>
      </c>
    </row>
    <row r="1532" spans="1:12" x14ac:dyDescent="0.3">
      <c r="A1532" t="s">
        <v>1547</v>
      </c>
      <c r="B1532" t="s">
        <v>10</v>
      </c>
      <c r="C1532" t="s">
        <v>14</v>
      </c>
      <c r="D1532">
        <v>43</v>
      </c>
      <c r="E1532" s="1">
        <v>41685</v>
      </c>
      <c r="F1532">
        <v>2014</v>
      </c>
      <c r="G1532" t="s">
        <v>5042</v>
      </c>
      <c r="H1532">
        <v>15</v>
      </c>
      <c r="I1532">
        <v>2.94</v>
      </c>
      <c r="J1532">
        <v>1</v>
      </c>
      <c r="K1532">
        <v>12110.33</v>
      </c>
      <c r="L1532">
        <v>11.7</v>
      </c>
    </row>
    <row r="1533" spans="1:12" x14ac:dyDescent="0.3">
      <c r="A1533" t="s">
        <v>1548</v>
      </c>
      <c r="B1533" t="s">
        <v>24</v>
      </c>
      <c r="C1533" t="s">
        <v>11</v>
      </c>
      <c r="D1533">
        <v>57</v>
      </c>
      <c r="E1533" s="1">
        <v>45289</v>
      </c>
      <c r="F1533">
        <v>2023</v>
      </c>
      <c r="G1533" t="s">
        <v>5041</v>
      </c>
      <c r="H1533">
        <v>29</v>
      </c>
      <c r="I1533">
        <v>4.33</v>
      </c>
      <c r="J1533">
        <v>3</v>
      </c>
      <c r="K1533">
        <v>14374.61</v>
      </c>
      <c r="L1533">
        <v>1.8</v>
      </c>
    </row>
    <row r="1534" spans="1:12" x14ac:dyDescent="0.3">
      <c r="A1534" t="s">
        <v>1549</v>
      </c>
      <c r="B1534" t="s">
        <v>16</v>
      </c>
      <c r="C1534" t="s">
        <v>14</v>
      </c>
      <c r="D1534">
        <v>51</v>
      </c>
      <c r="E1534" s="1">
        <v>41195</v>
      </c>
      <c r="F1534">
        <v>2012</v>
      </c>
      <c r="G1534" t="s">
        <v>5039</v>
      </c>
      <c r="H1534">
        <v>13</v>
      </c>
      <c r="I1534">
        <v>2.0099999999999998</v>
      </c>
      <c r="J1534">
        <v>8</v>
      </c>
      <c r="K1534">
        <v>13063.06</v>
      </c>
      <c r="L1534">
        <v>13.1</v>
      </c>
    </row>
    <row r="1535" spans="1:12" x14ac:dyDescent="0.3">
      <c r="A1535" t="s">
        <v>1550</v>
      </c>
      <c r="B1535" t="s">
        <v>24</v>
      </c>
      <c r="C1535" t="s">
        <v>11</v>
      </c>
      <c r="D1535">
        <v>50</v>
      </c>
      <c r="E1535" s="1">
        <v>41770</v>
      </c>
      <c r="F1535">
        <v>2014</v>
      </c>
      <c r="G1535" t="s">
        <v>5036</v>
      </c>
      <c r="H1535">
        <v>11</v>
      </c>
      <c r="I1535">
        <v>2.23</v>
      </c>
      <c r="J1535">
        <v>1</v>
      </c>
      <c r="K1535">
        <v>6075.21</v>
      </c>
      <c r="L1535">
        <v>11.5</v>
      </c>
    </row>
    <row r="1536" spans="1:12" x14ac:dyDescent="0.3">
      <c r="A1536" t="s">
        <v>1551</v>
      </c>
      <c r="B1536" t="s">
        <v>16</v>
      </c>
      <c r="C1536" t="s">
        <v>11</v>
      </c>
      <c r="D1536">
        <v>23</v>
      </c>
      <c r="E1536" s="1">
        <v>44697</v>
      </c>
      <c r="F1536">
        <v>2022</v>
      </c>
      <c r="G1536" t="s">
        <v>5036</v>
      </c>
      <c r="H1536">
        <v>16</v>
      </c>
      <c r="I1536">
        <v>3.86</v>
      </c>
      <c r="J1536">
        <v>2</v>
      </c>
      <c r="K1536">
        <v>9811.3700000000008</v>
      </c>
      <c r="L1536">
        <v>3.5</v>
      </c>
    </row>
    <row r="1537" spans="1:12" x14ac:dyDescent="0.3">
      <c r="A1537" t="s">
        <v>1552</v>
      </c>
      <c r="B1537" t="s">
        <v>10</v>
      </c>
      <c r="C1537" t="s">
        <v>11</v>
      </c>
      <c r="D1537">
        <v>29</v>
      </c>
      <c r="E1537" s="1">
        <v>45371</v>
      </c>
      <c r="F1537">
        <v>2024</v>
      </c>
      <c r="G1537" t="s">
        <v>5035</v>
      </c>
      <c r="H1537">
        <v>20</v>
      </c>
      <c r="I1537">
        <v>2.15</v>
      </c>
      <c r="J1537">
        <v>11</v>
      </c>
      <c r="K1537">
        <v>9634.68</v>
      </c>
      <c r="L1537">
        <v>1.6</v>
      </c>
    </row>
    <row r="1538" spans="1:12" x14ac:dyDescent="0.3">
      <c r="A1538" t="s">
        <v>1553</v>
      </c>
      <c r="B1538" t="s">
        <v>10</v>
      </c>
      <c r="C1538" t="s">
        <v>14</v>
      </c>
      <c r="D1538">
        <v>58</v>
      </c>
      <c r="E1538" s="1">
        <v>41512</v>
      </c>
      <c r="F1538">
        <v>2013</v>
      </c>
      <c r="G1538" t="s">
        <v>5031</v>
      </c>
      <c r="H1538">
        <v>26</v>
      </c>
      <c r="I1538">
        <v>4.1100000000000003</v>
      </c>
      <c r="J1538">
        <v>7</v>
      </c>
      <c r="K1538">
        <v>7040.59</v>
      </c>
      <c r="L1538">
        <v>12.2</v>
      </c>
    </row>
    <row r="1539" spans="1:12" x14ac:dyDescent="0.3">
      <c r="A1539" t="s">
        <v>1554</v>
      </c>
      <c r="B1539" t="s">
        <v>13</v>
      </c>
      <c r="C1539" t="s">
        <v>11</v>
      </c>
      <c r="D1539">
        <v>48</v>
      </c>
      <c r="E1539" s="1">
        <v>42122</v>
      </c>
      <c r="F1539">
        <v>2015</v>
      </c>
      <c r="G1539" t="s">
        <v>5040</v>
      </c>
      <c r="H1539">
        <v>28</v>
      </c>
      <c r="I1539">
        <v>4.72</v>
      </c>
      <c r="J1539">
        <v>7</v>
      </c>
      <c r="K1539">
        <v>12891.9</v>
      </c>
      <c r="L1539">
        <v>10.5</v>
      </c>
    </row>
    <row r="1540" spans="1:12" x14ac:dyDescent="0.3">
      <c r="A1540" t="s">
        <v>1555</v>
      </c>
      <c r="B1540" t="s">
        <v>16</v>
      </c>
      <c r="C1540" t="s">
        <v>11</v>
      </c>
      <c r="D1540">
        <v>28</v>
      </c>
      <c r="E1540" s="1">
        <v>42501</v>
      </c>
      <c r="F1540">
        <v>2016</v>
      </c>
      <c r="G1540" t="s">
        <v>5036</v>
      </c>
      <c r="H1540">
        <v>11</v>
      </c>
      <c r="I1540">
        <v>4.54</v>
      </c>
      <c r="J1540">
        <v>14</v>
      </c>
      <c r="K1540">
        <v>4821.32</v>
      </c>
      <c r="L1540">
        <v>9.5</v>
      </c>
    </row>
    <row r="1541" spans="1:12" x14ac:dyDescent="0.3">
      <c r="A1541" t="s">
        <v>1556</v>
      </c>
      <c r="B1541" t="s">
        <v>13</v>
      </c>
      <c r="C1541" t="s">
        <v>14</v>
      </c>
      <c r="D1541">
        <v>22</v>
      </c>
      <c r="E1541" s="1">
        <v>45670</v>
      </c>
      <c r="F1541">
        <v>2025</v>
      </c>
      <c r="G1541" t="s">
        <v>5037</v>
      </c>
      <c r="H1541">
        <v>13</v>
      </c>
      <c r="I1541">
        <v>3.79</v>
      </c>
      <c r="J1541">
        <v>12</v>
      </c>
      <c r="K1541">
        <v>12886.62</v>
      </c>
      <c r="L1541">
        <v>0.8</v>
      </c>
    </row>
    <row r="1542" spans="1:12" x14ac:dyDescent="0.3">
      <c r="A1542" t="s">
        <v>1557</v>
      </c>
      <c r="B1542" t="s">
        <v>10</v>
      </c>
      <c r="C1542" t="s">
        <v>11</v>
      </c>
      <c r="D1542">
        <v>45</v>
      </c>
      <c r="E1542" s="1">
        <v>44355</v>
      </c>
      <c r="F1542">
        <v>2021</v>
      </c>
      <c r="G1542" t="s">
        <v>5032</v>
      </c>
      <c r="H1542">
        <v>8</v>
      </c>
      <c r="I1542">
        <v>2.9</v>
      </c>
      <c r="J1542">
        <v>6</v>
      </c>
      <c r="K1542">
        <v>14597.07</v>
      </c>
      <c r="L1542">
        <v>4.4000000000000004</v>
      </c>
    </row>
    <row r="1543" spans="1:12" x14ac:dyDescent="0.3">
      <c r="A1543" t="s">
        <v>1558</v>
      </c>
      <c r="B1543" t="s">
        <v>24</v>
      </c>
      <c r="C1543" t="s">
        <v>14</v>
      </c>
      <c r="D1543">
        <v>25</v>
      </c>
      <c r="E1543" s="1">
        <v>45698</v>
      </c>
      <c r="F1543">
        <v>2025</v>
      </c>
      <c r="G1543" t="s">
        <v>5042</v>
      </c>
      <c r="H1543">
        <v>10</v>
      </c>
      <c r="I1543">
        <v>2.4900000000000002</v>
      </c>
      <c r="J1543">
        <v>5</v>
      </c>
      <c r="K1543">
        <v>13385.64</v>
      </c>
      <c r="L1543">
        <v>0.7</v>
      </c>
    </row>
    <row r="1544" spans="1:12" x14ac:dyDescent="0.3">
      <c r="A1544" t="s">
        <v>1559</v>
      </c>
      <c r="B1544" t="s">
        <v>10</v>
      </c>
      <c r="C1544" t="s">
        <v>14</v>
      </c>
      <c r="D1544">
        <v>25</v>
      </c>
      <c r="E1544" s="1">
        <v>43256</v>
      </c>
      <c r="F1544">
        <v>2018</v>
      </c>
      <c r="G1544" t="s">
        <v>5032</v>
      </c>
      <c r="H1544">
        <v>5</v>
      </c>
      <c r="I1544">
        <v>1.9</v>
      </c>
      <c r="J1544">
        <v>0</v>
      </c>
      <c r="K1544">
        <v>7139.71</v>
      </c>
      <c r="L1544">
        <v>7.4</v>
      </c>
    </row>
    <row r="1545" spans="1:12" x14ac:dyDescent="0.3">
      <c r="A1545" t="s">
        <v>1560</v>
      </c>
      <c r="B1545" t="s">
        <v>16</v>
      </c>
      <c r="C1545" t="s">
        <v>14</v>
      </c>
      <c r="D1545">
        <v>50</v>
      </c>
      <c r="E1545" s="1">
        <v>41614</v>
      </c>
      <c r="F1545">
        <v>2013</v>
      </c>
      <c r="G1545" t="s">
        <v>5041</v>
      </c>
      <c r="H1545">
        <v>6</v>
      </c>
      <c r="I1545">
        <v>1.88</v>
      </c>
      <c r="J1545">
        <v>11</v>
      </c>
      <c r="K1545">
        <v>11910.58</v>
      </c>
      <c r="L1545">
        <v>11.9</v>
      </c>
    </row>
    <row r="1546" spans="1:12" x14ac:dyDescent="0.3">
      <c r="A1546" t="s">
        <v>1561</v>
      </c>
      <c r="B1546" t="s">
        <v>13</v>
      </c>
      <c r="C1546" t="s">
        <v>11</v>
      </c>
      <c r="D1546">
        <v>33</v>
      </c>
      <c r="E1546" s="1">
        <v>43481</v>
      </c>
      <c r="F1546">
        <v>2019</v>
      </c>
      <c r="G1546" t="s">
        <v>5037</v>
      </c>
      <c r="H1546">
        <v>16</v>
      </c>
      <c r="I1546">
        <v>1.55</v>
      </c>
      <c r="J1546">
        <v>2</v>
      </c>
      <c r="K1546">
        <v>8255.0300000000007</v>
      </c>
      <c r="L1546">
        <v>6.8</v>
      </c>
    </row>
    <row r="1547" spans="1:12" x14ac:dyDescent="0.3">
      <c r="A1547" t="s">
        <v>1562</v>
      </c>
      <c r="B1547" t="s">
        <v>10</v>
      </c>
      <c r="C1547" t="s">
        <v>11</v>
      </c>
      <c r="D1547">
        <v>31</v>
      </c>
      <c r="E1547" s="1">
        <v>43708</v>
      </c>
      <c r="F1547">
        <v>2019</v>
      </c>
      <c r="G1547" t="s">
        <v>5031</v>
      </c>
      <c r="H1547">
        <v>31</v>
      </c>
      <c r="I1547">
        <v>2.75</v>
      </c>
      <c r="J1547">
        <v>1</v>
      </c>
      <c r="K1547">
        <v>12024.81</v>
      </c>
      <c r="L1547">
        <v>6.2</v>
      </c>
    </row>
    <row r="1548" spans="1:12" x14ac:dyDescent="0.3">
      <c r="A1548" t="s">
        <v>1563</v>
      </c>
      <c r="B1548" t="s">
        <v>16</v>
      </c>
      <c r="C1548" t="s">
        <v>14</v>
      </c>
      <c r="D1548">
        <v>29</v>
      </c>
      <c r="E1548" s="1">
        <v>41313</v>
      </c>
      <c r="F1548">
        <v>2013</v>
      </c>
      <c r="G1548" t="s">
        <v>5042</v>
      </c>
      <c r="H1548">
        <v>8</v>
      </c>
      <c r="I1548">
        <v>4.99</v>
      </c>
      <c r="J1548">
        <v>15</v>
      </c>
      <c r="K1548">
        <v>10616.41</v>
      </c>
      <c r="L1548">
        <v>12.7</v>
      </c>
    </row>
    <row r="1549" spans="1:12" x14ac:dyDescent="0.3">
      <c r="A1549" t="s">
        <v>1564</v>
      </c>
      <c r="B1549" t="s">
        <v>13</v>
      </c>
      <c r="C1549" t="s">
        <v>14</v>
      </c>
      <c r="D1549">
        <v>48</v>
      </c>
      <c r="E1549" s="1">
        <v>44970</v>
      </c>
      <c r="F1549">
        <v>2023</v>
      </c>
      <c r="G1549" t="s">
        <v>5042</v>
      </c>
      <c r="H1549">
        <v>13</v>
      </c>
      <c r="I1549">
        <v>4.8499999999999996</v>
      </c>
      <c r="J1549">
        <v>14</v>
      </c>
      <c r="K1549">
        <v>3262.01</v>
      </c>
      <c r="L1549">
        <v>2.7</v>
      </c>
    </row>
    <row r="1550" spans="1:12" x14ac:dyDescent="0.3">
      <c r="A1550" t="s">
        <v>1565</v>
      </c>
      <c r="B1550" t="s">
        <v>24</v>
      </c>
      <c r="C1550" t="s">
        <v>14</v>
      </c>
      <c r="D1550">
        <v>49</v>
      </c>
      <c r="E1550" s="1">
        <v>41773</v>
      </c>
      <c r="F1550">
        <v>2014</v>
      </c>
      <c r="G1550" t="s">
        <v>5036</v>
      </c>
      <c r="H1550">
        <v>14</v>
      </c>
      <c r="I1550">
        <v>3.13</v>
      </c>
      <c r="J1550">
        <v>7</v>
      </c>
      <c r="K1550">
        <v>13990.18</v>
      </c>
      <c r="L1550">
        <v>11.5</v>
      </c>
    </row>
    <row r="1551" spans="1:12" x14ac:dyDescent="0.3">
      <c r="A1551" t="s">
        <v>1566</v>
      </c>
      <c r="B1551" t="s">
        <v>13</v>
      </c>
      <c r="C1551" t="s">
        <v>11</v>
      </c>
      <c r="D1551">
        <v>60</v>
      </c>
      <c r="E1551" s="1">
        <v>40723</v>
      </c>
      <c r="F1551">
        <v>2011</v>
      </c>
      <c r="G1551" t="s">
        <v>5032</v>
      </c>
      <c r="H1551">
        <v>29</v>
      </c>
      <c r="I1551">
        <v>4.3899999999999997</v>
      </c>
      <c r="J1551">
        <v>7</v>
      </c>
      <c r="K1551">
        <v>6764.96</v>
      </c>
      <c r="L1551">
        <v>14.4</v>
      </c>
    </row>
    <row r="1552" spans="1:12" x14ac:dyDescent="0.3">
      <c r="A1552" t="s">
        <v>1567</v>
      </c>
      <c r="B1552" t="s">
        <v>18</v>
      </c>
      <c r="C1552" t="s">
        <v>14</v>
      </c>
      <c r="D1552">
        <v>25</v>
      </c>
      <c r="E1552" s="1">
        <v>40741</v>
      </c>
      <c r="F1552">
        <v>2011</v>
      </c>
      <c r="G1552" t="s">
        <v>5034</v>
      </c>
      <c r="H1552">
        <v>17</v>
      </c>
      <c r="I1552">
        <v>4.7699999999999996</v>
      </c>
      <c r="J1552">
        <v>13</v>
      </c>
      <c r="K1552">
        <v>3323.91</v>
      </c>
      <c r="L1552">
        <v>14.3</v>
      </c>
    </row>
    <row r="1553" spans="1:12" x14ac:dyDescent="0.3">
      <c r="A1553" t="s">
        <v>1568</v>
      </c>
      <c r="B1553" t="s">
        <v>16</v>
      </c>
      <c r="C1553" t="s">
        <v>14</v>
      </c>
      <c r="D1553">
        <v>49</v>
      </c>
      <c r="E1553" s="1">
        <v>44540</v>
      </c>
      <c r="F1553">
        <v>2021</v>
      </c>
      <c r="G1553" t="s">
        <v>5041</v>
      </c>
      <c r="H1553">
        <v>10</v>
      </c>
      <c r="I1553">
        <v>2.48</v>
      </c>
      <c r="J1553">
        <v>7</v>
      </c>
      <c r="K1553">
        <v>3820.26</v>
      </c>
      <c r="L1553">
        <v>3.9</v>
      </c>
    </row>
    <row r="1554" spans="1:12" x14ac:dyDescent="0.3">
      <c r="A1554" t="s">
        <v>1569</v>
      </c>
      <c r="B1554" t="s">
        <v>24</v>
      </c>
      <c r="C1554" t="s">
        <v>14</v>
      </c>
      <c r="D1554">
        <v>56</v>
      </c>
      <c r="E1554" s="1">
        <v>42078</v>
      </c>
      <c r="F1554">
        <v>2015</v>
      </c>
      <c r="G1554" t="s">
        <v>5035</v>
      </c>
      <c r="H1554">
        <v>15</v>
      </c>
      <c r="I1554">
        <v>3.3</v>
      </c>
      <c r="J1554">
        <v>15</v>
      </c>
      <c r="K1554">
        <v>9148.77</v>
      </c>
      <c r="L1554">
        <v>10.6</v>
      </c>
    </row>
    <row r="1555" spans="1:12" x14ac:dyDescent="0.3">
      <c r="A1555" t="s">
        <v>1570</v>
      </c>
      <c r="B1555" t="s">
        <v>34</v>
      </c>
      <c r="C1555" t="s">
        <v>11</v>
      </c>
      <c r="D1555">
        <v>42</v>
      </c>
      <c r="E1555" s="1">
        <v>41517</v>
      </c>
      <c r="F1555">
        <v>2013</v>
      </c>
      <c r="G1555" t="s">
        <v>5031</v>
      </c>
      <c r="H1555">
        <v>31</v>
      </c>
      <c r="I1555">
        <v>2.33</v>
      </c>
      <c r="J1555">
        <v>12</v>
      </c>
      <c r="K1555">
        <v>5083.59</v>
      </c>
      <c r="L1555">
        <v>12.2</v>
      </c>
    </row>
    <row r="1556" spans="1:12" x14ac:dyDescent="0.3">
      <c r="A1556" t="s">
        <v>1571</v>
      </c>
      <c r="B1556" t="s">
        <v>16</v>
      </c>
      <c r="C1556" t="s">
        <v>11</v>
      </c>
      <c r="D1556">
        <v>55</v>
      </c>
      <c r="E1556" s="1">
        <v>40888</v>
      </c>
      <c r="F1556">
        <v>2011</v>
      </c>
      <c r="G1556" t="s">
        <v>5041</v>
      </c>
      <c r="H1556">
        <v>11</v>
      </c>
      <c r="I1556">
        <v>4.7300000000000004</v>
      </c>
      <c r="J1556">
        <v>9</v>
      </c>
      <c r="K1556">
        <v>9326.3700000000008</v>
      </c>
      <c r="L1556">
        <v>13.9</v>
      </c>
    </row>
    <row r="1557" spans="1:12" x14ac:dyDescent="0.3">
      <c r="A1557" t="s">
        <v>1572</v>
      </c>
      <c r="B1557" t="s">
        <v>34</v>
      </c>
      <c r="C1557" t="s">
        <v>11</v>
      </c>
      <c r="D1557">
        <v>42</v>
      </c>
      <c r="E1557" s="1">
        <v>44904</v>
      </c>
      <c r="F1557">
        <v>2022</v>
      </c>
      <c r="G1557" t="s">
        <v>5041</v>
      </c>
      <c r="H1557">
        <v>9</v>
      </c>
      <c r="I1557">
        <v>3.12</v>
      </c>
      <c r="J1557">
        <v>15</v>
      </c>
      <c r="K1557">
        <v>5753.47</v>
      </c>
      <c r="L1557">
        <v>2.9</v>
      </c>
    </row>
    <row r="1558" spans="1:12" x14ac:dyDescent="0.3">
      <c r="A1558" t="s">
        <v>1573</v>
      </c>
      <c r="B1558" t="s">
        <v>24</v>
      </c>
      <c r="C1558" t="s">
        <v>11</v>
      </c>
      <c r="D1558">
        <v>24</v>
      </c>
      <c r="E1558" s="1">
        <v>43955</v>
      </c>
      <c r="F1558">
        <v>2020</v>
      </c>
      <c r="G1558" t="s">
        <v>5036</v>
      </c>
      <c r="H1558">
        <v>4</v>
      </c>
      <c r="I1558">
        <v>1.7</v>
      </c>
      <c r="J1558">
        <v>11</v>
      </c>
      <c r="K1558">
        <v>10990.94</v>
      </c>
      <c r="L1558">
        <v>5.5</v>
      </c>
    </row>
    <row r="1559" spans="1:12" x14ac:dyDescent="0.3">
      <c r="A1559" t="s">
        <v>1574</v>
      </c>
      <c r="B1559" t="s">
        <v>13</v>
      </c>
      <c r="C1559" t="s">
        <v>11</v>
      </c>
      <c r="D1559">
        <v>46</v>
      </c>
      <c r="E1559" s="1">
        <v>44335</v>
      </c>
      <c r="F1559">
        <v>2021</v>
      </c>
      <c r="G1559" t="s">
        <v>5036</v>
      </c>
      <c r="H1559">
        <v>19</v>
      </c>
      <c r="I1559">
        <v>2.48</v>
      </c>
      <c r="J1559">
        <v>14</v>
      </c>
      <c r="K1559">
        <v>3801.82</v>
      </c>
      <c r="L1559">
        <v>4.5</v>
      </c>
    </row>
    <row r="1560" spans="1:12" x14ac:dyDescent="0.3">
      <c r="A1560" t="s">
        <v>1575</v>
      </c>
      <c r="B1560" t="s">
        <v>13</v>
      </c>
      <c r="C1560" t="s">
        <v>11</v>
      </c>
      <c r="D1560">
        <v>54</v>
      </c>
      <c r="E1560" s="1">
        <v>45797</v>
      </c>
      <c r="F1560">
        <v>2025</v>
      </c>
      <c r="G1560" t="s">
        <v>5036</v>
      </c>
      <c r="H1560">
        <v>20</v>
      </c>
      <c r="I1560">
        <v>3.24</v>
      </c>
      <c r="J1560">
        <v>2</v>
      </c>
      <c r="K1560">
        <v>9117.9599999999991</v>
      </c>
      <c r="L1560">
        <v>0.5</v>
      </c>
    </row>
    <row r="1561" spans="1:12" x14ac:dyDescent="0.3">
      <c r="A1561" t="s">
        <v>1576</v>
      </c>
      <c r="B1561" t="s">
        <v>18</v>
      </c>
      <c r="C1561" t="s">
        <v>14</v>
      </c>
      <c r="D1561">
        <v>25</v>
      </c>
      <c r="E1561" s="1">
        <v>43440</v>
      </c>
      <c r="F1561">
        <v>2018</v>
      </c>
      <c r="G1561" t="s">
        <v>5041</v>
      </c>
      <c r="H1561">
        <v>6</v>
      </c>
      <c r="I1561">
        <v>3.29</v>
      </c>
      <c r="J1561">
        <v>2</v>
      </c>
      <c r="K1561">
        <v>11032.21</v>
      </c>
      <c r="L1561">
        <v>6.9</v>
      </c>
    </row>
    <row r="1562" spans="1:12" x14ac:dyDescent="0.3">
      <c r="A1562" t="s">
        <v>1577</v>
      </c>
      <c r="B1562" t="s">
        <v>34</v>
      </c>
      <c r="C1562" t="s">
        <v>14</v>
      </c>
      <c r="D1562">
        <v>29</v>
      </c>
      <c r="E1562" s="1">
        <v>41947</v>
      </c>
      <c r="F1562">
        <v>2014</v>
      </c>
      <c r="G1562" t="s">
        <v>5038</v>
      </c>
      <c r="H1562">
        <v>4</v>
      </c>
      <c r="I1562">
        <v>4.41</v>
      </c>
      <c r="J1562">
        <v>0</v>
      </c>
      <c r="K1562">
        <v>6903.61</v>
      </c>
      <c r="L1562">
        <v>11</v>
      </c>
    </row>
    <row r="1563" spans="1:12" x14ac:dyDescent="0.3">
      <c r="A1563" t="s">
        <v>1578</v>
      </c>
      <c r="B1563" t="s">
        <v>24</v>
      </c>
      <c r="C1563" t="s">
        <v>14</v>
      </c>
      <c r="D1563">
        <v>54</v>
      </c>
      <c r="E1563" s="1">
        <v>40736</v>
      </c>
      <c r="F1563">
        <v>2011</v>
      </c>
      <c r="G1563" t="s">
        <v>5034</v>
      </c>
      <c r="H1563">
        <v>12</v>
      </c>
      <c r="I1563">
        <v>1.84</v>
      </c>
      <c r="J1563">
        <v>10</v>
      </c>
      <c r="K1563">
        <v>7264.32</v>
      </c>
      <c r="L1563">
        <v>14.3</v>
      </c>
    </row>
    <row r="1564" spans="1:12" x14ac:dyDescent="0.3">
      <c r="A1564" t="s">
        <v>1579</v>
      </c>
      <c r="B1564" t="s">
        <v>10</v>
      </c>
      <c r="C1564" t="s">
        <v>11</v>
      </c>
      <c r="D1564">
        <v>29</v>
      </c>
      <c r="E1564" s="1">
        <v>43551</v>
      </c>
      <c r="F1564">
        <v>2019</v>
      </c>
      <c r="G1564" t="s">
        <v>5035</v>
      </c>
      <c r="H1564">
        <v>27</v>
      </c>
      <c r="I1564">
        <v>3.09</v>
      </c>
      <c r="J1564">
        <v>14</v>
      </c>
      <c r="K1564">
        <v>14027.29</v>
      </c>
      <c r="L1564">
        <v>6.6</v>
      </c>
    </row>
    <row r="1565" spans="1:12" x14ac:dyDescent="0.3">
      <c r="A1565" t="s">
        <v>1580</v>
      </c>
      <c r="B1565" t="s">
        <v>24</v>
      </c>
      <c r="C1565" t="s">
        <v>14</v>
      </c>
      <c r="D1565">
        <v>35</v>
      </c>
      <c r="E1565" s="1">
        <v>41647</v>
      </c>
      <c r="F1565">
        <v>2014</v>
      </c>
      <c r="G1565" t="s">
        <v>5037</v>
      </c>
      <c r="H1565">
        <v>8</v>
      </c>
      <c r="I1565">
        <v>3.17</v>
      </c>
      <c r="J1565">
        <v>15</v>
      </c>
      <c r="K1565">
        <v>6806.97</v>
      </c>
      <c r="L1565">
        <v>11.8</v>
      </c>
    </row>
    <row r="1566" spans="1:12" x14ac:dyDescent="0.3">
      <c r="A1566" t="s">
        <v>1581</v>
      </c>
      <c r="B1566" t="s">
        <v>34</v>
      </c>
      <c r="C1566" t="s">
        <v>14</v>
      </c>
      <c r="D1566">
        <v>30</v>
      </c>
      <c r="E1566" s="1">
        <v>41939</v>
      </c>
      <c r="F1566">
        <v>2014</v>
      </c>
      <c r="G1566" t="s">
        <v>5039</v>
      </c>
      <c r="H1566">
        <v>27</v>
      </c>
      <c r="I1566">
        <v>4.01</v>
      </c>
      <c r="J1566">
        <v>9</v>
      </c>
      <c r="K1566">
        <v>5561.2</v>
      </c>
      <c r="L1566">
        <v>11</v>
      </c>
    </row>
    <row r="1567" spans="1:12" x14ac:dyDescent="0.3">
      <c r="A1567" t="s">
        <v>1582</v>
      </c>
      <c r="B1567" t="s">
        <v>34</v>
      </c>
      <c r="C1567" t="s">
        <v>14</v>
      </c>
      <c r="D1567">
        <v>33</v>
      </c>
      <c r="E1567" s="1">
        <v>45672</v>
      </c>
      <c r="F1567">
        <v>2025</v>
      </c>
      <c r="G1567" t="s">
        <v>5037</v>
      </c>
      <c r="H1567">
        <v>15</v>
      </c>
      <c r="I1567">
        <v>4.5199999999999996</v>
      </c>
      <c r="J1567">
        <v>5</v>
      </c>
      <c r="K1567">
        <v>10835.69</v>
      </c>
      <c r="L1567">
        <v>0.8</v>
      </c>
    </row>
    <row r="1568" spans="1:12" x14ac:dyDescent="0.3">
      <c r="A1568" t="s">
        <v>1583</v>
      </c>
      <c r="B1568" t="s">
        <v>34</v>
      </c>
      <c r="C1568" t="s">
        <v>14</v>
      </c>
      <c r="D1568">
        <v>23</v>
      </c>
      <c r="E1568" s="1">
        <v>41913</v>
      </c>
      <c r="F1568">
        <v>2014</v>
      </c>
      <c r="G1568" t="s">
        <v>5039</v>
      </c>
      <c r="H1568">
        <v>1</v>
      </c>
      <c r="I1568">
        <v>1.56</v>
      </c>
      <c r="J1568">
        <v>11</v>
      </c>
      <c r="K1568">
        <v>10758.29</v>
      </c>
      <c r="L1568">
        <v>11.1</v>
      </c>
    </row>
    <row r="1569" spans="1:12" x14ac:dyDescent="0.3">
      <c r="A1569" t="s">
        <v>1584</v>
      </c>
      <c r="B1569" t="s">
        <v>13</v>
      </c>
      <c r="C1569" t="s">
        <v>14</v>
      </c>
      <c r="D1569">
        <v>53</v>
      </c>
      <c r="E1569" s="1">
        <v>43110</v>
      </c>
      <c r="F1569">
        <v>2018</v>
      </c>
      <c r="G1569" t="s">
        <v>5037</v>
      </c>
      <c r="H1569">
        <v>10</v>
      </c>
      <c r="I1569">
        <v>3.07</v>
      </c>
      <c r="J1569">
        <v>11</v>
      </c>
      <c r="K1569">
        <v>11070.49</v>
      </c>
      <c r="L1569">
        <v>7.8</v>
      </c>
    </row>
    <row r="1570" spans="1:12" x14ac:dyDescent="0.3">
      <c r="A1570" t="s">
        <v>1585</v>
      </c>
      <c r="B1570" t="s">
        <v>10</v>
      </c>
      <c r="C1570" t="s">
        <v>14</v>
      </c>
      <c r="D1570">
        <v>55</v>
      </c>
      <c r="E1570" s="1">
        <v>44756</v>
      </c>
      <c r="F1570">
        <v>2022</v>
      </c>
      <c r="G1570" t="s">
        <v>5034</v>
      </c>
      <c r="H1570">
        <v>14</v>
      </c>
      <c r="I1570">
        <v>4.9000000000000004</v>
      </c>
      <c r="J1570">
        <v>1</v>
      </c>
      <c r="K1570">
        <v>13917.14</v>
      </c>
      <c r="L1570">
        <v>3.3</v>
      </c>
    </row>
    <row r="1571" spans="1:12" x14ac:dyDescent="0.3">
      <c r="A1571" t="s">
        <v>1586</v>
      </c>
      <c r="B1571" t="s">
        <v>34</v>
      </c>
      <c r="C1571" t="s">
        <v>14</v>
      </c>
      <c r="D1571">
        <v>55</v>
      </c>
      <c r="E1571" s="1">
        <v>43504</v>
      </c>
      <c r="F1571">
        <v>2019</v>
      </c>
      <c r="G1571" t="s">
        <v>5042</v>
      </c>
      <c r="H1571">
        <v>8</v>
      </c>
      <c r="I1571">
        <v>4.45</v>
      </c>
      <c r="J1571">
        <v>7</v>
      </c>
      <c r="K1571">
        <v>9890.18</v>
      </c>
      <c r="L1571">
        <v>6.7</v>
      </c>
    </row>
    <row r="1572" spans="1:12" x14ac:dyDescent="0.3">
      <c r="A1572" t="s">
        <v>1587</v>
      </c>
      <c r="B1572" t="s">
        <v>16</v>
      </c>
      <c r="C1572" t="s">
        <v>14</v>
      </c>
      <c r="D1572">
        <v>57</v>
      </c>
      <c r="E1572" s="1">
        <v>44297</v>
      </c>
      <c r="F1572">
        <v>2021</v>
      </c>
      <c r="G1572" t="s">
        <v>5040</v>
      </c>
      <c r="H1572">
        <v>11</v>
      </c>
      <c r="I1572">
        <v>2.2000000000000002</v>
      </c>
      <c r="J1572">
        <v>9</v>
      </c>
      <c r="K1572">
        <v>14936.96</v>
      </c>
      <c r="L1572">
        <v>4.5999999999999996</v>
      </c>
    </row>
    <row r="1573" spans="1:12" x14ac:dyDescent="0.3">
      <c r="A1573" t="s">
        <v>1588</v>
      </c>
      <c r="B1573" t="s">
        <v>16</v>
      </c>
      <c r="C1573" t="s">
        <v>14</v>
      </c>
      <c r="D1573">
        <v>57</v>
      </c>
      <c r="E1573" s="1">
        <v>45411</v>
      </c>
      <c r="F1573">
        <v>2024</v>
      </c>
      <c r="G1573" t="s">
        <v>5040</v>
      </c>
      <c r="H1573">
        <v>29</v>
      </c>
      <c r="I1573">
        <v>4.54</v>
      </c>
      <c r="J1573">
        <v>14</v>
      </c>
      <c r="K1573">
        <v>9258.69</v>
      </c>
      <c r="L1573">
        <v>1.5</v>
      </c>
    </row>
    <row r="1574" spans="1:12" x14ac:dyDescent="0.3">
      <c r="A1574" t="s">
        <v>1589</v>
      </c>
      <c r="B1574" t="s">
        <v>18</v>
      </c>
      <c r="C1574" t="s">
        <v>11</v>
      </c>
      <c r="D1574">
        <v>31</v>
      </c>
      <c r="E1574" s="1">
        <v>45353</v>
      </c>
      <c r="F1574">
        <v>2024</v>
      </c>
      <c r="G1574" t="s">
        <v>5035</v>
      </c>
      <c r="H1574">
        <v>2</v>
      </c>
      <c r="I1574">
        <v>4.74</v>
      </c>
      <c r="J1574">
        <v>0</v>
      </c>
      <c r="K1574">
        <v>5682.88</v>
      </c>
      <c r="L1574">
        <v>1.7</v>
      </c>
    </row>
    <row r="1575" spans="1:12" x14ac:dyDescent="0.3">
      <c r="A1575" t="s">
        <v>1590</v>
      </c>
      <c r="B1575" t="s">
        <v>34</v>
      </c>
      <c r="C1575" t="s">
        <v>11</v>
      </c>
      <c r="D1575">
        <v>41</v>
      </c>
      <c r="E1575" s="1">
        <v>40325</v>
      </c>
      <c r="F1575">
        <v>2010</v>
      </c>
      <c r="G1575" t="s">
        <v>5036</v>
      </c>
      <c r="H1575">
        <v>27</v>
      </c>
      <c r="I1575">
        <v>3.67</v>
      </c>
      <c r="J1575">
        <v>1</v>
      </c>
      <c r="K1575">
        <v>3499.34</v>
      </c>
      <c r="L1575">
        <v>15.4</v>
      </c>
    </row>
    <row r="1576" spans="1:12" x14ac:dyDescent="0.3">
      <c r="A1576" t="s">
        <v>1591</v>
      </c>
      <c r="B1576" t="s">
        <v>13</v>
      </c>
      <c r="C1576" t="s">
        <v>14</v>
      </c>
      <c r="D1576">
        <v>36</v>
      </c>
      <c r="E1576" s="1">
        <v>43965</v>
      </c>
      <c r="F1576">
        <v>2020</v>
      </c>
      <c r="G1576" t="s">
        <v>5036</v>
      </c>
      <c r="H1576">
        <v>14</v>
      </c>
      <c r="I1576">
        <v>2.2599999999999998</v>
      </c>
      <c r="J1576">
        <v>10</v>
      </c>
      <c r="K1576">
        <v>13414.72</v>
      </c>
      <c r="L1576">
        <v>5.5</v>
      </c>
    </row>
    <row r="1577" spans="1:12" x14ac:dyDescent="0.3">
      <c r="A1577" t="s">
        <v>1592</v>
      </c>
      <c r="B1577" t="s">
        <v>34</v>
      </c>
      <c r="C1577" t="s">
        <v>14</v>
      </c>
      <c r="D1577">
        <v>47</v>
      </c>
      <c r="E1577" s="1">
        <v>40583</v>
      </c>
      <c r="F1577">
        <v>2011</v>
      </c>
      <c r="G1577" t="s">
        <v>5042</v>
      </c>
      <c r="H1577">
        <v>9</v>
      </c>
      <c r="I1577">
        <v>3.82</v>
      </c>
      <c r="J1577">
        <v>14</v>
      </c>
      <c r="K1577">
        <v>8941.64</v>
      </c>
      <c r="L1577">
        <v>14.7</v>
      </c>
    </row>
    <row r="1578" spans="1:12" x14ac:dyDescent="0.3">
      <c r="A1578" t="s">
        <v>1593</v>
      </c>
      <c r="B1578" t="s">
        <v>13</v>
      </c>
      <c r="C1578" t="s">
        <v>11</v>
      </c>
      <c r="D1578">
        <v>49</v>
      </c>
      <c r="E1578" s="1">
        <v>40199</v>
      </c>
      <c r="F1578">
        <v>2010</v>
      </c>
      <c r="G1578" t="s">
        <v>5037</v>
      </c>
      <c r="H1578">
        <v>21</v>
      </c>
      <c r="I1578">
        <v>1.57</v>
      </c>
      <c r="J1578">
        <v>7</v>
      </c>
      <c r="K1578">
        <v>10698.42</v>
      </c>
      <c r="L1578">
        <v>15.8</v>
      </c>
    </row>
    <row r="1579" spans="1:12" x14ac:dyDescent="0.3">
      <c r="A1579" t="s">
        <v>1594</v>
      </c>
      <c r="B1579" t="s">
        <v>34</v>
      </c>
      <c r="C1579" t="s">
        <v>14</v>
      </c>
      <c r="D1579">
        <v>26</v>
      </c>
      <c r="E1579" s="1">
        <v>41339</v>
      </c>
      <c r="F1579">
        <v>2013</v>
      </c>
      <c r="G1579" t="s">
        <v>5035</v>
      </c>
      <c r="H1579">
        <v>6</v>
      </c>
      <c r="I1579">
        <v>3.42</v>
      </c>
      <c r="J1579">
        <v>1</v>
      </c>
      <c r="K1579">
        <v>9761.5499999999993</v>
      </c>
      <c r="L1579">
        <v>12.7</v>
      </c>
    </row>
    <row r="1580" spans="1:12" x14ac:dyDescent="0.3">
      <c r="A1580" t="s">
        <v>1595</v>
      </c>
      <c r="B1580" t="s">
        <v>34</v>
      </c>
      <c r="C1580" t="s">
        <v>11</v>
      </c>
      <c r="D1580">
        <v>47</v>
      </c>
      <c r="E1580" s="1">
        <v>41949</v>
      </c>
      <c r="F1580">
        <v>2014</v>
      </c>
      <c r="G1580" t="s">
        <v>5038</v>
      </c>
      <c r="H1580">
        <v>6</v>
      </c>
      <c r="I1580">
        <v>4.17</v>
      </c>
      <c r="J1580">
        <v>13</v>
      </c>
      <c r="K1580">
        <v>12026.18</v>
      </c>
      <c r="L1580">
        <v>11</v>
      </c>
    </row>
    <row r="1581" spans="1:12" x14ac:dyDescent="0.3">
      <c r="A1581" t="s">
        <v>1596</v>
      </c>
      <c r="B1581" t="s">
        <v>34</v>
      </c>
      <c r="C1581" t="s">
        <v>11</v>
      </c>
      <c r="D1581">
        <v>51</v>
      </c>
      <c r="E1581" s="1">
        <v>42419</v>
      </c>
      <c r="F1581">
        <v>2016</v>
      </c>
      <c r="G1581" t="s">
        <v>5042</v>
      </c>
      <c r="H1581">
        <v>19</v>
      </c>
      <c r="I1581">
        <v>2.2200000000000002</v>
      </c>
      <c r="J1581">
        <v>5</v>
      </c>
      <c r="K1581">
        <v>7824.07</v>
      </c>
      <c r="L1581">
        <v>9.6999999999999993</v>
      </c>
    </row>
    <row r="1582" spans="1:12" x14ac:dyDescent="0.3">
      <c r="A1582" t="s">
        <v>1597</v>
      </c>
      <c r="B1582" t="s">
        <v>34</v>
      </c>
      <c r="C1582" t="s">
        <v>11</v>
      </c>
      <c r="D1582">
        <v>59</v>
      </c>
      <c r="E1582" s="1">
        <v>45704</v>
      </c>
      <c r="F1582">
        <v>2025</v>
      </c>
      <c r="G1582" t="s">
        <v>5042</v>
      </c>
      <c r="H1582">
        <v>16</v>
      </c>
      <c r="I1582">
        <v>1.7</v>
      </c>
      <c r="J1582">
        <v>14</v>
      </c>
      <c r="K1582">
        <v>4261.76</v>
      </c>
      <c r="L1582">
        <v>0.7</v>
      </c>
    </row>
    <row r="1583" spans="1:12" x14ac:dyDescent="0.3">
      <c r="A1583" t="s">
        <v>1598</v>
      </c>
      <c r="B1583" t="s">
        <v>16</v>
      </c>
      <c r="C1583" t="s">
        <v>11</v>
      </c>
      <c r="D1583">
        <v>53</v>
      </c>
      <c r="E1583" s="1">
        <v>45729</v>
      </c>
      <c r="F1583">
        <v>2025</v>
      </c>
      <c r="G1583" t="s">
        <v>5035</v>
      </c>
      <c r="H1583">
        <v>13</v>
      </c>
      <c r="I1583">
        <v>2.14</v>
      </c>
      <c r="J1583">
        <v>10</v>
      </c>
      <c r="K1583">
        <v>10782.83</v>
      </c>
      <c r="L1583">
        <v>0.6</v>
      </c>
    </row>
    <row r="1584" spans="1:12" x14ac:dyDescent="0.3">
      <c r="A1584" t="s">
        <v>1599</v>
      </c>
      <c r="B1584" t="s">
        <v>24</v>
      </c>
      <c r="C1584" t="s">
        <v>14</v>
      </c>
      <c r="D1584">
        <v>58</v>
      </c>
      <c r="E1584" s="1">
        <v>40850</v>
      </c>
      <c r="F1584">
        <v>2011</v>
      </c>
      <c r="G1584" t="s">
        <v>5038</v>
      </c>
      <c r="H1584">
        <v>3</v>
      </c>
      <c r="I1584">
        <v>2.5099999999999998</v>
      </c>
      <c r="J1584">
        <v>6</v>
      </c>
      <c r="K1584">
        <v>10438.01</v>
      </c>
      <c r="L1584">
        <v>14</v>
      </c>
    </row>
    <row r="1585" spans="1:12" x14ac:dyDescent="0.3">
      <c r="A1585" t="s">
        <v>1600</v>
      </c>
      <c r="B1585" t="s">
        <v>24</v>
      </c>
      <c r="C1585" t="s">
        <v>11</v>
      </c>
      <c r="D1585">
        <v>46</v>
      </c>
      <c r="E1585" s="1">
        <v>40752</v>
      </c>
      <c r="F1585">
        <v>2011</v>
      </c>
      <c r="G1585" t="s">
        <v>5034</v>
      </c>
      <c r="H1585">
        <v>28</v>
      </c>
      <c r="I1585">
        <v>2.3199999999999998</v>
      </c>
      <c r="J1585">
        <v>13</v>
      </c>
      <c r="K1585">
        <v>3638.26</v>
      </c>
      <c r="L1585">
        <v>14.3</v>
      </c>
    </row>
    <row r="1586" spans="1:12" x14ac:dyDescent="0.3">
      <c r="A1586" t="s">
        <v>1601</v>
      </c>
      <c r="B1586" t="s">
        <v>10</v>
      </c>
      <c r="C1586" t="s">
        <v>14</v>
      </c>
      <c r="D1586">
        <v>40</v>
      </c>
      <c r="E1586" s="1">
        <v>41700</v>
      </c>
      <c r="F1586">
        <v>2014</v>
      </c>
      <c r="G1586" t="s">
        <v>5035</v>
      </c>
      <c r="H1586">
        <v>2</v>
      </c>
      <c r="I1586">
        <v>2.04</v>
      </c>
      <c r="J1586">
        <v>9</v>
      </c>
      <c r="K1586">
        <v>11664.48</v>
      </c>
      <c r="L1586">
        <v>11.7</v>
      </c>
    </row>
    <row r="1587" spans="1:12" x14ac:dyDescent="0.3">
      <c r="A1587" t="s">
        <v>1602</v>
      </c>
      <c r="B1587" t="s">
        <v>16</v>
      </c>
      <c r="C1587" t="s">
        <v>11</v>
      </c>
      <c r="D1587">
        <v>38</v>
      </c>
      <c r="E1587" s="1">
        <v>44060</v>
      </c>
      <c r="F1587">
        <v>2020</v>
      </c>
      <c r="G1587" t="s">
        <v>5031</v>
      </c>
      <c r="H1587">
        <v>17</v>
      </c>
      <c r="I1587">
        <v>3.96</v>
      </c>
      <c r="J1587">
        <v>0</v>
      </c>
      <c r="K1587">
        <v>4762.6099999999997</v>
      </c>
      <c r="L1587">
        <v>5.2</v>
      </c>
    </row>
    <row r="1588" spans="1:12" x14ac:dyDescent="0.3">
      <c r="A1588" t="s">
        <v>1603</v>
      </c>
      <c r="B1588" t="s">
        <v>10</v>
      </c>
      <c r="C1588" t="s">
        <v>11</v>
      </c>
      <c r="D1588">
        <v>30</v>
      </c>
      <c r="E1588" s="1">
        <v>42791</v>
      </c>
      <c r="F1588">
        <v>2017</v>
      </c>
      <c r="G1588" t="s">
        <v>5042</v>
      </c>
      <c r="H1588">
        <v>25</v>
      </c>
      <c r="I1588">
        <v>1.79</v>
      </c>
      <c r="J1588">
        <v>1</v>
      </c>
      <c r="K1588">
        <v>14407.78</v>
      </c>
      <c r="L1588">
        <v>8.6999999999999993</v>
      </c>
    </row>
    <row r="1589" spans="1:12" x14ac:dyDescent="0.3">
      <c r="A1589" t="s">
        <v>1604</v>
      </c>
      <c r="B1589" t="s">
        <v>10</v>
      </c>
      <c r="C1589" t="s">
        <v>11</v>
      </c>
      <c r="D1589">
        <v>54</v>
      </c>
      <c r="E1589" s="1">
        <v>42999</v>
      </c>
      <c r="F1589">
        <v>2017</v>
      </c>
      <c r="G1589" t="s">
        <v>5033</v>
      </c>
      <c r="H1589">
        <v>21</v>
      </c>
      <c r="I1589">
        <v>2.66</v>
      </c>
      <c r="J1589">
        <v>1</v>
      </c>
      <c r="K1589">
        <v>11057.55</v>
      </c>
      <c r="L1589">
        <v>8.1</v>
      </c>
    </row>
    <row r="1590" spans="1:12" x14ac:dyDescent="0.3">
      <c r="A1590" t="s">
        <v>1605</v>
      </c>
      <c r="B1590" t="s">
        <v>18</v>
      </c>
      <c r="C1590" t="s">
        <v>11</v>
      </c>
      <c r="D1590">
        <v>45</v>
      </c>
      <c r="E1590" s="1">
        <v>41409</v>
      </c>
      <c r="F1590">
        <v>2013</v>
      </c>
      <c r="G1590" t="s">
        <v>5036</v>
      </c>
      <c r="H1590">
        <v>15</v>
      </c>
      <c r="I1590">
        <v>3.68</v>
      </c>
      <c r="J1590">
        <v>0</v>
      </c>
      <c r="K1590">
        <v>14340.1</v>
      </c>
      <c r="L1590">
        <v>12.5</v>
      </c>
    </row>
    <row r="1591" spans="1:12" x14ac:dyDescent="0.3">
      <c r="A1591" t="s">
        <v>1606</v>
      </c>
      <c r="B1591" t="s">
        <v>34</v>
      </c>
      <c r="C1591" t="s">
        <v>11</v>
      </c>
      <c r="D1591">
        <v>54</v>
      </c>
      <c r="E1591" s="1">
        <v>41770</v>
      </c>
      <c r="F1591">
        <v>2014</v>
      </c>
      <c r="G1591" t="s">
        <v>5036</v>
      </c>
      <c r="H1591">
        <v>11</v>
      </c>
      <c r="I1591">
        <v>2.61</v>
      </c>
      <c r="J1591">
        <v>12</v>
      </c>
      <c r="K1591">
        <v>5521.86</v>
      </c>
      <c r="L1591">
        <v>11.5</v>
      </c>
    </row>
    <row r="1592" spans="1:12" x14ac:dyDescent="0.3">
      <c r="A1592" t="s">
        <v>1607</v>
      </c>
      <c r="B1592" t="s">
        <v>13</v>
      </c>
      <c r="C1592" t="s">
        <v>14</v>
      </c>
      <c r="D1592">
        <v>48</v>
      </c>
      <c r="E1592" s="1">
        <v>45595</v>
      </c>
      <c r="F1592">
        <v>2024</v>
      </c>
      <c r="G1592" t="s">
        <v>5039</v>
      </c>
      <c r="H1592">
        <v>30</v>
      </c>
      <c r="I1592">
        <v>1.67</v>
      </c>
      <c r="J1592">
        <v>7</v>
      </c>
      <c r="K1592">
        <v>5895</v>
      </c>
      <c r="L1592">
        <v>1</v>
      </c>
    </row>
    <row r="1593" spans="1:12" x14ac:dyDescent="0.3">
      <c r="A1593" t="s">
        <v>1608</v>
      </c>
      <c r="B1593" t="s">
        <v>24</v>
      </c>
      <c r="C1593" t="s">
        <v>14</v>
      </c>
      <c r="D1593">
        <v>39</v>
      </c>
      <c r="E1593" s="1">
        <v>44908</v>
      </c>
      <c r="F1593">
        <v>2022</v>
      </c>
      <c r="G1593" t="s">
        <v>5041</v>
      </c>
      <c r="H1593">
        <v>13</v>
      </c>
      <c r="I1593">
        <v>1.52</v>
      </c>
      <c r="J1593">
        <v>0</v>
      </c>
      <c r="K1593">
        <v>11623.72</v>
      </c>
      <c r="L1593">
        <v>2.9</v>
      </c>
    </row>
    <row r="1594" spans="1:12" x14ac:dyDescent="0.3">
      <c r="A1594" t="s">
        <v>1609</v>
      </c>
      <c r="B1594" t="s">
        <v>10</v>
      </c>
      <c r="C1594" t="s">
        <v>14</v>
      </c>
      <c r="D1594">
        <v>58</v>
      </c>
      <c r="E1594" s="1">
        <v>44002</v>
      </c>
      <c r="F1594">
        <v>2020</v>
      </c>
      <c r="G1594" t="s">
        <v>5032</v>
      </c>
      <c r="H1594">
        <v>20</v>
      </c>
      <c r="I1594">
        <v>4.58</v>
      </c>
      <c r="J1594">
        <v>7</v>
      </c>
      <c r="K1594">
        <v>6455.61</v>
      </c>
      <c r="L1594">
        <v>5.4</v>
      </c>
    </row>
    <row r="1595" spans="1:12" x14ac:dyDescent="0.3">
      <c r="A1595" t="s">
        <v>1610</v>
      </c>
      <c r="B1595" t="s">
        <v>13</v>
      </c>
      <c r="C1595" t="s">
        <v>14</v>
      </c>
      <c r="D1595">
        <v>33</v>
      </c>
      <c r="E1595" s="1">
        <v>45816</v>
      </c>
      <c r="F1595">
        <v>2025</v>
      </c>
      <c r="G1595" t="s">
        <v>5032</v>
      </c>
      <c r="H1595">
        <v>8</v>
      </c>
      <c r="I1595">
        <v>4.3</v>
      </c>
      <c r="J1595">
        <v>9</v>
      </c>
      <c r="K1595">
        <v>14081.38</v>
      </c>
      <c r="L1595">
        <v>0.4</v>
      </c>
    </row>
    <row r="1596" spans="1:12" x14ac:dyDescent="0.3">
      <c r="A1596" t="s">
        <v>1611</v>
      </c>
      <c r="B1596" t="s">
        <v>18</v>
      </c>
      <c r="C1596" t="s">
        <v>11</v>
      </c>
      <c r="D1596">
        <v>39</v>
      </c>
      <c r="E1596" s="1">
        <v>42271</v>
      </c>
      <c r="F1596">
        <v>2015</v>
      </c>
      <c r="G1596" t="s">
        <v>5033</v>
      </c>
      <c r="H1596">
        <v>24</v>
      </c>
      <c r="I1596">
        <v>4.66</v>
      </c>
      <c r="J1596">
        <v>8</v>
      </c>
      <c r="K1596">
        <v>8116.05</v>
      </c>
      <c r="L1596">
        <v>10.1</v>
      </c>
    </row>
    <row r="1597" spans="1:12" x14ac:dyDescent="0.3">
      <c r="A1597" t="s">
        <v>1612</v>
      </c>
      <c r="B1597" t="s">
        <v>16</v>
      </c>
      <c r="C1597" t="s">
        <v>11</v>
      </c>
      <c r="D1597">
        <v>31</v>
      </c>
      <c r="E1597" s="1">
        <v>44988</v>
      </c>
      <c r="F1597">
        <v>2023</v>
      </c>
      <c r="G1597" t="s">
        <v>5035</v>
      </c>
      <c r="H1597">
        <v>3</v>
      </c>
      <c r="I1597">
        <v>2.86</v>
      </c>
      <c r="J1597">
        <v>6</v>
      </c>
      <c r="K1597">
        <v>5935.74</v>
      </c>
      <c r="L1597">
        <v>2.7</v>
      </c>
    </row>
    <row r="1598" spans="1:12" x14ac:dyDescent="0.3">
      <c r="A1598" t="s">
        <v>1613</v>
      </c>
      <c r="B1598" t="s">
        <v>34</v>
      </c>
      <c r="C1598" t="s">
        <v>11</v>
      </c>
      <c r="D1598">
        <v>50</v>
      </c>
      <c r="E1598" s="1">
        <v>42449</v>
      </c>
      <c r="F1598">
        <v>2016</v>
      </c>
      <c r="G1598" t="s">
        <v>5035</v>
      </c>
      <c r="H1598">
        <v>20</v>
      </c>
      <c r="I1598">
        <v>4.92</v>
      </c>
      <c r="J1598">
        <v>9</v>
      </c>
      <c r="K1598">
        <v>14877.35</v>
      </c>
      <c r="L1598">
        <v>9.6</v>
      </c>
    </row>
    <row r="1599" spans="1:12" x14ac:dyDescent="0.3">
      <c r="A1599" t="s">
        <v>1614</v>
      </c>
      <c r="B1599" t="s">
        <v>13</v>
      </c>
      <c r="C1599" t="s">
        <v>11</v>
      </c>
      <c r="D1599">
        <v>36</v>
      </c>
      <c r="E1599" s="1">
        <v>44330</v>
      </c>
      <c r="F1599">
        <v>2021</v>
      </c>
      <c r="G1599" t="s">
        <v>5036</v>
      </c>
      <c r="H1599">
        <v>14</v>
      </c>
      <c r="I1599">
        <v>2.92</v>
      </c>
      <c r="J1599">
        <v>7</v>
      </c>
      <c r="K1599">
        <v>7416.93</v>
      </c>
      <c r="L1599">
        <v>4.5</v>
      </c>
    </row>
    <row r="1600" spans="1:12" x14ac:dyDescent="0.3">
      <c r="A1600" t="s">
        <v>1615</v>
      </c>
      <c r="B1600" t="s">
        <v>10</v>
      </c>
      <c r="C1600" t="s">
        <v>14</v>
      </c>
      <c r="D1600">
        <v>47</v>
      </c>
      <c r="E1600" s="1">
        <v>43708</v>
      </c>
      <c r="F1600">
        <v>2019</v>
      </c>
      <c r="G1600" t="s">
        <v>5031</v>
      </c>
      <c r="H1600">
        <v>31</v>
      </c>
      <c r="I1600">
        <v>3.29</v>
      </c>
      <c r="J1600">
        <v>7</v>
      </c>
      <c r="K1600">
        <v>13814.54</v>
      </c>
      <c r="L1600">
        <v>6.2</v>
      </c>
    </row>
    <row r="1601" spans="1:12" x14ac:dyDescent="0.3">
      <c r="A1601" t="s">
        <v>1616</v>
      </c>
      <c r="B1601" t="s">
        <v>13</v>
      </c>
      <c r="C1601" t="s">
        <v>14</v>
      </c>
      <c r="D1601">
        <v>30</v>
      </c>
      <c r="E1601" s="1">
        <v>44605</v>
      </c>
      <c r="F1601">
        <v>2022</v>
      </c>
      <c r="G1601" t="s">
        <v>5042</v>
      </c>
      <c r="H1601">
        <v>13</v>
      </c>
      <c r="I1601">
        <v>2.5</v>
      </c>
      <c r="J1601">
        <v>7</v>
      </c>
      <c r="K1601">
        <v>13462.41</v>
      </c>
      <c r="L1601">
        <v>3.7</v>
      </c>
    </row>
    <row r="1602" spans="1:12" x14ac:dyDescent="0.3">
      <c r="A1602" t="s">
        <v>1617</v>
      </c>
      <c r="B1602" t="s">
        <v>16</v>
      </c>
      <c r="C1602" t="s">
        <v>14</v>
      </c>
      <c r="D1602">
        <v>39</v>
      </c>
      <c r="E1602" s="1">
        <v>43175</v>
      </c>
      <c r="F1602">
        <v>2018</v>
      </c>
      <c r="G1602" t="s">
        <v>5035</v>
      </c>
      <c r="H1602">
        <v>16</v>
      </c>
      <c r="I1602">
        <v>2.71</v>
      </c>
      <c r="J1602">
        <v>8</v>
      </c>
      <c r="K1602">
        <v>7108.52</v>
      </c>
      <c r="L1602">
        <v>7.6</v>
      </c>
    </row>
    <row r="1603" spans="1:12" x14ac:dyDescent="0.3">
      <c r="A1603" t="s">
        <v>1618</v>
      </c>
      <c r="B1603" t="s">
        <v>34</v>
      </c>
      <c r="C1603" t="s">
        <v>14</v>
      </c>
      <c r="D1603">
        <v>25</v>
      </c>
      <c r="E1603" s="1">
        <v>41893</v>
      </c>
      <c r="F1603">
        <v>2014</v>
      </c>
      <c r="G1603" t="s">
        <v>5033</v>
      </c>
      <c r="H1603">
        <v>11</v>
      </c>
      <c r="I1603">
        <v>4.0999999999999996</v>
      </c>
      <c r="J1603">
        <v>5</v>
      </c>
      <c r="K1603">
        <v>11525.09</v>
      </c>
      <c r="L1603">
        <v>11.1</v>
      </c>
    </row>
    <row r="1604" spans="1:12" x14ac:dyDescent="0.3">
      <c r="A1604" t="s">
        <v>1619</v>
      </c>
      <c r="B1604" t="s">
        <v>34</v>
      </c>
      <c r="C1604" t="s">
        <v>14</v>
      </c>
      <c r="D1604">
        <v>30</v>
      </c>
      <c r="E1604" s="1">
        <v>43183</v>
      </c>
      <c r="F1604">
        <v>2018</v>
      </c>
      <c r="G1604" t="s">
        <v>5035</v>
      </c>
      <c r="H1604">
        <v>24</v>
      </c>
      <c r="I1604">
        <v>1.62</v>
      </c>
      <c r="J1604">
        <v>6</v>
      </c>
      <c r="K1604">
        <v>9934.2000000000007</v>
      </c>
      <c r="L1604">
        <v>7.6</v>
      </c>
    </row>
    <row r="1605" spans="1:12" x14ac:dyDescent="0.3">
      <c r="A1605" t="s">
        <v>1620</v>
      </c>
      <c r="B1605" t="s">
        <v>16</v>
      </c>
      <c r="C1605" t="s">
        <v>14</v>
      </c>
      <c r="D1605">
        <v>28</v>
      </c>
      <c r="E1605" s="1">
        <v>44770</v>
      </c>
      <c r="F1605">
        <v>2022</v>
      </c>
      <c r="G1605" t="s">
        <v>5034</v>
      </c>
      <c r="H1605">
        <v>28</v>
      </c>
      <c r="I1605">
        <v>4.8499999999999996</v>
      </c>
      <c r="J1605">
        <v>12</v>
      </c>
      <c r="K1605">
        <v>9849.44</v>
      </c>
      <c r="L1605">
        <v>3.3</v>
      </c>
    </row>
    <row r="1606" spans="1:12" x14ac:dyDescent="0.3">
      <c r="A1606" t="s">
        <v>1621</v>
      </c>
      <c r="B1606" t="s">
        <v>24</v>
      </c>
      <c r="C1606" t="s">
        <v>14</v>
      </c>
      <c r="D1606">
        <v>57</v>
      </c>
      <c r="E1606" s="1">
        <v>40627</v>
      </c>
      <c r="F1606">
        <v>2011</v>
      </c>
      <c r="G1606" t="s">
        <v>5035</v>
      </c>
      <c r="H1606">
        <v>25</v>
      </c>
      <c r="I1606">
        <v>1.65</v>
      </c>
      <c r="J1606">
        <v>10</v>
      </c>
      <c r="K1606">
        <v>4859.5600000000004</v>
      </c>
      <c r="L1606">
        <v>14.6</v>
      </c>
    </row>
    <row r="1607" spans="1:12" x14ac:dyDescent="0.3">
      <c r="A1607" t="s">
        <v>1622</v>
      </c>
      <c r="B1607" t="s">
        <v>10</v>
      </c>
      <c r="C1607" t="s">
        <v>11</v>
      </c>
      <c r="D1607">
        <v>46</v>
      </c>
      <c r="E1607" s="1">
        <v>44371</v>
      </c>
      <c r="F1607">
        <v>2021</v>
      </c>
      <c r="G1607" t="s">
        <v>5032</v>
      </c>
      <c r="H1607">
        <v>24</v>
      </c>
      <c r="I1607">
        <v>3.47</v>
      </c>
      <c r="J1607">
        <v>8</v>
      </c>
      <c r="K1607">
        <v>14521.87</v>
      </c>
      <c r="L1607">
        <v>4.4000000000000004</v>
      </c>
    </row>
    <row r="1608" spans="1:12" x14ac:dyDescent="0.3">
      <c r="A1608" t="s">
        <v>1623</v>
      </c>
      <c r="B1608" t="s">
        <v>34</v>
      </c>
      <c r="C1608" t="s">
        <v>14</v>
      </c>
      <c r="D1608">
        <v>41</v>
      </c>
      <c r="E1608" s="1">
        <v>40879</v>
      </c>
      <c r="F1608">
        <v>2011</v>
      </c>
      <c r="G1608" t="s">
        <v>5041</v>
      </c>
      <c r="H1608">
        <v>2</v>
      </c>
      <c r="I1608">
        <v>3.84</v>
      </c>
      <c r="J1608">
        <v>7</v>
      </c>
      <c r="K1608">
        <v>12250.78</v>
      </c>
      <c r="L1608">
        <v>13.9</v>
      </c>
    </row>
    <row r="1609" spans="1:12" x14ac:dyDescent="0.3">
      <c r="A1609" t="s">
        <v>1624</v>
      </c>
      <c r="B1609" t="s">
        <v>18</v>
      </c>
      <c r="C1609" t="s">
        <v>11</v>
      </c>
      <c r="D1609">
        <v>58</v>
      </c>
      <c r="E1609" s="1">
        <v>43033</v>
      </c>
      <c r="F1609">
        <v>2017</v>
      </c>
      <c r="G1609" t="s">
        <v>5039</v>
      </c>
      <c r="H1609">
        <v>25</v>
      </c>
      <c r="I1609">
        <v>3.15</v>
      </c>
      <c r="J1609">
        <v>11</v>
      </c>
      <c r="K1609">
        <v>6725.17</v>
      </c>
      <c r="L1609">
        <v>8</v>
      </c>
    </row>
    <row r="1610" spans="1:12" x14ac:dyDescent="0.3">
      <c r="A1610" t="s">
        <v>1625</v>
      </c>
      <c r="B1610" t="s">
        <v>10</v>
      </c>
      <c r="C1610" t="s">
        <v>14</v>
      </c>
      <c r="D1610">
        <v>53</v>
      </c>
      <c r="E1610" s="1">
        <v>42083</v>
      </c>
      <c r="F1610">
        <v>2015</v>
      </c>
      <c r="G1610" t="s">
        <v>5035</v>
      </c>
      <c r="H1610">
        <v>20</v>
      </c>
      <c r="I1610">
        <v>3.95</v>
      </c>
      <c r="J1610">
        <v>14</v>
      </c>
      <c r="K1610">
        <v>9056.64</v>
      </c>
      <c r="L1610">
        <v>10.6</v>
      </c>
    </row>
    <row r="1611" spans="1:12" x14ac:dyDescent="0.3">
      <c r="A1611" t="s">
        <v>1626</v>
      </c>
      <c r="B1611" t="s">
        <v>13</v>
      </c>
      <c r="C1611" t="s">
        <v>11</v>
      </c>
      <c r="D1611">
        <v>24</v>
      </c>
      <c r="E1611" s="1">
        <v>43977</v>
      </c>
      <c r="F1611">
        <v>2020</v>
      </c>
      <c r="G1611" t="s">
        <v>5036</v>
      </c>
      <c r="H1611">
        <v>26</v>
      </c>
      <c r="I1611">
        <v>1.73</v>
      </c>
      <c r="J1611">
        <v>14</v>
      </c>
      <c r="K1611">
        <v>12863.34</v>
      </c>
      <c r="L1611">
        <v>5.4</v>
      </c>
    </row>
    <row r="1612" spans="1:12" x14ac:dyDescent="0.3">
      <c r="A1612" t="s">
        <v>1627</v>
      </c>
      <c r="B1612" t="s">
        <v>10</v>
      </c>
      <c r="C1612" t="s">
        <v>11</v>
      </c>
      <c r="D1612">
        <v>50</v>
      </c>
      <c r="E1612" s="1">
        <v>44696</v>
      </c>
      <c r="F1612">
        <v>2022</v>
      </c>
      <c r="G1612" t="s">
        <v>5036</v>
      </c>
      <c r="H1612">
        <v>15</v>
      </c>
      <c r="I1612">
        <v>3.27</v>
      </c>
      <c r="J1612">
        <v>15</v>
      </c>
      <c r="K1612">
        <v>9006.74</v>
      </c>
      <c r="L1612">
        <v>3.5</v>
      </c>
    </row>
    <row r="1613" spans="1:12" x14ac:dyDescent="0.3">
      <c r="A1613" t="s">
        <v>1628</v>
      </c>
      <c r="B1613" t="s">
        <v>16</v>
      </c>
      <c r="C1613" t="s">
        <v>14</v>
      </c>
      <c r="D1613">
        <v>51</v>
      </c>
      <c r="E1613" s="1">
        <v>45421</v>
      </c>
      <c r="F1613">
        <v>2024</v>
      </c>
      <c r="G1613" t="s">
        <v>5036</v>
      </c>
      <c r="H1613">
        <v>9</v>
      </c>
      <c r="I1613">
        <v>1.7</v>
      </c>
      <c r="J1613">
        <v>3</v>
      </c>
      <c r="K1613">
        <v>10406.23</v>
      </c>
      <c r="L1613">
        <v>1.5</v>
      </c>
    </row>
    <row r="1614" spans="1:12" x14ac:dyDescent="0.3">
      <c r="A1614" t="s">
        <v>1629</v>
      </c>
      <c r="B1614" t="s">
        <v>18</v>
      </c>
      <c r="C1614" t="s">
        <v>11</v>
      </c>
      <c r="D1614">
        <v>60</v>
      </c>
      <c r="E1614" s="1">
        <v>45486</v>
      </c>
      <c r="F1614">
        <v>2024</v>
      </c>
      <c r="G1614" t="s">
        <v>5034</v>
      </c>
      <c r="H1614">
        <v>13</v>
      </c>
      <c r="I1614">
        <v>2.0499999999999998</v>
      </c>
      <c r="J1614">
        <v>15</v>
      </c>
      <c r="K1614">
        <v>12056.08</v>
      </c>
      <c r="L1614">
        <v>1.3</v>
      </c>
    </row>
    <row r="1615" spans="1:12" x14ac:dyDescent="0.3">
      <c r="A1615" t="s">
        <v>1630</v>
      </c>
      <c r="B1615" t="s">
        <v>16</v>
      </c>
      <c r="C1615" t="s">
        <v>11</v>
      </c>
      <c r="D1615">
        <v>57</v>
      </c>
      <c r="E1615" s="1">
        <v>44491</v>
      </c>
      <c r="F1615">
        <v>2021</v>
      </c>
      <c r="G1615" t="s">
        <v>5039</v>
      </c>
      <c r="H1615">
        <v>22</v>
      </c>
      <c r="I1615">
        <v>4.1100000000000003</v>
      </c>
      <c r="J1615">
        <v>15</v>
      </c>
      <c r="K1615">
        <v>5436.92</v>
      </c>
      <c r="L1615">
        <v>4</v>
      </c>
    </row>
    <row r="1616" spans="1:12" x14ac:dyDescent="0.3">
      <c r="A1616" t="s">
        <v>1631</v>
      </c>
      <c r="B1616" t="s">
        <v>18</v>
      </c>
      <c r="C1616" t="s">
        <v>11</v>
      </c>
      <c r="D1616">
        <v>39</v>
      </c>
      <c r="E1616" s="1">
        <v>41493</v>
      </c>
      <c r="F1616">
        <v>2013</v>
      </c>
      <c r="G1616" t="s">
        <v>5031</v>
      </c>
      <c r="H1616">
        <v>7</v>
      </c>
      <c r="I1616">
        <v>1.79</v>
      </c>
      <c r="J1616">
        <v>1</v>
      </c>
      <c r="K1616">
        <v>3723.05</v>
      </c>
      <c r="L1616">
        <v>12.2</v>
      </c>
    </row>
    <row r="1617" spans="1:12" x14ac:dyDescent="0.3">
      <c r="A1617" t="s">
        <v>1632</v>
      </c>
      <c r="B1617" t="s">
        <v>34</v>
      </c>
      <c r="C1617" t="s">
        <v>11</v>
      </c>
      <c r="D1617">
        <v>53</v>
      </c>
      <c r="E1617" s="1">
        <v>43965</v>
      </c>
      <c r="F1617">
        <v>2020</v>
      </c>
      <c r="G1617" t="s">
        <v>5036</v>
      </c>
      <c r="H1617">
        <v>14</v>
      </c>
      <c r="I1617">
        <v>3.66</v>
      </c>
      <c r="J1617">
        <v>3</v>
      </c>
      <c r="K1617">
        <v>9147.9500000000007</v>
      </c>
      <c r="L1617">
        <v>5.5</v>
      </c>
    </row>
    <row r="1618" spans="1:12" x14ac:dyDescent="0.3">
      <c r="A1618" t="s">
        <v>1633</v>
      </c>
      <c r="B1618" t="s">
        <v>10</v>
      </c>
      <c r="C1618" t="s">
        <v>14</v>
      </c>
      <c r="D1618">
        <v>48</v>
      </c>
      <c r="E1618" s="1">
        <v>40842</v>
      </c>
      <c r="F1618">
        <v>2011</v>
      </c>
      <c r="G1618" t="s">
        <v>5039</v>
      </c>
      <c r="H1618">
        <v>26</v>
      </c>
      <c r="I1618">
        <v>2.3199999999999998</v>
      </c>
      <c r="J1618">
        <v>3</v>
      </c>
      <c r="K1618">
        <v>11197.94</v>
      </c>
      <c r="L1618">
        <v>14</v>
      </c>
    </row>
    <row r="1619" spans="1:12" x14ac:dyDescent="0.3">
      <c r="A1619" t="s">
        <v>1634</v>
      </c>
      <c r="B1619" t="s">
        <v>16</v>
      </c>
      <c r="C1619" t="s">
        <v>14</v>
      </c>
      <c r="D1619">
        <v>33</v>
      </c>
      <c r="E1619" s="1">
        <v>41488</v>
      </c>
      <c r="F1619">
        <v>2013</v>
      </c>
      <c r="G1619" t="s">
        <v>5031</v>
      </c>
      <c r="H1619">
        <v>2</v>
      </c>
      <c r="I1619">
        <v>1.68</v>
      </c>
      <c r="J1619">
        <v>0</v>
      </c>
      <c r="K1619">
        <v>9518.33</v>
      </c>
      <c r="L1619">
        <v>12.3</v>
      </c>
    </row>
    <row r="1620" spans="1:12" x14ac:dyDescent="0.3">
      <c r="A1620" t="s">
        <v>1635</v>
      </c>
      <c r="B1620" t="s">
        <v>18</v>
      </c>
      <c r="C1620" t="s">
        <v>11</v>
      </c>
      <c r="D1620">
        <v>45</v>
      </c>
      <c r="E1620" s="1">
        <v>40325</v>
      </c>
      <c r="F1620">
        <v>2010</v>
      </c>
      <c r="G1620" t="s">
        <v>5036</v>
      </c>
      <c r="H1620">
        <v>27</v>
      </c>
      <c r="I1620">
        <v>3.07</v>
      </c>
      <c r="J1620">
        <v>4</v>
      </c>
      <c r="K1620">
        <v>13725.69</v>
      </c>
      <c r="L1620">
        <v>15.4</v>
      </c>
    </row>
    <row r="1621" spans="1:12" x14ac:dyDescent="0.3">
      <c r="A1621" t="s">
        <v>1636</v>
      </c>
      <c r="B1621" t="s">
        <v>34</v>
      </c>
      <c r="C1621" t="s">
        <v>11</v>
      </c>
      <c r="D1621">
        <v>52</v>
      </c>
      <c r="E1621" s="1">
        <v>43374</v>
      </c>
      <c r="F1621">
        <v>2018</v>
      </c>
      <c r="G1621" t="s">
        <v>5039</v>
      </c>
      <c r="H1621">
        <v>1</v>
      </c>
      <c r="I1621">
        <v>3.19</v>
      </c>
      <c r="J1621">
        <v>12</v>
      </c>
      <c r="K1621">
        <v>13182.2</v>
      </c>
      <c r="L1621">
        <v>7.1</v>
      </c>
    </row>
    <row r="1622" spans="1:12" x14ac:dyDescent="0.3">
      <c r="A1622" t="s">
        <v>1637</v>
      </c>
      <c r="B1622" t="s">
        <v>18</v>
      </c>
      <c r="C1622" t="s">
        <v>11</v>
      </c>
      <c r="D1622">
        <v>54</v>
      </c>
      <c r="E1622" s="1">
        <v>44428</v>
      </c>
      <c r="F1622">
        <v>2021</v>
      </c>
      <c r="G1622" t="s">
        <v>5031</v>
      </c>
      <c r="H1622">
        <v>20</v>
      </c>
      <c r="I1622">
        <v>2.34</v>
      </c>
      <c r="J1622">
        <v>9</v>
      </c>
      <c r="K1622">
        <v>10078.959999999999</v>
      </c>
      <c r="L1622">
        <v>4.2</v>
      </c>
    </row>
    <row r="1623" spans="1:12" x14ac:dyDescent="0.3">
      <c r="A1623" t="s">
        <v>1638</v>
      </c>
      <c r="B1623" t="s">
        <v>34</v>
      </c>
      <c r="C1623" t="s">
        <v>14</v>
      </c>
      <c r="D1623">
        <v>40</v>
      </c>
      <c r="E1623" s="1">
        <v>43747</v>
      </c>
      <c r="F1623">
        <v>2019</v>
      </c>
      <c r="G1623" t="s">
        <v>5039</v>
      </c>
      <c r="H1623">
        <v>9</v>
      </c>
      <c r="I1623">
        <v>3.89</v>
      </c>
      <c r="J1623">
        <v>2</v>
      </c>
      <c r="K1623">
        <v>13220.53</v>
      </c>
      <c r="L1623">
        <v>6.1</v>
      </c>
    </row>
    <row r="1624" spans="1:12" x14ac:dyDescent="0.3">
      <c r="A1624" t="s">
        <v>1639</v>
      </c>
      <c r="B1624" t="s">
        <v>16</v>
      </c>
      <c r="C1624" t="s">
        <v>11</v>
      </c>
      <c r="D1624">
        <v>50</v>
      </c>
      <c r="E1624" s="1">
        <v>40720</v>
      </c>
      <c r="F1624">
        <v>2011</v>
      </c>
      <c r="G1624" t="s">
        <v>5032</v>
      </c>
      <c r="H1624">
        <v>26</v>
      </c>
      <c r="I1624">
        <v>2.2799999999999998</v>
      </c>
      <c r="J1624">
        <v>10</v>
      </c>
      <c r="K1624">
        <v>4552.5200000000004</v>
      </c>
      <c r="L1624">
        <v>14.4</v>
      </c>
    </row>
    <row r="1625" spans="1:12" x14ac:dyDescent="0.3">
      <c r="A1625" t="s">
        <v>1640</v>
      </c>
      <c r="B1625" t="s">
        <v>34</v>
      </c>
      <c r="C1625" t="s">
        <v>14</v>
      </c>
      <c r="D1625">
        <v>37</v>
      </c>
      <c r="E1625" s="1">
        <v>45117</v>
      </c>
      <c r="F1625">
        <v>2023</v>
      </c>
      <c r="G1625" t="s">
        <v>5034</v>
      </c>
      <c r="H1625">
        <v>10</v>
      </c>
      <c r="I1625">
        <v>2.4500000000000002</v>
      </c>
      <c r="J1625">
        <v>13</v>
      </c>
      <c r="K1625">
        <v>12923.73</v>
      </c>
      <c r="L1625">
        <v>2.2999999999999998</v>
      </c>
    </row>
    <row r="1626" spans="1:12" x14ac:dyDescent="0.3">
      <c r="A1626" t="s">
        <v>1641</v>
      </c>
      <c r="B1626" t="s">
        <v>18</v>
      </c>
      <c r="C1626" t="s">
        <v>11</v>
      </c>
      <c r="D1626">
        <v>55</v>
      </c>
      <c r="E1626" s="1">
        <v>40823</v>
      </c>
      <c r="F1626">
        <v>2011</v>
      </c>
      <c r="G1626" t="s">
        <v>5039</v>
      </c>
      <c r="H1626">
        <v>7</v>
      </c>
      <c r="I1626">
        <v>4.45</v>
      </c>
      <c r="J1626">
        <v>10</v>
      </c>
      <c r="K1626">
        <v>7247.28</v>
      </c>
      <c r="L1626">
        <v>14.1</v>
      </c>
    </row>
    <row r="1627" spans="1:12" x14ac:dyDescent="0.3">
      <c r="A1627" t="s">
        <v>1642</v>
      </c>
      <c r="B1627" t="s">
        <v>10</v>
      </c>
      <c r="C1627" t="s">
        <v>11</v>
      </c>
      <c r="D1627">
        <v>50</v>
      </c>
      <c r="E1627" s="1">
        <v>41346</v>
      </c>
      <c r="F1627">
        <v>2013</v>
      </c>
      <c r="G1627" t="s">
        <v>5035</v>
      </c>
      <c r="H1627">
        <v>13</v>
      </c>
      <c r="I1627">
        <v>4.5199999999999996</v>
      </c>
      <c r="J1627">
        <v>15</v>
      </c>
      <c r="K1627">
        <v>14331.43</v>
      </c>
      <c r="L1627">
        <v>12.6</v>
      </c>
    </row>
    <row r="1628" spans="1:12" x14ac:dyDescent="0.3">
      <c r="A1628" t="s">
        <v>1643</v>
      </c>
      <c r="B1628" t="s">
        <v>24</v>
      </c>
      <c r="C1628" t="s">
        <v>11</v>
      </c>
      <c r="D1628">
        <v>22</v>
      </c>
      <c r="E1628" s="1">
        <v>40929</v>
      </c>
      <c r="F1628">
        <v>2012</v>
      </c>
      <c r="G1628" t="s">
        <v>5037</v>
      </c>
      <c r="H1628">
        <v>21</v>
      </c>
      <c r="I1628">
        <v>4.76</v>
      </c>
      <c r="J1628">
        <v>7</v>
      </c>
      <c r="K1628">
        <v>11275.71</v>
      </c>
      <c r="L1628">
        <v>13.8</v>
      </c>
    </row>
    <row r="1629" spans="1:12" x14ac:dyDescent="0.3">
      <c r="A1629" t="s">
        <v>1644</v>
      </c>
      <c r="B1629" t="s">
        <v>18</v>
      </c>
      <c r="C1629" t="s">
        <v>14</v>
      </c>
      <c r="D1629">
        <v>24</v>
      </c>
      <c r="E1629" s="1">
        <v>41586</v>
      </c>
      <c r="F1629">
        <v>2013</v>
      </c>
      <c r="G1629" t="s">
        <v>5038</v>
      </c>
      <c r="H1629">
        <v>8</v>
      </c>
      <c r="I1629">
        <v>1.87</v>
      </c>
      <c r="J1629">
        <v>1</v>
      </c>
      <c r="K1629">
        <v>10135.219999999999</v>
      </c>
      <c r="L1629">
        <v>12</v>
      </c>
    </row>
    <row r="1630" spans="1:12" x14ac:dyDescent="0.3">
      <c r="A1630" t="s">
        <v>1645</v>
      </c>
      <c r="B1630" t="s">
        <v>34</v>
      </c>
      <c r="C1630" t="s">
        <v>11</v>
      </c>
      <c r="D1630">
        <v>23</v>
      </c>
      <c r="E1630" s="1">
        <v>44351</v>
      </c>
      <c r="F1630">
        <v>2021</v>
      </c>
      <c r="G1630" t="s">
        <v>5032</v>
      </c>
      <c r="H1630">
        <v>4</v>
      </c>
      <c r="I1630">
        <v>4.46</v>
      </c>
      <c r="J1630">
        <v>13</v>
      </c>
      <c r="K1630">
        <v>11010.13</v>
      </c>
      <c r="L1630">
        <v>4.4000000000000004</v>
      </c>
    </row>
    <row r="1631" spans="1:12" x14ac:dyDescent="0.3">
      <c r="A1631" t="s">
        <v>1646</v>
      </c>
      <c r="B1631" t="s">
        <v>13</v>
      </c>
      <c r="C1631" t="s">
        <v>14</v>
      </c>
      <c r="D1631">
        <v>49</v>
      </c>
      <c r="E1631" s="1">
        <v>42362</v>
      </c>
      <c r="F1631">
        <v>2015</v>
      </c>
      <c r="G1631" t="s">
        <v>5041</v>
      </c>
      <c r="H1631">
        <v>24</v>
      </c>
      <c r="I1631">
        <v>4.49</v>
      </c>
      <c r="J1631">
        <v>3</v>
      </c>
      <c r="K1631">
        <v>7790.99</v>
      </c>
      <c r="L1631">
        <v>9.9</v>
      </c>
    </row>
    <row r="1632" spans="1:12" x14ac:dyDescent="0.3">
      <c r="A1632" t="s">
        <v>1647</v>
      </c>
      <c r="B1632" t="s">
        <v>10</v>
      </c>
      <c r="C1632" t="s">
        <v>14</v>
      </c>
      <c r="D1632">
        <v>53</v>
      </c>
      <c r="E1632" s="1">
        <v>44708</v>
      </c>
      <c r="F1632">
        <v>2022</v>
      </c>
      <c r="G1632" t="s">
        <v>5036</v>
      </c>
      <c r="H1632">
        <v>27</v>
      </c>
      <c r="I1632">
        <v>3.54</v>
      </c>
      <c r="J1632">
        <v>9</v>
      </c>
      <c r="K1632">
        <v>3966.3</v>
      </c>
      <c r="L1632">
        <v>3.4</v>
      </c>
    </row>
    <row r="1633" spans="1:12" x14ac:dyDescent="0.3">
      <c r="A1633" t="s">
        <v>1648</v>
      </c>
      <c r="B1633" t="s">
        <v>13</v>
      </c>
      <c r="C1633" t="s">
        <v>14</v>
      </c>
      <c r="D1633">
        <v>32</v>
      </c>
      <c r="E1633" s="1">
        <v>40455</v>
      </c>
      <c r="F1633">
        <v>2010</v>
      </c>
      <c r="G1633" t="s">
        <v>5039</v>
      </c>
      <c r="H1633">
        <v>4</v>
      </c>
      <c r="I1633">
        <v>2.33</v>
      </c>
      <c r="J1633">
        <v>14</v>
      </c>
      <c r="K1633">
        <v>13254.67</v>
      </c>
      <c r="L1633">
        <v>15.1</v>
      </c>
    </row>
    <row r="1634" spans="1:12" x14ac:dyDescent="0.3">
      <c r="A1634" t="s">
        <v>1649</v>
      </c>
      <c r="B1634" t="s">
        <v>10</v>
      </c>
      <c r="C1634" t="s">
        <v>11</v>
      </c>
      <c r="D1634">
        <v>35</v>
      </c>
      <c r="E1634" s="1">
        <v>41627</v>
      </c>
      <c r="F1634">
        <v>2013</v>
      </c>
      <c r="G1634" t="s">
        <v>5041</v>
      </c>
      <c r="H1634">
        <v>19</v>
      </c>
      <c r="I1634">
        <v>1.57</v>
      </c>
      <c r="J1634">
        <v>11</v>
      </c>
      <c r="K1634">
        <v>11627.16</v>
      </c>
      <c r="L1634">
        <v>11.9</v>
      </c>
    </row>
    <row r="1635" spans="1:12" x14ac:dyDescent="0.3">
      <c r="A1635" t="s">
        <v>1650</v>
      </c>
      <c r="B1635" t="s">
        <v>24</v>
      </c>
      <c r="C1635" t="s">
        <v>11</v>
      </c>
      <c r="D1635">
        <v>57</v>
      </c>
      <c r="E1635" s="1">
        <v>43605</v>
      </c>
      <c r="F1635">
        <v>2019</v>
      </c>
      <c r="G1635" t="s">
        <v>5036</v>
      </c>
      <c r="H1635">
        <v>20</v>
      </c>
      <c r="I1635">
        <v>4.46</v>
      </c>
      <c r="J1635">
        <v>2</v>
      </c>
      <c r="K1635">
        <v>9212.4500000000007</v>
      </c>
      <c r="L1635">
        <v>6.5</v>
      </c>
    </row>
    <row r="1636" spans="1:12" x14ac:dyDescent="0.3">
      <c r="A1636" t="s">
        <v>1651</v>
      </c>
      <c r="B1636" t="s">
        <v>34</v>
      </c>
      <c r="C1636" t="s">
        <v>11</v>
      </c>
      <c r="D1636">
        <v>29</v>
      </c>
      <c r="E1636" s="1">
        <v>40371</v>
      </c>
      <c r="F1636">
        <v>2010</v>
      </c>
      <c r="G1636" t="s">
        <v>5034</v>
      </c>
      <c r="H1636">
        <v>12</v>
      </c>
      <c r="I1636">
        <v>3.75</v>
      </c>
      <c r="J1636">
        <v>12</v>
      </c>
      <c r="K1636">
        <v>10661.32</v>
      </c>
      <c r="L1636">
        <v>15.3</v>
      </c>
    </row>
    <row r="1637" spans="1:12" x14ac:dyDescent="0.3">
      <c r="A1637" t="s">
        <v>1652</v>
      </c>
      <c r="B1637" t="s">
        <v>34</v>
      </c>
      <c r="C1637" t="s">
        <v>14</v>
      </c>
      <c r="D1637">
        <v>49</v>
      </c>
      <c r="E1637" s="1">
        <v>41856</v>
      </c>
      <c r="F1637">
        <v>2014</v>
      </c>
      <c r="G1637" t="s">
        <v>5031</v>
      </c>
      <c r="H1637">
        <v>5</v>
      </c>
      <c r="I1637">
        <v>2.16</v>
      </c>
      <c r="J1637">
        <v>5</v>
      </c>
      <c r="K1637">
        <v>10466.1</v>
      </c>
      <c r="L1637">
        <v>11.2</v>
      </c>
    </row>
    <row r="1638" spans="1:12" x14ac:dyDescent="0.3">
      <c r="A1638" t="s">
        <v>1653</v>
      </c>
      <c r="B1638" t="s">
        <v>34</v>
      </c>
      <c r="C1638" t="s">
        <v>14</v>
      </c>
      <c r="D1638">
        <v>54</v>
      </c>
      <c r="E1638" s="1">
        <v>45233</v>
      </c>
      <c r="F1638">
        <v>2023</v>
      </c>
      <c r="G1638" t="s">
        <v>5038</v>
      </c>
      <c r="H1638">
        <v>3</v>
      </c>
      <c r="I1638">
        <v>2.2000000000000002</v>
      </c>
      <c r="J1638">
        <v>9</v>
      </c>
      <c r="K1638">
        <v>4120.67</v>
      </c>
      <c r="L1638">
        <v>2</v>
      </c>
    </row>
    <row r="1639" spans="1:12" x14ac:dyDescent="0.3">
      <c r="A1639" t="s">
        <v>1654</v>
      </c>
      <c r="B1639" t="s">
        <v>18</v>
      </c>
      <c r="C1639" t="s">
        <v>11</v>
      </c>
      <c r="D1639">
        <v>53</v>
      </c>
      <c r="E1639" s="1">
        <v>42637</v>
      </c>
      <c r="F1639">
        <v>2016</v>
      </c>
      <c r="G1639" t="s">
        <v>5033</v>
      </c>
      <c r="H1639">
        <v>24</v>
      </c>
      <c r="I1639">
        <v>4.6500000000000004</v>
      </c>
      <c r="J1639">
        <v>15</v>
      </c>
      <c r="K1639">
        <v>7915.54</v>
      </c>
      <c r="L1639">
        <v>9.1</v>
      </c>
    </row>
    <row r="1640" spans="1:12" x14ac:dyDescent="0.3">
      <c r="A1640" t="s">
        <v>1655</v>
      </c>
      <c r="B1640" t="s">
        <v>24</v>
      </c>
      <c r="C1640" t="s">
        <v>14</v>
      </c>
      <c r="D1640">
        <v>37</v>
      </c>
      <c r="E1640" s="1">
        <v>42474</v>
      </c>
      <c r="F1640">
        <v>2016</v>
      </c>
      <c r="G1640" t="s">
        <v>5040</v>
      </c>
      <c r="H1640">
        <v>14</v>
      </c>
      <c r="I1640">
        <v>3.53</v>
      </c>
      <c r="J1640">
        <v>3</v>
      </c>
      <c r="K1640">
        <v>14363.76</v>
      </c>
      <c r="L1640">
        <v>9.6</v>
      </c>
    </row>
    <row r="1641" spans="1:12" x14ac:dyDescent="0.3">
      <c r="A1641" t="s">
        <v>1656</v>
      </c>
      <c r="B1641" t="s">
        <v>13</v>
      </c>
      <c r="C1641" t="s">
        <v>11</v>
      </c>
      <c r="D1641">
        <v>29</v>
      </c>
      <c r="E1641" s="1">
        <v>42614</v>
      </c>
      <c r="F1641">
        <v>2016</v>
      </c>
      <c r="G1641" t="s">
        <v>5033</v>
      </c>
      <c r="H1641">
        <v>1</v>
      </c>
      <c r="I1641">
        <v>2.0499999999999998</v>
      </c>
      <c r="J1641">
        <v>4</v>
      </c>
      <c r="K1641">
        <v>11276.17</v>
      </c>
      <c r="L1641">
        <v>9.1999999999999993</v>
      </c>
    </row>
    <row r="1642" spans="1:12" x14ac:dyDescent="0.3">
      <c r="A1642" t="s">
        <v>1657</v>
      </c>
      <c r="B1642" t="s">
        <v>13</v>
      </c>
      <c r="C1642" t="s">
        <v>11</v>
      </c>
      <c r="D1642">
        <v>52</v>
      </c>
      <c r="E1642" s="1">
        <v>42752</v>
      </c>
      <c r="F1642">
        <v>2017</v>
      </c>
      <c r="G1642" t="s">
        <v>5037</v>
      </c>
      <c r="H1642">
        <v>17</v>
      </c>
      <c r="I1642">
        <v>4.17</v>
      </c>
      <c r="J1642">
        <v>7</v>
      </c>
      <c r="K1642">
        <v>6934.51</v>
      </c>
      <c r="L1642">
        <v>8.8000000000000007</v>
      </c>
    </row>
    <row r="1643" spans="1:12" x14ac:dyDescent="0.3">
      <c r="A1643" t="s">
        <v>1658</v>
      </c>
      <c r="B1643" t="s">
        <v>18</v>
      </c>
      <c r="C1643" t="s">
        <v>14</v>
      </c>
      <c r="D1643">
        <v>57</v>
      </c>
      <c r="E1643" s="1">
        <v>42835</v>
      </c>
      <c r="F1643">
        <v>2017</v>
      </c>
      <c r="G1643" t="s">
        <v>5040</v>
      </c>
      <c r="H1643">
        <v>10</v>
      </c>
      <c r="I1643">
        <v>4.6100000000000003</v>
      </c>
      <c r="J1643">
        <v>2</v>
      </c>
      <c r="K1643">
        <v>6185.96</v>
      </c>
      <c r="L1643">
        <v>8.6</v>
      </c>
    </row>
    <row r="1644" spans="1:12" x14ac:dyDescent="0.3">
      <c r="A1644" t="s">
        <v>1659</v>
      </c>
      <c r="B1644" t="s">
        <v>10</v>
      </c>
      <c r="C1644" t="s">
        <v>11</v>
      </c>
      <c r="D1644">
        <v>38</v>
      </c>
      <c r="E1644" s="1">
        <v>43084</v>
      </c>
      <c r="F1644">
        <v>2017</v>
      </c>
      <c r="G1644" t="s">
        <v>5041</v>
      </c>
      <c r="H1644">
        <v>15</v>
      </c>
      <c r="I1644">
        <v>1.85</v>
      </c>
      <c r="J1644">
        <v>13</v>
      </c>
      <c r="K1644">
        <v>5034.1899999999996</v>
      </c>
      <c r="L1644">
        <v>7.9</v>
      </c>
    </row>
    <row r="1645" spans="1:12" x14ac:dyDescent="0.3">
      <c r="A1645" t="s">
        <v>1660</v>
      </c>
      <c r="B1645" t="s">
        <v>24</v>
      </c>
      <c r="C1645" t="s">
        <v>11</v>
      </c>
      <c r="D1645">
        <v>30</v>
      </c>
      <c r="E1645" s="1">
        <v>40582</v>
      </c>
      <c r="F1645">
        <v>2011</v>
      </c>
      <c r="G1645" t="s">
        <v>5042</v>
      </c>
      <c r="H1645">
        <v>8</v>
      </c>
      <c r="I1645">
        <v>3.5</v>
      </c>
      <c r="J1645">
        <v>7</v>
      </c>
      <c r="K1645">
        <v>11771.2</v>
      </c>
      <c r="L1645">
        <v>14.7</v>
      </c>
    </row>
    <row r="1646" spans="1:12" x14ac:dyDescent="0.3">
      <c r="A1646" t="s">
        <v>1661</v>
      </c>
      <c r="B1646" t="s">
        <v>13</v>
      </c>
      <c r="C1646" t="s">
        <v>11</v>
      </c>
      <c r="D1646">
        <v>37</v>
      </c>
      <c r="E1646" s="1">
        <v>40599</v>
      </c>
      <c r="F1646">
        <v>2011</v>
      </c>
      <c r="G1646" t="s">
        <v>5042</v>
      </c>
      <c r="H1646">
        <v>25</v>
      </c>
      <c r="I1646">
        <v>4.76</v>
      </c>
      <c r="J1646">
        <v>10</v>
      </c>
      <c r="K1646">
        <v>11622.48</v>
      </c>
      <c r="L1646">
        <v>14.7</v>
      </c>
    </row>
    <row r="1647" spans="1:12" x14ac:dyDescent="0.3">
      <c r="A1647" t="s">
        <v>1662</v>
      </c>
      <c r="B1647" t="s">
        <v>34</v>
      </c>
      <c r="C1647" t="s">
        <v>11</v>
      </c>
      <c r="D1647">
        <v>40</v>
      </c>
      <c r="E1647" s="1">
        <v>45068</v>
      </c>
      <c r="F1647">
        <v>2023</v>
      </c>
      <c r="G1647" t="s">
        <v>5036</v>
      </c>
      <c r="H1647">
        <v>22</v>
      </c>
      <c r="I1647">
        <v>4.82</v>
      </c>
      <c r="J1647">
        <v>12</v>
      </c>
      <c r="K1647">
        <v>12039.54</v>
      </c>
      <c r="L1647">
        <v>2.4</v>
      </c>
    </row>
    <row r="1648" spans="1:12" x14ac:dyDescent="0.3">
      <c r="A1648" t="s">
        <v>1663</v>
      </c>
      <c r="B1648" t="s">
        <v>10</v>
      </c>
      <c r="C1648" t="s">
        <v>14</v>
      </c>
      <c r="D1648">
        <v>26</v>
      </c>
      <c r="E1648" s="1">
        <v>43852</v>
      </c>
      <c r="F1648">
        <v>2020</v>
      </c>
      <c r="G1648" t="s">
        <v>5037</v>
      </c>
      <c r="H1648">
        <v>22</v>
      </c>
      <c r="I1648">
        <v>4.1500000000000004</v>
      </c>
      <c r="J1648">
        <v>0</v>
      </c>
      <c r="K1648">
        <v>6450.27</v>
      </c>
      <c r="L1648">
        <v>5.8</v>
      </c>
    </row>
    <row r="1649" spans="1:12" x14ac:dyDescent="0.3">
      <c r="A1649" t="s">
        <v>1664</v>
      </c>
      <c r="B1649" t="s">
        <v>18</v>
      </c>
      <c r="C1649" t="s">
        <v>14</v>
      </c>
      <c r="D1649">
        <v>42</v>
      </c>
      <c r="E1649" s="1">
        <v>41711</v>
      </c>
      <c r="F1649">
        <v>2014</v>
      </c>
      <c r="G1649" t="s">
        <v>5035</v>
      </c>
      <c r="H1649">
        <v>13</v>
      </c>
      <c r="I1649">
        <v>2.88</v>
      </c>
      <c r="J1649">
        <v>3</v>
      </c>
      <c r="K1649">
        <v>6642.15</v>
      </c>
      <c r="L1649">
        <v>11.6</v>
      </c>
    </row>
    <row r="1650" spans="1:12" x14ac:dyDescent="0.3">
      <c r="A1650" t="s">
        <v>1665</v>
      </c>
      <c r="B1650" t="s">
        <v>10</v>
      </c>
      <c r="C1650" t="s">
        <v>11</v>
      </c>
      <c r="D1650">
        <v>37</v>
      </c>
      <c r="E1650" s="1">
        <v>40228</v>
      </c>
      <c r="F1650">
        <v>2010</v>
      </c>
      <c r="G1650" t="s">
        <v>5042</v>
      </c>
      <c r="H1650">
        <v>19</v>
      </c>
      <c r="I1650">
        <v>4.76</v>
      </c>
      <c r="J1650">
        <v>0</v>
      </c>
      <c r="K1650">
        <v>6377.28</v>
      </c>
      <c r="L1650">
        <v>15.7</v>
      </c>
    </row>
    <row r="1651" spans="1:12" x14ac:dyDescent="0.3">
      <c r="A1651" t="s">
        <v>1666</v>
      </c>
      <c r="B1651" t="s">
        <v>13</v>
      </c>
      <c r="C1651" t="s">
        <v>11</v>
      </c>
      <c r="D1651">
        <v>49</v>
      </c>
      <c r="E1651" s="1">
        <v>40651</v>
      </c>
      <c r="F1651">
        <v>2011</v>
      </c>
      <c r="G1651" t="s">
        <v>5040</v>
      </c>
      <c r="H1651">
        <v>18</v>
      </c>
      <c r="I1651">
        <v>3.36</v>
      </c>
      <c r="J1651">
        <v>3</v>
      </c>
      <c r="K1651">
        <v>13499.58</v>
      </c>
      <c r="L1651">
        <v>14.6</v>
      </c>
    </row>
    <row r="1652" spans="1:12" x14ac:dyDescent="0.3">
      <c r="A1652" t="s">
        <v>1667</v>
      </c>
      <c r="B1652" t="s">
        <v>16</v>
      </c>
      <c r="C1652" t="s">
        <v>14</v>
      </c>
      <c r="D1652">
        <v>33</v>
      </c>
      <c r="E1652" s="1">
        <v>45321</v>
      </c>
      <c r="F1652">
        <v>2024</v>
      </c>
      <c r="G1652" t="s">
        <v>5037</v>
      </c>
      <c r="H1652">
        <v>30</v>
      </c>
      <c r="I1652">
        <v>3.04</v>
      </c>
      <c r="J1652">
        <v>1</v>
      </c>
      <c r="K1652">
        <v>13717.82</v>
      </c>
      <c r="L1652">
        <v>1.8</v>
      </c>
    </row>
    <row r="1653" spans="1:12" x14ac:dyDescent="0.3">
      <c r="A1653" t="s">
        <v>1668</v>
      </c>
      <c r="B1653" t="s">
        <v>13</v>
      </c>
      <c r="C1653" t="s">
        <v>11</v>
      </c>
      <c r="D1653">
        <v>48</v>
      </c>
      <c r="E1653" s="1">
        <v>45876</v>
      </c>
      <c r="F1653">
        <v>2025</v>
      </c>
      <c r="G1653" t="s">
        <v>5031</v>
      </c>
      <c r="H1653">
        <v>7</v>
      </c>
      <c r="I1653">
        <v>3.43</v>
      </c>
      <c r="J1653">
        <v>4</v>
      </c>
      <c r="K1653">
        <v>5344.25</v>
      </c>
      <c r="L1653">
        <v>0.2</v>
      </c>
    </row>
    <row r="1654" spans="1:12" x14ac:dyDescent="0.3">
      <c r="A1654" t="s">
        <v>1669</v>
      </c>
      <c r="B1654" t="s">
        <v>24</v>
      </c>
      <c r="C1654" t="s">
        <v>11</v>
      </c>
      <c r="D1654">
        <v>43</v>
      </c>
      <c r="E1654" s="1">
        <v>44333</v>
      </c>
      <c r="F1654">
        <v>2021</v>
      </c>
      <c r="G1654" t="s">
        <v>5036</v>
      </c>
      <c r="H1654">
        <v>17</v>
      </c>
      <c r="I1654">
        <v>4.9000000000000004</v>
      </c>
      <c r="J1654">
        <v>12</v>
      </c>
      <c r="K1654">
        <v>11407.94</v>
      </c>
      <c r="L1654">
        <v>4.5</v>
      </c>
    </row>
    <row r="1655" spans="1:12" x14ac:dyDescent="0.3">
      <c r="A1655" t="s">
        <v>1670</v>
      </c>
      <c r="B1655" t="s">
        <v>16</v>
      </c>
      <c r="C1655" t="s">
        <v>14</v>
      </c>
      <c r="D1655">
        <v>59</v>
      </c>
      <c r="E1655" s="1">
        <v>43681</v>
      </c>
      <c r="F1655">
        <v>2019</v>
      </c>
      <c r="G1655" t="s">
        <v>5031</v>
      </c>
      <c r="H1655">
        <v>4</v>
      </c>
      <c r="I1655">
        <v>4.17</v>
      </c>
      <c r="J1655">
        <v>3</v>
      </c>
      <c r="K1655">
        <v>9441.57</v>
      </c>
      <c r="L1655">
        <v>6.2</v>
      </c>
    </row>
    <row r="1656" spans="1:12" x14ac:dyDescent="0.3">
      <c r="A1656" t="s">
        <v>1671</v>
      </c>
      <c r="B1656" t="s">
        <v>24</v>
      </c>
      <c r="C1656" t="s">
        <v>14</v>
      </c>
      <c r="D1656">
        <v>24</v>
      </c>
      <c r="E1656" s="1">
        <v>43453</v>
      </c>
      <c r="F1656">
        <v>2018</v>
      </c>
      <c r="G1656" t="s">
        <v>5041</v>
      </c>
      <c r="H1656">
        <v>19</v>
      </c>
      <c r="I1656">
        <v>1.55</v>
      </c>
      <c r="J1656">
        <v>3</v>
      </c>
      <c r="K1656">
        <v>6581.05</v>
      </c>
      <c r="L1656">
        <v>6.9</v>
      </c>
    </row>
    <row r="1657" spans="1:12" x14ac:dyDescent="0.3">
      <c r="A1657" t="s">
        <v>1672</v>
      </c>
      <c r="B1657" t="s">
        <v>18</v>
      </c>
      <c r="C1657" t="s">
        <v>14</v>
      </c>
      <c r="D1657">
        <v>24</v>
      </c>
      <c r="E1657" s="1">
        <v>42910</v>
      </c>
      <c r="F1657">
        <v>2017</v>
      </c>
      <c r="G1657" t="s">
        <v>5032</v>
      </c>
      <c r="H1657">
        <v>24</v>
      </c>
      <c r="I1657">
        <v>2.12</v>
      </c>
      <c r="J1657">
        <v>5</v>
      </c>
      <c r="K1657">
        <v>4180.7299999999996</v>
      </c>
      <c r="L1657">
        <v>8.4</v>
      </c>
    </row>
    <row r="1658" spans="1:12" x14ac:dyDescent="0.3">
      <c r="A1658" t="s">
        <v>1673</v>
      </c>
      <c r="B1658" t="s">
        <v>24</v>
      </c>
      <c r="C1658" t="s">
        <v>11</v>
      </c>
      <c r="D1658">
        <v>35</v>
      </c>
      <c r="E1658" s="1">
        <v>43768</v>
      </c>
      <c r="F1658">
        <v>2019</v>
      </c>
      <c r="G1658" t="s">
        <v>5039</v>
      </c>
      <c r="H1658">
        <v>30</v>
      </c>
      <c r="I1658">
        <v>2.68</v>
      </c>
      <c r="J1658">
        <v>1</v>
      </c>
      <c r="K1658">
        <v>7303.09</v>
      </c>
      <c r="L1658">
        <v>6</v>
      </c>
    </row>
    <row r="1659" spans="1:12" x14ac:dyDescent="0.3">
      <c r="A1659" t="s">
        <v>1674</v>
      </c>
      <c r="B1659" t="s">
        <v>10</v>
      </c>
      <c r="C1659" t="s">
        <v>14</v>
      </c>
      <c r="D1659">
        <v>27</v>
      </c>
      <c r="E1659" s="1">
        <v>45681</v>
      </c>
      <c r="F1659">
        <v>2025</v>
      </c>
      <c r="G1659" t="s">
        <v>5037</v>
      </c>
      <c r="H1659">
        <v>24</v>
      </c>
      <c r="I1659">
        <v>3.51</v>
      </c>
      <c r="J1659">
        <v>7</v>
      </c>
      <c r="K1659">
        <v>12747.83</v>
      </c>
      <c r="L1659">
        <v>0.8</v>
      </c>
    </row>
    <row r="1660" spans="1:12" x14ac:dyDescent="0.3">
      <c r="A1660" t="s">
        <v>1675</v>
      </c>
      <c r="B1660" t="s">
        <v>10</v>
      </c>
      <c r="C1660" t="s">
        <v>11</v>
      </c>
      <c r="D1660">
        <v>22</v>
      </c>
      <c r="E1660" s="1">
        <v>43724</v>
      </c>
      <c r="F1660">
        <v>2019</v>
      </c>
      <c r="G1660" t="s">
        <v>5033</v>
      </c>
      <c r="H1660">
        <v>16</v>
      </c>
      <c r="I1660">
        <v>2.6</v>
      </c>
      <c r="J1660">
        <v>14</v>
      </c>
      <c r="K1660">
        <v>14895.33</v>
      </c>
      <c r="L1660">
        <v>6.1</v>
      </c>
    </row>
    <row r="1661" spans="1:12" x14ac:dyDescent="0.3">
      <c r="A1661" t="s">
        <v>1676</v>
      </c>
      <c r="B1661" t="s">
        <v>13</v>
      </c>
      <c r="C1661" t="s">
        <v>11</v>
      </c>
      <c r="D1661">
        <v>48</v>
      </c>
      <c r="E1661" s="1">
        <v>44409</v>
      </c>
      <c r="F1661">
        <v>2021</v>
      </c>
      <c r="G1661" t="s">
        <v>5031</v>
      </c>
      <c r="H1661">
        <v>1</v>
      </c>
      <c r="I1661">
        <v>4.8499999999999996</v>
      </c>
      <c r="J1661">
        <v>13</v>
      </c>
      <c r="K1661">
        <v>4697.6099999999997</v>
      </c>
      <c r="L1661">
        <v>4.3</v>
      </c>
    </row>
    <row r="1662" spans="1:12" x14ac:dyDescent="0.3">
      <c r="A1662" t="s">
        <v>1677</v>
      </c>
      <c r="B1662" t="s">
        <v>24</v>
      </c>
      <c r="C1662" t="s">
        <v>11</v>
      </c>
      <c r="D1662">
        <v>48</v>
      </c>
      <c r="E1662" s="1">
        <v>40722</v>
      </c>
      <c r="F1662">
        <v>2011</v>
      </c>
      <c r="G1662" t="s">
        <v>5032</v>
      </c>
      <c r="H1662">
        <v>28</v>
      </c>
      <c r="I1662">
        <v>3.99</v>
      </c>
      <c r="J1662">
        <v>14</v>
      </c>
      <c r="K1662">
        <v>9047.89</v>
      </c>
      <c r="L1662">
        <v>14.4</v>
      </c>
    </row>
    <row r="1663" spans="1:12" x14ac:dyDescent="0.3">
      <c r="A1663" t="s">
        <v>1678</v>
      </c>
      <c r="B1663" t="s">
        <v>34</v>
      </c>
      <c r="C1663" t="s">
        <v>14</v>
      </c>
      <c r="D1663">
        <v>22</v>
      </c>
      <c r="E1663" s="1">
        <v>44227</v>
      </c>
      <c r="F1663">
        <v>2021</v>
      </c>
      <c r="G1663" t="s">
        <v>5037</v>
      </c>
      <c r="H1663">
        <v>31</v>
      </c>
      <c r="I1663">
        <v>4.08</v>
      </c>
      <c r="J1663">
        <v>4</v>
      </c>
      <c r="K1663">
        <v>8746.4699999999993</v>
      </c>
      <c r="L1663">
        <v>4.8</v>
      </c>
    </row>
    <row r="1664" spans="1:12" x14ac:dyDescent="0.3">
      <c r="A1664" t="s">
        <v>1679</v>
      </c>
      <c r="B1664" t="s">
        <v>10</v>
      </c>
      <c r="C1664" t="s">
        <v>11</v>
      </c>
      <c r="D1664">
        <v>57</v>
      </c>
      <c r="E1664" s="1">
        <v>40592</v>
      </c>
      <c r="F1664">
        <v>2011</v>
      </c>
      <c r="G1664" t="s">
        <v>5042</v>
      </c>
      <c r="H1664">
        <v>18</v>
      </c>
      <c r="I1664">
        <v>1.57</v>
      </c>
      <c r="J1664">
        <v>0</v>
      </c>
      <c r="K1664">
        <v>3141.83</v>
      </c>
      <c r="L1664">
        <v>14.7</v>
      </c>
    </row>
    <row r="1665" spans="1:12" x14ac:dyDescent="0.3">
      <c r="A1665" t="s">
        <v>1680</v>
      </c>
      <c r="B1665" t="s">
        <v>13</v>
      </c>
      <c r="C1665" t="s">
        <v>14</v>
      </c>
      <c r="D1665">
        <v>29</v>
      </c>
      <c r="E1665" s="1">
        <v>45134</v>
      </c>
      <c r="F1665">
        <v>2023</v>
      </c>
      <c r="G1665" t="s">
        <v>5034</v>
      </c>
      <c r="H1665">
        <v>27</v>
      </c>
      <c r="I1665">
        <v>2.88</v>
      </c>
      <c r="J1665">
        <v>11</v>
      </c>
      <c r="K1665">
        <v>5847.63</v>
      </c>
      <c r="L1665">
        <v>2.2999999999999998</v>
      </c>
    </row>
    <row r="1666" spans="1:12" x14ac:dyDescent="0.3">
      <c r="A1666" t="s">
        <v>1681</v>
      </c>
      <c r="B1666" t="s">
        <v>16</v>
      </c>
      <c r="C1666" t="s">
        <v>14</v>
      </c>
      <c r="D1666">
        <v>59</v>
      </c>
      <c r="E1666" s="1">
        <v>44687</v>
      </c>
      <c r="F1666">
        <v>2022</v>
      </c>
      <c r="G1666" t="s">
        <v>5036</v>
      </c>
      <c r="H1666">
        <v>6</v>
      </c>
      <c r="I1666">
        <v>3.57</v>
      </c>
      <c r="J1666">
        <v>8</v>
      </c>
      <c r="K1666">
        <v>8694.42</v>
      </c>
      <c r="L1666">
        <v>3.5</v>
      </c>
    </row>
    <row r="1667" spans="1:12" x14ac:dyDescent="0.3">
      <c r="A1667" t="s">
        <v>1682</v>
      </c>
      <c r="B1667" t="s">
        <v>10</v>
      </c>
      <c r="C1667" t="s">
        <v>11</v>
      </c>
      <c r="D1667">
        <v>40</v>
      </c>
      <c r="E1667" s="1">
        <v>41564</v>
      </c>
      <c r="F1667">
        <v>2013</v>
      </c>
      <c r="G1667" t="s">
        <v>5039</v>
      </c>
      <c r="H1667">
        <v>17</v>
      </c>
      <c r="I1667">
        <v>4.88</v>
      </c>
      <c r="J1667">
        <v>10</v>
      </c>
      <c r="K1667">
        <v>7045.89</v>
      </c>
      <c r="L1667">
        <v>12</v>
      </c>
    </row>
    <row r="1668" spans="1:12" x14ac:dyDescent="0.3">
      <c r="A1668" t="s">
        <v>1683</v>
      </c>
      <c r="B1668" t="s">
        <v>24</v>
      </c>
      <c r="C1668" t="s">
        <v>14</v>
      </c>
      <c r="D1668">
        <v>46</v>
      </c>
      <c r="E1668" s="1">
        <v>40775</v>
      </c>
      <c r="F1668">
        <v>2011</v>
      </c>
      <c r="G1668" t="s">
        <v>5031</v>
      </c>
      <c r="H1668">
        <v>20</v>
      </c>
      <c r="I1668">
        <v>4.37</v>
      </c>
      <c r="J1668">
        <v>4</v>
      </c>
      <c r="K1668">
        <v>6302.69</v>
      </c>
      <c r="L1668">
        <v>14.2</v>
      </c>
    </row>
    <row r="1669" spans="1:12" x14ac:dyDescent="0.3">
      <c r="A1669" t="s">
        <v>1684</v>
      </c>
      <c r="B1669" t="s">
        <v>13</v>
      </c>
      <c r="C1669" t="s">
        <v>11</v>
      </c>
      <c r="D1669">
        <v>49</v>
      </c>
      <c r="E1669" s="1">
        <v>42990</v>
      </c>
      <c r="F1669">
        <v>2017</v>
      </c>
      <c r="G1669" t="s">
        <v>5033</v>
      </c>
      <c r="H1669">
        <v>12</v>
      </c>
      <c r="I1669">
        <v>3.4</v>
      </c>
      <c r="J1669">
        <v>6</v>
      </c>
      <c r="K1669">
        <v>4376.2700000000004</v>
      </c>
      <c r="L1669">
        <v>8.1</v>
      </c>
    </row>
    <row r="1670" spans="1:12" x14ac:dyDescent="0.3">
      <c r="A1670" t="s">
        <v>1685</v>
      </c>
      <c r="B1670" t="s">
        <v>13</v>
      </c>
      <c r="C1670" t="s">
        <v>11</v>
      </c>
      <c r="D1670">
        <v>31</v>
      </c>
      <c r="E1670" s="1">
        <v>44039</v>
      </c>
      <c r="F1670">
        <v>2020</v>
      </c>
      <c r="G1670" t="s">
        <v>5034</v>
      </c>
      <c r="H1670">
        <v>27</v>
      </c>
      <c r="I1670">
        <v>4.12</v>
      </c>
      <c r="J1670">
        <v>10</v>
      </c>
      <c r="K1670">
        <v>8922.85</v>
      </c>
      <c r="L1670">
        <v>5.3</v>
      </c>
    </row>
    <row r="1671" spans="1:12" x14ac:dyDescent="0.3">
      <c r="A1671" t="s">
        <v>1686</v>
      </c>
      <c r="B1671" t="s">
        <v>34</v>
      </c>
      <c r="C1671" t="s">
        <v>11</v>
      </c>
      <c r="D1671">
        <v>55</v>
      </c>
      <c r="E1671" s="1">
        <v>44248</v>
      </c>
      <c r="F1671">
        <v>2021</v>
      </c>
      <c r="G1671" t="s">
        <v>5042</v>
      </c>
      <c r="H1671">
        <v>21</v>
      </c>
      <c r="I1671">
        <v>1.64</v>
      </c>
      <c r="J1671">
        <v>12</v>
      </c>
      <c r="K1671">
        <v>3522.89</v>
      </c>
      <c r="L1671">
        <v>4.7</v>
      </c>
    </row>
    <row r="1672" spans="1:12" x14ac:dyDescent="0.3">
      <c r="A1672" t="s">
        <v>1687</v>
      </c>
      <c r="B1672" t="s">
        <v>13</v>
      </c>
      <c r="C1672" t="s">
        <v>11</v>
      </c>
      <c r="D1672">
        <v>52</v>
      </c>
      <c r="E1672" s="1">
        <v>42284</v>
      </c>
      <c r="F1672">
        <v>2015</v>
      </c>
      <c r="G1672" t="s">
        <v>5039</v>
      </c>
      <c r="H1672">
        <v>7</v>
      </c>
      <c r="I1672">
        <v>2.35</v>
      </c>
      <c r="J1672">
        <v>11</v>
      </c>
      <c r="K1672">
        <v>13048.96</v>
      </c>
      <c r="L1672">
        <v>10.1</v>
      </c>
    </row>
    <row r="1673" spans="1:12" x14ac:dyDescent="0.3">
      <c r="A1673" t="s">
        <v>1688</v>
      </c>
      <c r="B1673" t="s">
        <v>13</v>
      </c>
      <c r="C1673" t="s">
        <v>14</v>
      </c>
      <c r="D1673">
        <v>51</v>
      </c>
      <c r="E1673" s="1">
        <v>40728</v>
      </c>
      <c r="F1673">
        <v>2011</v>
      </c>
      <c r="G1673" t="s">
        <v>5034</v>
      </c>
      <c r="H1673">
        <v>4</v>
      </c>
      <c r="I1673">
        <v>4.13</v>
      </c>
      <c r="J1673">
        <v>0</v>
      </c>
      <c r="K1673">
        <v>14264.64</v>
      </c>
      <c r="L1673">
        <v>14.3</v>
      </c>
    </row>
    <row r="1674" spans="1:12" x14ac:dyDescent="0.3">
      <c r="A1674" t="s">
        <v>1689</v>
      </c>
      <c r="B1674" t="s">
        <v>24</v>
      </c>
      <c r="C1674" t="s">
        <v>14</v>
      </c>
      <c r="D1674">
        <v>45</v>
      </c>
      <c r="E1674" s="1">
        <v>45518</v>
      </c>
      <c r="F1674">
        <v>2024</v>
      </c>
      <c r="G1674" t="s">
        <v>5031</v>
      </c>
      <c r="H1674">
        <v>14</v>
      </c>
      <c r="I1674">
        <v>4.0599999999999996</v>
      </c>
      <c r="J1674">
        <v>6</v>
      </c>
      <c r="K1674">
        <v>9724.56</v>
      </c>
      <c r="L1674">
        <v>1.2</v>
      </c>
    </row>
    <row r="1675" spans="1:12" x14ac:dyDescent="0.3">
      <c r="A1675" t="s">
        <v>1690</v>
      </c>
      <c r="B1675" t="s">
        <v>34</v>
      </c>
      <c r="C1675" t="s">
        <v>11</v>
      </c>
      <c r="D1675">
        <v>26</v>
      </c>
      <c r="E1675" s="1">
        <v>41938</v>
      </c>
      <c r="F1675">
        <v>2014</v>
      </c>
      <c r="G1675" t="s">
        <v>5039</v>
      </c>
      <c r="H1675">
        <v>26</v>
      </c>
      <c r="I1675">
        <v>2.95</v>
      </c>
      <c r="J1675">
        <v>9</v>
      </c>
      <c r="K1675">
        <v>5391.39</v>
      </c>
      <c r="L1675">
        <v>11</v>
      </c>
    </row>
    <row r="1676" spans="1:12" x14ac:dyDescent="0.3">
      <c r="A1676" t="s">
        <v>1691</v>
      </c>
      <c r="B1676" t="s">
        <v>34</v>
      </c>
      <c r="C1676" t="s">
        <v>14</v>
      </c>
      <c r="D1676">
        <v>33</v>
      </c>
      <c r="E1676" s="1">
        <v>42325</v>
      </c>
      <c r="F1676">
        <v>2015</v>
      </c>
      <c r="G1676" t="s">
        <v>5038</v>
      </c>
      <c r="H1676">
        <v>17</v>
      </c>
      <c r="I1676">
        <v>3.38</v>
      </c>
      <c r="J1676">
        <v>10</v>
      </c>
      <c r="K1676">
        <v>3983.44</v>
      </c>
      <c r="L1676">
        <v>10</v>
      </c>
    </row>
    <row r="1677" spans="1:12" x14ac:dyDescent="0.3">
      <c r="A1677" t="s">
        <v>1692</v>
      </c>
      <c r="B1677" t="s">
        <v>24</v>
      </c>
      <c r="C1677" t="s">
        <v>11</v>
      </c>
      <c r="D1677">
        <v>55</v>
      </c>
      <c r="E1677" s="1">
        <v>40585</v>
      </c>
      <c r="F1677">
        <v>2011</v>
      </c>
      <c r="G1677" t="s">
        <v>5042</v>
      </c>
      <c r="H1677">
        <v>11</v>
      </c>
      <c r="I1677">
        <v>3.85</v>
      </c>
      <c r="J1677">
        <v>0</v>
      </c>
      <c r="K1677">
        <v>10580.78</v>
      </c>
      <c r="L1677">
        <v>14.7</v>
      </c>
    </row>
    <row r="1678" spans="1:12" x14ac:dyDescent="0.3">
      <c r="A1678" t="s">
        <v>1693</v>
      </c>
      <c r="B1678" t="s">
        <v>34</v>
      </c>
      <c r="C1678" t="s">
        <v>11</v>
      </c>
      <c r="D1678">
        <v>59</v>
      </c>
      <c r="E1678" s="1">
        <v>43270</v>
      </c>
      <c r="F1678">
        <v>2018</v>
      </c>
      <c r="G1678" t="s">
        <v>5032</v>
      </c>
      <c r="H1678">
        <v>19</v>
      </c>
      <c r="I1678">
        <v>2.59</v>
      </c>
      <c r="J1678">
        <v>7</v>
      </c>
      <c r="K1678">
        <v>8640.9699999999993</v>
      </c>
      <c r="L1678">
        <v>7.4</v>
      </c>
    </row>
    <row r="1679" spans="1:12" x14ac:dyDescent="0.3">
      <c r="A1679" t="s">
        <v>1694</v>
      </c>
      <c r="B1679" t="s">
        <v>18</v>
      </c>
      <c r="C1679" t="s">
        <v>14</v>
      </c>
      <c r="D1679">
        <v>39</v>
      </c>
      <c r="E1679" s="1">
        <v>44148</v>
      </c>
      <c r="F1679">
        <v>2020</v>
      </c>
      <c r="G1679" t="s">
        <v>5038</v>
      </c>
      <c r="H1679">
        <v>13</v>
      </c>
      <c r="I1679">
        <v>3.36</v>
      </c>
      <c r="J1679">
        <v>10</v>
      </c>
      <c r="K1679">
        <v>12083.2</v>
      </c>
      <c r="L1679">
        <v>5</v>
      </c>
    </row>
    <row r="1680" spans="1:12" x14ac:dyDescent="0.3">
      <c r="A1680" t="s">
        <v>1695</v>
      </c>
      <c r="B1680" t="s">
        <v>16</v>
      </c>
      <c r="C1680" t="s">
        <v>14</v>
      </c>
      <c r="D1680">
        <v>22</v>
      </c>
      <c r="E1680" s="1">
        <v>40928</v>
      </c>
      <c r="F1680">
        <v>2012</v>
      </c>
      <c r="G1680" t="s">
        <v>5037</v>
      </c>
      <c r="H1680">
        <v>20</v>
      </c>
      <c r="I1680">
        <v>2.66</v>
      </c>
      <c r="J1680">
        <v>8</v>
      </c>
      <c r="K1680">
        <v>5623.75</v>
      </c>
      <c r="L1680">
        <v>13.8</v>
      </c>
    </row>
    <row r="1681" spans="1:12" x14ac:dyDescent="0.3">
      <c r="A1681" t="s">
        <v>1696</v>
      </c>
      <c r="B1681" t="s">
        <v>18</v>
      </c>
      <c r="C1681" t="s">
        <v>11</v>
      </c>
      <c r="D1681">
        <v>35</v>
      </c>
      <c r="E1681" s="1">
        <v>45014</v>
      </c>
      <c r="F1681">
        <v>2023</v>
      </c>
      <c r="G1681" t="s">
        <v>5035</v>
      </c>
      <c r="H1681">
        <v>29</v>
      </c>
      <c r="I1681">
        <v>3.25</v>
      </c>
      <c r="J1681">
        <v>6</v>
      </c>
      <c r="K1681">
        <v>8345.36</v>
      </c>
      <c r="L1681">
        <v>2.6</v>
      </c>
    </row>
    <row r="1682" spans="1:12" x14ac:dyDescent="0.3">
      <c r="A1682" t="s">
        <v>1697</v>
      </c>
      <c r="B1682" t="s">
        <v>16</v>
      </c>
      <c r="C1682" t="s">
        <v>11</v>
      </c>
      <c r="D1682">
        <v>49</v>
      </c>
      <c r="E1682" s="1">
        <v>41648</v>
      </c>
      <c r="F1682">
        <v>2014</v>
      </c>
      <c r="G1682" t="s">
        <v>5037</v>
      </c>
      <c r="H1682">
        <v>9</v>
      </c>
      <c r="I1682">
        <v>4.12</v>
      </c>
      <c r="J1682">
        <v>6</v>
      </c>
      <c r="K1682">
        <v>6143.36</v>
      </c>
      <c r="L1682">
        <v>11.8</v>
      </c>
    </row>
    <row r="1683" spans="1:12" x14ac:dyDescent="0.3">
      <c r="A1683" t="s">
        <v>1698</v>
      </c>
      <c r="B1683" t="s">
        <v>10</v>
      </c>
      <c r="C1683" t="s">
        <v>11</v>
      </c>
      <c r="D1683">
        <v>28</v>
      </c>
      <c r="E1683" s="1">
        <v>40903</v>
      </c>
      <c r="F1683">
        <v>2011</v>
      </c>
      <c r="G1683" t="s">
        <v>5041</v>
      </c>
      <c r="H1683">
        <v>26</v>
      </c>
      <c r="I1683">
        <v>4.13</v>
      </c>
      <c r="J1683">
        <v>3</v>
      </c>
      <c r="K1683">
        <v>12288.61</v>
      </c>
      <c r="L1683">
        <v>13.9</v>
      </c>
    </row>
    <row r="1684" spans="1:12" x14ac:dyDescent="0.3">
      <c r="A1684" t="s">
        <v>1699</v>
      </c>
      <c r="B1684" t="s">
        <v>24</v>
      </c>
      <c r="C1684" t="s">
        <v>14</v>
      </c>
      <c r="D1684">
        <v>40</v>
      </c>
      <c r="E1684" s="1">
        <v>43810</v>
      </c>
      <c r="F1684">
        <v>2019</v>
      </c>
      <c r="G1684" t="s">
        <v>5041</v>
      </c>
      <c r="H1684">
        <v>11</v>
      </c>
      <c r="I1684">
        <v>3.54</v>
      </c>
      <c r="J1684">
        <v>2</v>
      </c>
      <c r="K1684">
        <v>3937.67</v>
      </c>
      <c r="L1684">
        <v>5.9</v>
      </c>
    </row>
    <row r="1685" spans="1:12" x14ac:dyDescent="0.3">
      <c r="A1685" t="s">
        <v>1700</v>
      </c>
      <c r="B1685" t="s">
        <v>34</v>
      </c>
      <c r="C1685" t="s">
        <v>14</v>
      </c>
      <c r="D1685">
        <v>60</v>
      </c>
      <c r="E1685" s="1">
        <v>44837</v>
      </c>
      <c r="F1685">
        <v>2022</v>
      </c>
      <c r="G1685" t="s">
        <v>5039</v>
      </c>
      <c r="H1685">
        <v>3</v>
      </c>
      <c r="I1685">
        <v>3.94</v>
      </c>
      <c r="J1685">
        <v>8</v>
      </c>
      <c r="K1685">
        <v>7045.46</v>
      </c>
      <c r="L1685">
        <v>3.1</v>
      </c>
    </row>
    <row r="1686" spans="1:12" x14ac:dyDescent="0.3">
      <c r="A1686" t="s">
        <v>1701</v>
      </c>
      <c r="B1686" t="s">
        <v>10</v>
      </c>
      <c r="C1686" t="s">
        <v>11</v>
      </c>
      <c r="D1686">
        <v>53</v>
      </c>
      <c r="E1686" s="1">
        <v>45669</v>
      </c>
      <c r="F1686">
        <v>2025</v>
      </c>
      <c r="G1686" t="s">
        <v>5037</v>
      </c>
      <c r="H1686">
        <v>12</v>
      </c>
      <c r="I1686">
        <v>1.52</v>
      </c>
      <c r="J1686">
        <v>1</v>
      </c>
      <c r="K1686">
        <v>7317.74</v>
      </c>
      <c r="L1686">
        <v>0.8</v>
      </c>
    </row>
    <row r="1687" spans="1:12" x14ac:dyDescent="0.3">
      <c r="A1687" t="s">
        <v>1702</v>
      </c>
      <c r="B1687" t="s">
        <v>16</v>
      </c>
      <c r="C1687" t="s">
        <v>14</v>
      </c>
      <c r="D1687">
        <v>48</v>
      </c>
      <c r="E1687" s="1">
        <v>42461</v>
      </c>
      <c r="F1687">
        <v>2016</v>
      </c>
      <c r="G1687" t="s">
        <v>5040</v>
      </c>
      <c r="H1687">
        <v>1</v>
      </c>
      <c r="I1687">
        <v>3.5</v>
      </c>
      <c r="J1687">
        <v>11</v>
      </c>
      <c r="K1687">
        <v>3015.83</v>
      </c>
      <c r="L1687">
        <v>9.6</v>
      </c>
    </row>
    <row r="1688" spans="1:12" x14ac:dyDescent="0.3">
      <c r="A1688" t="s">
        <v>1703</v>
      </c>
      <c r="B1688" t="s">
        <v>24</v>
      </c>
      <c r="C1688" t="s">
        <v>14</v>
      </c>
      <c r="D1688">
        <v>29</v>
      </c>
      <c r="E1688" s="1">
        <v>45130</v>
      </c>
      <c r="F1688">
        <v>2023</v>
      </c>
      <c r="G1688" t="s">
        <v>5034</v>
      </c>
      <c r="H1688">
        <v>23</v>
      </c>
      <c r="I1688">
        <v>2.56</v>
      </c>
      <c r="J1688">
        <v>13</v>
      </c>
      <c r="K1688">
        <v>3949.96</v>
      </c>
      <c r="L1688">
        <v>2.2999999999999998</v>
      </c>
    </row>
    <row r="1689" spans="1:12" x14ac:dyDescent="0.3">
      <c r="A1689" t="s">
        <v>1704</v>
      </c>
      <c r="B1689" t="s">
        <v>13</v>
      </c>
      <c r="C1689" t="s">
        <v>11</v>
      </c>
      <c r="D1689">
        <v>35</v>
      </c>
      <c r="E1689" s="1">
        <v>43517</v>
      </c>
      <c r="F1689">
        <v>2019</v>
      </c>
      <c r="G1689" t="s">
        <v>5042</v>
      </c>
      <c r="H1689">
        <v>21</v>
      </c>
      <c r="I1689">
        <v>2.81</v>
      </c>
      <c r="J1689">
        <v>7</v>
      </c>
      <c r="K1689">
        <v>7036.86</v>
      </c>
      <c r="L1689">
        <v>6.7</v>
      </c>
    </row>
    <row r="1690" spans="1:12" x14ac:dyDescent="0.3">
      <c r="A1690" t="s">
        <v>1705</v>
      </c>
      <c r="B1690" t="s">
        <v>10</v>
      </c>
      <c r="C1690" t="s">
        <v>14</v>
      </c>
      <c r="D1690">
        <v>50</v>
      </c>
      <c r="E1690" s="1">
        <v>42515</v>
      </c>
      <c r="F1690">
        <v>2016</v>
      </c>
      <c r="G1690" t="s">
        <v>5036</v>
      </c>
      <c r="H1690">
        <v>25</v>
      </c>
      <c r="I1690">
        <v>5</v>
      </c>
      <c r="J1690">
        <v>0</v>
      </c>
      <c r="K1690">
        <v>13459.75</v>
      </c>
      <c r="L1690">
        <v>9.4</v>
      </c>
    </row>
    <row r="1691" spans="1:12" x14ac:dyDescent="0.3">
      <c r="A1691" t="s">
        <v>1706</v>
      </c>
      <c r="B1691" t="s">
        <v>18</v>
      </c>
      <c r="C1691" t="s">
        <v>11</v>
      </c>
      <c r="D1691">
        <v>27</v>
      </c>
      <c r="E1691" s="1">
        <v>44806</v>
      </c>
      <c r="F1691">
        <v>2022</v>
      </c>
      <c r="G1691" t="s">
        <v>5033</v>
      </c>
      <c r="H1691">
        <v>2</v>
      </c>
      <c r="I1691">
        <v>4.03</v>
      </c>
      <c r="J1691">
        <v>10</v>
      </c>
      <c r="K1691">
        <v>8963.52</v>
      </c>
      <c r="L1691">
        <v>3.2</v>
      </c>
    </row>
    <row r="1692" spans="1:12" x14ac:dyDescent="0.3">
      <c r="A1692" t="s">
        <v>1707</v>
      </c>
      <c r="B1692" t="s">
        <v>34</v>
      </c>
      <c r="C1692" t="s">
        <v>14</v>
      </c>
      <c r="D1692">
        <v>35</v>
      </c>
      <c r="E1692" s="1">
        <v>42061</v>
      </c>
      <c r="F1692">
        <v>2015</v>
      </c>
      <c r="G1692" t="s">
        <v>5042</v>
      </c>
      <c r="H1692">
        <v>26</v>
      </c>
      <c r="I1692">
        <v>2.35</v>
      </c>
      <c r="J1692">
        <v>2</v>
      </c>
      <c r="K1692">
        <v>12567.66</v>
      </c>
      <c r="L1692">
        <v>10.7</v>
      </c>
    </row>
    <row r="1693" spans="1:12" x14ac:dyDescent="0.3">
      <c r="A1693" t="s">
        <v>1708</v>
      </c>
      <c r="B1693" t="s">
        <v>10</v>
      </c>
      <c r="C1693" t="s">
        <v>14</v>
      </c>
      <c r="D1693">
        <v>42</v>
      </c>
      <c r="E1693" s="1">
        <v>40898</v>
      </c>
      <c r="F1693">
        <v>2011</v>
      </c>
      <c r="G1693" t="s">
        <v>5041</v>
      </c>
      <c r="H1693">
        <v>21</v>
      </c>
      <c r="I1693">
        <v>2.2200000000000002</v>
      </c>
      <c r="J1693">
        <v>1</v>
      </c>
      <c r="K1693">
        <v>8436.76</v>
      </c>
      <c r="L1693">
        <v>13.9</v>
      </c>
    </row>
    <row r="1694" spans="1:12" x14ac:dyDescent="0.3">
      <c r="A1694" t="s">
        <v>1709</v>
      </c>
      <c r="B1694" t="s">
        <v>18</v>
      </c>
      <c r="C1694" t="s">
        <v>11</v>
      </c>
      <c r="D1694">
        <v>50</v>
      </c>
      <c r="E1694" s="1">
        <v>42435</v>
      </c>
      <c r="F1694">
        <v>2016</v>
      </c>
      <c r="G1694" t="s">
        <v>5035</v>
      </c>
      <c r="H1694">
        <v>6</v>
      </c>
      <c r="I1694">
        <v>4.72</v>
      </c>
      <c r="J1694">
        <v>6</v>
      </c>
      <c r="K1694">
        <v>12067.38</v>
      </c>
      <c r="L1694">
        <v>9.6999999999999993</v>
      </c>
    </row>
    <row r="1695" spans="1:12" x14ac:dyDescent="0.3">
      <c r="A1695" t="s">
        <v>1710</v>
      </c>
      <c r="B1695" t="s">
        <v>16</v>
      </c>
      <c r="C1695" t="s">
        <v>14</v>
      </c>
      <c r="D1695">
        <v>48</v>
      </c>
      <c r="E1695" s="1">
        <v>44597</v>
      </c>
      <c r="F1695">
        <v>2022</v>
      </c>
      <c r="G1695" t="s">
        <v>5042</v>
      </c>
      <c r="H1695">
        <v>5</v>
      </c>
      <c r="I1695">
        <v>2.29</v>
      </c>
      <c r="J1695">
        <v>13</v>
      </c>
      <c r="K1695">
        <v>5837.22</v>
      </c>
      <c r="L1695">
        <v>3.7</v>
      </c>
    </row>
    <row r="1696" spans="1:12" x14ac:dyDescent="0.3">
      <c r="A1696" t="s">
        <v>1711</v>
      </c>
      <c r="B1696" t="s">
        <v>13</v>
      </c>
      <c r="C1696" t="s">
        <v>14</v>
      </c>
      <c r="D1696">
        <v>33</v>
      </c>
      <c r="E1696" s="1">
        <v>43572</v>
      </c>
      <c r="F1696">
        <v>2019</v>
      </c>
      <c r="G1696" t="s">
        <v>5040</v>
      </c>
      <c r="H1696">
        <v>17</v>
      </c>
      <c r="I1696">
        <v>3.87</v>
      </c>
      <c r="J1696">
        <v>6</v>
      </c>
      <c r="K1696">
        <v>3768.61</v>
      </c>
      <c r="L1696">
        <v>6.5</v>
      </c>
    </row>
    <row r="1697" spans="1:12" x14ac:dyDescent="0.3">
      <c r="A1697" t="s">
        <v>1712</v>
      </c>
      <c r="B1697" t="s">
        <v>24</v>
      </c>
      <c r="C1697" t="s">
        <v>14</v>
      </c>
      <c r="D1697">
        <v>39</v>
      </c>
      <c r="E1697" s="1">
        <v>45782</v>
      </c>
      <c r="F1697">
        <v>2025</v>
      </c>
      <c r="G1697" t="s">
        <v>5036</v>
      </c>
      <c r="H1697">
        <v>5</v>
      </c>
      <c r="I1697">
        <v>1.93</v>
      </c>
      <c r="J1697">
        <v>2</v>
      </c>
      <c r="K1697">
        <v>14741.8</v>
      </c>
      <c r="L1697">
        <v>0.5</v>
      </c>
    </row>
    <row r="1698" spans="1:12" x14ac:dyDescent="0.3">
      <c r="A1698" t="s">
        <v>1713</v>
      </c>
      <c r="B1698" t="s">
        <v>34</v>
      </c>
      <c r="C1698" t="s">
        <v>11</v>
      </c>
      <c r="D1698">
        <v>39</v>
      </c>
      <c r="E1698" s="1">
        <v>43482</v>
      </c>
      <c r="F1698">
        <v>2019</v>
      </c>
      <c r="G1698" t="s">
        <v>5037</v>
      </c>
      <c r="H1698">
        <v>17</v>
      </c>
      <c r="I1698">
        <v>2.87</v>
      </c>
      <c r="J1698">
        <v>5</v>
      </c>
      <c r="K1698">
        <v>10415.68</v>
      </c>
      <c r="L1698">
        <v>6.8</v>
      </c>
    </row>
    <row r="1699" spans="1:12" x14ac:dyDescent="0.3">
      <c r="A1699" t="s">
        <v>1714</v>
      </c>
      <c r="B1699" t="s">
        <v>16</v>
      </c>
      <c r="C1699" t="s">
        <v>14</v>
      </c>
      <c r="D1699">
        <v>30</v>
      </c>
      <c r="E1699" s="1">
        <v>40185</v>
      </c>
      <c r="F1699">
        <v>2010</v>
      </c>
      <c r="G1699" t="s">
        <v>5037</v>
      </c>
      <c r="H1699">
        <v>7</v>
      </c>
      <c r="I1699">
        <v>4.0199999999999996</v>
      </c>
      <c r="J1699">
        <v>1</v>
      </c>
      <c r="K1699">
        <v>14021.35</v>
      </c>
      <c r="L1699">
        <v>15.8</v>
      </c>
    </row>
    <row r="1700" spans="1:12" x14ac:dyDescent="0.3">
      <c r="A1700" t="s">
        <v>1715</v>
      </c>
      <c r="B1700" t="s">
        <v>18</v>
      </c>
      <c r="C1700" t="s">
        <v>11</v>
      </c>
      <c r="D1700">
        <v>44</v>
      </c>
      <c r="E1700" s="1">
        <v>43794</v>
      </c>
      <c r="F1700">
        <v>2019</v>
      </c>
      <c r="G1700" t="s">
        <v>5038</v>
      </c>
      <c r="H1700">
        <v>25</v>
      </c>
      <c r="I1700">
        <v>2.62</v>
      </c>
      <c r="J1700">
        <v>10</v>
      </c>
      <c r="K1700">
        <v>3795.4</v>
      </c>
      <c r="L1700">
        <v>5.9</v>
      </c>
    </row>
    <row r="1701" spans="1:12" x14ac:dyDescent="0.3">
      <c r="A1701" t="s">
        <v>1716</v>
      </c>
      <c r="B1701" t="s">
        <v>13</v>
      </c>
      <c r="C1701" t="s">
        <v>14</v>
      </c>
      <c r="D1701">
        <v>59</v>
      </c>
      <c r="E1701" s="1">
        <v>45040</v>
      </c>
      <c r="F1701">
        <v>2023</v>
      </c>
      <c r="G1701" t="s">
        <v>5040</v>
      </c>
      <c r="H1701">
        <v>24</v>
      </c>
      <c r="I1701">
        <v>1.94</v>
      </c>
      <c r="J1701">
        <v>10</v>
      </c>
      <c r="K1701">
        <v>8636.32</v>
      </c>
      <c r="L1701">
        <v>2.5</v>
      </c>
    </row>
    <row r="1702" spans="1:12" x14ac:dyDescent="0.3">
      <c r="A1702" t="s">
        <v>1717</v>
      </c>
      <c r="B1702" t="s">
        <v>13</v>
      </c>
      <c r="C1702" t="s">
        <v>11</v>
      </c>
      <c r="D1702">
        <v>25</v>
      </c>
      <c r="E1702" s="1">
        <v>43305</v>
      </c>
      <c r="F1702">
        <v>2018</v>
      </c>
      <c r="G1702" t="s">
        <v>5034</v>
      </c>
      <c r="H1702">
        <v>24</v>
      </c>
      <c r="I1702">
        <v>3.15</v>
      </c>
      <c r="J1702">
        <v>9</v>
      </c>
      <c r="K1702">
        <v>12521.22</v>
      </c>
      <c r="L1702">
        <v>7.3</v>
      </c>
    </row>
    <row r="1703" spans="1:12" x14ac:dyDescent="0.3">
      <c r="A1703" t="s">
        <v>1718</v>
      </c>
      <c r="B1703" t="s">
        <v>16</v>
      </c>
      <c r="C1703" t="s">
        <v>11</v>
      </c>
      <c r="D1703">
        <v>37</v>
      </c>
      <c r="E1703" s="1">
        <v>42546</v>
      </c>
      <c r="F1703">
        <v>2016</v>
      </c>
      <c r="G1703" t="s">
        <v>5032</v>
      </c>
      <c r="H1703">
        <v>25</v>
      </c>
      <c r="I1703">
        <v>3.39</v>
      </c>
      <c r="J1703">
        <v>6</v>
      </c>
      <c r="K1703">
        <v>7981.5</v>
      </c>
      <c r="L1703">
        <v>9.4</v>
      </c>
    </row>
    <row r="1704" spans="1:12" x14ac:dyDescent="0.3">
      <c r="A1704" t="s">
        <v>1719</v>
      </c>
      <c r="B1704" t="s">
        <v>16</v>
      </c>
      <c r="C1704" t="s">
        <v>14</v>
      </c>
      <c r="D1704">
        <v>27</v>
      </c>
      <c r="E1704" s="1">
        <v>45915</v>
      </c>
      <c r="F1704">
        <v>2025</v>
      </c>
      <c r="G1704" t="s">
        <v>5033</v>
      </c>
      <c r="H1704">
        <v>15</v>
      </c>
      <c r="I1704">
        <v>4.6399999999999997</v>
      </c>
      <c r="J1704">
        <v>12</v>
      </c>
      <c r="K1704">
        <v>10509.43</v>
      </c>
      <c r="L1704">
        <v>0.1</v>
      </c>
    </row>
    <row r="1705" spans="1:12" x14ac:dyDescent="0.3">
      <c r="A1705" t="s">
        <v>1720</v>
      </c>
      <c r="B1705" t="s">
        <v>18</v>
      </c>
      <c r="C1705" t="s">
        <v>14</v>
      </c>
      <c r="D1705">
        <v>27</v>
      </c>
      <c r="E1705" s="1">
        <v>41859</v>
      </c>
      <c r="F1705">
        <v>2014</v>
      </c>
      <c r="G1705" t="s">
        <v>5031</v>
      </c>
      <c r="H1705">
        <v>8</v>
      </c>
      <c r="I1705">
        <v>4.24</v>
      </c>
      <c r="J1705">
        <v>8</v>
      </c>
      <c r="K1705">
        <v>5007.21</v>
      </c>
      <c r="L1705">
        <v>11.2</v>
      </c>
    </row>
    <row r="1706" spans="1:12" x14ac:dyDescent="0.3">
      <c r="A1706" t="s">
        <v>1721</v>
      </c>
      <c r="B1706" t="s">
        <v>24</v>
      </c>
      <c r="C1706" t="s">
        <v>14</v>
      </c>
      <c r="D1706">
        <v>43</v>
      </c>
      <c r="E1706" s="1">
        <v>40518</v>
      </c>
      <c r="F1706">
        <v>2010</v>
      </c>
      <c r="G1706" t="s">
        <v>5041</v>
      </c>
      <c r="H1706">
        <v>6</v>
      </c>
      <c r="I1706">
        <v>1.92</v>
      </c>
      <c r="J1706">
        <v>8</v>
      </c>
      <c r="K1706">
        <v>4634.12</v>
      </c>
      <c r="L1706">
        <v>14.9</v>
      </c>
    </row>
    <row r="1707" spans="1:12" x14ac:dyDescent="0.3">
      <c r="A1707" t="s">
        <v>1722</v>
      </c>
      <c r="B1707" t="s">
        <v>18</v>
      </c>
      <c r="C1707" t="s">
        <v>11</v>
      </c>
      <c r="D1707">
        <v>37</v>
      </c>
      <c r="E1707" s="1">
        <v>42717</v>
      </c>
      <c r="F1707">
        <v>2016</v>
      </c>
      <c r="G1707" t="s">
        <v>5041</v>
      </c>
      <c r="H1707">
        <v>13</v>
      </c>
      <c r="I1707">
        <v>2.74</v>
      </c>
      <c r="J1707">
        <v>7</v>
      </c>
      <c r="K1707">
        <v>9972.2999999999993</v>
      </c>
      <c r="L1707">
        <v>8.9</v>
      </c>
    </row>
    <row r="1708" spans="1:12" x14ac:dyDescent="0.3">
      <c r="A1708" t="s">
        <v>1723</v>
      </c>
      <c r="B1708" t="s">
        <v>34</v>
      </c>
      <c r="C1708" t="s">
        <v>11</v>
      </c>
      <c r="D1708">
        <v>30</v>
      </c>
      <c r="E1708" s="1">
        <v>41593</v>
      </c>
      <c r="F1708">
        <v>2013</v>
      </c>
      <c r="G1708" t="s">
        <v>5038</v>
      </c>
      <c r="H1708">
        <v>15</v>
      </c>
      <c r="I1708">
        <v>3.61</v>
      </c>
      <c r="J1708">
        <v>14</v>
      </c>
      <c r="K1708">
        <v>9356.51</v>
      </c>
      <c r="L1708">
        <v>12</v>
      </c>
    </row>
    <row r="1709" spans="1:12" x14ac:dyDescent="0.3">
      <c r="A1709" t="s">
        <v>1724</v>
      </c>
      <c r="B1709" t="s">
        <v>24</v>
      </c>
      <c r="C1709" t="s">
        <v>14</v>
      </c>
      <c r="D1709">
        <v>56</v>
      </c>
      <c r="E1709" s="1">
        <v>43181</v>
      </c>
      <c r="F1709">
        <v>2018</v>
      </c>
      <c r="G1709" t="s">
        <v>5035</v>
      </c>
      <c r="H1709">
        <v>22</v>
      </c>
      <c r="I1709">
        <v>3.97</v>
      </c>
      <c r="J1709">
        <v>13</v>
      </c>
      <c r="K1709">
        <v>8294.02</v>
      </c>
      <c r="L1709">
        <v>7.6</v>
      </c>
    </row>
    <row r="1710" spans="1:12" x14ac:dyDescent="0.3">
      <c r="A1710" t="s">
        <v>1725</v>
      </c>
      <c r="B1710" t="s">
        <v>24</v>
      </c>
      <c r="C1710" t="s">
        <v>11</v>
      </c>
      <c r="D1710">
        <v>56</v>
      </c>
      <c r="E1710" s="1">
        <v>43117</v>
      </c>
      <c r="F1710">
        <v>2018</v>
      </c>
      <c r="G1710" t="s">
        <v>5037</v>
      </c>
      <c r="H1710">
        <v>17</v>
      </c>
      <c r="I1710">
        <v>4.0999999999999996</v>
      </c>
      <c r="J1710">
        <v>2</v>
      </c>
      <c r="K1710">
        <v>7007.34</v>
      </c>
      <c r="L1710">
        <v>7.8</v>
      </c>
    </row>
    <row r="1711" spans="1:12" x14ac:dyDescent="0.3">
      <c r="A1711" t="s">
        <v>1726</v>
      </c>
      <c r="B1711" t="s">
        <v>13</v>
      </c>
      <c r="C1711" t="s">
        <v>11</v>
      </c>
      <c r="D1711">
        <v>41</v>
      </c>
      <c r="E1711" s="1">
        <v>43724</v>
      </c>
      <c r="F1711">
        <v>2019</v>
      </c>
      <c r="G1711" t="s">
        <v>5033</v>
      </c>
      <c r="H1711">
        <v>16</v>
      </c>
      <c r="I1711">
        <v>3.23</v>
      </c>
      <c r="J1711">
        <v>8</v>
      </c>
      <c r="K1711">
        <v>4906.05</v>
      </c>
      <c r="L1711">
        <v>6.1</v>
      </c>
    </row>
    <row r="1712" spans="1:12" x14ac:dyDescent="0.3">
      <c r="A1712" t="s">
        <v>1727</v>
      </c>
      <c r="B1712" t="s">
        <v>34</v>
      </c>
      <c r="C1712" t="s">
        <v>14</v>
      </c>
      <c r="D1712">
        <v>29</v>
      </c>
      <c r="E1712" s="1">
        <v>42850</v>
      </c>
      <c r="F1712">
        <v>2017</v>
      </c>
      <c r="G1712" t="s">
        <v>5040</v>
      </c>
      <c r="H1712">
        <v>25</v>
      </c>
      <c r="I1712">
        <v>3.31</v>
      </c>
      <c r="J1712">
        <v>12</v>
      </c>
      <c r="K1712">
        <v>9302.2000000000007</v>
      </c>
      <c r="L1712">
        <v>8.5</v>
      </c>
    </row>
    <row r="1713" spans="1:12" x14ac:dyDescent="0.3">
      <c r="A1713" t="s">
        <v>1728</v>
      </c>
      <c r="B1713" t="s">
        <v>13</v>
      </c>
      <c r="C1713" t="s">
        <v>14</v>
      </c>
      <c r="D1713">
        <v>54</v>
      </c>
      <c r="E1713" s="1">
        <v>42368</v>
      </c>
      <c r="F1713">
        <v>2015</v>
      </c>
      <c r="G1713" t="s">
        <v>5041</v>
      </c>
      <c r="H1713">
        <v>30</v>
      </c>
      <c r="I1713">
        <v>1.9</v>
      </c>
      <c r="J1713">
        <v>2</v>
      </c>
      <c r="K1713">
        <v>3761.31</v>
      </c>
      <c r="L1713">
        <v>9.8000000000000007</v>
      </c>
    </row>
    <row r="1714" spans="1:12" x14ac:dyDescent="0.3">
      <c r="A1714" t="s">
        <v>1729</v>
      </c>
      <c r="B1714" t="s">
        <v>16</v>
      </c>
      <c r="C1714" t="s">
        <v>11</v>
      </c>
      <c r="D1714">
        <v>24</v>
      </c>
      <c r="E1714" s="1">
        <v>41964</v>
      </c>
      <c r="F1714">
        <v>2014</v>
      </c>
      <c r="G1714" t="s">
        <v>5038</v>
      </c>
      <c r="H1714">
        <v>21</v>
      </c>
      <c r="I1714">
        <v>3.95</v>
      </c>
      <c r="J1714">
        <v>10</v>
      </c>
      <c r="K1714">
        <v>9963.15</v>
      </c>
      <c r="L1714">
        <v>11</v>
      </c>
    </row>
    <row r="1715" spans="1:12" x14ac:dyDescent="0.3">
      <c r="A1715" t="s">
        <v>1730</v>
      </c>
      <c r="B1715" t="s">
        <v>10</v>
      </c>
      <c r="C1715" t="s">
        <v>11</v>
      </c>
      <c r="D1715">
        <v>51</v>
      </c>
      <c r="E1715" s="1">
        <v>41600</v>
      </c>
      <c r="F1715">
        <v>2013</v>
      </c>
      <c r="G1715" t="s">
        <v>5038</v>
      </c>
      <c r="H1715">
        <v>22</v>
      </c>
      <c r="I1715">
        <v>4.16</v>
      </c>
      <c r="J1715">
        <v>9</v>
      </c>
      <c r="K1715">
        <v>11846.16</v>
      </c>
      <c r="L1715">
        <v>12</v>
      </c>
    </row>
    <row r="1716" spans="1:12" x14ac:dyDescent="0.3">
      <c r="A1716" t="s">
        <v>1731</v>
      </c>
      <c r="B1716" t="s">
        <v>34</v>
      </c>
      <c r="C1716" t="s">
        <v>14</v>
      </c>
      <c r="D1716">
        <v>28</v>
      </c>
      <c r="E1716" s="1">
        <v>40464</v>
      </c>
      <c r="F1716">
        <v>2010</v>
      </c>
      <c r="G1716" t="s">
        <v>5039</v>
      </c>
      <c r="H1716">
        <v>13</v>
      </c>
      <c r="I1716">
        <v>3.58</v>
      </c>
      <c r="J1716">
        <v>9</v>
      </c>
      <c r="K1716">
        <v>14121.18</v>
      </c>
      <c r="L1716">
        <v>15.1</v>
      </c>
    </row>
    <row r="1717" spans="1:12" x14ac:dyDescent="0.3">
      <c r="A1717" t="s">
        <v>1732</v>
      </c>
      <c r="B1717" t="s">
        <v>34</v>
      </c>
      <c r="C1717" t="s">
        <v>11</v>
      </c>
      <c r="D1717">
        <v>40</v>
      </c>
      <c r="E1717" s="1">
        <v>45030</v>
      </c>
      <c r="F1717">
        <v>2023</v>
      </c>
      <c r="G1717" t="s">
        <v>5040</v>
      </c>
      <c r="H1717">
        <v>14</v>
      </c>
      <c r="I1717">
        <v>2.86</v>
      </c>
      <c r="J1717">
        <v>13</v>
      </c>
      <c r="K1717">
        <v>13900.56</v>
      </c>
      <c r="L1717">
        <v>2.6</v>
      </c>
    </row>
    <row r="1718" spans="1:12" x14ac:dyDescent="0.3">
      <c r="A1718" t="s">
        <v>1733</v>
      </c>
      <c r="B1718" t="s">
        <v>34</v>
      </c>
      <c r="C1718" t="s">
        <v>11</v>
      </c>
      <c r="D1718">
        <v>50</v>
      </c>
      <c r="E1718" s="1">
        <v>41308</v>
      </c>
      <c r="F1718">
        <v>2013</v>
      </c>
      <c r="G1718" t="s">
        <v>5042</v>
      </c>
      <c r="H1718">
        <v>3</v>
      </c>
      <c r="I1718">
        <v>3.84</v>
      </c>
      <c r="J1718">
        <v>5</v>
      </c>
      <c r="K1718">
        <v>14297.56</v>
      </c>
      <c r="L1718">
        <v>12.8</v>
      </c>
    </row>
    <row r="1719" spans="1:12" x14ac:dyDescent="0.3">
      <c r="A1719" t="s">
        <v>1734</v>
      </c>
      <c r="B1719" t="s">
        <v>13</v>
      </c>
      <c r="C1719" t="s">
        <v>11</v>
      </c>
      <c r="D1719">
        <v>48</v>
      </c>
      <c r="E1719" s="1">
        <v>43508</v>
      </c>
      <c r="F1719">
        <v>2019</v>
      </c>
      <c r="G1719" t="s">
        <v>5042</v>
      </c>
      <c r="H1719">
        <v>12</v>
      </c>
      <c r="I1719">
        <v>2.16</v>
      </c>
      <c r="J1719">
        <v>5</v>
      </c>
      <c r="K1719">
        <v>11616.21</v>
      </c>
      <c r="L1719">
        <v>6.7</v>
      </c>
    </row>
    <row r="1720" spans="1:12" x14ac:dyDescent="0.3">
      <c r="A1720" t="s">
        <v>1735</v>
      </c>
      <c r="B1720" t="s">
        <v>18</v>
      </c>
      <c r="C1720" t="s">
        <v>11</v>
      </c>
      <c r="D1720">
        <v>45</v>
      </c>
      <c r="E1720" s="1">
        <v>42812</v>
      </c>
      <c r="F1720">
        <v>2017</v>
      </c>
      <c r="G1720" t="s">
        <v>5035</v>
      </c>
      <c r="H1720">
        <v>18</v>
      </c>
      <c r="I1720">
        <v>2.08</v>
      </c>
      <c r="J1720">
        <v>1</v>
      </c>
      <c r="K1720">
        <v>5267.92</v>
      </c>
      <c r="L1720">
        <v>8.6</v>
      </c>
    </row>
    <row r="1721" spans="1:12" x14ac:dyDescent="0.3">
      <c r="A1721" t="s">
        <v>1736</v>
      </c>
      <c r="B1721" t="s">
        <v>13</v>
      </c>
      <c r="C1721" t="s">
        <v>11</v>
      </c>
      <c r="D1721">
        <v>49</v>
      </c>
      <c r="E1721" s="1">
        <v>45877</v>
      </c>
      <c r="F1721">
        <v>2025</v>
      </c>
      <c r="G1721" t="s">
        <v>5031</v>
      </c>
      <c r="H1721">
        <v>8</v>
      </c>
      <c r="I1721">
        <v>3.41</v>
      </c>
      <c r="J1721">
        <v>9</v>
      </c>
      <c r="K1721">
        <v>14070.75</v>
      </c>
      <c r="L1721">
        <v>0.2</v>
      </c>
    </row>
    <row r="1722" spans="1:12" x14ac:dyDescent="0.3">
      <c r="A1722" t="s">
        <v>1737</v>
      </c>
      <c r="B1722" t="s">
        <v>16</v>
      </c>
      <c r="C1722" t="s">
        <v>11</v>
      </c>
      <c r="D1722">
        <v>46</v>
      </c>
      <c r="E1722" s="1">
        <v>40367</v>
      </c>
      <c r="F1722">
        <v>2010</v>
      </c>
      <c r="G1722" t="s">
        <v>5034</v>
      </c>
      <c r="H1722">
        <v>8</v>
      </c>
      <c r="I1722">
        <v>1.64</v>
      </c>
      <c r="J1722">
        <v>5</v>
      </c>
      <c r="K1722">
        <v>7476.73</v>
      </c>
      <c r="L1722">
        <v>15.3</v>
      </c>
    </row>
    <row r="1723" spans="1:12" x14ac:dyDescent="0.3">
      <c r="A1723" t="s">
        <v>1738</v>
      </c>
      <c r="B1723" t="s">
        <v>13</v>
      </c>
      <c r="C1723" t="s">
        <v>11</v>
      </c>
      <c r="D1723">
        <v>23</v>
      </c>
      <c r="E1723" s="1">
        <v>40402</v>
      </c>
      <c r="F1723">
        <v>2010</v>
      </c>
      <c r="G1723" t="s">
        <v>5031</v>
      </c>
      <c r="H1723">
        <v>12</v>
      </c>
      <c r="I1723">
        <v>1.65</v>
      </c>
      <c r="J1723">
        <v>11</v>
      </c>
      <c r="K1723">
        <v>13754.88</v>
      </c>
      <c r="L1723">
        <v>15.2</v>
      </c>
    </row>
    <row r="1724" spans="1:12" x14ac:dyDescent="0.3">
      <c r="A1724" t="s">
        <v>1739</v>
      </c>
      <c r="B1724" t="s">
        <v>10</v>
      </c>
      <c r="C1724" t="s">
        <v>11</v>
      </c>
      <c r="D1724">
        <v>33</v>
      </c>
      <c r="E1724" s="1">
        <v>45768</v>
      </c>
      <c r="F1724">
        <v>2025</v>
      </c>
      <c r="G1724" t="s">
        <v>5040</v>
      </c>
      <c r="H1724">
        <v>21</v>
      </c>
      <c r="I1724">
        <v>2.72</v>
      </c>
      <c r="J1724">
        <v>13</v>
      </c>
      <c r="K1724">
        <v>6776.66</v>
      </c>
      <c r="L1724">
        <v>0.5</v>
      </c>
    </row>
    <row r="1725" spans="1:12" x14ac:dyDescent="0.3">
      <c r="A1725" t="s">
        <v>1740</v>
      </c>
      <c r="B1725" t="s">
        <v>16</v>
      </c>
      <c r="C1725" t="s">
        <v>11</v>
      </c>
      <c r="D1725">
        <v>56</v>
      </c>
      <c r="E1725" s="1">
        <v>41965</v>
      </c>
      <c r="F1725">
        <v>2014</v>
      </c>
      <c r="G1725" t="s">
        <v>5038</v>
      </c>
      <c r="H1725">
        <v>22</v>
      </c>
      <c r="I1725">
        <v>4.18</v>
      </c>
      <c r="J1725">
        <v>10</v>
      </c>
      <c r="K1725">
        <v>11659.44</v>
      </c>
      <c r="L1725">
        <v>11</v>
      </c>
    </row>
    <row r="1726" spans="1:12" x14ac:dyDescent="0.3">
      <c r="A1726" t="s">
        <v>1741</v>
      </c>
      <c r="B1726" t="s">
        <v>13</v>
      </c>
      <c r="C1726" t="s">
        <v>14</v>
      </c>
      <c r="D1726">
        <v>46</v>
      </c>
      <c r="E1726" s="1">
        <v>40384</v>
      </c>
      <c r="F1726">
        <v>2010</v>
      </c>
      <c r="G1726" t="s">
        <v>5034</v>
      </c>
      <c r="H1726">
        <v>25</v>
      </c>
      <c r="I1726">
        <v>3.98</v>
      </c>
      <c r="J1726">
        <v>13</v>
      </c>
      <c r="K1726">
        <v>7410.5</v>
      </c>
      <c r="L1726">
        <v>15.3</v>
      </c>
    </row>
    <row r="1727" spans="1:12" x14ac:dyDescent="0.3">
      <c r="A1727" t="s">
        <v>1742</v>
      </c>
      <c r="B1727" t="s">
        <v>16</v>
      </c>
      <c r="C1727" t="s">
        <v>11</v>
      </c>
      <c r="D1727">
        <v>37</v>
      </c>
      <c r="E1727" s="1">
        <v>43599</v>
      </c>
      <c r="F1727">
        <v>2019</v>
      </c>
      <c r="G1727" t="s">
        <v>5036</v>
      </c>
      <c r="H1727">
        <v>14</v>
      </c>
      <c r="I1727">
        <v>2.15</v>
      </c>
      <c r="J1727">
        <v>4</v>
      </c>
      <c r="K1727">
        <v>6579.65</v>
      </c>
      <c r="L1727">
        <v>6.5</v>
      </c>
    </row>
    <row r="1728" spans="1:12" x14ac:dyDescent="0.3">
      <c r="A1728" t="s">
        <v>1743</v>
      </c>
      <c r="B1728" t="s">
        <v>13</v>
      </c>
      <c r="C1728" t="s">
        <v>11</v>
      </c>
      <c r="D1728">
        <v>49</v>
      </c>
      <c r="E1728" s="1">
        <v>40372</v>
      </c>
      <c r="F1728">
        <v>2010</v>
      </c>
      <c r="G1728" t="s">
        <v>5034</v>
      </c>
      <c r="H1728">
        <v>13</v>
      </c>
      <c r="I1728">
        <v>4.8600000000000003</v>
      </c>
      <c r="J1728">
        <v>4</v>
      </c>
      <c r="K1728">
        <v>11104.27</v>
      </c>
      <c r="L1728">
        <v>15.3</v>
      </c>
    </row>
    <row r="1729" spans="1:12" x14ac:dyDescent="0.3">
      <c r="A1729" t="s">
        <v>1744</v>
      </c>
      <c r="B1729" t="s">
        <v>13</v>
      </c>
      <c r="C1729" t="s">
        <v>11</v>
      </c>
      <c r="D1729">
        <v>39</v>
      </c>
      <c r="E1729" s="1">
        <v>41691</v>
      </c>
      <c r="F1729">
        <v>2014</v>
      </c>
      <c r="G1729" t="s">
        <v>5042</v>
      </c>
      <c r="H1729">
        <v>21</v>
      </c>
      <c r="I1729">
        <v>3.02</v>
      </c>
      <c r="J1729">
        <v>11</v>
      </c>
      <c r="K1729">
        <v>9990.76</v>
      </c>
      <c r="L1729">
        <v>11.7</v>
      </c>
    </row>
    <row r="1730" spans="1:12" x14ac:dyDescent="0.3">
      <c r="A1730" t="s">
        <v>1745</v>
      </c>
      <c r="B1730" t="s">
        <v>10</v>
      </c>
      <c r="C1730" t="s">
        <v>11</v>
      </c>
      <c r="D1730">
        <v>52</v>
      </c>
      <c r="E1730" s="1">
        <v>43550</v>
      </c>
      <c r="F1730">
        <v>2019</v>
      </c>
      <c r="G1730" t="s">
        <v>5035</v>
      </c>
      <c r="H1730">
        <v>26</v>
      </c>
      <c r="I1730">
        <v>3.84</v>
      </c>
      <c r="J1730">
        <v>2</v>
      </c>
      <c r="K1730">
        <v>12157.53</v>
      </c>
      <c r="L1730">
        <v>6.6</v>
      </c>
    </row>
    <row r="1731" spans="1:12" x14ac:dyDescent="0.3">
      <c r="A1731" t="s">
        <v>1746</v>
      </c>
      <c r="B1731" t="s">
        <v>10</v>
      </c>
      <c r="C1731" t="s">
        <v>14</v>
      </c>
      <c r="D1731">
        <v>24</v>
      </c>
      <c r="E1731" s="1">
        <v>45038</v>
      </c>
      <c r="F1731">
        <v>2023</v>
      </c>
      <c r="G1731" t="s">
        <v>5040</v>
      </c>
      <c r="H1731">
        <v>22</v>
      </c>
      <c r="I1731">
        <v>1.83</v>
      </c>
      <c r="J1731">
        <v>3</v>
      </c>
      <c r="K1731">
        <v>6517.64</v>
      </c>
      <c r="L1731">
        <v>2.5</v>
      </c>
    </row>
    <row r="1732" spans="1:12" x14ac:dyDescent="0.3">
      <c r="A1732" t="s">
        <v>1747</v>
      </c>
      <c r="B1732" t="s">
        <v>16</v>
      </c>
      <c r="C1732" t="s">
        <v>14</v>
      </c>
      <c r="D1732">
        <v>26</v>
      </c>
      <c r="E1732" s="1">
        <v>43230</v>
      </c>
      <c r="F1732">
        <v>2018</v>
      </c>
      <c r="G1732" t="s">
        <v>5036</v>
      </c>
      <c r="H1732">
        <v>10</v>
      </c>
      <c r="I1732">
        <v>3.11</v>
      </c>
      <c r="J1732">
        <v>15</v>
      </c>
      <c r="K1732">
        <v>3850.48</v>
      </c>
      <c r="L1732">
        <v>7.5</v>
      </c>
    </row>
    <row r="1733" spans="1:12" x14ac:dyDescent="0.3">
      <c r="A1733" t="s">
        <v>1748</v>
      </c>
      <c r="B1733" t="s">
        <v>34</v>
      </c>
      <c r="C1733" t="s">
        <v>14</v>
      </c>
      <c r="D1733">
        <v>49</v>
      </c>
      <c r="E1733" s="1">
        <v>41776</v>
      </c>
      <c r="F1733">
        <v>2014</v>
      </c>
      <c r="G1733" t="s">
        <v>5036</v>
      </c>
      <c r="H1733">
        <v>17</v>
      </c>
      <c r="I1733">
        <v>3</v>
      </c>
      <c r="J1733">
        <v>15</v>
      </c>
      <c r="K1733">
        <v>11433.59</v>
      </c>
      <c r="L1733">
        <v>11.5</v>
      </c>
    </row>
    <row r="1734" spans="1:12" x14ac:dyDescent="0.3">
      <c r="A1734" t="s">
        <v>1749</v>
      </c>
      <c r="B1734" t="s">
        <v>13</v>
      </c>
      <c r="C1734" t="s">
        <v>11</v>
      </c>
      <c r="D1734">
        <v>35</v>
      </c>
      <c r="E1734" s="1">
        <v>42535</v>
      </c>
      <c r="F1734">
        <v>2016</v>
      </c>
      <c r="G1734" t="s">
        <v>5032</v>
      </c>
      <c r="H1734">
        <v>14</v>
      </c>
      <c r="I1734">
        <v>2.41</v>
      </c>
      <c r="J1734">
        <v>1</v>
      </c>
      <c r="K1734">
        <v>9568.6299999999992</v>
      </c>
      <c r="L1734">
        <v>9.4</v>
      </c>
    </row>
    <row r="1735" spans="1:12" x14ac:dyDescent="0.3">
      <c r="A1735" t="s">
        <v>1750</v>
      </c>
      <c r="B1735" t="s">
        <v>24</v>
      </c>
      <c r="C1735" t="s">
        <v>14</v>
      </c>
      <c r="D1735">
        <v>40</v>
      </c>
      <c r="E1735" s="1">
        <v>44723</v>
      </c>
      <c r="F1735">
        <v>2022</v>
      </c>
      <c r="G1735" t="s">
        <v>5032</v>
      </c>
      <c r="H1735">
        <v>11</v>
      </c>
      <c r="I1735">
        <v>4.08</v>
      </c>
      <c r="J1735">
        <v>1</v>
      </c>
      <c r="K1735">
        <v>11847.96</v>
      </c>
      <c r="L1735">
        <v>3.4</v>
      </c>
    </row>
    <row r="1736" spans="1:12" x14ac:dyDescent="0.3">
      <c r="A1736" t="s">
        <v>1751</v>
      </c>
      <c r="B1736" t="s">
        <v>13</v>
      </c>
      <c r="C1736" t="s">
        <v>14</v>
      </c>
      <c r="D1736">
        <v>27</v>
      </c>
      <c r="E1736" s="1">
        <v>43346</v>
      </c>
      <c r="F1736">
        <v>2018</v>
      </c>
      <c r="G1736" t="s">
        <v>5033</v>
      </c>
      <c r="H1736">
        <v>3</v>
      </c>
      <c r="I1736">
        <v>4.95</v>
      </c>
      <c r="J1736">
        <v>10</v>
      </c>
      <c r="K1736">
        <v>14683.49</v>
      </c>
      <c r="L1736">
        <v>7.2</v>
      </c>
    </row>
    <row r="1737" spans="1:12" x14ac:dyDescent="0.3">
      <c r="A1737" t="s">
        <v>1752</v>
      </c>
      <c r="B1737" t="s">
        <v>10</v>
      </c>
      <c r="C1737" t="s">
        <v>14</v>
      </c>
      <c r="D1737">
        <v>38</v>
      </c>
      <c r="E1737" s="1">
        <v>44419</v>
      </c>
      <c r="F1737">
        <v>2021</v>
      </c>
      <c r="G1737" t="s">
        <v>5031</v>
      </c>
      <c r="H1737">
        <v>11</v>
      </c>
      <c r="I1737">
        <v>4.8600000000000003</v>
      </c>
      <c r="J1737">
        <v>0</v>
      </c>
      <c r="K1737">
        <v>5244.6</v>
      </c>
      <c r="L1737">
        <v>4.2</v>
      </c>
    </row>
    <row r="1738" spans="1:12" x14ac:dyDescent="0.3">
      <c r="A1738" t="s">
        <v>1753</v>
      </c>
      <c r="B1738" t="s">
        <v>24</v>
      </c>
      <c r="C1738" t="s">
        <v>11</v>
      </c>
      <c r="D1738">
        <v>52</v>
      </c>
      <c r="E1738" s="1">
        <v>45644</v>
      </c>
      <c r="F1738">
        <v>2024</v>
      </c>
      <c r="G1738" t="s">
        <v>5041</v>
      </c>
      <c r="H1738">
        <v>18</v>
      </c>
      <c r="I1738">
        <v>3.05</v>
      </c>
      <c r="J1738">
        <v>14</v>
      </c>
      <c r="K1738">
        <v>3074.87</v>
      </c>
      <c r="L1738">
        <v>0.9</v>
      </c>
    </row>
    <row r="1739" spans="1:12" x14ac:dyDescent="0.3">
      <c r="A1739" t="s">
        <v>1754</v>
      </c>
      <c r="B1739" t="s">
        <v>16</v>
      </c>
      <c r="C1739" t="s">
        <v>14</v>
      </c>
      <c r="D1739">
        <v>47</v>
      </c>
      <c r="E1739" s="1">
        <v>41200</v>
      </c>
      <c r="F1739">
        <v>2012</v>
      </c>
      <c r="G1739" t="s">
        <v>5039</v>
      </c>
      <c r="H1739">
        <v>18</v>
      </c>
      <c r="I1739">
        <v>3.65</v>
      </c>
      <c r="J1739">
        <v>13</v>
      </c>
      <c r="K1739">
        <v>5702.11</v>
      </c>
      <c r="L1739">
        <v>13</v>
      </c>
    </row>
    <row r="1740" spans="1:12" x14ac:dyDescent="0.3">
      <c r="A1740" t="s">
        <v>1755</v>
      </c>
      <c r="B1740" t="s">
        <v>13</v>
      </c>
      <c r="C1740" t="s">
        <v>14</v>
      </c>
      <c r="D1740">
        <v>48</v>
      </c>
      <c r="E1740" s="1">
        <v>43176</v>
      </c>
      <c r="F1740">
        <v>2018</v>
      </c>
      <c r="G1740" t="s">
        <v>5035</v>
      </c>
      <c r="H1740">
        <v>17</v>
      </c>
      <c r="I1740">
        <v>2.2200000000000002</v>
      </c>
      <c r="J1740">
        <v>2</v>
      </c>
      <c r="K1740">
        <v>6439.72</v>
      </c>
      <c r="L1740">
        <v>7.6</v>
      </c>
    </row>
    <row r="1741" spans="1:12" x14ac:dyDescent="0.3">
      <c r="A1741" t="s">
        <v>1756</v>
      </c>
      <c r="B1741" t="s">
        <v>34</v>
      </c>
      <c r="C1741" t="s">
        <v>11</v>
      </c>
      <c r="D1741">
        <v>35</v>
      </c>
      <c r="E1741" s="1">
        <v>43100</v>
      </c>
      <c r="F1741">
        <v>2017</v>
      </c>
      <c r="G1741" t="s">
        <v>5041</v>
      </c>
      <c r="H1741">
        <v>31</v>
      </c>
      <c r="I1741">
        <v>3.92</v>
      </c>
      <c r="J1741">
        <v>13</v>
      </c>
      <c r="K1741">
        <v>7379.9</v>
      </c>
      <c r="L1741">
        <v>7.8</v>
      </c>
    </row>
    <row r="1742" spans="1:12" x14ac:dyDescent="0.3">
      <c r="A1742" t="s">
        <v>1757</v>
      </c>
      <c r="B1742" t="s">
        <v>24</v>
      </c>
      <c r="C1742" t="s">
        <v>14</v>
      </c>
      <c r="D1742">
        <v>46</v>
      </c>
      <c r="E1742" s="1">
        <v>43623</v>
      </c>
      <c r="F1742">
        <v>2019</v>
      </c>
      <c r="G1742" t="s">
        <v>5032</v>
      </c>
      <c r="H1742">
        <v>7</v>
      </c>
      <c r="I1742">
        <v>3.73</v>
      </c>
      <c r="J1742">
        <v>7</v>
      </c>
      <c r="K1742">
        <v>9124.51</v>
      </c>
      <c r="L1742">
        <v>6.4</v>
      </c>
    </row>
    <row r="1743" spans="1:12" x14ac:dyDescent="0.3">
      <c r="A1743" t="s">
        <v>1758</v>
      </c>
      <c r="B1743" t="s">
        <v>13</v>
      </c>
      <c r="C1743" t="s">
        <v>11</v>
      </c>
      <c r="D1743">
        <v>49</v>
      </c>
      <c r="E1743" s="1">
        <v>41929</v>
      </c>
      <c r="F1743">
        <v>2014</v>
      </c>
      <c r="G1743" t="s">
        <v>5039</v>
      </c>
      <c r="H1743">
        <v>17</v>
      </c>
      <c r="I1743">
        <v>2.33</v>
      </c>
      <c r="J1743">
        <v>9</v>
      </c>
      <c r="K1743">
        <v>13246.99</v>
      </c>
      <c r="L1743">
        <v>11</v>
      </c>
    </row>
    <row r="1744" spans="1:12" x14ac:dyDescent="0.3">
      <c r="A1744" t="s">
        <v>1759</v>
      </c>
      <c r="B1744" t="s">
        <v>13</v>
      </c>
      <c r="C1744" t="s">
        <v>11</v>
      </c>
      <c r="D1744">
        <v>36</v>
      </c>
      <c r="E1744" s="1">
        <v>45300</v>
      </c>
      <c r="F1744">
        <v>2024</v>
      </c>
      <c r="G1744" t="s">
        <v>5037</v>
      </c>
      <c r="H1744">
        <v>9</v>
      </c>
      <c r="I1744">
        <v>3.59</v>
      </c>
      <c r="J1744">
        <v>1</v>
      </c>
      <c r="K1744">
        <v>9330.0300000000007</v>
      </c>
      <c r="L1744">
        <v>1.8</v>
      </c>
    </row>
    <row r="1745" spans="1:12" x14ac:dyDescent="0.3">
      <c r="A1745" t="s">
        <v>1760</v>
      </c>
      <c r="B1745" t="s">
        <v>24</v>
      </c>
      <c r="C1745" t="s">
        <v>14</v>
      </c>
      <c r="D1745">
        <v>47</v>
      </c>
      <c r="E1745" s="1">
        <v>45061</v>
      </c>
      <c r="F1745">
        <v>2023</v>
      </c>
      <c r="G1745" t="s">
        <v>5036</v>
      </c>
      <c r="H1745">
        <v>15</v>
      </c>
      <c r="I1745">
        <v>4.62</v>
      </c>
      <c r="J1745">
        <v>9</v>
      </c>
      <c r="K1745">
        <v>3379.13</v>
      </c>
      <c r="L1745">
        <v>2.5</v>
      </c>
    </row>
    <row r="1746" spans="1:12" x14ac:dyDescent="0.3">
      <c r="A1746" t="s">
        <v>1761</v>
      </c>
      <c r="B1746" t="s">
        <v>18</v>
      </c>
      <c r="C1746" t="s">
        <v>11</v>
      </c>
      <c r="D1746">
        <v>59</v>
      </c>
      <c r="E1746" s="1">
        <v>41727</v>
      </c>
      <c r="F1746">
        <v>2014</v>
      </c>
      <c r="G1746" t="s">
        <v>5035</v>
      </c>
      <c r="H1746">
        <v>29</v>
      </c>
      <c r="I1746">
        <v>1.9</v>
      </c>
      <c r="J1746">
        <v>14</v>
      </c>
      <c r="K1746">
        <v>11114.96</v>
      </c>
      <c r="L1746">
        <v>11.6</v>
      </c>
    </row>
    <row r="1747" spans="1:12" x14ac:dyDescent="0.3">
      <c r="A1747" t="s">
        <v>1762</v>
      </c>
      <c r="B1747" t="s">
        <v>10</v>
      </c>
      <c r="C1747" t="s">
        <v>14</v>
      </c>
      <c r="D1747">
        <v>41</v>
      </c>
      <c r="E1747" s="1">
        <v>43544</v>
      </c>
      <c r="F1747">
        <v>2019</v>
      </c>
      <c r="G1747" t="s">
        <v>5035</v>
      </c>
      <c r="H1747">
        <v>20</v>
      </c>
      <c r="I1747">
        <v>3.42</v>
      </c>
      <c r="J1747">
        <v>12</v>
      </c>
      <c r="K1747">
        <v>14103.55</v>
      </c>
      <c r="L1747">
        <v>6.6</v>
      </c>
    </row>
    <row r="1748" spans="1:12" x14ac:dyDescent="0.3">
      <c r="A1748" t="s">
        <v>1763</v>
      </c>
      <c r="B1748" t="s">
        <v>34</v>
      </c>
      <c r="C1748" t="s">
        <v>14</v>
      </c>
      <c r="D1748">
        <v>51</v>
      </c>
      <c r="E1748" s="1">
        <v>40584</v>
      </c>
      <c r="F1748">
        <v>2011</v>
      </c>
      <c r="G1748" t="s">
        <v>5042</v>
      </c>
      <c r="H1748">
        <v>10</v>
      </c>
      <c r="I1748">
        <v>1.72</v>
      </c>
      <c r="J1748">
        <v>7</v>
      </c>
      <c r="K1748">
        <v>13137.7</v>
      </c>
      <c r="L1748">
        <v>14.7</v>
      </c>
    </row>
    <row r="1749" spans="1:12" x14ac:dyDescent="0.3">
      <c r="A1749" t="s">
        <v>1764</v>
      </c>
      <c r="B1749" t="s">
        <v>13</v>
      </c>
      <c r="C1749" t="s">
        <v>11</v>
      </c>
      <c r="D1749">
        <v>49</v>
      </c>
      <c r="E1749" s="1">
        <v>41359</v>
      </c>
      <c r="F1749">
        <v>2013</v>
      </c>
      <c r="G1749" t="s">
        <v>5035</v>
      </c>
      <c r="H1749">
        <v>26</v>
      </c>
      <c r="I1749">
        <v>4.0599999999999996</v>
      </c>
      <c r="J1749">
        <v>5</v>
      </c>
      <c r="K1749">
        <v>14099.11</v>
      </c>
      <c r="L1749">
        <v>12.6</v>
      </c>
    </row>
    <row r="1750" spans="1:12" x14ac:dyDescent="0.3">
      <c r="A1750" t="s">
        <v>1765</v>
      </c>
      <c r="B1750" t="s">
        <v>16</v>
      </c>
      <c r="C1750" t="s">
        <v>14</v>
      </c>
      <c r="D1750">
        <v>22</v>
      </c>
      <c r="E1750" s="1">
        <v>44523</v>
      </c>
      <c r="F1750">
        <v>2021</v>
      </c>
      <c r="G1750" t="s">
        <v>5038</v>
      </c>
      <c r="H1750">
        <v>23</v>
      </c>
      <c r="I1750">
        <v>4.87</v>
      </c>
      <c r="J1750">
        <v>2</v>
      </c>
      <c r="K1750">
        <v>8345.7900000000009</v>
      </c>
      <c r="L1750">
        <v>3.9</v>
      </c>
    </row>
    <row r="1751" spans="1:12" x14ac:dyDescent="0.3">
      <c r="A1751" t="s">
        <v>1766</v>
      </c>
      <c r="B1751" t="s">
        <v>13</v>
      </c>
      <c r="C1751" t="s">
        <v>14</v>
      </c>
      <c r="D1751">
        <v>26</v>
      </c>
      <c r="E1751" s="1">
        <v>42375</v>
      </c>
      <c r="F1751">
        <v>2016</v>
      </c>
      <c r="G1751" t="s">
        <v>5037</v>
      </c>
      <c r="H1751">
        <v>6</v>
      </c>
      <c r="I1751">
        <v>2.12</v>
      </c>
      <c r="J1751">
        <v>7</v>
      </c>
      <c r="K1751">
        <v>5312.71</v>
      </c>
      <c r="L1751">
        <v>9.8000000000000007</v>
      </c>
    </row>
    <row r="1752" spans="1:12" x14ac:dyDescent="0.3">
      <c r="A1752" t="s">
        <v>1767</v>
      </c>
      <c r="B1752" t="s">
        <v>18</v>
      </c>
      <c r="C1752" t="s">
        <v>14</v>
      </c>
      <c r="D1752">
        <v>49</v>
      </c>
      <c r="E1752" s="1">
        <v>44790</v>
      </c>
      <c r="F1752">
        <v>2022</v>
      </c>
      <c r="G1752" t="s">
        <v>5031</v>
      </c>
      <c r="H1752">
        <v>17</v>
      </c>
      <c r="I1752">
        <v>4.59</v>
      </c>
      <c r="J1752">
        <v>9</v>
      </c>
      <c r="K1752">
        <v>8641.09</v>
      </c>
      <c r="L1752">
        <v>3.2</v>
      </c>
    </row>
    <row r="1753" spans="1:12" x14ac:dyDescent="0.3">
      <c r="A1753" t="s">
        <v>1768</v>
      </c>
      <c r="B1753" t="s">
        <v>13</v>
      </c>
      <c r="C1753" t="s">
        <v>11</v>
      </c>
      <c r="D1753">
        <v>28</v>
      </c>
      <c r="E1753" s="1">
        <v>40896</v>
      </c>
      <c r="F1753">
        <v>2011</v>
      </c>
      <c r="G1753" t="s">
        <v>5041</v>
      </c>
      <c r="H1753">
        <v>19</v>
      </c>
      <c r="I1753">
        <v>3.99</v>
      </c>
      <c r="J1753">
        <v>0</v>
      </c>
      <c r="K1753">
        <v>5429.47</v>
      </c>
      <c r="L1753">
        <v>13.9</v>
      </c>
    </row>
    <row r="1754" spans="1:12" x14ac:dyDescent="0.3">
      <c r="A1754" t="s">
        <v>1769</v>
      </c>
      <c r="B1754" t="s">
        <v>10</v>
      </c>
      <c r="C1754" t="s">
        <v>11</v>
      </c>
      <c r="D1754">
        <v>50</v>
      </c>
      <c r="E1754" s="1">
        <v>41265</v>
      </c>
      <c r="F1754">
        <v>2012</v>
      </c>
      <c r="G1754" t="s">
        <v>5041</v>
      </c>
      <c r="H1754">
        <v>22</v>
      </c>
      <c r="I1754">
        <v>2.34</v>
      </c>
      <c r="J1754">
        <v>2</v>
      </c>
      <c r="K1754">
        <v>10957.37</v>
      </c>
      <c r="L1754">
        <v>12.9</v>
      </c>
    </row>
    <row r="1755" spans="1:12" x14ac:dyDescent="0.3">
      <c r="A1755" t="s">
        <v>1770</v>
      </c>
      <c r="B1755" t="s">
        <v>34</v>
      </c>
      <c r="C1755" t="s">
        <v>11</v>
      </c>
      <c r="D1755">
        <v>42</v>
      </c>
      <c r="E1755" s="1">
        <v>42257</v>
      </c>
      <c r="F1755">
        <v>2015</v>
      </c>
      <c r="G1755" t="s">
        <v>5033</v>
      </c>
      <c r="H1755">
        <v>10</v>
      </c>
      <c r="I1755">
        <v>3.99</v>
      </c>
      <c r="J1755">
        <v>3</v>
      </c>
      <c r="K1755">
        <v>12263.78</v>
      </c>
      <c r="L1755">
        <v>10.199999999999999</v>
      </c>
    </row>
    <row r="1756" spans="1:12" x14ac:dyDescent="0.3">
      <c r="A1756" t="s">
        <v>1771</v>
      </c>
      <c r="B1756" t="s">
        <v>18</v>
      </c>
      <c r="C1756" t="s">
        <v>11</v>
      </c>
      <c r="D1756">
        <v>59</v>
      </c>
      <c r="E1756" s="1">
        <v>44527</v>
      </c>
      <c r="F1756">
        <v>2021</v>
      </c>
      <c r="G1756" t="s">
        <v>5038</v>
      </c>
      <c r="H1756">
        <v>27</v>
      </c>
      <c r="I1756">
        <v>2.94</v>
      </c>
      <c r="J1756">
        <v>10</v>
      </c>
      <c r="K1756">
        <v>4295.92</v>
      </c>
      <c r="L1756">
        <v>3.9</v>
      </c>
    </row>
    <row r="1757" spans="1:12" x14ac:dyDescent="0.3">
      <c r="A1757" t="s">
        <v>1772</v>
      </c>
      <c r="B1757" t="s">
        <v>16</v>
      </c>
      <c r="C1757" t="s">
        <v>14</v>
      </c>
      <c r="D1757">
        <v>49</v>
      </c>
      <c r="E1757" s="1">
        <v>43616</v>
      </c>
      <c r="F1757">
        <v>2019</v>
      </c>
      <c r="G1757" t="s">
        <v>5036</v>
      </c>
      <c r="H1757">
        <v>31</v>
      </c>
      <c r="I1757">
        <v>4.93</v>
      </c>
      <c r="J1757">
        <v>15</v>
      </c>
      <c r="K1757">
        <v>11981.55</v>
      </c>
      <c r="L1757">
        <v>6.4</v>
      </c>
    </row>
    <row r="1758" spans="1:12" x14ac:dyDescent="0.3">
      <c r="A1758" t="s">
        <v>1773</v>
      </c>
      <c r="B1758" t="s">
        <v>18</v>
      </c>
      <c r="C1758" t="s">
        <v>11</v>
      </c>
      <c r="D1758">
        <v>42</v>
      </c>
      <c r="E1758" s="1">
        <v>44832</v>
      </c>
      <c r="F1758">
        <v>2022</v>
      </c>
      <c r="G1758" t="s">
        <v>5033</v>
      </c>
      <c r="H1758">
        <v>28</v>
      </c>
      <c r="I1758">
        <v>4.3099999999999996</v>
      </c>
      <c r="J1758">
        <v>6</v>
      </c>
      <c r="K1758">
        <v>6192.66</v>
      </c>
      <c r="L1758">
        <v>3.1</v>
      </c>
    </row>
    <row r="1759" spans="1:12" x14ac:dyDescent="0.3">
      <c r="A1759" t="s">
        <v>1774</v>
      </c>
      <c r="B1759" t="s">
        <v>34</v>
      </c>
      <c r="C1759" t="s">
        <v>11</v>
      </c>
      <c r="D1759">
        <v>60</v>
      </c>
      <c r="E1759" s="1">
        <v>42256</v>
      </c>
      <c r="F1759">
        <v>2015</v>
      </c>
      <c r="G1759" t="s">
        <v>5033</v>
      </c>
      <c r="H1759">
        <v>9</v>
      </c>
      <c r="I1759">
        <v>4.5</v>
      </c>
      <c r="J1759">
        <v>2</v>
      </c>
      <c r="K1759">
        <v>6663.2</v>
      </c>
      <c r="L1759">
        <v>10.199999999999999</v>
      </c>
    </row>
    <row r="1760" spans="1:12" x14ac:dyDescent="0.3">
      <c r="A1760" t="s">
        <v>1775</v>
      </c>
      <c r="B1760" t="s">
        <v>16</v>
      </c>
      <c r="C1760" t="s">
        <v>11</v>
      </c>
      <c r="D1760">
        <v>57</v>
      </c>
      <c r="E1760" s="1">
        <v>42760</v>
      </c>
      <c r="F1760">
        <v>2017</v>
      </c>
      <c r="G1760" t="s">
        <v>5037</v>
      </c>
      <c r="H1760">
        <v>25</v>
      </c>
      <c r="I1760">
        <v>1.89</v>
      </c>
      <c r="J1760">
        <v>6</v>
      </c>
      <c r="K1760">
        <v>11716.18</v>
      </c>
      <c r="L1760">
        <v>8.8000000000000007</v>
      </c>
    </row>
    <row r="1761" spans="1:12" x14ac:dyDescent="0.3">
      <c r="A1761" t="s">
        <v>1776</v>
      </c>
      <c r="B1761" t="s">
        <v>10</v>
      </c>
      <c r="C1761" t="s">
        <v>11</v>
      </c>
      <c r="D1761">
        <v>36</v>
      </c>
      <c r="E1761" s="1">
        <v>43182</v>
      </c>
      <c r="F1761">
        <v>2018</v>
      </c>
      <c r="G1761" t="s">
        <v>5035</v>
      </c>
      <c r="H1761">
        <v>23</v>
      </c>
      <c r="I1761">
        <v>4.47</v>
      </c>
      <c r="J1761">
        <v>0</v>
      </c>
      <c r="K1761">
        <v>8407.5</v>
      </c>
      <c r="L1761">
        <v>7.6</v>
      </c>
    </row>
    <row r="1762" spans="1:12" x14ac:dyDescent="0.3">
      <c r="A1762" t="s">
        <v>1777</v>
      </c>
      <c r="B1762" t="s">
        <v>24</v>
      </c>
      <c r="C1762" t="s">
        <v>11</v>
      </c>
      <c r="D1762">
        <v>59</v>
      </c>
      <c r="E1762" s="1">
        <v>41975</v>
      </c>
      <c r="F1762">
        <v>2014</v>
      </c>
      <c r="G1762" t="s">
        <v>5041</v>
      </c>
      <c r="H1762">
        <v>2</v>
      </c>
      <c r="I1762">
        <v>4.63</v>
      </c>
      <c r="J1762">
        <v>12</v>
      </c>
      <c r="K1762">
        <v>10632.76</v>
      </c>
      <c r="L1762">
        <v>10.9</v>
      </c>
    </row>
    <row r="1763" spans="1:12" x14ac:dyDescent="0.3">
      <c r="A1763" t="s">
        <v>1778</v>
      </c>
      <c r="B1763" t="s">
        <v>34</v>
      </c>
      <c r="C1763" t="s">
        <v>14</v>
      </c>
      <c r="D1763">
        <v>49</v>
      </c>
      <c r="E1763" s="1">
        <v>41046</v>
      </c>
      <c r="F1763">
        <v>2012</v>
      </c>
      <c r="G1763" t="s">
        <v>5036</v>
      </c>
      <c r="H1763">
        <v>17</v>
      </c>
      <c r="I1763">
        <v>3.78</v>
      </c>
      <c r="J1763">
        <v>12</v>
      </c>
      <c r="K1763">
        <v>11731.69</v>
      </c>
      <c r="L1763">
        <v>13.5</v>
      </c>
    </row>
    <row r="1764" spans="1:12" x14ac:dyDescent="0.3">
      <c r="A1764" t="s">
        <v>1779</v>
      </c>
      <c r="B1764" t="s">
        <v>34</v>
      </c>
      <c r="C1764" t="s">
        <v>14</v>
      </c>
      <c r="D1764">
        <v>27</v>
      </c>
      <c r="E1764" s="1">
        <v>45160</v>
      </c>
      <c r="F1764">
        <v>2023</v>
      </c>
      <c r="G1764" t="s">
        <v>5031</v>
      </c>
      <c r="H1764">
        <v>22</v>
      </c>
      <c r="I1764">
        <v>2.16</v>
      </c>
      <c r="J1764">
        <v>2</v>
      </c>
      <c r="K1764">
        <v>13192.26</v>
      </c>
      <c r="L1764">
        <v>2.2000000000000002</v>
      </c>
    </row>
    <row r="1765" spans="1:12" x14ac:dyDescent="0.3">
      <c r="A1765" t="s">
        <v>1780</v>
      </c>
      <c r="B1765" t="s">
        <v>10</v>
      </c>
      <c r="C1765" t="s">
        <v>11</v>
      </c>
      <c r="D1765">
        <v>57</v>
      </c>
      <c r="E1765" s="1">
        <v>44767</v>
      </c>
      <c r="F1765">
        <v>2022</v>
      </c>
      <c r="G1765" t="s">
        <v>5034</v>
      </c>
      <c r="H1765">
        <v>25</v>
      </c>
      <c r="I1765">
        <v>3.8</v>
      </c>
      <c r="J1765">
        <v>13</v>
      </c>
      <c r="K1765">
        <v>9047.4500000000007</v>
      </c>
      <c r="L1765">
        <v>3.3</v>
      </c>
    </row>
    <row r="1766" spans="1:12" x14ac:dyDescent="0.3">
      <c r="A1766" t="s">
        <v>1781</v>
      </c>
      <c r="B1766" t="s">
        <v>34</v>
      </c>
      <c r="C1766" t="s">
        <v>14</v>
      </c>
      <c r="D1766">
        <v>35</v>
      </c>
      <c r="E1766" s="1">
        <v>41273</v>
      </c>
      <c r="F1766">
        <v>2012</v>
      </c>
      <c r="G1766" t="s">
        <v>5041</v>
      </c>
      <c r="H1766">
        <v>30</v>
      </c>
      <c r="I1766">
        <v>2.35</v>
      </c>
      <c r="J1766">
        <v>5</v>
      </c>
      <c r="K1766">
        <v>10528.71</v>
      </c>
      <c r="L1766">
        <v>12.8</v>
      </c>
    </row>
    <row r="1767" spans="1:12" x14ac:dyDescent="0.3">
      <c r="A1767" t="s">
        <v>1782</v>
      </c>
      <c r="B1767" t="s">
        <v>24</v>
      </c>
      <c r="C1767" t="s">
        <v>11</v>
      </c>
      <c r="D1767">
        <v>30</v>
      </c>
      <c r="E1767" s="1">
        <v>41255</v>
      </c>
      <c r="F1767">
        <v>2012</v>
      </c>
      <c r="G1767" t="s">
        <v>5041</v>
      </c>
      <c r="H1767">
        <v>12</v>
      </c>
      <c r="I1767">
        <v>2.2799999999999998</v>
      </c>
      <c r="J1767">
        <v>1</v>
      </c>
      <c r="K1767">
        <v>14036.14</v>
      </c>
      <c r="L1767">
        <v>12.9</v>
      </c>
    </row>
    <row r="1768" spans="1:12" x14ac:dyDescent="0.3">
      <c r="A1768" t="s">
        <v>1783</v>
      </c>
      <c r="B1768" t="s">
        <v>34</v>
      </c>
      <c r="C1768" t="s">
        <v>11</v>
      </c>
      <c r="D1768">
        <v>51</v>
      </c>
      <c r="E1768" s="1">
        <v>45269</v>
      </c>
      <c r="F1768">
        <v>2023</v>
      </c>
      <c r="G1768" t="s">
        <v>5041</v>
      </c>
      <c r="H1768">
        <v>9</v>
      </c>
      <c r="I1768">
        <v>2.2599999999999998</v>
      </c>
      <c r="J1768">
        <v>8</v>
      </c>
      <c r="K1768">
        <v>3663.52</v>
      </c>
      <c r="L1768">
        <v>1.9</v>
      </c>
    </row>
    <row r="1769" spans="1:12" x14ac:dyDescent="0.3">
      <c r="A1769" t="s">
        <v>1784</v>
      </c>
      <c r="B1769" t="s">
        <v>24</v>
      </c>
      <c r="C1769" t="s">
        <v>11</v>
      </c>
      <c r="D1769">
        <v>30</v>
      </c>
      <c r="E1769" s="1">
        <v>41338</v>
      </c>
      <c r="F1769">
        <v>2013</v>
      </c>
      <c r="G1769" t="s">
        <v>5035</v>
      </c>
      <c r="H1769">
        <v>5</v>
      </c>
      <c r="I1769">
        <v>2.82</v>
      </c>
      <c r="J1769">
        <v>3</v>
      </c>
      <c r="K1769">
        <v>14456.89</v>
      </c>
      <c r="L1769">
        <v>12.7</v>
      </c>
    </row>
    <row r="1770" spans="1:12" x14ac:dyDescent="0.3">
      <c r="A1770" t="s">
        <v>1785</v>
      </c>
      <c r="B1770" t="s">
        <v>24</v>
      </c>
      <c r="C1770" t="s">
        <v>14</v>
      </c>
      <c r="D1770">
        <v>36</v>
      </c>
      <c r="E1770" s="1">
        <v>45878</v>
      </c>
      <c r="F1770">
        <v>2025</v>
      </c>
      <c r="G1770" t="s">
        <v>5031</v>
      </c>
      <c r="H1770">
        <v>9</v>
      </c>
      <c r="I1770">
        <v>3.8</v>
      </c>
      <c r="J1770">
        <v>9</v>
      </c>
      <c r="K1770">
        <v>5140.49</v>
      </c>
      <c r="L1770">
        <v>0.2</v>
      </c>
    </row>
    <row r="1771" spans="1:12" x14ac:dyDescent="0.3">
      <c r="A1771" t="s">
        <v>1786</v>
      </c>
      <c r="B1771" t="s">
        <v>34</v>
      </c>
      <c r="C1771" t="s">
        <v>14</v>
      </c>
      <c r="D1771">
        <v>31</v>
      </c>
      <c r="E1771" s="1">
        <v>43999</v>
      </c>
      <c r="F1771">
        <v>2020</v>
      </c>
      <c r="G1771" t="s">
        <v>5032</v>
      </c>
      <c r="H1771">
        <v>17</v>
      </c>
      <c r="I1771">
        <v>2.67</v>
      </c>
      <c r="J1771">
        <v>10</v>
      </c>
      <c r="K1771">
        <v>4705.42</v>
      </c>
      <c r="L1771">
        <v>5.4</v>
      </c>
    </row>
    <row r="1772" spans="1:12" x14ac:dyDescent="0.3">
      <c r="A1772" t="s">
        <v>1787</v>
      </c>
      <c r="B1772" t="s">
        <v>16</v>
      </c>
      <c r="C1772" t="s">
        <v>11</v>
      </c>
      <c r="D1772">
        <v>22</v>
      </c>
      <c r="E1772" s="1">
        <v>44961</v>
      </c>
      <c r="F1772">
        <v>2023</v>
      </c>
      <c r="G1772" t="s">
        <v>5042</v>
      </c>
      <c r="H1772">
        <v>4</v>
      </c>
      <c r="I1772">
        <v>3.31</v>
      </c>
      <c r="J1772">
        <v>10</v>
      </c>
      <c r="K1772">
        <v>13484.66</v>
      </c>
      <c r="L1772">
        <v>2.7</v>
      </c>
    </row>
    <row r="1773" spans="1:12" x14ac:dyDescent="0.3">
      <c r="A1773" t="s">
        <v>1788</v>
      </c>
      <c r="B1773" t="s">
        <v>24</v>
      </c>
      <c r="C1773" t="s">
        <v>14</v>
      </c>
      <c r="D1773">
        <v>56</v>
      </c>
      <c r="E1773" s="1">
        <v>43268</v>
      </c>
      <c r="F1773">
        <v>2018</v>
      </c>
      <c r="G1773" t="s">
        <v>5032</v>
      </c>
      <c r="H1773">
        <v>17</v>
      </c>
      <c r="I1773">
        <v>1.63</v>
      </c>
      <c r="J1773">
        <v>3</v>
      </c>
      <c r="K1773">
        <v>12954.78</v>
      </c>
      <c r="L1773">
        <v>7.4</v>
      </c>
    </row>
    <row r="1774" spans="1:12" x14ac:dyDescent="0.3">
      <c r="A1774" t="s">
        <v>1789</v>
      </c>
      <c r="B1774" t="s">
        <v>24</v>
      </c>
      <c r="C1774" t="s">
        <v>11</v>
      </c>
      <c r="D1774">
        <v>43</v>
      </c>
      <c r="E1774" s="1">
        <v>44074</v>
      </c>
      <c r="F1774">
        <v>2020</v>
      </c>
      <c r="G1774" t="s">
        <v>5031</v>
      </c>
      <c r="H1774">
        <v>31</v>
      </c>
      <c r="I1774">
        <v>1.92</v>
      </c>
      <c r="J1774">
        <v>2</v>
      </c>
      <c r="K1774">
        <v>4896.92</v>
      </c>
      <c r="L1774">
        <v>5.2</v>
      </c>
    </row>
    <row r="1775" spans="1:12" x14ac:dyDescent="0.3">
      <c r="A1775" t="s">
        <v>1790</v>
      </c>
      <c r="B1775" t="s">
        <v>10</v>
      </c>
      <c r="C1775" t="s">
        <v>11</v>
      </c>
      <c r="D1775">
        <v>47</v>
      </c>
      <c r="E1775" s="1">
        <v>40801</v>
      </c>
      <c r="F1775">
        <v>2011</v>
      </c>
      <c r="G1775" t="s">
        <v>5033</v>
      </c>
      <c r="H1775">
        <v>15</v>
      </c>
      <c r="I1775">
        <v>3.95</v>
      </c>
      <c r="J1775">
        <v>2</v>
      </c>
      <c r="K1775">
        <v>14704.07</v>
      </c>
      <c r="L1775">
        <v>14.1</v>
      </c>
    </row>
    <row r="1776" spans="1:12" x14ac:dyDescent="0.3">
      <c r="A1776" t="s">
        <v>1791</v>
      </c>
      <c r="B1776" t="s">
        <v>18</v>
      </c>
      <c r="C1776" t="s">
        <v>14</v>
      </c>
      <c r="D1776">
        <v>27</v>
      </c>
      <c r="E1776" s="1">
        <v>45071</v>
      </c>
      <c r="F1776">
        <v>2023</v>
      </c>
      <c r="G1776" t="s">
        <v>5036</v>
      </c>
      <c r="H1776">
        <v>25</v>
      </c>
      <c r="I1776">
        <v>3.17</v>
      </c>
      <c r="J1776">
        <v>4</v>
      </c>
      <c r="K1776">
        <v>9972.61</v>
      </c>
      <c r="L1776">
        <v>2.4</v>
      </c>
    </row>
    <row r="1777" spans="1:12" x14ac:dyDescent="0.3">
      <c r="A1777" t="s">
        <v>1792</v>
      </c>
      <c r="B1777" t="s">
        <v>16</v>
      </c>
      <c r="C1777" t="s">
        <v>11</v>
      </c>
      <c r="D1777">
        <v>25</v>
      </c>
      <c r="E1777" s="1">
        <v>41284</v>
      </c>
      <c r="F1777">
        <v>2013</v>
      </c>
      <c r="G1777" t="s">
        <v>5037</v>
      </c>
      <c r="H1777">
        <v>10</v>
      </c>
      <c r="I1777">
        <v>4.88</v>
      </c>
      <c r="J1777">
        <v>15</v>
      </c>
      <c r="K1777">
        <v>13726.03</v>
      </c>
      <c r="L1777">
        <v>12.8</v>
      </c>
    </row>
    <row r="1778" spans="1:12" x14ac:dyDescent="0.3">
      <c r="A1778" t="s">
        <v>1793</v>
      </c>
      <c r="B1778" t="s">
        <v>13</v>
      </c>
      <c r="C1778" t="s">
        <v>11</v>
      </c>
      <c r="D1778">
        <v>22</v>
      </c>
      <c r="E1778" s="1">
        <v>44772</v>
      </c>
      <c r="F1778">
        <v>2022</v>
      </c>
      <c r="G1778" t="s">
        <v>5034</v>
      </c>
      <c r="H1778">
        <v>30</v>
      </c>
      <c r="I1778">
        <v>2.15</v>
      </c>
      <c r="J1778">
        <v>13</v>
      </c>
      <c r="K1778">
        <v>14129.44</v>
      </c>
      <c r="L1778">
        <v>3.3</v>
      </c>
    </row>
    <row r="1779" spans="1:12" x14ac:dyDescent="0.3">
      <c r="A1779" t="s">
        <v>1794</v>
      </c>
      <c r="B1779" t="s">
        <v>16</v>
      </c>
      <c r="C1779" t="s">
        <v>11</v>
      </c>
      <c r="D1779">
        <v>42</v>
      </c>
      <c r="E1779" s="1">
        <v>43429</v>
      </c>
      <c r="F1779">
        <v>2018</v>
      </c>
      <c r="G1779" t="s">
        <v>5038</v>
      </c>
      <c r="H1779">
        <v>25</v>
      </c>
      <c r="I1779">
        <v>4.99</v>
      </c>
      <c r="J1779">
        <v>5</v>
      </c>
      <c r="K1779">
        <v>13806.01</v>
      </c>
      <c r="L1779">
        <v>6.9</v>
      </c>
    </row>
    <row r="1780" spans="1:12" x14ac:dyDescent="0.3">
      <c r="A1780" t="s">
        <v>1795</v>
      </c>
      <c r="B1780" t="s">
        <v>13</v>
      </c>
      <c r="C1780" t="s">
        <v>14</v>
      </c>
      <c r="D1780">
        <v>32</v>
      </c>
      <c r="E1780" s="1">
        <v>41556</v>
      </c>
      <c r="F1780">
        <v>2013</v>
      </c>
      <c r="G1780" t="s">
        <v>5039</v>
      </c>
      <c r="H1780">
        <v>9</v>
      </c>
      <c r="I1780">
        <v>3.02</v>
      </c>
      <c r="J1780">
        <v>1</v>
      </c>
      <c r="K1780">
        <v>7379.97</v>
      </c>
      <c r="L1780">
        <v>12.1</v>
      </c>
    </row>
    <row r="1781" spans="1:12" x14ac:dyDescent="0.3">
      <c r="A1781" t="s">
        <v>1796</v>
      </c>
      <c r="B1781" t="s">
        <v>18</v>
      </c>
      <c r="C1781" t="s">
        <v>14</v>
      </c>
      <c r="D1781">
        <v>51</v>
      </c>
      <c r="E1781" s="1">
        <v>41742</v>
      </c>
      <c r="F1781">
        <v>2014</v>
      </c>
      <c r="G1781" t="s">
        <v>5040</v>
      </c>
      <c r="H1781">
        <v>13</v>
      </c>
      <c r="I1781">
        <v>3.37</v>
      </c>
      <c r="J1781">
        <v>2</v>
      </c>
      <c r="K1781">
        <v>13271.61</v>
      </c>
      <c r="L1781">
        <v>11.6</v>
      </c>
    </row>
    <row r="1782" spans="1:12" x14ac:dyDescent="0.3">
      <c r="A1782" t="s">
        <v>1797</v>
      </c>
      <c r="B1782" t="s">
        <v>34</v>
      </c>
      <c r="C1782" t="s">
        <v>11</v>
      </c>
      <c r="D1782">
        <v>25</v>
      </c>
      <c r="E1782" s="1">
        <v>42418</v>
      </c>
      <c r="F1782">
        <v>2016</v>
      </c>
      <c r="G1782" t="s">
        <v>5042</v>
      </c>
      <c r="H1782">
        <v>18</v>
      </c>
      <c r="I1782">
        <v>2.68</v>
      </c>
      <c r="J1782">
        <v>15</v>
      </c>
      <c r="K1782">
        <v>11833.38</v>
      </c>
      <c r="L1782">
        <v>9.6999999999999993</v>
      </c>
    </row>
    <row r="1783" spans="1:12" x14ac:dyDescent="0.3">
      <c r="A1783" t="s">
        <v>1798</v>
      </c>
      <c r="B1783" t="s">
        <v>10</v>
      </c>
      <c r="C1783" t="s">
        <v>14</v>
      </c>
      <c r="D1783">
        <v>59</v>
      </c>
      <c r="E1783" s="1">
        <v>40774</v>
      </c>
      <c r="F1783">
        <v>2011</v>
      </c>
      <c r="G1783" t="s">
        <v>5031</v>
      </c>
      <c r="H1783">
        <v>19</v>
      </c>
      <c r="I1783">
        <v>1.8</v>
      </c>
      <c r="J1783">
        <v>8</v>
      </c>
      <c r="K1783">
        <v>13892</v>
      </c>
      <c r="L1783">
        <v>14.2</v>
      </c>
    </row>
    <row r="1784" spans="1:12" x14ac:dyDescent="0.3">
      <c r="A1784" t="s">
        <v>1799</v>
      </c>
      <c r="B1784" t="s">
        <v>10</v>
      </c>
      <c r="C1784" t="s">
        <v>14</v>
      </c>
      <c r="D1784">
        <v>34</v>
      </c>
      <c r="E1784" s="1">
        <v>41327</v>
      </c>
      <c r="F1784">
        <v>2013</v>
      </c>
      <c r="G1784" t="s">
        <v>5042</v>
      </c>
      <c r="H1784">
        <v>22</v>
      </c>
      <c r="I1784">
        <v>2.84</v>
      </c>
      <c r="J1784">
        <v>7</v>
      </c>
      <c r="K1784">
        <v>5713.34</v>
      </c>
      <c r="L1784">
        <v>12.7</v>
      </c>
    </row>
    <row r="1785" spans="1:12" x14ac:dyDescent="0.3">
      <c r="A1785" t="s">
        <v>1800</v>
      </c>
      <c r="B1785" t="s">
        <v>16</v>
      </c>
      <c r="C1785" t="s">
        <v>14</v>
      </c>
      <c r="D1785">
        <v>58</v>
      </c>
      <c r="E1785" s="1">
        <v>40336</v>
      </c>
      <c r="F1785">
        <v>2010</v>
      </c>
      <c r="G1785" t="s">
        <v>5032</v>
      </c>
      <c r="H1785">
        <v>7</v>
      </c>
      <c r="I1785">
        <v>3.14</v>
      </c>
      <c r="J1785">
        <v>11</v>
      </c>
      <c r="K1785">
        <v>6110.62</v>
      </c>
      <c r="L1785">
        <v>15.4</v>
      </c>
    </row>
    <row r="1786" spans="1:12" x14ac:dyDescent="0.3">
      <c r="A1786" t="s">
        <v>1801</v>
      </c>
      <c r="B1786" t="s">
        <v>10</v>
      </c>
      <c r="C1786" t="s">
        <v>11</v>
      </c>
      <c r="D1786">
        <v>56</v>
      </c>
      <c r="E1786" s="1">
        <v>45649</v>
      </c>
      <c r="F1786">
        <v>2024</v>
      </c>
      <c r="G1786" t="s">
        <v>5041</v>
      </c>
      <c r="H1786">
        <v>23</v>
      </c>
      <c r="I1786">
        <v>4.29</v>
      </c>
      <c r="J1786">
        <v>8</v>
      </c>
      <c r="K1786">
        <v>6177.95</v>
      </c>
      <c r="L1786">
        <v>0.9</v>
      </c>
    </row>
    <row r="1787" spans="1:12" x14ac:dyDescent="0.3">
      <c r="A1787" t="s">
        <v>1802</v>
      </c>
      <c r="B1787" t="s">
        <v>24</v>
      </c>
      <c r="C1787" t="s">
        <v>14</v>
      </c>
      <c r="D1787">
        <v>59</v>
      </c>
      <c r="E1787" s="1">
        <v>43156</v>
      </c>
      <c r="F1787">
        <v>2018</v>
      </c>
      <c r="G1787" t="s">
        <v>5042</v>
      </c>
      <c r="H1787">
        <v>25</v>
      </c>
      <c r="I1787">
        <v>2.0299999999999998</v>
      </c>
      <c r="J1787">
        <v>5</v>
      </c>
      <c r="K1787">
        <v>14643.49</v>
      </c>
      <c r="L1787">
        <v>7.7</v>
      </c>
    </row>
    <row r="1788" spans="1:12" x14ac:dyDescent="0.3">
      <c r="A1788" t="s">
        <v>1803</v>
      </c>
      <c r="B1788" t="s">
        <v>34</v>
      </c>
      <c r="C1788" t="s">
        <v>14</v>
      </c>
      <c r="D1788">
        <v>40</v>
      </c>
      <c r="E1788" s="1">
        <v>45478</v>
      </c>
      <c r="F1788">
        <v>2024</v>
      </c>
      <c r="G1788" t="s">
        <v>5034</v>
      </c>
      <c r="H1788">
        <v>5</v>
      </c>
      <c r="I1788">
        <v>4.03</v>
      </c>
      <c r="J1788">
        <v>10</v>
      </c>
      <c r="K1788">
        <v>7009.86</v>
      </c>
      <c r="L1788">
        <v>1.3</v>
      </c>
    </row>
    <row r="1789" spans="1:12" x14ac:dyDescent="0.3">
      <c r="A1789" t="s">
        <v>1804</v>
      </c>
      <c r="B1789" t="s">
        <v>34</v>
      </c>
      <c r="C1789" t="s">
        <v>11</v>
      </c>
      <c r="D1789">
        <v>60</v>
      </c>
      <c r="E1789" s="1">
        <v>42916</v>
      </c>
      <c r="F1789">
        <v>2017</v>
      </c>
      <c r="G1789" t="s">
        <v>5032</v>
      </c>
      <c r="H1789">
        <v>30</v>
      </c>
      <c r="I1789">
        <v>4.87</v>
      </c>
      <c r="J1789">
        <v>8</v>
      </c>
      <c r="K1789">
        <v>9576.94</v>
      </c>
      <c r="L1789">
        <v>8.3000000000000007</v>
      </c>
    </row>
    <row r="1790" spans="1:12" x14ac:dyDescent="0.3">
      <c r="A1790" t="s">
        <v>1805</v>
      </c>
      <c r="B1790" t="s">
        <v>10</v>
      </c>
      <c r="C1790" t="s">
        <v>14</v>
      </c>
      <c r="D1790">
        <v>58</v>
      </c>
      <c r="E1790" s="1">
        <v>44286</v>
      </c>
      <c r="F1790">
        <v>2021</v>
      </c>
      <c r="G1790" t="s">
        <v>5035</v>
      </c>
      <c r="H1790">
        <v>31</v>
      </c>
      <c r="I1790">
        <v>4.2300000000000004</v>
      </c>
      <c r="J1790">
        <v>15</v>
      </c>
      <c r="K1790">
        <v>5127.7299999999996</v>
      </c>
      <c r="L1790">
        <v>4.5999999999999996</v>
      </c>
    </row>
    <row r="1791" spans="1:12" x14ac:dyDescent="0.3">
      <c r="A1791" t="s">
        <v>1806</v>
      </c>
      <c r="B1791" t="s">
        <v>34</v>
      </c>
      <c r="C1791" t="s">
        <v>14</v>
      </c>
      <c r="D1791">
        <v>47</v>
      </c>
      <c r="E1791" s="1">
        <v>45703</v>
      </c>
      <c r="F1791">
        <v>2025</v>
      </c>
      <c r="G1791" t="s">
        <v>5042</v>
      </c>
      <c r="H1791">
        <v>15</v>
      </c>
      <c r="I1791">
        <v>4.13</v>
      </c>
      <c r="J1791">
        <v>4</v>
      </c>
      <c r="K1791">
        <v>4013.25</v>
      </c>
      <c r="L1791">
        <v>0.7</v>
      </c>
    </row>
    <row r="1792" spans="1:12" x14ac:dyDescent="0.3">
      <c r="A1792" t="s">
        <v>1807</v>
      </c>
      <c r="B1792" t="s">
        <v>34</v>
      </c>
      <c r="C1792" t="s">
        <v>11</v>
      </c>
      <c r="D1792">
        <v>28</v>
      </c>
      <c r="E1792" s="1">
        <v>45040</v>
      </c>
      <c r="F1792">
        <v>2023</v>
      </c>
      <c r="G1792" t="s">
        <v>5040</v>
      </c>
      <c r="H1792">
        <v>24</v>
      </c>
      <c r="I1792">
        <v>1.6</v>
      </c>
      <c r="J1792">
        <v>10</v>
      </c>
      <c r="K1792">
        <v>11938.85</v>
      </c>
      <c r="L1792">
        <v>2.5</v>
      </c>
    </row>
    <row r="1793" spans="1:12" x14ac:dyDescent="0.3">
      <c r="A1793" t="s">
        <v>1808</v>
      </c>
      <c r="B1793" t="s">
        <v>10</v>
      </c>
      <c r="C1793" t="s">
        <v>14</v>
      </c>
      <c r="D1793">
        <v>53</v>
      </c>
      <c r="E1793" s="1">
        <v>45373</v>
      </c>
      <c r="F1793">
        <v>2024</v>
      </c>
      <c r="G1793" t="s">
        <v>5035</v>
      </c>
      <c r="H1793">
        <v>22</v>
      </c>
      <c r="I1793">
        <v>2.06</v>
      </c>
      <c r="J1793">
        <v>9</v>
      </c>
      <c r="K1793">
        <v>13855.2</v>
      </c>
      <c r="L1793">
        <v>1.6</v>
      </c>
    </row>
    <row r="1794" spans="1:12" x14ac:dyDescent="0.3">
      <c r="A1794" t="s">
        <v>1809</v>
      </c>
      <c r="B1794" t="s">
        <v>10</v>
      </c>
      <c r="C1794" t="s">
        <v>11</v>
      </c>
      <c r="D1794">
        <v>57</v>
      </c>
      <c r="E1794" s="1">
        <v>45651</v>
      </c>
      <c r="F1794">
        <v>2024</v>
      </c>
      <c r="G1794" t="s">
        <v>5041</v>
      </c>
      <c r="H1794">
        <v>25</v>
      </c>
      <c r="I1794">
        <v>2.63</v>
      </c>
      <c r="J1794">
        <v>4</v>
      </c>
      <c r="K1794">
        <v>3155.78</v>
      </c>
      <c r="L1794">
        <v>0.9</v>
      </c>
    </row>
    <row r="1795" spans="1:12" x14ac:dyDescent="0.3">
      <c r="A1795" t="s">
        <v>1810</v>
      </c>
      <c r="B1795" t="s">
        <v>18</v>
      </c>
      <c r="C1795" t="s">
        <v>11</v>
      </c>
      <c r="D1795">
        <v>32</v>
      </c>
      <c r="E1795" s="1">
        <v>44112</v>
      </c>
      <c r="F1795">
        <v>2020</v>
      </c>
      <c r="G1795" t="s">
        <v>5039</v>
      </c>
      <c r="H1795">
        <v>8</v>
      </c>
      <c r="I1795">
        <v>4.6399999999999997</v>
      </c>
      <c r="J1795">
        <v>6</v>
      </c>
      <c r="K1795">
        <v>8589.85</v>
      </c>
      <c r="L1795">
        <v>5.0999999999999996</v>
      </c>
    </row>
    <row r="1796" spans="1:12" x14ac:dyDescent="0.3">
      <c r="A1796" t="s">
        <v>1811</v>
      </c>
      <c r="B1796" t="s">
        <v>10</v>
      </c>
      <c r="C1796" t="s">
        <v>11</v>
      </c>
      <c r="D1796">
        <v>54</v>
      </c>
      <c r="E1796" s="1">
        <v>44026</v>
      </c>
      <c r="F1796">
        <v>2020</v>
      </c>
      <c r="G1796" t="s">
        <v>5034</v>
      </c>
      <c r="H1796">
        <v>14</v>
      </c>
      <c r="I1796">
        <v>4.99</v>
      </c>
      <c r="J1796">
        <v>15</v>
      </c>
      <c r="K1796">
        <v>11116.75</v>
      </c>
      <c r="L1796">
        <v>5.3</v>
      </c>
    </row>
    <row r="1797" spans="1:12" x14ac:dyDescent="0.3">
      <c r="A1797" t="s">
        <v>1812</v>
      </c>
      <c r="B1797" t="s">
        <v>34</v>
      </c>
      <c r="C1797" t="s">
        <v>14</v>
      </c>
      <c r="D1797">
        <v>60</v>
      </c>
      <c r="E1797" s="1">
        <v>45941</v>
      </c>
      <c r="F1797">
        <v>2025</v>
      </c>
      <c r="G1797" t="s">
        <v>5039</v>
      </c>
      <c r="H1797">
        <v>11</v>
      </c>
      <c r="I1797">
        <v>3.85</v>
      </c>
      <c r="J1797">
        <v>2</v>
      </c>
      <c r="K1797">
        <v>4615.9399999999996</v>
      </c>
      <c r="L1797">
        <v>0.1</v>
      </c>
    </row>
    <row r="1798" spans="1:12" x14ac:dyDescent="0.3">
      <c r="A1798" t="s">
        <v>1813</v>
      </c>
      <c r="B1798" t="s">
        <v>24</v>
      </c>
      <c r="C1798" t="s">
        <v>11</v>
      </c>
      <c r="D1798">
        <v>44</v>
      </c>
      <c r="E1798" s="1">
        <v>44547</v>
      </c>
      <c r="F1798">
        <v>2021</v>
      </c>
      <c r="G1798" t="s">
        <v>5041</v>
      </c>
      <c r="H1798">
        <v>17</v>
      </c>
      <c r="I1798">
        <v>3.77</v>
      </c>
      <c r="J1798">
        <v>3</v>
      </c>
      <c r="K1798">
        <v>6340.54</v>
      </c>
      <c r="L1798">
        <v>3.9</v>
      </c>
    </row>
    <row r="1799" spans="1:12" x14ac:dyDescent="0.3">
      <c r="A1799" t="s">
        <v>1814</v>
      </c>
      <c r="B1799" t="s">
        <v>24</v>
      </c>
      <c r="C1799" t="s">
        <v>14</v>
      </c>
      <c r="D1799">
        <v>28</v>
      </c>
      <c r="E1799" s="1">
        <v>45761</v>
      </c>
      <c r="F1799">
        <v>2025</v>
      </c>
      <c r="G1799" t="s">
        <v>5040</v>
      </c>
      <c r="H1799">
        <v>14</v>
      </c>
      <c r="I1799">
        <v>3.86</v>
      </c>
      <c r="J1799">
        <v>9</v>
      </c>
      <c r="K1799">
        <v>6588.12</v>
      </c>
      <c r="L1799">
        <v>0.6</v>
      </c>
    </row>
    <row r="1800" spans="1:12" x14ac:dyDescent="0.3">
      <c r="A1800" t="s">
        <v>1815</v>
      </c>
      <c r="B1800" t="s">
        <v>18</v>
      </c>
      <c r="C1800" t="s">
        <v>14</v>
      </c>
      <c r="D1800">
        <v>35</v>
      </c>
      <c r="E1800" s="1">
        <v>42625</v>
      </c>
      <c r="F1800">
        <v>2016</v>
      </c>
      <c r="G1800" t="s">
        <v>5033</v>
      </c>
      <c r="H1800">
        <v>12</v>
      </c>
      <c r="I1800">
        <v>4.09</v>
      </c>
      <c r="J1800">
        <v>7</v>
      </c>
      <c r="K1800">
        <v>5884.54</v>
      </c>
      <c r="L1800">
        <v>9.1</v>
      </c>
    </row>
    <row r="1801" spans="1:12" x14ac:dyDescent="0.3">
      <c r="A1801" t="s">
        <v>1816</v>
      </c>
      <c r="B1801" t="s">
        <v>34</v>
      </c>
      <c r="C1801" t="s">
        <v>14</v>
      </c>
      <c r="D1801">
        <v>56</v>
      </c>
      <c r="E1801" s="1">
        <v>45732</v>
      </c>
      <c r="F1801">
        <v>2025</v>
      </c>
      <c r="G1801" t="s">
        <v>5035</v>
      </c>
      <c r="H1801">
        <v>16</v>
      </c>
      <c r="I1801">
        <v>3.7</v>
      </c>
      <c r="J1801">
        <v>5</v>
      </c>
      <c r="K1801">
        <v>13239.26</v>
      </c>
      <c r="L1801">
        <v>0.6</v>
      </c>
    </row>
    <row r="1802" spans="1:12" x14ac:dyDescent="0.3">
      <c r="A1802" t="s">
        <v>1817</v>
      </c>
      <c r="B1802" t="s">
        <v>10</v>
      </c>
      <c r="C1802" t="s">
        <v>11</v>
      </c>
      <c r="D1802">
        <v>55</v>
      </c>
      <c r="E1802" s="1">
        <v>45152</v>
      </c>
      <c r="F1802">
        <v>2023</v>
      </c>
      <c r="G1802" t="s">
        <v>5031</v>
      </c>
      <c r="H1802">
        <v>14</v>
      </c>
      <c r="I1802">
        <v>3.67</v>
      </c>
      <c r="J1802">
        <v>5</v>
      </c>
      <c r="K1802">
        <v>11550.55</v>
      </c>
      <c r="L1802">
        <v>2.2000000000000002</v>
      </c>
    </row>
    <row r="1803" spans="1:12" x14ac:dyDescent="0.3">
      <c r="A1803" t="s">
        <v>1818</v>
      </c>
      <c r="B1803" t="s">
        <v>13</v>
      </c>
      <c r="C1803" t="s">
        <v>11</v>
      </c>
      <c r="D1803">
        <v>24</v>
      </c>
      <c r="E1803" s="1">
        <v>40952</v>
      </c>
      <c r="F1803">
        <v>2012</v>
      </c>
      <c r="G1803" t="s">
        <v>5042</v>
      </c>
      <c r="H1803">
        <v>13</v>
      </c>
      <c r="I1803">
        <v>2.92</v>
      </c>
      <c r="J1803">
        <v>1</v>
      </c>
      <c r="K1803">
        <v>6615.03</v>
      </c>
      <c r="L1803">
        <v>13.7</v>
      </c>
    </row>
    <row r="1804" spans="1:12" x14ac:dyDescent="0.3">
      <c r="A1804" t="s">
        <v>1819</v>
      </c>
      <c r="B1804" t="s">
        <v>13</v>
      </c>
      <c r="C1804" t="s">
        <v>11</v>
      </c>
      <c r="D1804">
        <v>24</v>
      </c>
      <c r="E1804" s="1">
        <v>45322</v>
      </c>
      <c r="F1804">
        <v>2024</v>
      </c>
      <c r="G1804" t="s">
        <v>5037</v>
      </c>
      <c r="H1804">
        <v>31</v>
      </c>
      <c r="I1804">
        <v>3.34</v>
      </c>
      <c r="J1804">
        <v>9</v>
      </c>
      <c r="K1804">
        <v>9218.9</v>
      </c>
      <c r="L1804">
        <v>1.8</v>
      </c>
    </row>
    <row r="1805" spans="1:12" x14ac:dyDescent="0.3">
      <c r="A1805" t="s">
        <v>1820</v>
      </c>
      <c r="B1805" t="s">
        <v>34</v>
      </c>
      <c r="C1805" t="s">
        <v>11</v>
      </c>
      <c r="D1805">
        <v>56</v>
      </c>
      <c r="E1805" s="1">
        <v>41460</v>
      </c>
      <c r="F1805">
        <v>2013</v>
      </c>
      <c r="G1805" t="s">
        <v>5034</v>
      </c>
      <c r="H1805">
        <v>5</v>
      </c>
      <c r="I1805">
        <v>3.99</v>
      </c>
      <c r="J1805">
        <v>2</v>
      </c>
      <c r="K1805">
        <v>3942.21</v>
      </c>
      <c r="L1805">
        <v>12.3</v>
      </c>
    </row>
    <row r="1806" spans="1:12" x14ac:dyDescent="0.3">
      <c r="A1806" t="s">
        <v>1821</v>
      </c>
      <c r="B1806" t="s">
        <v>18</v>
      </c>
      <c r="C1806" t="s">
        <v>14</v>
      </c>
      <c r="D1806">
        <v>30</v>
      </c>
      <c r="E1806" s="1">
        <v>41220</v>
      </c>
      <c r="F1806">
        <v>2012</v>
      </c>
      <c r="G1806" t="s">
        <v>5038</v>
      </c>
      <c r="H1806">
        <v>7</v>
      </c>
      <c r="I1806">
        <v>4.0199999999999996</v>
      </c>
      <c r="J1806">
        <v>15</v>
      </c>
      <c r="K1806">
        <v>7844.69</v>
      </c>
      <c r="L1806">
        <v>13</v>
      </c>
    </row>
    <row r="1807" spans="1:12" x14ac:dyDescent="0.3">
      <c r="A1807" t="s">
        <v>1822</v>
      </c>
      <c r="B1807" t="s">
        <v>24</v>
      </c>
      <c r="C1807" t="s">
        <v>11</v>
      </c>
      <c r="D1807">
        <v>49</v>
      </c>
      <c r="E1807" s="1">
        <v>44103</v>
      </c>
      <c r="F1807">
        <v>2020</v>
      </c>
      <c r="G1807" t="s">
        <v>5033</v>
      </c>
      <c r="H1807">
        <v>29</v>
      </c>
      <c r="I1807">
        <v>2.71</v>
      </c>
      <c r="J1807">
        <v>15</v>
      </c>
      <c r="K1807">
        <v>4236.7700000000004</v>
      </c>
      <c r="L1807">
        <v>5.0999999999999996</v>
      </c>
    </row>
    <row r="1808" spans="1:12" x14ac:dyDescent="0.3">
      <c r="A1808" t="s">
        <v>1823</v>
      </c>
      <c r="B1808" t="s">
        <v>34</v>
      </c>
      <c r="C1808" t="s">
        <v>14</v>
      </c>
      <c r="D1808">
        <v>35</v>
      </c>
      <c r="E1808" s="1">
        <v>42929</v>
      </c>
      <c r="F1808">
        <v>2017</v>
      </c>
      <c r="G1808" t="s">
        <v>5034</v>
      </c>
      <c r="H1808">
        <v>13</v>
      </c>
      <c r="I1808">
        <v>2.68</v>
      </c>
      <c r="J1808">
        <v>0</v>
      </c>
      <c r="K1808">
        <v>6621.06</v>
      </c>
      <c r="L1808">
        <v>8.3000000000000007</v>
      </c>
    </row>
    <row r="1809" spans="1:12" x14ac:dyDescent="0.3">
      <c r="A1809" t="s">
        <v>1824</v>
      </c>
      <c r="B1809" t="s">
        <v>34</v>
      </c>
      <c r="C1809" t="s">
        <v>14</v>
      </c>
      <c r="D1809">
        <v>27</v>
      </c>
      <c r="E1809" s="1">
        <v>43393</v>
      </c>
      <c r="F1809">
        <v>2018</v>
      </c>
      <c r="G1809" t="s">
        <v>5039</v>
      </c>
      <c r="H1809">
        <v>20</v>
      </c>
      <c r="I1809">
        <v>2.8</v>
      </c>
      <c r="J1809">
        <v>2</v>
      </c>
      <c r="K1809">
        <v>12916.35</v>
      </c>
      <c r="L1809">
        <v>7</v>
      </c>
    </row>
    <row r="1810" spans="1:12" x14ac:dyDescent="0.3">
      <c r="A1810" t="s">
        <v>1825</v>
      </c>
      <c r="B1810" t="s">
        <v>24</v>
      </c>
      <c r="C1810" t="s">
        <v>14</v>
      </c>
      <c r="D1810">
        <v>30</v>
      </c>
      <c r="E1810" s="1">
        <v>42157</v>
      </c>
      <c r="F1810">
        <v>2015</v>
      </c>
      <c r="G1810" t="s">
        <v>5032</v>
      </c>
      <c r="H1810">
        <v>2</v>
      </c>
      <c r="I1810">
        <v>1.68</v>
      </c>
      <c r="J1810">
        <v>15</v>
      </c>
      <c r="K1810">
        <v>12467.64</v>
      </c>
      <c r="L1810">
        <v>10.4</v>
      </c>
    </row>
    <row r="1811" spans="1:12" x14ac:dyDescent="0.3">
      <c r="A1811" t="s">
        <v>1826</v>
      </c>
      <c r="B1811" t="s">
        <v>34</v>
      </c>
      <c r="C1811" t="s">
        <v>14</v>
      </c>
      <c r="D1811">
        <v>32</v>
      </c>
      <c r="E1811" s="1">
        <v>43770</v>
      </c>
      <c r="F1811">
        <v>2019</v>
      </c>
      <c r="G1811" t="s">
        <v>5038</v>
      </c>
      <c r="H1811">
        <v>1</v>
      </c>
      <c r="I1811">
        <v>2.68</v>
      </c>
      <c r="J1811">
        <v>4</v>
      </c>
      <c r="K1811">
        <v>9912.98</v>
      </c>
      <c r="L1811">
        <v>6</v>
      </c>
    </row>
    <row r="1812" spans="1:12" x14ac:dyDescent="0.3">
      <c r="A1812" t="s">
        <v>1827</v>
      </c>
      <c r="B1812" t="s">
        <v>10</v>
      </c>
      <c r="C1812" t="s">
        <v>14</v>
      </c>
      <c r="D1812">
        <v>23</v>
      </c>
      <c r="E1812" s="1">
        <v>43191</v>
      </c>
      <c r="F1812">
        <v>2018</v>
      </c>
      <c r="G1812" t="s">
        <v>5040</v>
      </c>
      <c r="H1812">
        <v>1</v>
      </c>
      <c r="I1812">
        <v>4.59</v>
      </c>
      <c r="J1812">
        <v>1</v>
      </c>
      <c r="K1812">
        <v>4327.59</v>
      </c>
      <c r="L1812">
        <v>7.6</v>
      </c>
    </row>
    <row r="1813" spans="1:12" x14ac:dyDescent="0.3">
      <c r="A1813" t="s">
        <v>1828</v>
      </c>
      <c r="B1813" t="s">
        <v>34</v>
      </c>
      <c r="C1813" t="s">
        <v>14</v>
      </c>
      <c r="D1813">
        <v>36</v>
      </c>
      <c r="E1813" s="1">
        <v>41196</v>
      </c>
      <c r="F1813">
        <v>2012</v>
      </c>
      <c r="G1813" t="s">
        <v>5039</v>
      </c>
      <c r="H1813">
        <v>14</v>
      </c>
      <c r="I1813">
        <v>2.5299999999999998</v>
      </c>
      <c r="J1813">
        <v>8</v>
      </c>
      <c r="K1813">
        <v>11229.03</v>
      </c>
      <c r="L1813">
        <v>13.1</v>
      </c>
    </row>
    <row r="1814" spans="1:12" x14ac:dyDescent="0.3">
      <c r="A1814" t="s">
        <v>1829</v>
      </c>
      <c r="B1814" t="s">
        <v>13</v>
      </c>
      <c r="C1814" t="s">
        <v>11</v>
      </c>
      <c r="D1814">
        <v>51</v>
      </c>
      <c r="E1814" s="1">
        <v>40501</v>
      </c>
      <c r="F1814">
        <v>2010</v>
      </c>
      <c r="G1814" t="s">
        <v>5038</v>
      </c>
      <c r="H1814">
        <v>19</v>
      </c>
      <c r="I1814">
        <v>3.49</v>
      </c>
      <c r="J1814">
        <v>8</v>
      </c>
      <c r="K1814">
        <v>13253.4</v>
      </c>
      <c r="L1814">
        <v>15</v>
      </c>
    </row>
    <row r="1815" spans="1:12" x14ac:dyDescent="0.3">
      <c r="A1815" t="s">
        <v>1830</v>
      </c>
      <c r="B1815" t="s">
        <v>16</v>
      </c>
      <c r="C1815" t="s">
        <v>14</v>
      </c>
      <c r="D1815">
        <v>27</v>
      </c>
      <c r="E1815" s="1">
        <v>44130</v>
      </c>
      <c r="F1815">
        <v>2020</v>
      </c>
      <c r="G1815" t="s">
        <v>5039</v>
      </c>
      <c r="H1815">
        <v>26</v>
      </c>
      <c r="I1815">
        <v>2.42</v>
      </c>
      <c r="J1815">
        <v>15</v>
      </c>
      <c r="K1815">
        <v>10978.16</v>
      </c>
      <c r="L1815">
        <v>5</v>
      </c>
    </row>
    <row r="1816" spans="1:12" x14ac:dyDescent="0.3">
      <c r="A1816" t="s">
        <v>1831</v>
      </c>
      <c r="B1816" t="s">
        <v>16</v>
      </c>
      <c r="C1816" t="s">
        <v>11</v>
      </c>
      <c r="D1816">
        <v>60</v>
      </c>
      <c r="E1816" s="1">
        <v>42377</v>
      </c>
      <c r="F1816">
        <v>2016</v>
      </c>
      <c r="G1816" t="s">
        <v>5037</v>
      </c>
      <c r="H1816">
        <v>8</v>
      </c>
      <c r="I1816">
        <v>2.86</v>
      </c>
      <c r="J1816">
        <v>12</v>
      </c>
      <c r="K1816">
        <v>9706.65</v>
      </c>
      <c r="L1816">
        <v>9.8000000000000007</v>
      </c>
    </row>
    <row r="1817" spans="1:12" x14ac:dyDescent="0.3">
      <c r="A1817" t="s">
        <v>1832</v>
      </c>
      <c r="B1817" t="s">
        <v>18</v>
      </c>
      <c r="C1817" t="s">
        <v>14</v>
      </c>
      <c r="D1817">
        <v>26</v>
      </c>
      <c r="E1817" s="1">
        <v>43967</v>
      </c>
      <c r="F1817">
        <v>2020</v>
      </c>
      <c r="G1817" t="s">
        <v>5036</v>
      </c>
      <c r="H1817">
        <v>16</v>
      </c>
      <c r="I1817">
        <v>3.85</v>
      </c>
      <c r="J1817">
        <v>11</v>
      </c>
      <c r="K1817">
        <v>12374.46</v>
      </c>
      <c r="L1817">
        <v>5.5</v>
      </c>
    </row>
    <row r="1818" spans="1:12" x14ac:dyDescent="0.3">
      <c r="A1818" t="s">
        <v>1833</v>
      </c>
      <c r="B1818" t="s">
        <v>34</v>
      </c>
      <c r="C1818" t="s">
        <v>14</v>
      </c>
      <c r="D1818">
        <v>50</v>
      </c>
      <c r="E1818" s="1">
        <v>41227</v>
      </c>
      <c r="F1818">
        <v>2012</v>
      </c>
      <c r="G1818" t="s">
        <v>5038</v>
      </c>
      <c r="H1818">
        <v>14</v>
      </c>
      <c r="I1818">
        <v>3.33</v>
      </c>
      <c r="J1818">
        <v>7</v>
      </c>
      <c r="K1818">
        <v>6978.09</v>
      </c>
      <c r="L1818">
        <v>13</v>
      </c>
    </row>
    <row r="1819" spans="1:12" x14ac:dyDescent="0.3">
      <c r="A1819" t="s">
        <v>1834</v>
      </c>
      <c r="B1819" t="s">
        <v>24</v>
      </c>
      <c r="C1819" t="s">
        <v>11</v>
      </c>
      <c r="D1819">
        <v>42</v>
      </c>
      <c r="E1819" s="1">
        <v>44599</v>
      </c>
      <c r="F1819">
        <v>2022</v>
      </c>
      <c r="G1819" t="s">
        <v>5042</v>
      </c>
      <c r="H1819">
        <v>7</v>
      </c>
      <c r="I1819">
        <v>1.88</v>
      </c>
      <c r="J1819">
        <v>12</v>
      </c>
      <c r="K1819">
        <v>13930.17</v>
      </c>
      <c r="L1819">
        <v>3.7</v>
      </c>
    </row>
    <row r="1820" spans="1:12" x14ac:dyDescent="0.3">
      <c r="A1820" t="s">
        <v>1835</v>
      </c>
      <c r="B1820" t="s">
        <v>16</v>
      </c>
      <c r="C1820" t="s">
        <v>14</v>
      </c>
      <c r="D1820">
        <v>37</v>
      </c>
      <c r="E1820" s="1">
        <v>40629</v>
      </c>
      <c r="F1820">
        <v>2011</v>
      </c>
      <c r="G1820" t="s">
        <v>5035</v>
      </c>
      <c r="H1820">
        <v>27</v>
      </c>
      <c r="I1820">
        <v>2.64</v>
      </c>
      <c r="J1820">
        <v>6</v>
      </c>
      <c r="K1820">
        <v>9985.2900000000009</v>
      </c>
      <c r="L1820">
        <v>14.6</v>
      </c>
    </row>
    <row r="1821" spans="1:12" x14ac:dyDescent="0.3">
      <c r="A1821" t="s">
        <v>1836</v>
      </c>
      <c r="B1821" t="s">
        <v>10</v>
      </c>
      <c r="C1821" t="s">
        <v>14</v>
      </c>
      <c r="D1821">
        <v>48</v>
      </c>
      <c r="E1821" s="1">
        <v>42473</v>
      </c>
      <c r="F1821">
        <v>2016</v>
      </c>
      <c r="G1821" t="s">
        <v>5040</v>
      </c>
      <c r="H1821">
        <v>13</v>
      </c>
      <c r="I1821">
        <v>3.43</v>
      </c>
      <c r="J1821">
        <v>6</v>
      </c>
      <c r="K1821">
        <v>3159.62</v>
      </c>
      <c r="L1821">
        <v>9.6</v>
      </c>
    </row>
    <row r="1822" spans="1:12" x14ac:dyDescent="0.3">
      <c r="A1822" t="s">
        <v>1837</v>
      </c>
      <c r="B1822" t="s">
        <v>24</v>
      </c>
      <c r="C1822" t="s">
        <v>14</v>
      </c>
      <c r="D1822">
        <v>36</v>
      </c>
      <c r="E1822" s="1">
        <v>42086</v>
      </c>
      <c r="F1822">
        <v>2015</v>
      </c>
      <c r="G1822" t="s">
        <v>5035</v>
      </c>
      <c r="H1822">
        <v>23</v>
      </c>
      <c r="I1822">
        <v>3.82</v>
      </c>
      <c r="J1822">
        <v>14</v>
      </c>
      <c r="K1822">
        <v>9767.2800000000007</v>
      </c>
      <c r="L1822">
        <v>10.6</v>
      </c>
    </row>
    <row r="1823" spans="1:12" x14ac:dyDescent="0.3">
      <c r="A1823" t="s">
        <v>1838</v>
      </c>
      <c r="B1823" t="s">
        <v>24</v>
      </c>
      <c r="C1823" t="s">
        <v>14</v>
      </c>
      <c r="D1823">
        <v>58</v>
      </c>
      <c r="E1823" s="1">
        <v>40742</v>
      </c>
      <c r="F1823">
        <v>2011</v>
      </c>
      <c r="G1823" t="s">
        <v>5034</v>
      </c>
      <c r="H1823">
        <v>18</v>
      </c>
      <c r="I1823">
        <v>2.54</v>
      </c>
      <c r="J1823">
        <v>4</v>
      </c>
      <c r="K1823">
        <v>5644.29</v>
      </c>
      <c r="L1823">
        <v>14.3</v>
      </c>
    </row>
    <row r="1824" spans="1:12" x14ac:dyDescent="0.3">
      <c r="A1824" t="s">
        <v>1839</v>
      </c>
      <c r="B1824" t="s">
        <v>13</v>
      </c>
      <c r="C1824" t="s">
        <v>11</v>
      </c>
      <c r="D1824">
        <v>51</v>
      </c>
      <c r="E1824" s="1">
        <v>40803</v>
      </c>
      <c r="F1824">
        <v>2011</v>
      </c>
      <c r="G1824" t="s">
        <v>5033</v>
      </c>
      <c r="H1824">
        <v>17</v>
      </c>
      <c r="I1824">
        <v>3.51</v>
      </c>
      <c r="J1824">
        <v>12</v>
      </c>
      <c r="K1824">
        <v>13776.73</v>
      </c>
      <c r="L1824">
        <v>14.1</v>
      </c>
    </row>
    <row r="1825" spans="1:12" x14ac:dyDescent="0.3">
      <c r="A1825" t="s">
        <v>1840</v>
      </c>
      <c r="B1825" t="s">
        <v>18</v>
      </c>
      <c r="C1825" t="s">
        <v>11</v>
      </c>
      <c r="D1825">
        <v>28</v>
      </c>
      <c r="E1825" s="1">
        <v>41957</v>
      </c>
      <c r="F1825">
        <v>2014</v>
      </c>
      <c r="G1825" t="s">
        <v>5038</v>
      </c>
      <c r="H1825">
        <v>14</v>
      </c>
      <c r="I1825">
        <v>3.82</v>
      </c>
      <c r="J1825">
        <v>9</v>
      </c>
      <c r="K1825">
        <v>10830.8</v>
      </c>
      <c r="L1825">
        <v>11</v>
      </c>
    </row>
    <row r="1826" spans="1:12" x14ac:dyDescent="0.3">
      <c r="A1826" t="s">
        <v>1841</v>
      </c>
      <c r="B1826" t="s">
        <v>13</v>
      </c>
      <c r="C1826" t="s">
        <v>14</v>
      </c>
      <c r="D1826">
        <v>27</v>
      </c>
      <c r="E1826" s="1">
        <v>41138</v>
      </c>
      <c r="F1826">
        <v>2012</v>
      </c>
      <c r="G1826" t="s">
        <v>5031</v>
      </c>
      <c r="H1826">
        <v>17</v>
      </c>
      <c r="I1826">
        <v>3.32</v>
      </c>
      <c r="J1826">
        <v>10</v>
      </c>
      <c r="K1826">
        <v>9965.31</v>
      </c>
      <c r="L1826">
        <v>13.2</v>
      </c>
    </row>
    <row r="1827" spans="1:12" x14ac:dyDescent="0.3">
      <c r="A1827" t="s">
        <v>1842</v>
      </c>
      <c r="B1827" t="s">
        <v>10</v>
      </c>
      <c r="C1827" t="s">
        <v>11</v>
      </c>
      <c r="D1827">
        <v>26</v>
      </c>
      <c r="E1827" s="1">
        <v>42432</v>
      </c>
      <c r="F1827">
        <v>2016</v>
      </c>
      <c r="G1827" t="s">
        <v>5035</v>
      </c>
      <c r="H1827">
        <v>3</v>
      </c>
      <c r="I1827">
        <v>3.15</v>
      </c>
      <c r="J1827">
        <v>9</v>
      </c>
      <c r="K1827">
        <v>9261.3700000000008</v>
      </c>
      <c r="L1827">
        <v>9.6999999999999993</v>
      </c>
    </row>
    <row r="1828" spans="1:12" x14ac:dyDescent="0.3">
      <c r="A1828" t="s">
        <v>1843</v>
      </c>
      <c r="B1828" t="s">
        <v>24</v>
      </c>
      <c r="C1828" t="s">
        <v>14</v>
      </c>
      <c r="D1828">
        <v>24</v>
      </c>
      <c r="E1828" s="1">
        <v>44500</v>
      </c>
      <c r="F1828">
        <v>2021</v>
      </c>
      <c r="G1828" t="s">
        <v>5039</v>
      </c>
      <c r="H1828">
        <v>31</v>
      </c>
      <c r="I1828">
        <v>1.53</v>
      </c>
      <c r="J1828">
        <v>10</v>
      </c>
      <c r="K1828">
        <v>3649.24</v>
      </c>
      <c r="L1828">
        <v>4</v>
      </c>
    </row>
    <row r="1829" spans="1:12" x14ac:dyDescent="0.3">
      <c r="A1829" t="s">
        <v>1844</v>
      </c>
      <c r="B1829" t="s">
        <v>16</v>
      </c>
      <c r="C1829" t="s">
        <v>11</v>
      </c>
      <c r="D1829">
        <v>45</v>
      </c>
      <c r="E1829" s="1">
        <v>40822</v>
      </c>
      <c r="F1829">
        <v>2011</v>
      </c>
      <c r="G1829" t="s">
        <v>5039</v>
      </c>
      <c r="H1829">
        <v>6</v>
      </c>
      <c r="I1829">
        <v>4.1100000000000003</v>
      </c>
      <c r="J1829">
        <v>14</v>
      </c>
      <c r="K1829">
        <v>7606.51</v>
      </c>
      <c r="L1829">
        <v>14.1</v>
      </c>
    </row>
    <row r="1830" spans="1:12" x14ac:dyDescent="0.3">
      <c r="A1830" t="s">
        <v>1845</v>
      </c>
      <c r="B1830" t="s">
        <v>34</v>
      </c>
      <c r="C1830" t="s">
        <v>14</v>
      </c>
      <c r="D1830">
        <v>30</v>
      </c>
      <c r="E1830" s="1">
        <v>40204</v>
      </c>
      <c r="F1830">
        <v>2010</v>
      </c>
      <c r="G1830" t="s">
        <v>5037</v>
      </c>
      <c r="H1830">
        <v>26</v>
      </c>
      <c r="I1830">
        <v>3.94</v>
      </c>
      <c r="J1830">
        <v>4</v>
      </c>
      <c r="K1830">
        <v>12824.11</v>
      </c>
      <c r="L1830">
        <v>15.8</v>
      </c>
    </row>
    <row r="1831" spans="1:12" x14ac:dyDescent="0.3">
      <c r="A1831" t="s">
        <v>1846</v>
      </c>
      <c r="B1831" t="s">
        <v>18</v>
      </c>
      <c r="C1831" t="s">
        <v>14</v>
      </c>
      <c r="D1831">
        <v>46</v>
      </c>
      <c r="E1831" s="1">
        <v>45536</v>
      </c>
      <c r="F1831">
        <v>2024</v>
      </c>
      <c r="G1831" t="s">
        <v>5033</v>
      </c>
      <c r="H1831">
        <v>1</v>
      </c>
      <c r="I1831">
        <v>4.13</v>
      </c>
      <c r="J1831">
        <v>8</v>
      </c>
      <c r="K1831">
        <v>4502.47</v>
      </c>
      <c r="L1831">
        <v>1.2</v>
      </c>
    </row>
    <row r="1832" spans="1:12" x14ac:dyDescent="0.3">
      <c r="A1832" t="s">
        <v>1847</v>
      </c>
      <c r="B1832" t="s">
        <v>24</v>
      </c>
      <c r="C1832" t="s">
        <v>11</v>
      </c>
      <c r="D1832">
        <v>31</v>
      </c>
      <c r="E1832" s="1">
        <v>45132</v>
      </c>
      <c r="F1832">
        <v>2023</v>
      </c>
      <c r="G1832" t="s">
        <v>5034</v>
      </c>
      <c r="H1832">
        <v>25</v>
      </c>
      <c r="I1832">
        <v>1.72</v>
      </c>
      <c r="J1832">
        <v>14</v>
      </c>
      <c r="K1832">
        <v>9846.0400000000009</v>
      </c>
      <c r="L1832">
        <v>2.2999999999999998</v>
      </c>
    </row>
    <row r="1833" spans="1:12" x14ac:dyDescent="0.3">
      <c r="A1833" t="s">
        <v>1848</v>
      </c>
      <c r="B1833" t="s">
        <v>18</v>
      </c>
      <c r="C1833" t="s">
        <v>14</v>
      </c>
      <c r="D1833">
        <v>22</v>
      </c>
      <c r="E1833" s="1">
        <v>44592</v>
      </c>
      <c r="F1833">
        <v>2022</v>
      </c>
      <c r="G1833" t="s">
        <v>5037</v>
      </c>
      <c r="H1833">
        <v>31</v>
      </c>
      <c r="I1833">
        <v>4.82</v>
      </c>
      <c r="J1833">
        <v>6</v>
      </c>
      <c r="K1833">
        <v>11318.89</v>
      </c>
      <c r="L1833">
        <v>3.8</v>
      </c>
    </row>
    <row r="1834" spans="1:12" x14ac:dyDescent="0.3">
      <c r="A1834" t="s">
        <v>1849</v>
      </c>
      <c r="B1834" t="s">
        <v>34</v>
      </c>
      <c r="C1834" t="s">
        <v>11</v>
      </c>
      <c r="D1834">
        <v>46</v>
      </c>
      <c r="E1834" s="1">
        <v>41334</v>
      </c>
      <c r="F1834">
        <v>2013</v>
      </c>
      <c r="G1834" t="s">
        <v>5035</v>
      </c>
      <c r="H1834">
        <v>1</v>
      </c>
      <c r="I1834">
        <v>3.55</v>
      </c>
      <c r="J1834">
        <v>15</v>
      </c>
      <c r="K1834">
        <v>11214.78</v>
      </c>
      <c r="L1834">
        <v>12.7</v>
      </c>
    </row>
    <row r="1835" spans="1:12" x14ac:dyDescent="0.3">
      <c r="A1835" t="s">
        <v>1850</v>
      </c>
      <c r="B1835" t="s">
        <v>16</v>
      </c>
      <c r="C1835" t="s">
        <v>11</v>
      </c>
      <c r="D1835">
        <v>47</v>
      </c>
      <c r="E1835" s="1">
        <v>45091</v>
      </c>
      <c r="F1835">
        <v>2023</v>
      </c>
      <c r="G1835" t="s">
        <v>5032</v>
      </c>
      <c r="H1835">
        <v>14</v>
      </c>
      <c r="I1835">
        <v>2.23</v>
      </c>
      <c r="J1835">
        <v>8</v>
      </c>
      <c r="K1835">
        <v>4830.71</v>
      </c>
      <c r="L1835">
        <v>2.4</v>
      </c>
    </row>
    <row r="1836" spans="1:12" x14ac:dyDescent="0.3">
      <c r="A1836" t="s">
        <v>1851</v>
      </c>
      <c r="B1836" t="s">
        <v>18</v>
      </c>
      <c r="C1836" t="s">
        <v>11</v>
      </c>
      <c r="D1836">
        <v>52</v>
      </c>
      <c r="E1836" s="1">
        <v>44995</v>
      </c>
      <c r="F1836">
        <v>2023</v>
      </c>
      <c r="G1836" t="s">
        <v>5035</v>
      </c>
      <c r="H1836">
        <v>10</v>
      </c>
      <c r="I1836">
        <v>3.86</v>
      </c>
      <c r="J1836">
        <v>4</v>
      </c>
      <c r="K1836">
        <v>6338.06</v>
      </c>
      <c r="L1836">
        <v>2.6</v>
      </c>
    </row>
    <row r="1837" spans="1:12" x14ac:dyDescent="0.3">
      <c r="A1837" t="s">
        <v>1852</v>
      </c>
      <c r="B1837" t="s">
        <v>10</v>
      </c>
      <c r="C1837" t="s">
        <v>14</v>
      </c>
      <c r="D1837">
        <v>53</v>
      </c>
      <c r="E1837" s="1">
        <v>42252</v>
      </c>
      <c r="F1837">
        <v>2015</v>
      </c>
      <c r="G1837" t="s">
        <v>5033</v>
      </c>
      <c r="H1837">
        <v>5</v>
      </c>
      <c r="I1837">
        <v>2.36</v>
      </c>
      <c r="J1837">
        <v>8</v>
      </c>
      <c r="K1837">
        <v>5164.79</v>
      </c>
      <c r="L1837">
        <v>10.199999999999999</v>
      </c>
    </row>
    <row r="1838" spans="1:12" x14ac:dyDescent="0.3">
      <c r="A1838" t="s">
        <v>1853</v>
      </c>
      <c r="B1838" t="s">
        <v>34</v>
      </c>
      <c r="C1838" t="s">
        <v>14</v>
      </c>
      <c r="D1838">
        <v>57</v>
      </c>
      <c r="E1838" s="1">
        <v>42011</v>
      </c>
      <c r="F1838">
        <v>2015</v>
      </c>
      <c r="G1838" t="s">
        <v>5037</v>
      </c>
      <c r="H1838">
        <v>7</v>
      </c>
      <c r="I1838">
        <v>2.2000000000000002</v>
      </c>
      <c r="J1838">
        <v>2</v>
      </c>
      <c r="K1838">
        <v>4225.3900000000003</v>
      </c>
      <c r="L1838">
        <v>10.8</v>
      </c>
    </row>
    <row r="1839" spans="1:12" x14ac:dyDescent="0.3">
      <c r="A1839" t="s">
        <v>1854</v>
      </c>
      <c r="B1839" t="s">
        <v>24</v>
      </c>
      <c r="C1839" t="s">
        <v>11</v>
      </c>
      <c r="D1839">
        <v>41</v>
      </c>
      <c r="E1839" s="1">
        <v>44432</v>
      </c>
      <c r="F1839">
        <v>2021</v>
      </c>
      <c r="G1839" t="s">
        <v>5031</v>
      </c>
      <c r="H1839">
        <v>24</v>
      </c>
      <c r="I1839">
        <v>4.53</v>
      </c>
      <c r="J1839">
        <v>2</v>
      </c>
      <c r="K1839">
        <v>11564.12</v>
      </c>
      <c r="L1839">
        <v>4.2</v>
      </c>
    </row>
    <row r="1840" spans="1:12" x14ac:dyDescent="0.3">
      <c r="A1840" t="s">
        <v>1855</v>
      </c>
      <c r="B1840" t="s">
        <v>34</v>
      </c>
      <c r="C1840" t="s">
        <v>11</v>
      </c>
      <c r="D1840">
        <v>26</v>
      </c>
      <c r="E1840" s="1">
        <v>44906</v>
      </c>
      <c r="F1840">
        <v>2022</v>
      </c>
      <c r="G1840" t="s">
        <v>5041</v>
      </c>
      <c r="H1840">
        <v>11</v>
      </c>
      <c r="I1840">
        <v>4.66</v>
      </c>
      <c r="J1840">
        <v>13</v>
      </c>
      <c r="K1840">
        <v>3206.81</v>
      </c>
      <c r="L1840">
        <v>2.9</v>
      </c>
    </row>
    <row r="1841" spans="1:12" x14ac:dyDescent="0.3">
      <c r="A1841" t="s">
        <v>1856</v>
      </c>
      <c r="B1841" t="s">
        <v>13</v>
      </c>
      <c r="C1841" t="s">
        <v>14</v>
      </c>
      <c r="D1841">
        <v>54</v>
      </c>
      <c r="E1841" s="1">
        <v>40387</v>
      </c>
      <c r="F1841">
        <v>2010</v>
      </c>
      <c r="G1841" t="s">
        <v>5034</v>
      </c>
      <c r="H1841">
        <v>28</v>
      </c>
      <c r="I1841">
        <v>4.32</v>
      </c>
      <c r="J1841">
        <v>0</v>
      </c>
      <c r="K1841">
        <v>4799.04</v>
      </c>
      <c r="L1841">
        <v>15.3</v>
      </c>
    </row>
    <row r="1842" spans="1:12" x14ac:dyDescent="0.3">
      <c r="A1842" t="s">
        <v>1857</v>
      </c>
      <c r="B1842" t="s">
        <v>24</v>
      </c>
      <c r="C1842" t="s">
        <v>14</v>
      </c>
      <c r="D1842">
        <v>22</v>
      </c>
      <c r="E1842" s="1">
        <v>41254</v>
      </c>
      <c r="F1842">
        <v>2012</v>
      </c>
      <c r="G1842" t="s">
        <v>5041</v>
      </c>
      <c r="H1842">
        <v>11</v>
      </c>
      <c r="I1842">
        <v>3.26</v>
      </c>
      <c r="J1842">
        <v>6</v>
      </c>
      <c r="K1842">
        <v>7461.91</v>
      </c>
      <c r="L1842">
        <v>12.9</v>
      </c>
    </row>
    <row r="1843" spans="1:12" x14ac:dyDescent="0.3">
      <c r="A1843" t="s">
        <v>1858</v>
      </c>
      <c r="B1843" t="s">
        <v>13</v>
      </c>
      <c r="C1843" t="s">
        <v>14</v>
      </c>
      <c r="D1843">
        <v>35</v>
      </c>
      <c r="E1843" s="1">
        <v>40555</v>
      </c>
      <c r="F1843">
        <v>2011</v>
      </c>
      <c r="G1843" t="s">
        <v>5037</v>
      </c>
      <c r="H1843">
        <v>12</v>
      </c>
      <c r="I1843">
        <v>4.7699999999999996</v>
      </c>
      <c r="J1843">
        <v>4</v>
      </c>
      <c r="K1843">
        <v>13691.81</v>
      </c>
      <c r="L1843">
        <v>14.8</v>
      </c>
    </row>
    <row r="1844" spans="1:12" x14ac:dyDescent="0.3">
      <c r="A1844" t="s">
        <v>1859</v>
      </c>
      <c r="B1844" t="s">
        <v>18</v>
      </c>
      <c r="C1844" t="s">
        <v>14</v>
      </c>
      <c r="D1844">
        <v>42</v>
      </c>
      <c r="E1844" s="1">
        <v>42312</v>
      </c>
      <c r="F1844">
        <v>2015</v>
      </c>
      <c r="G1844" t="s">
        <v>5038</v>
      </c>
      <c r="H1844">
        <v>4</v>
      </c>
      <c r="I1844">
        <v>3.95</v>
      </c>
      <c r="J1844">
        <v>1</v>
      </c>
      <c r="K1844">
        <v>13304.5</v>
      </c>
      <c r="L1844">
        <v>10</v>
      </c>
    </row>
    <row r="1845" spans="1:12" x14ac:dyDescent="0.3">
      <c r="A1845" t="s">
        <v>1860</v>
      </c>
      <c r="B1845" t="s">
        <v>24</v>
      </c>
      <c r="C1845" t="s">
        <v>14</v>
      </c>
      <c r="D1845">
        <v>59</v>
      </c>
      <c r="E1845" s="1">
        <v>42591</v>
      </c>
      <c r="F1845">
        <v>2016</v>
      </c>
      <c r="G1845" t="s">
        <v>5031</v>
      </c>
      <c r="H1845">
        <v>9</v>
      </c>
      <c r="I1845">
        <v>2.96</v>
      </c>
      <c r="J1845">
        <v>12</v>
      </c>
      <c r="K1845">
        <v>9844.1299999999992</v>
      </c>
      <c r="L1845">
        <v>9.1999999999999993</v>
      </c>
    </row>
    <row r="1846" spans="1:12" x14ac:dyDescent="0.3">
      <c r="A1846" t="s">
        <v>1861</v>
      </c>
      <c r="B1846" t="s">
        <v>18</v>
      </c>
      <c r="C1846" t="s">
        <v>14</v>
      </c>
      <c r="D1846">
        <v>26</v>
      </c>
      <c r="E1846" s="1">
        <v>40970</v>
      </c>
      <c r="F1846">
        <v>2012</v>
      </c>
      <c r="G1846" t="s">
        <v>5035</v>
      </c>
      <c r="H1846">
        <v>2</v>
      </c>
      <c r="I1846">
        <v>3.53</v>
      </c>
      <c r="J1846">
        <v>1</v>
      </c>
      <c r="K1846">
        <v>12597.51</v>
      </c>
      <c r="L1846">
        <v>13.7</v>
      </c>
    </row>
    <row r="1847" spans="1:12" x14ac:dyDescent="0.3">
      <c r="A1847" t="s">
        <v>1862</v>
      </c>
      <c r="B1847" t="s">
        <v>34</v>
      </c>
      <c r="C1847" t="s">
        <v>11</v>
      </c>
      <c r="D1847">
        <v>22</v>
      </c>
      <c r="E1847" s="1">
        <v>43156</v>
      </c>
      <c r="F1847">
        <v>2018</v>
      </c>
      <c r="G1847" t="s">
        <v>5042</v>
      </c>
      <c r="H1847">
        <v>25</v>
      </c>
      <c r="I1847">
        <v>3.81</v>
      </c>
      <c r="J1847">
        <v>10</v>
      </c>
      <c r="K1847">
        <v>5293.65</v>
      </c>
      <c r="L1847">
        <v>7.7</v>
      </c>
    </row>
    <row r="1848" spans="1:12" x14ac:dyDescent="0.3">
      <c r="A1848" t="s">
        <v>1863</v>
      </c>
      <c r="B1848" t="s">
        <v>18</v>
      </c>
      <c r="C1848" t="s">
        <v>11</v>
      </c>
      <c r="D1848">
        <v>27</v>
      </c>
      <c r="E1848" s="1">
        <v>43928</v>
      </c>
      <c r="F1848">
        <v>2020</v>
      </c>
      <c r="G1848" t="s">
        <v>5040</v>
      </c>
      <c r="H1848">
        <v>7</v>
      </c>
      <c r="I1848">
        <v>3.2</v>
      </c>
      <c r="J1848">
        <v>11</v>
      </c>
      <c r="K1848">
        <v>7509.39</v>
      </c>
      <c r="L1848">
        <v>5.6</v>
      </c>
    </row>
    <row r="1849" spans="1:12" x14ac:dyDescent="0.3">
      <c r="A1849" t="s">
        <v>1864</v>
      </c>
      <c r="B1849" t="s">
        <v>24</v>
      </c>
      <c r="C1849" t="s">
        <v>11</v>
      </c>
      <c r="D1849">
        <v>36</v>
      </c>
      <c r="E1849" s="1">
        <v>40521</v>
      </c>
      <c r="F1849">
        <v>2010</v>
      </c>
      <c r="G1849" t="s">
        <v>5041</v>
      </c>
      <c r="H1849">
        <v>9</v>
      </c>
      <c r="I1849">
        <v>3.09</v>
      </c>
      <c r="J1849">
        <v>8</v>
      </c>
      <c r="K1849">
        <v>10816.1</v>
      </c>
      <c r="L1849">
        <v>14.9</v>
      </c>
    </row>
    <row r="1850" spans="1:12" x14ac:dyDescent="0.3">
      <c r="A1850" t="s">
        <v>1865</v>
      </c>
      <c r="B1850" t="s">
        <v>13</v>
      </c>
      <c r="C1850" t="s">
        <v>11</v>
      </c>
      <c r="D1850">
        <v>42</v>
      </c>
      <c r="E1850" s="1">
        <v>41217</v>
      </c>
      <c r="F1850">
        <v>2012</v>
      </c>
      <c r="G1850" t="s">
        <v>5038</v>
      </c>
      <c r="H1850">
        <v>4</v>
      </c>
      <c r="I1850">
        <v>4.42</v>
      </c>
      <c r="J1850">
        <v>13</v>
      </c>
      <c r="K1850">
        <v>7557.8</v>
      </c>
      <c r="L1850">
        <v>13</v>
      </c>
    </row>
    <row r="1851" spans="1:12" x14ac:dyDescent="0.3">
      <c r="A1851" t="s">
        <v>1866</v>
      </c>
      <c r="B1851" t="s">
        <v>10</v>
      </c>
      <c r="C1851" t="s">
        <v>11</v>
      </c>
      <c r="D1851">
        <v>22</v>
      </c>
      <c r="E1851" s="1">
        <v>42038</v>
      </c>
      <c r="F1851">
        <v>2015</v>
      </c>
      <c r="G1851" t="s">
        <v>5042</v>
      </c>
      <c r="H1851">
        <v>3</v>
      </c>
      <c r="I1851">
        <v>2.17</v>
      </c>
      <c r="J1851">
        <v>0</v>
      </c>
      <c r="K1851">
        <v>3310.21</v>
      </c>
      <c r="L1851">
        <v>10.8</v>
      </c>
    </row>
    <row r="1852" spans="1:12" x14ac:dyDescent="0.3">
      <c r="A1852" t="s">
        <v>1867</v>
      </c>
      <c r="B1852" t="s">
        <v>18</v>
      </c>
      <c r="C1852" t="s">
        <v>11</v>
      </c>
      <c r="D1852">
        <v>40</v>
      </c>
      <c r="E1852" s="1">
        <v>41057</v>
      </c>
      <c r="F1852">
        <v>2012</v>
      </c>
      <c r="G1852" t="s">
        <v>5036</v>
      </c>
      <c r="H1852">
        <v>28</v>
      </c>
      <c r="I1852">
        <v>3.98</v>
      </c>
      <c r="J1852">
        <v>4</v>
      </c>
      <c r="K1852">
        <v>13664.01</v>
      </c>
      <c r="L1852">
        <v>13.4</v>
      </c>
    </row>
    <row r="1853" spans="1:12" x14ac:dyDescent="0.3">
      <c r="A1853" t="s">
        <v>1868</v>
      </c>
      <c r="B1853" t="s">
        <v>13</v>
      </c>
      <c r="C1853" t="s">
        <v>11</v>
      </c>
      <c r="D1853">
        <v>41</v>
      </c>
      <c r="E1853" s="1">
        <v>44166</v>
      </c>
      <c r="F1853">
        <v>2020</v>
      </c>
      <c r="G1853" t="s">
        <v>5041</v>
      </c>
      <c r="H1853">
        <v>1</v>
      </c>
      <c r="I1853">
        <v>3.74</v>
      </c>
      <c r="J1853">
        <v>0</v>
      </c>
      <c r="K1853">
        <v>6692.22</v>
      </c>
      <c r="L1853">
        <v>4.9000000000000004</v>
      </c>
    </row>
    <row r="1854" spans="1:12" x14ac:dyDescent="0.3">
      <c r="A1854" t="s">
        <v>1869</v>
      </c>
      <c r="B1854" t="s">
        <v>18</v>
      </c>
      <c r="C1854" t="s">
        <v>11</v>
      </c>
      <c r="D1854">
        <v>51</v>
      </c>
      <c r="E1854" s="1">
        <v>44107</v>
      </c>
      <c r="F1854">
        <v>2020</v>
      </c>
      <c r="G1854" t="s">
        <v>5039</v>
      </c>
      <c r="H1854">
        <v>3</v>
      </c>
      <c r="I1854">
        <v>4.7699999999999996</v>
      </c>
      <c r="J1854">
        <v>4</v>
      </c>
      <c r="K1854">
        <v>11278.15</v>
      </c>
      <c r="L1854">
        <v>5.0999999999999996</v>
      </c>
    </row>
    <row r="1855" spans="1:12" x14ac:dyDescent="0.3">
      <c r="A1855" t="s">
        <v>1870</v>
      </c>
      <c r="B1855" t="s">
        <v>13</v>
      </c>
      <c r="C1855" t="s">
        <v>14</v>
      </c>
      <c r="D1855">
        <v>42</v>
      </c>
      <c r="E1855" s="1">
        <v>41361</v>
      </c>
      <c r="F1855">
        <v>2013</v>
      </c>
      <c r="G1855" t="s">
        <v>5035</v>
      </c>
      <c r="H1855">
        <v>28</v>
      </c>
      <c r="I1855">
        <v>2.93</v>
      </c>
      <c r="J1855">
        <v>4</v>
      </c>
      <c r="K1855">
        <v>14060.13</v>
      </c>
      <c r="L1855">
        <v>12.6</v>
      </c>
    </row>
    <row r="1856" spans="1:12" x14ac:dyDescent="0.3">
      <c r="A1856" t="s">
        <v>1871</v>
      </c>
      <c r="B1856" t="s">
        <v>24</v>
      </c>
      <c r="C1856" t="s">
        <v>14</v>
      </c>
      <c r="D1856">
        <v>57</v>
      </c>
      <c r="E1856" s="1">
        <v>41392</v>
      </c>
      <c r="F1856">
        <v>2013</v>
      </c>
      <c r="G1856" t="s">
        <v>5040</v>
      </c>
      <c r="H1856">
        <v>28</v>
      </c>
      <c r="I1856">
        <v>3.15</v>
      </c>
      <c r="J1856">
        <v>2</v>
      </c>
      <c r="K1856">
        <v>12522.24</v>
      </c>
      <c r="L1856">
        <v>12.5</v>
      </c>
    </row>
    <row r="1857" spans="1:12" x14ac:dyDescent="0.3">
      <c r="A1857" t="s">
        <v>1872</v>
      </c>
      <c r="B1857" t="s">
        <v>24</v>
      </c>
      <c r="C1857" t="s">
        <v>14</v>
      </c>
      <c r="D1857">
        <v>45</v>
      </c>
      <c r="E1857" s="1">
        <v>43997</v>
      </c>
      <c r="F1857">
        <v>2020</v>
      </c>
      <c r="G1857" t="s">
        <v>5032</v>
      </c>
      <c r="H1857">
        <v>15</v>
      </c>
      <c r="I1857">
        <v>2.38</v>
      </c>
      <c r="J1857">
        <v>0</v>
      </c>
      <c r="K1857">
        <v>3564.89</v>
      </c>
      <c r="L1857">
        <v>5.4</v>
      </c>
    </row>
    <row r="1858" spans="1:12" x14ac:dyDescent="0.3">
      <c r="A1858" t="s">
        <v>1873</v>
      </c>
      <c r="B1858" t="s">
        <v>13</v>
      </c>
      <c r="C1858" t="s">
        <v>14</v>
      </c>
      <c r="D1858">
        <v>30</v>
      </c>
      <c r="E1858" s="1">
        <v>44388</v>
      </c>
      <c r="F1858">
        <v>2021</v>
      </c>
      <c r="G1858" t="s">
        <v>5034</v>
      </c>
      <c r="H1858">
        <v>11</v>
      </c>
      <c r="I1858">
        <v>4.7300000000000004</v>
      </c>
      <c r="J1858">
        <v>4</v>
      </c>
      <c r="K1858">
        <v>13917.38</v>
      </c>
      <c r="L1858">
        <v>4.3</v>
      </c>
    </row>
    <row r="1859" spans="1:12" x14ac:dyDescent="0.3">
      <c r="A1859" t="s">
        <v>1874</v>
      </c>
      <c r="B1859" t="s">
        <v>34</v>
      </c>
      <c r="C1859" t="s">
        <v>14</v>
      </c>
      <c r="D1859">
        <v>52</v>
      </c>
      <c r="E1859" s="1">
        <v>45034</v>
      </c>
      <c r="F1859">
        <v>2023</v>
      </c>
      <c r="G1859" t="s">
        <v>5040</v>
      </c>
      <c r="H1859">
        <v>18</v>
      </c>
      <c r="I1859">
        <v>4.32</v>
      </c>
      <c r="J1859">
        <v>13</v>
      </c>
      <c r="K1859">
        <v>13371.98</v>
      </c>
      <c r="L1859">
        <v>2.5</v>
      </c>
    </row>
    <row r="1860" spans="1:12" x14ac:dyDescent="0.3">
      <c r="A1860" t="s">
        <v>1875</v>
      </c>
      <c r="B1860" t="s">
        <v>18</v>
      </c>
      <c r="C1860" t="s">
        <v>14</v>
      </c>
      <c r="D1860">
        <v>48</v>
      </c>
      <c r="E1860" s="1">
        <v>40543</v>
      </c>
      <c r="F1860">
        <v>2010</v>
      </c>
      <c r="G1860" t="s">
        <v>5041</v>
      </c>
      <c r="H1860">
        <v>31</v>
      </c>
      <c r="I1860">
        <v>4.41</v>
      </c>
      <c r="J1860">
        <v>10</v>
      </c>
      <c r="K1860">
        <v>13248.43</v>
      </c>
      <c r="L1860">
        <v>14.8</v>
      </c>
    </row>
    <row r="1861" spans="1:12" x14ac:dyDescent="0.3">
      <c r="A1861" t="s">
        <v>1876</v>
      </c>
      <c r="B1861" t="s">
        <v>13</v>
      </c>
      <c r="C1861" t="s">
        <v>14</v>
      </c>
      <c r="D1861">
        <v>36</v>
      </c>
      <c r="E1861" s="1">
        <v>41424</v>
      </c>
      <c r="F1861">
        <v>2013</v>
      </c>
      <c r="G1861" t="s">
        <v>5036</v>
      </c>
      <c r="H1861">
        <v>30</v>
      </c>
      <c r="I1861">
        <v>2.78</v>
      </c>
      <c r="J1861">
        <v>15</v>
      </c>
      <c r="K1861">
        <v>6168.32</v>
      </c>
      <c r="L1861">
        <v>12.4</v>
      </c>
    </row>
    <row r="1862" spans="1:12" x14ac:dyDescent="0.3">
      <c r="A1862" t="s">
        <v>1877</v>
      </c>
      <c r="B1862" t="s">
        <v>16</v>
      </c>
      <c r="C1862" t="s">
        <v>11</v>
      </c>
      <c r="D1862">
        <v>46</v>
      </c>
      <c r="E1862" s="1">
        <v>42543</v>
      </c>
      <c r="F1862">
        <v>2016</v>
      </c>
      <c r="G1862" t="s">
        <v>5032</v>
      </c>
      <c r="H1862">
        <v>22</v>
      </c>
      <c r="I1862">
        <v>2.4900000000000002</v>
      </c>
      <c r="J1862">
        <v>9</v>
      </c>
      <c r="K1862">
        <v>9421.49</v>
      </c>
      <c r="L1862">
        <v>9.4</v>
      </c>
    </row>
    <row r="1863" spans="1:12" x14ac:dyDescent="0.3">
      <c r="A1863" t="s">
        <v>1878</v>
      </c>
      <c r="B1863" t="s">
        <v>24</v>
      </c>
      <c r="C1863" t="s">
        <v>14</v>
      </c>
      <c r="D1863">
        <v>52</v>
      </c>
      <c r="E1863" s="1">
        <v>45398</v>
      </c>
      <c r="F1863">
        <v>2024</v>
      </c>
      <c r="G1863" t="s">
        <v>5040</v>
      </c>
      <c r="H1863">
        <v>16</v>
      </c>
      <c r="I1863">
        <v>3.51</v>
      </c>
      <c r="J1863">
        <v>15</v>
      </c>
      <c r="K1863">
        <v>11826.02</v>
      </c>
      <c r="L1863">
        <v>1.5</v>
      </c>
    </row>
    <row r="1864" spans="1:12" x14ac:dyDescent="0.3">
      <c r="A1864" t="s">
        <v>1879</v>
      </c>
      <c r="B1864" t="s">
        <v>13</v>
      </c>
      <c r="C1864" t="s">
        <v>11</v>
      </c>
      <c r="D1864">
        <v>50</v>
      </c>
      <c r="E1864" s="1">
        <v>45699</v>
      </c>
      <c r="F1864">
        <v>2025</v>
      </c>
      <c r="G1864" t="s">
        <v>5042</v>
      </c>
      <c r="H1864">
        <v>11</v>
      </c>
      <c r="I1864">
        <v>2.21</v>
      </c>
      <c r="J1864">
        <v>5</v>
      </c>
      <c r="K1864">
        <v>10412.030000000001</v>
      </c>
      <c r="L1864">
        <v>0.7</v>
      </c>
    </row>
    <row r="1865" spans="1:12" x14ac:dyDescent="0.3">
      <c r="A1865" t="s">
        <v>1880</v>
      </c>
      <c r="B1865" t="s">
        <v>13</v>
      </c>
      <c r="C1865" t="s">
        <v>14</v>
      </c>
      <c r="D1865">
        <v>29</v>
      </c>
      <c r="E1865" s="1">
        <v>44038</v>
      </c>
      <c r="F1865">
        <v>2020</v>
      </c>
      <c r="G1865" t="s">
        <v>5034</v>
      </c>
      <c r="H1865">
        <v>26</v>
      </c>
      <c r="I1865">
        <v>2.67</v>
      </c>
      <c r="J1865">
        <v>10</v>
      </c>
      <c r="K1865">
        <v>13684.53</v>
      </c>
      <c r="L1865">
        <v>5.3</v>
      </c>
    </row>
    <row r="1866" spans="1:12" x14ac:dyDescent="0.3">
      <c r="A1866" t="s">
        <v>1881</v>
      </c>
      <c r="B1866" t="s">
        <v>10</v>
      </c>
      <c r="C1866" t="s">
        <v>14</v>
      </c>
      <c r="D1866">
        <v>25</v>
      </c>
      <c r="E1866" s="1">
        <v>45605</v>
      </c>
      <c r="F1866">
        <v>2024</v>
      </c>
      <c r="G1866" t="s">
        <v>5038</v>
      </c>
      <c r="H1866">
        <v>9</v>
      </c>
      <c r="I1866">
        <v>4.3</v>
      </c>
      <c r="J1866">
        <v>4</v>
      </c>
      <c r="K1866">
        <v>11769.4</v>
      </c>
      <c r="L1866">
        <v>1</v>
      </c>
    </row>
    <row r="1867" spans="1:12" x14ac:dyDescent="0.3">
      <c r="A1867" t="s">
        <v>1882</v>
      </c>
      <c r="B1867" t="s">
        <v>24</v>
      </c>
      <c r="C1867" t="s">
        <v>14</v>
      </c>
      <c r="D1867">
        <v>35</v>
      </c>
      <c r="E1867" s="1">
        <v>40488</v>
      </c>
      <c r="F1867">
        <v>2010</v>
      </c>
      <c r="G1867" t="s">
        <v>5038</v>
      </c>
      <c r="H1867">
        <v>6</v>
      </c>
      <c r="I1867">
        <v>2.78</v>
      </c>
      <c r="J1867">
        <v>9</v>
      </c>
      <c r="K1867">
        <v>10682.63</v>
      </c>
      <c r="L1867">
        <v>15</v>
      </c>
    </row>
    <row r="1868" spans="1:12" x14ac:dyDescent="0.3">
      <c r="A1868" t="s">
        <v>1883</v>
      </c>
      <c r="B1868" t="s">
        <v>16</v>
      </c>
      <c r="C1868" t="s">
        <v>11</v>
      </c>
      <c r="D1868">
        <v>42</v>
      </c>
      <c r="E1868" s="1">
        <v>41786</v>
      </c>
      <c r="F1868">
        <v>2014</v>
      </c>
      <c r="G1868" t="s">
        <v>5036</v>
      </c>
      <c r="H1868">
        <v>27</v>
      </c>
      <c r="I1868">
        <v>2.13</v>
      </c>
      <c r="J1868">
        <v>9</v>
      </c>
      <c r="K1868">
        <v>10170.200000000001</v>
      </c>
      <c r="L1868">
        <v>11.4</v>
      </c>
    </row>
    <row r="1869" spans="1:12" x14ac:dyDescent="0.3">
      <c r="A1869" t="s">
        <v>1884</v>
      </c>
      <c r="B1869" t="s">
        <v>16</v>
      </c>
      <c r="C1869" t="s">
        <v>14</v>
      </c>
      <c r="D1869">
        <v>57</v>
      </c>
      <c r="E1869" s="1">
        <v>40885</v>
      </c>
      <c r="F1869">
        <v>2011</v>
      </c>
      <c r="G1869" t="s">
        <v>5041</v>
      </c>
      <c r="H1869">
        <v>8</v>
      </c>
      <c r="I1869">
        <v>3.76</v>
      </c>
      <c r="J1869">
        <v>5</v>
      </c>
      <c r="K1869">
        <v>6280.83</v>
      </c>
      <c r="L1869">
        <v>13.9</v>
      </c>
    </row>
    <row r="1870" spans="1:12" x14ac:dyDescent="0.3">
      <c r="A1870" t="s">
        <v>1885</v>
      </c>
      <c r="B1870" t="s">
        <v>10</v>
      </c>
      <c r="C1870" t="s">
        <v>14</v>
      </c>
      <c r="D1870">
        <v>30</v>
      </c>
      <c r="E1870" s="1">
        <v>41305</v>
      </c>
      <c r="F1870">
        <v>2013</v>
      </c>
      <c r="G1870" t="s">
        <v>5037</v>
      </c>
      <c r="H1870">
        <v>31</v>
      </c>
      <c r="I1870">
        <v>2.16</v>
      </c>
      <c r="J1870">
        <v>6</v>
      </c>
      <c r="K1870">
        <v>12064.66</v>
      </c>
      <c r="L1870">
        <v>12.8</v>
      </c>
    </row>
    <row r="1871" spans="1:12" x14ac:dyDescent="0.3">
      <c r="A1871" t="s">
        <v>1886</v>
      </c>
      <c r="B1871" t="s">
        <v>24</v>
      </c>
      <c r="C1871" t="s">
        <v>11</v>
      </c>
      <c r="D1871">
        <v>47</v>
      </c>
      <c r="E1871" s="1">
        <v>45638</v>
      </c>
      <c r="F1871">
        <v>2024</v>
      </c>
      <c r="G1871" t="s">
        <v>5041</v>
      </c>
      <c r="H1871">
        <v>12</v>
      </c>
      <c r="I1871">
        <v>2.95</v>
      </c>
      <c r="J1871">
        <v>1</v>
      </c>
      <c r="K1871">
        <v>14327.04</v>
      </c>
      <c r="L1871">
        <v>0.9</v>
      </c>
    </row>
    <row r="1872" spans="1:12" x14ac:dyDescent="0.3">
      <c r="A1872" t="s">
        <v>1887</v>
      </c>
      <c r="B1872" t="s">
        <v>10</v>
      </c>
      <c r="C1872" t="s">
        <v>14</v>
      </c>
      <c r="D1872">
        <v>25</v>
      </c>
      <c r="E1872" s="1">
        <v>44952</v>
      </c>
      <c r="F1872">
        <v>2023</v>
      </c>
      <c r="G1872" t="s">
        <v>5037</v>
      </c>
      <c r="H1872">
        <v>26</v>
      </c>
      <c r="I1872">
        <v>2.38</v>
      </c>
      <c r="J1872">
        <v>15</v>
      </c>
      <c r="K1872">
        <v>4115.42</v>
      </c>
      <c r="L1872">
        <v>2.8</v>
      </c>
    </row>
    <row r="1873" spans="1:12" x14ac:dyDescent="0.3">
      <c r="A1873" t="s">
        <v>1888</v>
      </c>
      <c r="B1873" t="s">
        <v>13</v>
      </c>
      <c r="C1873" t="s">
        <v>11</v>
      </c>
      <c r="D1873">
        <v>51</v>
      </c>
      <c r="E1873" s="1">
        <v>40226</v>
      </c>
      <c r="F1873">
        <v>2010</v>
      </c>
      <c r="G1873" t="s">
        <v>5042</v>
      </c>
      <c r="H1873">
        <v>17</v>
      </c>
      <c r="I1873">
        <v>2.85</v>
      </c>
      <c r="J1873">
        <v>15</v>
      </c>
      <c r="K1873">
        <v>13930.31</v>
      </c>
      <c r="L1873">
        <v>15.7</v>
      </c>
    </row>
    <row r="1874" spans="1:12" x14ac:dyDescent="0.3">
      <c r="A1874" t="s">
        <v>1889</v>
      </c>
      <c r="B1874" t="s">
        <v>34</v>
      </c>
      <c r="C1874" t="s">
        <v>11</v>
      </c>
      <c r="D1874">
        <v>25</v>
      </c>
      <c r="E1874" s="1">
        <v>43198</v>
      </c>
      <c r="F1874">
        <v>2018</v>
      </c>
      <c r="G1874" t="s">
        <v>5040</v>
      </c>
      <c r="H1874">
        <v>8</v>
      </c>
      <c r="I1874">
        <v>3.6</v>
      </c>
      <c r="J1874">
        <v>6</v>
      </c>
      <c r="K1874">
        <v>4771.74</v>
      </c>
      <c r="L1874">
        <v>7.6</v>
      </c>
    </row>
    <row r="1875" spans="1:12" x14ac:dyDescent="0.3">
      <c r="A1875" t="s">
        <v>1890</v>
      </c>
      <c r="B1875" t="s">
        <v>10</v>
      </c>
      <c r="C1875" t="s">
        <v>11</v>
      </c>
      <c r="D1875">
        <v>37</v>
      </c>
      <c r="E1875" s="1">
        <v>44500</v>
      </c>
      <c r="F1875">
        <v>2021</v>
      </c>
      <c r="G1875" t="s">
        <v>5039</v>
      </c>
      <c r="H1875">
        <v>31</v>
      </c>
      <c r="I1875">
        <v>4.8499999999999996</v>
      </c>
      <c r="J1875">
        <v>11</v>
      </c>
      <c r="K1875">
        <v>6376.64</v>
      </c>
      <c r="L1875">
        <v>4</v>
      </c>
    </row>
    <row r="1876" spans="1:12" x14ac:dyDescent="0.3">
      <c r="A1876" t="s">
        <v>1891</v>
      </c>
      <c r="B1876" t="s">
        <v>34</v>
      </c>
      <c r="C1876" t="s">
        <v>14</v>
      </c>
      <c r="D1876">
        <v>25</v>
      </c>
      <c r="E1876" s="1">
        <v>45454</v>
      </c>
      <c r="F1876">
        <v>2024</v>
      </c>
      <c r="G1876" t="s">
        <v>5032</v>
      </c>
      <c r="H1876">
        <v>11</v>
      </c>
      <c r="I1876">
        <v>4.4800000000000004</v>
      </c>
      <c r="J1876">
        <v>10</v>
      </c>
      <c r="K1876">
        <v>10307.5</v>
      </c>
      <c r="L1876">
        <v>1.4</v>
      </c>
    </row>
    <row r="1877" spans="1:12" x14ac:dyDescent="0.3">
      <c r="A1877" t="s">
        <v>1892</v>
      </c>
      <c r="B1877" t="s">
        <v>18</v>
      </c>
      <c r="C1877" t="s">
        <v>14</v>
      </c>
      <c r="D1877">
        <v>29</v>
      </c>
      <c r="E1877" s="1">
        <v>40241</v>
      </c>
      <c r="F1877">
        <v>2010</v>
      </c>
      <c r="G1877" t="s">
        <v>5035</v>
      </c>
      <c r="H1877">
        <v>4</v>
      </c>
      <c r="I1877">
        <v>2.84</v>
      </c>
      <c r="J1877">
        <v>6</v>
      </c>
      <c r="K1877">
        <v>4270.05</v>
      </c>
      <c r="L1877">
        <v>15.7</v>
      </c>
    </row>
    <row r="1878" spans="1:12" x14ac:dyDescent="0.3">
      <c r="A1878" t="s">
        <v>1893</v>
      </c>
      <c r="B1878" t="s">
        <v>34</v>
      </c>
      <c r="C1878" t="s">
        <v>11</v>
      </c>
      <c r="D1878">
        <v>50</v>
      </c>
      <c r="E1878" s="1">
        <v>45647</v>
      </c>
      <c r="F1878">
        <v>2024</v>
      </c>
      <c r="G1878" t="s">
        <v>5041</v>
      </c>
      <c r="H1878">
        <v>21</v>
      </c>
      <c r="I1878">
        <v>3.72</v>
      </c>
      <c r="J1878">
        <v>9</v>
      </c>
      <c r="K1878">
        <v>8561.8700000000008</v>
      </c>
      <c r="L1878">
        <v>0.9</v>
      </c>
    </row>
    <row r="1879" spans="1:12" x14ac:dyDescent="0.3">
      <c r="A1879" t="s">
        <v>1894</v>
      </c>
      <c r="B1879" t="s">
        <v>34</v>
      </c>
      <c r="C1879" t="s">
        <v>14</v>
      </c>
      <c r="D1879">
        <v>27</v>
      </c>
      <c r="E1879" s="1">
        <v>42444</v>
      </c>
      <c r="F1879">
        <v>2016</v>
      </c>
      <c r="G1879" t="s">
        <v>5035</v>
      </c>
      <c r="H1879">
        <v>15</v>
      </c>
      <c r="I1879">
        <v>2.29</v>
      </c>
      <c r="J1879">
        <v>0</v>
      </c>
      <c r="K1879">
        <v>4961.1499999999996</v>
      </c>
      <c r="L1879">
        <v>9.6</v>
      </c>
    </row>
    <row r="1880" spans="1:12" x14ac:dyDescent="0.3">
      <c r="A1880" t="s">
        <v>1895</v>
      </c>
      <c r="B1880" t="s">
        <v>18</v>
      </c>
      <c r="C1880" t="s">
        <v>14</v>
      </c>
      <c r="D1880">
        <v>35</v>
      </c>
      <c r="E1880" s="1">
        <v>41155</v>
      </c>
      <c r="F1880">
        <v>2012</v>
      </c>
      <c r="G1880" t="s">
        <v>5033</v>
      </c>
      <c r="H1880">
        <v>3</v>
      </c>
      <c r="I1880">
        <v>3.36</v>
      </c>
      <c r="J1880">
        <v>10</v>
      </c>
      <c r="K1880">
        <v>11961.25</v>
      </c>
      <c r="L1880">
        <v>13.2</v>
      </c>
    </row>
    <row r="1881" spans="1:12" x14ac:dyDescent="0.3">
      <c r="A1881" t="s">
        <v>1896</v>
      </c>
      <c r="B1881" t="s">
        <v>13</v>
      </c>
      <c r="C1881" t="s">
        <v>14</v>
      </c>
      <c r="D1881">
        <v>25</v>
      </c>
      <c r="E1881" s="1">
        <v>43644</v>
      </c>
      <c r="F1881">
        <v>2019</v>
      </c>
      <c r="G1881" t="s">
        <v>5032</v>
      </c>
      <c r="H1881">
        <v>28</v>
      </c>
      <c r="I1881">
        <v>3.18</v>
      </c>
      <c r="J1881">
        <v>12</v>
      </c>
      <c r="K1881">
        <v>4459.6000000000004</v>
      </c>
      <c r="L1881">
        <v>6.4</v>
      </c>
    </row>
    <row r="1882" spans="1:12" x14ac:dyDescent="0.3">
      <c r="A1882" t="s">
        <v>1897</v>
      </c>
      <c r="B1882" t="s">
        <v>24</v>
      </c>
      <c r="C1882" t="s">
        <v>14</v>
      </c>
      <c r="D1882">
        <v>50</v>
      </c>
      <c r="E1882" s="1">
        <v>45139</v>
      </c>
      <c r="F1882">
        <v>2023</v>
      </c>
      <c r="G1882" t="s">
        <v>5031</v>
      </c>
      <c r="H1882">
        <v>1</v>
      </c>
      <c r="I1882">
        <v>2.48</v>
      </c>
      <c r="J1882">
        <v>6</v>
      </c>
      <c r="K1882">
        <v>5179.13</v>
      </c>
      <c r="L1882">
        <v>2.2999999999999998</v>
      </c>
    </row>
    <row r="1883" spans="1:12" x14ac:dyDescent="0.3">
      <c r="A1883" t="s">
        <v>1898</v>
      </c>
      <c r="B1883" t="s">
        <v>24</v>
      </c>
      <c r="C1883" t="s">
        <v>11</v>
      </c>
      <c r="D1883">
        <v>27</v>
      </c>
      <c r="E1883" s="1">
        <v>40783</v>
      </c>
      <c r="F1883">
        <v>2011</v>
      </c>
      <c r="G1883" t="s">
        <v>5031</v>
      </c>
      <c r="H1883">
        <v>28</v>
      </c>
      <c r="I1883">
        <v>4.8600000000000003</v>
      </c>
      <c r="J1883">
        <v>9</v>
      </c>
      <c r="K1883">
        <v>8157.48</v>
      </c>
      <c r="L1883">
        <v>14.2</v>
      </c>
    </row>
    <row r="1884" spans="1:12" x14ac:dyDescent="0.3">
      <c r="A1884" t="s">
        <v>1899</v>
      </c>
      <c r="B1884" t="s">
        <v>10</v>
      </c>
      <c r="C1884" t="s">
        <v>14</v>
      </c>
      <c r="D1884">
        <v>39</v>
      </c>
      <c r="E1884" s="1">
        <v>45890</v>
      </c>
      <c r="F1884">
        <v>2025</v>
      </c>
      <c r="G1884" t="s">
        <v>5031</v>
      </c>
      <c r="H1884">
        <v>21</v>
      </c>
      <c r="I1884">
        <v>2.8</v>
      </c>
      <c r="J1884">
        <v>7</v>
      </c>
      <c r="K1884">
        <v>9636.77</v>
      </c>
      <c r="L1884">
        <v>0.2</v>
      </c>
    </row>
    <row r="1885" spans="1:12" x14ac:dyDescent="0.3">
      <c r="A1885" t="s">
        <v>1900</v>
      </c>
      <c r="B1885" t="s">
        <v>13</v>
      </c>
      <c r="C1885" t="s">
        <v>14</v>
      </c>
      <c r="D1885">
        <v>22</v>
      </c>
      <c r="E1885" s="1">
        <v>40901</v>
      </c>
      <c r="F1885">
        <v>2011</v>
      </c>
      <c r="G1885" t="s">
        <v>5041</v>
      </c>
      <c r="H1885">
        <v>24</v>
      </c>
      <c r="I1885">
        <v>4.58</v>
      </c>
      <c r="J1885">
        <v>14</v>
      </c>
      <c r="K1885">
        <v>5994.03</v>
      </c>
      <c r="L1885">
        <v>13.9</v>
      </c>
    </row>
    <row r="1886" spans="1:12" x14ac:dyDescent="0.3">
      <c r="A1886" t="s">
        <v>1901</v>
      </c>
      <c r="B1886" t="s">
        <v>10</v>
      </c>
      <c r="C1886" t="s">
        <v>14</v>
      </c>
      <c r="D1886">
        <v>32</v>
      </c>
      <c r="E1886" s="1">
        <v>41918</v>
      </c>
      <c r="F1886">
        <v>2014</v>
      </c>
      <c r="G1886" t="s">
        <v>5039</v>
      </c>
      <c r="H1886">
        <v>6</v>
      </c>
      <c r="I1886">
        <v>4.59</v>
      </c>
      <c r="J1886">
        <v>8</v>
      </c>
      <c r="K1886">
        <v>5009.92</v>
      </c>
      <c r="L1886">
        <v>11.1</v>
      </c>
    </row>
    <row r="1887" spans="1:12" x14ac:dyDescent="0.3">
      <c r="A1887" t="s">
        <v>1902</v>
      </c>
      <c r="B1887" t="s">
        <v>16</v>
      </c>
      <c r="C1887" t="s">
        <v>11</v>
      </c>
      <c r="D1887">
        <v>33</v>
      </c>
      <c r="E1887" s="1">
        <v>45307</v>
      </c>
      <c r="F1887">
        <v>2024</v>
      </c>
      <c r="G1887" t="s">
        <v>5037</v>
      </c>
      <c r="H1887">
        <v>16</v>
      </c>
      <c r="I1887">
        <v>2</v>
      </c>
      <c r="J1887">
        <v>4</v>
      </c>
      <c r="K1887">
        <v>5181.12</v>
      </c>
      <c r="L1887">
        <v>1.8</v>
      </c>
    </row>
    <row r="1888" spans="1:12" x14ac:dyDescent="0.3">
      <c r="A1888" t="s">
        <v>1903</v>
      </c>
      <c r="B1888" t="s">
        <v>10</v>
      </c>
      <c r="C1888" t="s">
        <v>14</v>
      </c>
      <c r="D1888">
        <v>46</v>
      </c>
      <c r="E1888" s="1">
        <v>45145</v>
      </c>
      <c r="F1888">
        <v>2023</v>
      </c>
      <c r="G1888" t="s">
        <v>5031</v>
      </c>
      <c r="H1888">
        <v>7</v>
      </c>
      <c r="I1888">
        <v>2.34</v>
      </c>
      <c r="J1888">
        <v>2</v>
      </c>
      <c r="K1888">
        <v>12497.81</v>
      </c>
      <c r="L1888">
        <v>2.2000000000000002</v>
      </c>
    </row>
    <row r="1889" spans="1:12" x14ac:dyDescent="0.3">
      <c r="A1889" t="s">
        <v>1904</v>
      </c>
      <c r="B1889" t="s">
        <v>13</v>
      </c>
      <c r="C1889" t="s">
        <v>11</v>
      </c>
      <c r="D1889">
        <v>32</v>
      </c>
      <c r="E1889" s="1">
        <v>42447</v>
      </c>
      <c r="F1889">
        <v>2016</v>
      </c>
      <c r="G1889" t="s">
        <v>5035</v>
      </c>
      <c r="H1889">
        <v>18</v>
      </c>
      <c r="I1889">
        <v>3.91</v>
      </c>
      <c r="J1889">
        <v>5</v>
      </c>
      <c r="K1889">
        <v>9321.59</v>
      </c>
      <c r="L1889">
        <v>9.6</v>
      </c>
    </row>
    <row r="1890" spans="1:12" x14ac:dyDescent="0.3">
      <c r="A1890" t="s">
        <v>1905</v>
      </c>
      <c r="B1890" t="s">
        <v>16</v>
      </c>
      <c r="C1890" t="s">
        <v>14</v>
      </c>
      <c r="D1890">
        <v>33</v>
      </c>
      <c r="E1890" s="1">
        <v>43799</v>
      </c>
      <c r="F1890">
        <v>2019</v>
      </c>
      <c r="G1890" t="s">
        <v>5038</v>
      </c>
      <c r="H1890">
        <v>30</v>
      </c>
      <c r="I1890">
        <v>4.34</v>
      </c>
      <c r="J1890">
        <v>13</v>
      </c>
      <c r="K1890">
        <v>11927.87</v>
      </c>
      <c r="L1890">
        <v>5.9</v>
      </c>
    </row>
    <row r="1891" spans="1:12" x14ac:dyDescent="0.3">
      <c r="A1891" t="s">
        <v>1906</v>
      </c>
      <c r="B1891" t="s">
        <v>34</v>
      </c>
      <c r="C1891" t="s">
        <v>11</v>
      </c>
      <c r="D1891">
        <v>59</v>
      </c>
      <c r="E1891" s="1">
        <v>44740</v>
      </c>
      <c r="F1891">
        <v>2022</v>
      </c>
      <c r="G1891" t="s">
        <v>5032</v>
      </c>
      <c r="H1891">
        <v>28</v>
      </c>
      <c r="I1891">
        <v>4.99</v>
      </c>
      <c r="J1891">
        <v>12</v>
      </c>
      <c r="K1891">
        <v>5664.2</v>
      </c>
      <c r="L1891">
        <v>3.3</v>
      </c>
    </row>
    <row r="1892" spans="1:12" x14ac:dyDescent="0.3">
      <c r="A1892" t="s">
        <v>1907</v>
      </c>
      <c r="B1892" t="s">
        <v>13</v>
      </c>
      <c r="C1892" t="s">
        <v>11</v>
      </c>
      <c r="D1892">
        <v>56</v>
      </c>
      <c r="E1892" s="1">
        <v>41937</v>
      </c>
      <c r="F1892">
        <v>2014</v>
      </c>
      <c r="G1892" t="s">
        <v>5039</v>
      </c>
      <c r="H1892">
        <v>25</v>
      </c>
      <c r="I1892">
        <v>2.83</v>
      </c>
      <c r="J1892">
        <v>13</v>
      </c>
      <c r="K1892">
        <v>7893.95</v>
      </c>
      <c r="L1892">
        <v>11</v>
      </c>
    </row>
    <row r="1893" spans="1:12" x14ac:dyDescent="0.3">
      <c r="A1893" t="s">
        <v>1908</v>
      </c>
      <c r="B1893" t="s">
        <v>24</v>
      </c>
      <c r="C1893" t="s">
        <v>14</v>
      </c>
      <c r="D1893">
        <v>46</v>
      </c>
      <c r="E1893" s="1">
        <v>43720</v>
      </c>
      <c r="F1893">
        <v>2019</v>
      </c>
      <c r="G1893" t="s">
        <v>5033</v>
      </c>
      <c r="H1893">
        <v>12</v>
      </c>
      <c r="I1893">
        <v>3.76</v>
      </c>
      <c r="J1893">
        <v>3</v>
      </c>
      <c r="K1893">
        <v>11566.75</v>
      </c>
      <c r="L1893">
        <v>6.1</v>
      </c>
    </row>
    <row r="1894" spans="1:12" x14ac:dyDescent="0.3">
      <c r="A1894" t="s">
        <v>1909</v>
      </c>
      <c r="B1894" t="s">
        <v>13</v>
      </c>
      <c r="C1894" t="s">
        <v>11</v>
      </c>
      <c r="D1894">
        <v>54</v>
      </c>
      <c r="E1894" s="1">
        <v>44424</v>
      </c>
      <c r="F1894">
        <v>2021</v>
      </c>
      <c r="G1894" t="s">
        <v>5031</v>
      </c>
      <c r="H1894">
        <v>16</v>
      </c>
      <c r="I1894">
        <v>4.78</v>
      </c>
      <c r="J1894">
        <v>8</v>
      </c>
      <c r="K1894">
        <v>4098.22</v>
      </c>
      <c r="L1894">
        <v>4.2</v>
      </c>
    </row>
    <row r="1895" spans="1:12" x14ac:dyDescent="0.3">
      <c r="A1895" t="s">
        <v>1910</v>
      </c>
      <c r="B1895" t="s">
        <v>24</v>
      </c>
      <c r="C1895" t="s">
        <v>11</v>
      </c>
      <c r="D1895">
        <v>50</v>
      </c>
      <c r="E1895" s="1">
        <v>42452</v>
      </c>
      <c r="F1895">
        <v>2016</v>
      </c>
      <c r="G1895" t="s">
        <v>5035</v>
      </c>
      <c r="H1895">
        <v>23</v>
      </c>
      <c r="I1895">
        <v>1.93</v>
      </c>
      <c r="J1895">
        <v>3</v>
      </c>
      <c r="K1895">
        <v>13225.27</v>
      </c>
      <c r="L1895">
        <v>9.6</v>
      </c>
    </row>
    <row r="1896" spans="1:12" x14ac:dyDescent="0.3">
      <c r="A1896" t="s">
        <v>1911</v>
      </c>
      <c r="B1896" t="s">
        <v>34</v>
      </c>
      <c r="C1896" t="s">
        <v>11</v>
      </c>
      <c r="D1896">
        <v>47</v>
      </c>
      <c r="E1896" s="1">
        <v>44148</v>
      </c>
      <c r="F1896">
        <v>2020</v>
      </c>
      <c r="G1896" t="s">
        <v>5038</v>
      </c>
      <c r="H1896">
        <v>13</v>
      </c>
      <c r="I1896">
        <v>2.92</v>
      </c>
      <c r="J1896">
        <v>5</v>
      </c>
      <c r="K1896">
        <v>8095.86</v>
      </c>
      <c r="L1896">
        <v>5</v>
      </c>
    </row>
    <row r="1897" spans="1:12" x14ac:dyDescent="0.3">
      <c r="A1897" t="s">
        <v>1912</v>
      </c>
      <c r="B1897" t="s">
        <v>13</v>
      </c>
      <c r="C1897" t="s">
        <v>14</v>
      </c>
      <c r="D1897">
        <v>48</v>
      </c>
      <c r="E1897" s="1">
        <v>45357</v>
      </c>
      <c r="F1897">
        <v>2024</v>
      </c>
      <c r="G1897" t="s">
        <v>5035</v>
      </c>
      <c r="H1897">
        <v>6</v>
      </c>
      <c r="I1897">
        <v>4.95</v>
      </c>
      <c r="J1897">
        <v>14</v>
      </c>
      <c r="K1897">
        <v>11229.28</v>
      </c>
      <c r="L1897">
        <v>1.7</v>
      </c>
    </row>
    <row r="1898" spans="1:12" x14ac:dyDescent="0.3">
      <c r="A1898" t="s">
        <v>1913</v>
      </c>
      <c r="B1898" t="s">
        <v>10</v>
      </c>
      <c r="C1898" t="s">
        <v>11</v>
      </c>
      <c r="D1898">
        <v>22</v>
      </c>
      <c r="E1898" s="1">
        <v>42022</v>
      </c>
      <c r="F1898">
        <v>2015</v>
      </c>
      <c r="G1898" t="s">
        <v>5037</v>
      </c>
      <c r="H1898">
        <v>18</v>
      </c>
      <c r="I1898">
        <v>4.29</v>
      </c>
      <c r="J1898">
        <v>2</v>
      </c>
      <c r="K1898">
        <v>5217.2299999999996</v>
      </c>
      <c r="L1898">
        <v>10.8</v>
      </c>
    </row>
    <row r="1899" spans="1:12" x14ac:dyDescent="0.3">
      <c r="A1899" t="s">
        <v>1914</v>
      </c>
      <c r="B1899" t="s">
        <v>18</v>
      </c>
      <c r="C1899" t="s">
        <v>14</v>
      </c>
      <c r="D1899">
        <v>39</v>
      </c>
      <c r="E1899" s="1">
        <v>41326</v>
      </c>
      <c r="F1899">
        <v>2013</v>
      </c>
      <c r="G1899" t="s">
        <v>5042</v>
      </c>
      <c r="H1899">
        <v>21</v>
      </c>
      <c r="I1899">
        <v>3.34</v>
      </c>
      <c r="J1899">
        <v>15</v>
      </c>
      <c r="K1899">
        <v>6875.37</v>
      </c>
      <c r="L1899">
        <v>12.7</v>
      </c>
    </row>
    <row r="1900" spans="1:12" x14ac:dyDescent="0.3">
      <c r="A1900" t="s">
        <v>1915</v>
      </c>
      <c r="B1900" t="s">
        <v>34</v>
      </c>
      <c r="C1900" t="s">
        <v>14</v>
      </c>
      <c r="D1900">
        <v>24</v>
      </c>
      <c r="E1900" s="1">
        <v>42986</v>
      </c>
      <c r="F1900">
        <v>2017</v>
      </c>
      <c r="G1900" t="s">
        <v>5033</v>
      </c>
      <c r="H1900">
        <v>8</v>
      </c>
      <c r="I1900">
        <v>1.51</v>
      </c>
      <c r="J1900">
        <v>14</v>
      </c>
      <c r="K1900">
        <v>5525.09</v>
      </c>
      <c r="L1900">
        <v>8.1999999999999993</v>
      </c>
    </row>
    <row r="1901" spans="1:12" x14ac:dyDescent="0.3">
      <c r="A1901" t="s">
        <v>1916</v>
      </c>
      <c r="B1901" t="s">
        <v>24</v>
      </c>
      <c r="C1901" t="s">
        <v>11</v>
      </c>
      <c r="D1901">
        <v>38</v>
      </c>
      <c r="E1901" s="1">
        <v>43135</v>
      </c>
      <c r="F1901">
        <v>2018</v>
      </c>
      <c r="G1901" t="s">
        <v>5042</v>
      </c>
      <c r="H1901">
        <v>4</v>
      </c>
      <c r="I1901">
        <v>2.57</v>
      </c>
      <c r="J1901">
        <v>10</v>
      </c>
      <c r="K1901">
        <v>7418.11</v>
      </c>
      <c r="L1901">
        <v>7.7</v>
      </c>
    </row>
    <row r="1902" spans="1:12" x14ac:dyDescent="0.3">
      <c r="A1902" t="s">
        <v>1917</v>
      </c>
      <c r="B1902" t="s">
        <v>24</v>
      </c>
      <c r="C1902" t="s">
        <v>11</v>
      </c>
      <c r="D1902">
        <v>27</v>
      </c>
      <c r="E1902" s="1">
        <v>40722</v>
      </c>
      <c r="F1902">
        <v>2011</v>
      </c>
      <c r="G1902" t="s">
        <v>5032</v>
      </c>
      <c r="H1902">
        <v>28</v>
      </c>
      <c r="I1902">
        <v>3.06</v>
      </c>
      <c r="J1902">
        <v>11</v>
      </c>
      <c r="K1902">
        <v>5082.29</v>
      </c>
      <c r="L1902">
        <v>14.4</v>
      </c>
    </row>
    <row r="1903" spans="1:12" x14ac:dyDescent="0.3">
      <c r="A1903" t="s">
        <v>1918</v>
      </c>
      <c r="B1903" t="s">
        <v>18</v>
      </c>
      <c r="C1903" t="s">
        <v>11</v>
      </c>
      <c r="D1903">
        <v>29</v>
      </c>
      <c r="E1903" s="1">
        <v>41648</v>
      </c>
      <c r="F1903">
        <v>2014</v>
      </c>
      <c r="G1903" t="s">
        <v>5037</v>
      </c>
      <c r="H1903">
        <v>9</v>
      </c>
      <c r="I1903">
        <v>4.76</v>
      </c>
      <c r="J1903">
        <v>7</v>
      </c>
      <c r="K1903">
        <v>11322.15</v>
      </c>
      <c r="L1903">
        <v>11.8</v>
      </c>
    </row>
    <row r="1904" spans="1:12" x14ac:dyDescent="0.3">
      <c r="A1904" t="s">
        <v>1919</v>
      </c>
      <c r="B1904" t="s">
        <v>24</v>
      </c>
      <c r="C1904" t="s">
        <v>11</v>
      </c>
      <c r="D1904">
        <v>28</v>
      </c>
      <c r="E1904" s="1">
        <v>41091</v>
      </c>
      <c r="F1904">
        <v>2012</v>
      </c>
      <c r="G1904" t="s">
        <v>5034</v>
      </c>
      <c r="H1904">
        <v>1</v>
      </c>
      <c r="I1904">
        <v>4.22</v>
      </c>
      <c r="J1904">
        <v>1</v>
      </c>
      <c r="K1904">
        <v>3271.15</v>
      </c>
      <c r="L1904">
        <v>13.3</v>
      </c>
    </row>
    <row r="1905" spans="1:12" x14ac:dyDescent="0.3">
      <c r="A1905" t="s">
        <v>1920</v>
      </c>
      <c r="B1905" t="s">
        <v>10</v>
      </c>
      <c r="C1905" t="s">
        <v>11</v>
      </c>
      <c r="D1905">
        <v>33</v>
      </c>
      <c r="E1905" s="1">
        <v>42472</v>
      </c>
      <c r="F1905">
        <v>2016</v>
      </c>
      <c r="G1905" t="s">
        <v>5040</v>
      </c>
      <c r="H1905">
        <v>12</v>
      </c>
      <c r="I1905">
        <v>1.84</v>
      </c>
      <c r="J1905">
        <v>2</v>
      </c>
      <c r="K1905">
        <v>6042.21</v>
      </c>
      <c r="L1905">
        <v>9.6</v>
      </c>
    </row>
    <row r="1906" spans="1:12" x14ac:dyDescent="0.3">
      <c r="A1906" t="s">
        <v>1921</v>
      </c>
      <c r="B1906" t="s">
        <v>10</v>
      </c>
      <c r="C1906" t="s">
        <v>11</v>
      </c>
      <c r="D1906">
        <v>52</v>
      </c>
      <c r="E1906" s="1">
        <v>40199</v>
      </c>
      <c r="F1906">
        <v>2010</v>
      </c>
      <c r="G1906" t="s">
        <v>5037</v>
      </c>
      <c r="H1906">
        <v>21</v>
      </c>
      <c r="I1906">
        <v>4.3600000000000003</v>
      </c>
      <c r="J1906">
        <v>14</v>
      </c>
      <c r="K1906">
        <v>5967.76</v>
      </c>
      <c r="L1906">
        <v>15.8</v>
      </c>
    </row>
    <row r="1907" spans="1:12" x14ac:dyDescent="0.3">
      <c r="A1907" t="s">
        <v>1922</v>
      </c>
      <c r="B1907" t="s">
        <v>10</v>
      </c>
      <c r="C1907" t="s">
        <v>11</v>
      </c>
      <c r="D1907">
        <v>33</v>
      </c>
      <c r="E1907" s="1">
        <v>44515</v>
      </c>
      <c r="F1907">
        <v>2021</v>
      </c>
      <c r="G1907" t="s">
        <v>5038</v>
      </c>
      <c r="H1907">
        <v>15</v>
      </c>
      <c r="I1907">
        <v>4.43</v>
      </c>
      <c r="J1907">
        <v>3</v>
      </c>
      <c r="K1907">
        <v>4604.29</v>
      </c>
      <c r="L1907">
        <v>4</v>
      </c>
    </row>
    <row r="1908" spans="1:12" x14ac:dyDescent="0.3">
      <c r="A1908" t="s">
        <v>1923</v>
      </c>
      <c r="B1908" t="s">
        <v>10</v>
      </c>
      <c r="C1908" t="s">
        <v>11</v>
      </c>
      <c r="D1908">
        <v>29</v>
      </c>
      <c r="E1908" s="1">
        <v>42159</v>
      </c>
      <c r="F1908">
        <v>2015</v>
      </c>
      <c r="G1908" t="s">
        <v>5032</v>
      </c>
      <c r="H1908">
        <v>4</v>
      </c>
      <c r="I1908">
        <v>3.43</v>
      </c>
      <c r="J1908">
        <v>9</v>
      </c>
      <c r="K1908">
        <v>9669.02</v>
      </c>
      <c r="L1908">
        <v>10.4</v>
      </c>
    </row>
    <row r="1909" spans="1:12" x14ac:dyDescent="0.3">
      <c r="A1909" t="s">
        <v>1924</v>
      </c>
      <c r="B1909" t="s">
        <v>13</v>
      </c>
      <c r="C1909" t="s">
        <v>14</v>
      </c>
      <c r="D1909">
        <v>35</v>
      </c>
      <c r="E1909" s="1">
        <v>45203</v>
      </c>
      <c r="F1909">
        <v>2023</v>
      </c>
      <c r="G1909" t="s">
        <v>5039</v>
      </c>
      <c r="H1909">
        <v>4</v>
      </c>
      <c r="I1909">
        <v>3.98</v>
      </c>
      <c r="J1909">
        <v>1</v>
      </c>
      <c r="K1909">
        <v>7843.82</v>
      </c>
      <c r="L1909">
        <v>2.1</v>
      </c>
    </row>
    <row r="1910" spans="1:12" x14ac:dyDescent="0.3">
      <c r="A1910" t="s">
        <v>1925</v>
      </c>
      <c r="B1910" t="s">
        <v>34</v>
      </c>
      <c r="C1910" t="s">
        <v>14</v>
      </c>
      <c r="D1910">
        <v>31</v>
      </c>
      <c r="E1910" s="1">
        <v>40251</v>
      </c>
      <c r="F1910">
        <v>2010</v>
      </c>
      <c r="G1910" t="s">
        <v>5035</v>
      </c>
      <c r="H1910">
        <v>14</v>
      </c>
      <c r="I1910">
        <v>4.6500000000000004</v>
      </c>
      <c r="J1910">
        <v>1</v>
      </c>
      <c r="K1910">
        <v>14656.03</v>
      </c>
      <c r="L1910">
        <v>15.6</v>
      </c>
    </row>
    <row r="1911" spans="1:12" x14ac:dyDescent="0.3">
      <c r="A1911" t="s">
        <v>1926</v>
      </c>
      <c r="B1911" t="s">
        <v>18</v>
      </c>
      <c r="C1911" t="s">
        <v>14</v>
      </c>
      <c r="D1911">
        <v>54</v>
      </c>
      <c r="E1911" s="1">
        <v>40201</v>
      </c>
      <c r="F1911">
        <v>2010</v>
      </c>
      <c r="G1911" t="s">
        <v>5037</v>
      </c>
      <c r="H1911">
        <v>23</v>
      </c>
      <c r="I1911">
        <v>4.04</v>
      </c>
      <c r="J1911">
        <v>15</v>
      </c>
      <c r="K1911">
        <v>12890.84</v>
      </c>
      <c r="L1911">
        <v>15.8</v>
      </c>
    </row>
    <row r="1912" spans="1:12" x14ac:dyDescent="0.3">
      <c r="A1912" t="s">
        <v>1927</v>
      </c>
      <c r="B1912" t="s">
        <v>18</v>
      </c>
      <c r="C1912" t="s">
        <v>11</v>
      </c>
      <c r="D1912">
        <v>26</v>
      </c>
      <c r="E1912" s="1">
        <v>41228</v>
      </c>
      <c r="F1912">
        <v>2012</v>
      </c>
      <c r="G1912" t="s">
        <v>5038</v>
      </c>
      <c r="H1912">
        <v>15</v>
      </c>
      <c r="I1912">
        <v>3.58</v>
      </c>
      <c r="J1912">
        <v>2</v>
      </c>
      <c r="K1912">
        <v>9668.69</v>
      </c>
      <c r="L1912">
        <v>13</v>
      </c>
    </row>
    <row r="1913" spans="1:12" x14ac:dyDescent="0.3">
      <c r="A1913" t="s">
        <v>1928</v>
      </c>
      <c r="B1913" t="s">
        <v>16</v>
      </c>
      <c r="C1913" t="s">
        <v>11</v>
      </c>
      <c r="D1913">
        <v>22</v>
      </c>
      <c r="E1913" s="1">
        <v>45575</v>
      </c>
      <c r="F1913">
        <v>2024</v>
      </c>
      <c r="G1913" t="s">
        <v>5039</v>
      </c>
      <c r="H1913">
        <v>10</v>
      </c>
      <c r="I1913">
        <v>2.93</v>
      </c>
      <c r="J1913">
        <v>6</v>
      </c>
      <c r="K1913">
        <v>11442.04</v>
      </c>
      <c r="L1913">
        <v>1.1000000000000001</v>
      </c>
    </row>
    <row r="1914" spans="1:12" x14ac:dyDescent="0.3">
      <c r="A1914" t="s">
        <v>1929</v>
      </c>
      <c r="B1914" t="s">
        <v>16</v>
      </c>
      <c r="C1914" t="s">
        <v>11</v>
      </c>
      <c r="D1914">
        <v>29</v>
      </c>
      <c r="E1914" s="1">
        <v>41997</v>
      </c>
      <c r="F1914">
        <v>2014</v>
      </c>
      <c r="G1914" t="s">
        <v>5041</v>
      </c>
      <c r="H1914">
        <v>24</v>
      </c>
      <c r="I1914">
        <v>4.32</v>
      </c>
      <c r="J1914">
        <v>11</v>
      </c>
      <c r="K1914">
        <v>5412.57</v>
      </c>
      <c r="L1914">
        <v>10.9</v>
      </c>
    </row>
    <row r="1915" spans="1:12" x14ac:dyDescent="0.3">
      <c r="A1915" t="s">
        <v>1930</v>
      </c>
      <c r="B1915" t="s">
        <v>18</v>
      </c>
      <c r="C1915" t="s">
        <v>14</v>
      </c>
      <c r="D1915">
        <v>55</v>
      </c>
      <c r="E1915" s="1">
        <v>41934</v>
      </c>
      <c r="F1915">
        <v>2014</v>
      </c>
      <c r="G1915" t="s">
        <v>5039</v>
      </c>
      <c r="H1915">
        <v>22</v>
      </c>
      <c r="I1915">
        <v>2.37</v>
      </c>
      <c r="J1915">
        <v>13</v>
      </c>
      <c r="K1915">
        <v>10663.8</v>
      </c>
      <c r="L1915">
        <v>11</v>
      </c>
    </row>
    <row r="1916" spans="1:12" x14ac:dyDescent="0.3">
      <c r="A1916" t="s">
        <v>1931</v>
      </c>
      <c r="B1916" t="s">
        <v>13</v>
      </c>
      <c r="C1916" t="s">
        <v>14</v>
      </c>
      <c r="D1916">
        <v>53</v>
      </c>
      <c r="E1916" s="1">
        <v>42510</v>
      </c>
      <c r="F1916">
        <v>2016</v>
      </c>
      <c r="G1916" t="s">
        <v>5036</v>
      </c>
      <c r="H1916">
        <v>20</v>
      </c>
      <c r="I1916">
        <v>3.95</v>
      </c>
      <c r="J1916">
        <v>1</v>
      </c>
      <c r="K1916">
        <v>13642.4</v>
      </c>
      <c r="L1916">
        <v>9.5</v>
      </c>
    </row>
    <row r="1917" spans="1:12" x14ac:dyDescent="0.3">
      <c r="A1917" t="s">
        <v>1932</v>
      </c>
      <c r="B1917" t="s">
        <v>34</v>
      </c>
      <c r="C1917" t="s">
        <v>11</v>
      </c>
      <c r="D1917">
        <v>31</v>
      </c>
      <c r="E1917" s="1">
        <v>41529</v>
      </c>
      <c r="F1917">
        <v>2013</v>
      </c>
      <c r="G1917" t="s">
        <v>5033</v>
      </c>
      <c r="H1917">
        <v>12</v>
      </c>
      <c r="I1917">
        <v>1.74</v>
      </c>
      <c r="J1917">
        <v>12</v>
      </c>
      <c r="K1917">
        <v>14636.1</v>
      </c>
      <c r="L1917">
        <v>12.1</v>
      </c>
    </row>
    <row r="1918" spans="1:12" x14ac:dyDescent="0.3">
      <c r="A1918" t="s">
        <v>1933</v>
      </c>
      <c r="B1918" t="s">
        <v>10</v>
      </c>
      <c r="C1918" t="s">
        <v>14</v>
      </c>
      <c r="D1918">
        <v>36</v>
      </c>
      <c r="E1918" s="1">
        <v>41861</v>
      </c>
      <c r="F1918">
        <v>2014</v>
      </c>
      <c r="G1918" t="s">
        <v>5031</v>
      </c>
      <c r="H1918">
        <v>10</v>
      </c>
      <c r="I1918">
        <v>4.4800000000000004</v>
      </c>
      <c r="J1918">
        <v>15</v>
      </c>
      <c r="K1918">
        <v>9359.9699999999993</v>
      </c>
      <c r="L1918">
        <v>11.2</v>
      </c>
    </row>
    <row r="1919" spans="1:12" x14ac:dyDescent="0.3">
      <c r="A1919" t="s">
        <v>1934</v>
      </c>
      <c r="B1919" t="s">
        <v>24</v>
      </c>
      <c r="C1919" t="s">
        <v>14</v>
      </c>
      <c r="D1919">
        <v>27</v>
      </c>
      <c r="E1919" s="1">
        <v>45046</v>
      </c>
      <c r="F1919">
        <v>2023</v>
      </c>
      <c r="G1919" t="s">
        <v>5040</v>
      </c>
      <c r="H1919">
        <v>30</v>
      </c>
      <c r="I1919">
        <v>2.21</v>
      </c>
      <c r="J1919">
        <v>6</v>
      </c>
      <c r="K1919">
        <v>6215.71</v>
      </c>
      <c r="L1919">
        <v>2.5</v>
      </c>
    </row>
    <row r="1920" spans="1:12" x14ac:dyDescent="0.3">
      <c r="A1920" t="s">
        <v>1935</v>
      </c>
      <c r="B1920" t="s">
        <v>13</v>
      </c>
      <c r="C1920" t="s">
        <v>11</v>
      </c>
      <c r="D1920">
        <v>34</v>
      </c>
      <c r="E1920" s="1">
        <v>42052</v>
      </c>
      <c r="F1920">
        <v>2015</v>
      </c>
      <c r="G1920" t="s">
        <v>5042</v>
      </c>
      <c r="H1920">
        <v>17</v>
      </c>
      <c r="I1920">
        <v>2.2599999999999998</v>
      </c>
      <c r="J1920">
        <v>2</v>
      </c>
      <c r="K1920">
        <v>12671.91</v>
      </c>
      <c r="L1920">
        <v>10.7</v>
      </c>
    </row>
    <row r="1921" spans="1:12" x14ac:dyDescent="0.3">
      <c r="A1921" t="s">
        <v>1936</v>
      </c>
      <c r="B1921" t="s">
        <v>34</v>
      </c>
      <c r="C1921" t="s">
        <v>14</v>
      </c>
      <c r="D1921">
        <v>51</v>
      </c>
      <c r="E1921" s="1">
        <v>43094</v>
      </c>
      <c r="F1921">
        <v>2017</v>
      </c>
      <c r="G1921" t="s">
        <v>5041</v>
      </c>
      <c r="H1921">
        <v>25</v>
      </c>
      <c r="I1921">
        <v>3.62</v>
      </c>
      <c r="J1921">
        <v>2</v>
      </c>
      <c r="K1921">
        <v>3774.54</v>
      </c>
      <c r="L1921">
        <v>7.9</v>
      </c>
    </row>
    <row r="1922" spans="1:12" x14ac:dyDescent="0.3">
      <c r="A1922" t="s">
        <v>1937</v>
      </c>
      <c r="B1922" t="s">
        <v>16</v>
      </c>
      <c r="C1922" t="s">
        <v>14</v>
      </c>
      <c r="D1922">
        <v>44</v>
      </c>
      <c r="E1922" s="1">
        <v>40683</v>
      </c>
      <c r="F1922">
        <v>2011</v>
      </c>
      <c r="G1922" t="s">
        <v>5036</v>
      </c>
      <c r="H1922">
        <v>20</v>
      </c>
      <c r="I1922">
        <v>2.3199999999999998</v>
      </c>
      <c r="J1922">
        <v>15</v>
      </c>
      <c r="K1922">
        <v>11908.28</v>
      </c>
      <c r="L1922">
        <v>14.5</v>
      </c>
    </row>
    <row r="1923" spans="1:12" x14ac:dyDescent="0.3">
      <c r="A1923" t="s">
        <v>1938</v>
      </c>
      <c r="B1923" t="s">
        <v>13</v>
      </c>
      <c r="C1923" t="s">
        <v>11</v>
      </c>
      <c r="D1923">
        <v>29</v>
      </c>
      <c r="E1923" s="1">
        <v>42305</v>
      </c>
      <c r="F1923">
        <v>2015</v>
      </c>
      <c r="G1923" t="s">
        <v>5039</v>
      </c>
      <c r="H1923">
        <v>28</v>
      </c>
      <c r="I1923">
        <v>1.57</v>
      </c>
      <c r="J1923">
        <v>11</v>
      </c>
      <c r="K1923">
        <v>10994.63</v>
      </c>
      <c r="L1923">
        <v>10</v>
      </c>
    </row>
    <row r="1924" spans="1:12" x14ac:dyDescent="0.3">
      <c r="A1924" t="s">
        <v>1939</v>
      </c>
      <c r="B1924" t="s">
        <v>13</v>
      </c>
      <c r="C1924" t="s">
        <v>11</v>
      </c>
      <c r="D1924">
        <v>30</v>
      </c>
      <c r="E1924" s="1">
        <v>43167</v>
      </c>
      <c r="F1924">
        <v>2018</v>
      </c>
      <c r="G1924" t="s">
        <v>5035</v>
      </c>
      <c r="H1924">
        <v>8</v>
      </c>
      <c r="I1924">
        <v>3.33</v>
      </c>
      <c r="J1924">
        <v>4</v>
      </c>
      <c r="K1924">
        <v>4824.6099999999997</v>
      </c>
      <c r="L1924">
        <v>7.7</v>
      </c>
    </row>
    <row r="1925" spans="1:12" x14ac:dyDescent="0.3">
      <c r="A1925" t="s">
        <v>1940</v>
      </c>
      <c r="B1925" t="s">
        <v>16</v>
      </c>
      <c r="C1925" t="s">
        <v>14</v>
      </c>
      <c r="D1925">
        <v>31</v>
      </c>
      <c r="E1925" s="1">
        <v>42888</v>
      </c>
      <c r="F1925">
        <v>2017</v>
      </c>
      <c r="G1925" t="s">
        <v>5032</v>
      </c>
      <c r="H1925">
        <v>2</v>
      </c>
      <c r="I1925">
        <v>4.7300000000000004</v>
      </c>
      <c r="J1925">
        <v>9</v>
      </c>
      <c r="K1925">
        <v>8388.15</v>
      </c>
      <c r="L1925">
        <v>8.4</v>
      </c>
    </row>
    <row r="1926" spans="1:12" x14ac:dyDescent="0.3">
      <c r="A1926" t="s">
        <v>1941</v>
      </c>
      <c r="B1926" t="s">
        <v>24</v>
      </c>
      <c r="C1926" t="s">
        <v>11</v>
      </c>
      <c r="D1926">
        <v>48</v>
      </c>
      <c r="E1926" s="1">
        <v>44265</v>
      </c>
      <c r="F1926">
        <v>2021</v>
      </c>
      <c r="G1926" t="s">
        <v>5035</v>
      </c>
      <c r="H1926">
        <v>10</v>
      </c>
      <c r="I1926">
        <v>1.71</v>
      </c>
      <c r="J1926">
        <v>15</v>
      </c>
      <c r="K1926">
        <v>5999.22</v>
      </c>
      <c r="L1926">
        <v>4.5999999999999996</v>
      </c>
    </row>
    <row r="1927" spans="1:12" x14ac:dyDescent="0.3">
      <c r="A1927" t="s">
        <v>1942</v>
      </c>
      <c r="B1927" t="s">
        <v>34</v>
      </c>
      <c r="C1927" t="s">
        <v>14</v>
      </c>
      <c r="D1927">
        <v>44</v>
      </c>
      <c r="E1927" s="1">
        <v>42717</v>
      </c>
      <c r="F1927">
        <v>2016</v>
      </c>
      <c r="G1927" t="s">
        <v>5041</v>
      </c>
      <c r="H1927">
        <v>13</v>
      </c>
      <c r="I1927">
        <v>2.88</v>
      </c>
      <c r="J1927">
        <v>2</v>
      </c>
      <c r="K1927">
        <v>13717.58</v>
      </c>
      <c r="L1927">
        <v>8.9</v>
      </c>
    </row>
    <row r="1928" spans="1:12" x14ac:dyDescent="0.3">
      <c r="A1928" t="s">
        <v>1943</v>
      </c>
      <c r="B1928" t="s">
        <v>34</v>
      </c>
      <c r="C1928" t="s">
        <v>11</v>
      </c>
      <c r="D1928">
        <v>59</v>
      </c>
      <c r="E1928" s="1">
        <v>41973</v>
      </c>
      <c r="F1928">
        <v>2014</v>
      </c>
      <c r="G1928" t="s">
        <v>5038</v>
      </c>
      <c r="H1928">
        <v>30</v>
      </c>
      <c r="I1928">
        <v>1.5</v>
      </c>
      <c r="J1928">
        <v>14</v>
      </c>
      <c r="K1928">
        <v>11855.09</v>
      </c>
      <c r="L1928">
        <v>10.9</v>
      </c>
    </row>
    <row r="1929" spans="1:12" x14ac:dyDescent="0.3">
      <c r="A1929" t="s">
        <v>1944</v>
      </c>
      <c r="B1929" t="s">
        <v>13</v>
      </c>
      <c r="C1929" t="s">
        <v>11</v>
      </c>
      <c r="D1929">
        <v>38</v>
      </c>
      <c r="E1929" s="1">
        <v>40339</v>
      </c>
      <c r="F1929">
        <v>2010</v>
      </c>
      <c r="G1929" t="s">
        <v>5032</v>
      </c>
      <c r="H1929">
        <v>10</v>
      </c>
      <c r="I1929">
        <v>2.46</v>
      </c>
      <c r="J1929">
        <v>6</v>
      </c>
      <c r="K1929">
        <v>11759.42</v>
      </c>
      <c r="L1929">
        <v>15.4</v>
      </c>
    </row>
    <row r="1930" spans="1:12" x14ac:dyDescent="0.3">
      <c r="A1930" t="s">
        <v>1945</v>
      </c>
      <c r="B1930" t="s">
        <v>10</v>
      </c>
      <c r="C1930" t="s">
        <v>11</v>
      </c>
      <c r="D1930">
        <v>28</v>
      </c>
      <c r="E1930" s="1">
        <v>41456</v>
      </c>
      <c r="F1930">
        <v>2013</v>
      </c>
      <c r="G1930" t="s">
        <v>5034</v>
      </c>
      <c r="H1930">
        <v>1</v>
      </c>
      <c r="I1930">
        <v>4.76</v>
      </c>
      <c r="J1930">
        <v>7</v>
      </c>
      <c r="K1930">
        <v>10835.3</v>
      </c>
      <c r="L1930">
        <v>12.3</v>
      </c>
    </row>
    <row r="1931" spans="1:12" x14ac:dyDescent="0.3">
      <c r="A1931" t="s">
        <v>1946</v>
      </c>
      <c r="B1931" t="s">
        <v>10</v>
      </c>
      <c r="C1931" t="s">
        <v>11</v>
      </c>
      <c r="D1931">
        <v>28</v>
      </c>
      <c r="E1931" s="1">
        <v>45291</v>
      </c>
      <c r="F1931">
        <v>2023</v>
      </c>
      <c r="G1931" t="s">
        <v>5041</v>
      </c>
      <c r="H1931">
        <v>31</v>
      </c>
      <c r="I1931">
        <v>3.26</v>
      </c>
      <c r="J1931">
        <v>7</v>
      </c>
      <c r="K1931">
        <v>7861.79</v>
      </c>
      <c r="L1931">
        <v>1.8</v>
      </c>
    </row>
    <row r="1932" spans="1:12" x14ac:dyDescent="0.3">
      <c r="A1932" t="s">
        <v>1947</v>
      </c>
      <c r="B1932" t="s">
        <v>34</v>
      </c>
      <c r="C1932" t="s">
        <v>14</v>
      </c>
      <c r="D1932">
        <v>52</v>
      </c>
      <c r="E1932" s="1">
        <v>42861</v>
      </c>
      <c r="F1932">
        <v>2017</v>
      </c>
      <c r="G1932" t="s">
        <v>5036</v>
      </c>
      <c r="H1932">
        <v>6</v>
      </c>
      <c r="I1932">
        <v>3.75</v>
      </c>
      <c r="J1932">
        <v>0</v>
      </c>
      <c r="K1932">
        <v>4273.95</v>
      </c>
      <c r="L1932">
        <v>8.5</v>
      </c>
    </row>
    <row r="1933" spans="1:12" x14ac:dyDescent="0.3">
      <c r="A1933" t="s">
        <v>1948</v>
      </c>
      <c r="B1933" t="s">
        <v>10</v>
      </c>
      <c r="C1933" t="s">
        <v>14</v>
      </c>
      <c r="D1933">
        <v>34</v>
      </c>
      <c r="E1933" s="1">
        <v>40272</v>
      </c>
      <c r="F1933">
        <v>2010</v>
      </c>
      <c r="G1933" t="s">
        <v>5040</v>
      </c>
      <c r="H1933">
        <v>4</v>
      </c>
      <c r="I1933">
        <v>3.27</v>
      </c>
      <c r="J1933">
        <v>7</v>
      </c>
      <c r="K1933">
        <v>8326.26</v>
      </c>
      <c r="L1933">
        <v>15.6</v>
      </c>
    </row>
    <row r="1934" spans="1:12" x14ac:dyDescent="0.3">
      <c r="A1934" t="s">
        <v>1949</v>
      </c>
      <c r="B1934" t="s">
        <v>13</v>
      </c>
      <c r="C1934" t="s">
        <v>14</v>
      </c>
      <c r="D1934">
        <v>33</v>
      </c>
      <c r="E1934" s="1">
        <v>43655</v>
      </c>
      <c r="F1934">
        <v>2019</v>
      </c>
      <c r="G1934" t="s">
        <v>5034</v>
      </c>
      <c r="H1934">
        <v>9</v>
      </c>
      <c r="I1934">
        <v>4.5</v>
      </c>
      <c r="J1934">
        <v>11</v>
      </c>
      <c r="K1934">
        <v>4796.33</v>
      </c>
      <c r="L1934">
        <v>6.3</v>
      </c>
    </row>
    <row r="1935" spans="1:12" x14ac:dyDescent="0.3">
      <c r="A1935" t="s">
        <v>1950</v>
      </c>
      <c r="B1935" t="s">
        <v>10</v>
      </c>
      <c r="C1935" t="s">
        <v>11</v>
      </c>
      <c r="D1935">
        <v>30</v>
      </c>
      <c r="E1935" s="1">
        <v>41935</v>
      </c>
      <c r="F1935">
        <v>2014</v>
      </c>
      <c r="G1935" t="s">
        <v>5039</v>
      </c>
      <c r="H1935">
        <v>23</v>
      </c>
      <c r="I1935">
        <v>2.72</v>
      </c>
      <c r="J1935">
        <v>15</v>
      </c>
      <c r="K1935">
        <v>14460.87</v>
      </c>
      <c r="L1935">
        <v>11</v>
      </c>
    </row>
    <row r="1936" spans="1:12" x14ac:dyDescent="0.3">
      <c r="A1936" t="s">
        <v>1951</v>
      </c>
      <c r="B1936" t="s">
        <v>24</v>
      </c>
      <c r="C1936" t="s">
        <v>14</v>
      </c>
      <c r="D1936">
        <v>43</v>
      </c>
      <c r="E1936" s="1">
        <v>43413</v>
      </c>
      <c r="F1936">
        <v>2018</v>
      </c>
      <c r="G1936" t="s">
        <v>5038</v>
      </c>
      <c r="H1936">
        <v>9</v>
      </c>
      <c r="I1936">
        <v>3.17</v>
      </c>
      <c r="J1936">
        <v>14</v>
      </c>
      <c r="K1936">
        <v>12018.52</v>
      </c>
      <c r="L1936">
        <v>7</v>
      </c>
    </row>
    <row r="1937" spans="1:12" x14ac:dyDescent="0.3">
      <c r="A1937" t="s">
        <v>1952</v>
      </c>
      <c r="B1937" t="s">
        <v>34</v>
      </c>
      <c r="C1937" t="s">
        <v>11</v>
      </c>
      <c r="D1937">
        <v>54</v>
      </c>
      <c r="E1937" s="1">
        <v>42875</v>
      </c>
      <c r="F1937">
        <v>2017</v>
      </c>
      <c r="G1937" t="s">
        <v>5036</v>
      </c>
      <c r="H1937">
        <v>20</v>
      </c>
      <c r="I1937">
        <v>1.61</v>
      </c>
      <c r="J1937">
        <v>1</v>
      </c>
      <c r="K1937">
        <v>11942.82</v>
      </c>
      <c r="L1937">
        <v>8.5</v>
      </c>
    </row>
    <row r="1938" spans="1:12" x14ac:dyDescent="0.3">
      <c r="A1938" t="s">
        <v>1953</v>
      </c>
      <c r="B1938" t="s">
        <v>16</v>
      </c>
      <c r="C1938" t="s">
        <v>11</v>
      </c>
      <c r="D1938">
        <v>44</v>
      </c>
      <c r="E1938" s="1">
        <v>44840</v>
      </c>
      <c r="F1938">
        <v>2022</v>
      </c>
      <c r="G1938" t="s">
        <v>5039</v>
      </c>
      <c r="H1938">
        <v>6</v>
      </c>
      <c r="I1938">
        <v>4.4000000000000004</v>
      </c>
      <c r="J1938">
        <v>6</v>
      </c>
      <c r="K1938">
        <v>4720.95</v>
      </c>
      <c r="L1938">
        <v>3.1</v>
      </c>
    </row>
    <row r="1939" spans="1:12" x14ac:dyDescent="0.3">
      <c r="A1939" t="s">
        <v>1954</v>
      </c>
      <c r="B1939" t="s">
        <v>13</v>
      </c>
      <c r="C1939" t="s">
        <v>14</v>
      </c>
      <c r="D1939">
        <v>22</v>
      </c>
      <c r="E1939" s="1">
        <v>41978</v>
      </c>
      <c r="F1939">
        <v>2014</v>
      </c>
      <c r="G1939" t="s">
        <v>5041</v>
      </c>
      <c r="H1939">
        <v>5</v>
      </c>
      <c r="I1939">
        <v>2.98</v>
      </c>
      <c r="J1939">
        <v>6</v>
      </c>
      <c r="K1939">
        <v>4620.62</v>
      </c>
      <c r="L1939">
        <v>10.9</v>
      </c>
    </row>
    <row r="1940" spans="1:12" x14ac:dyDescent="0.3">
      <c r="A1940" t="s">
        <v>1955</v>
      </c>
      <c r="B1940" t="s">
        <v>18</v>
      </c>
      <c r="C1940" t="s">
        <v>14</v>
      </c>
      <c r="D1940">
        <v>49</v>
      </c>
      <c r="E1940" s="1">
        <v>42392</v>
      </c>
      <c r="F1940">
        <v>2016</v>
      </c>
      <c r="G1940" t="s">
        <v>5037</v>
      </c>
      <c r="H1940">
        <v>23</v>
      </c>
      <c r="I1940">
        <v>1.66</v>
      </c>
      <c r="J1940">
        <v>12</v>
      </c>
      <c r="K1940">
        <v>14315.18</v>
      </c>
      <c r="L1940">
        <v>9.8000000000000007</v>
      </c>
    </row>
    <row r="1941" spans="1:12" x14ac:dyDescent="0.3">
      <c r="A1941" t="s">
        <v>1956</v>
      </c>
      <c r="B1941" t="s">
        <v>18</v>
      </c>
      <c r="C1941" t="s">
        <v>14</v>
      </c>
      <c r="D1941">
        <v>23</v>
      </c>
      <c r="E1941" s="1">
        <v>44300</v>
      </c>
      <c r="F1941">
        <v>2021</v>
      </c>
      <c r="G1941" t="s">
        <v>5040</v>
      </c>
      <c r="H1941">
        <v>14</v>
      </c>
      <c r="I1941">
        <v>3.13</v>
      </c>
      <c r="J1941">
        <v>10</v>
      </c>
      <c r="K1941">
        <v>9683.6</v>
      </c>
      <c r="L1941">
        <v>4.5999999999999996</v>
      </c>
    </row>
    <row r="1942" spans="1:12" x14ac:dyDescent="0.3">
      <c r="A1942" t="s">
        <v>1957</v>
      </c>
      <c r="B1942" t="s">
        <v>10</v>
      </c>
      <c r="C1942" t="s">
        <v>14</v>
      </c>
      <c r="D1942">
        <v>35</v>
      </c>
      <c r="E1942" s="1">
        <v>41687</v>
      </c>
      <c r="F1942">
        <v>2014</v>
      </c>
      <c r="G1942" t="s">
        <v>5042</v>
      </c>
      <c r="H1942">
        <v>17</v>
      </c>
      <c r="I1942">
        <v>4.54</v>
      </c>
      <c r="J1942">
        <v>14</v>
      </c>
      <c r="K1942">
        <v>3463.65</v>
      </c>
      <c r="L1942">
        <v>11.7</v>
      </c>
    </row>
    <row r="1943" spans="1:12" x14ac:dyDescent="0.3">
      <c r="A1943" t="s">
        <v>1958</v>
      </c>
      <c r="B1943" t="s">
        <v>34</v>
      </c>
      <c r="C1943" t="s">
        <v>14</v>
      </c>
      <c r="D1943">
        <v>43</v>
      </c>
      <c r="E1943" s="1">
        <v>41555</v>
      </c>
      <c r="F1943">
        <v>2013</v>
      </c>
      <c r="G1943" t="s">
        <v>5039</v>
      </c>
      <c r="H1943">
        <v>8</v>
      </c>
      <c r="I1943">
        <v>1.94</v>
      </c>
      <c r="J1943">
        <v>4</v>
      </c>
      <c r="K1943">
        <v>14285.66</v>
      </c>
      <c r="L1943">
        <v>12.1</v>
      </c>
    </row>
    <row r="1944" spans="1:12" x14ac:dyDescent="0.3">
      <c r="A1944" t="s">
        <v>1959</v>
      </c>
      <c r="B1944" t="s">
        <v>18</v>
      </c>
      <c r="C1944" t="s">
        <v>14</v>
      </c>
      <c r="D1944">
        <v>36</v>
      </c>
      <c r="E1944" s="1">
        <v>43995</v>
      </c>
      <c r="F1944">
        <v>2020</v>
      </c>
      <c r="G1944" t="s">
        <v>5032</v>
      </c>
      <c r="H1944">
        <v>13</v>
      </c>
      <c r="I1944">
        <v>2.74</v>
      </c>
      <c r="J1944">
        <v>0</v>
      </c>
      <c r="K1944">
        <v>3887.32</v>
      </c>
      <c r="L1944">
        <v>5.4</v>
      </c>
    </row>
    <row r="1945" spans="1:12" x14ac:dyDescent="0.3">
      <c r="A1945" t="s">
        <v>1960</v>
      </c>
      <c r="B1945" t="s">
        <v>13</v>
      </c>
      <c r="C1945" t="s">
        <v>11</v>
      </c>
      <c r="D1945">
        <v>32</v>
      </c>
      <c r="E1945" s="1">
        <v>41821</v>
      </c>
      <c r="F1945">
        <v>2014</v>
      </c>
      <c r="G1945" t="s">
        <v>5034</v>
      </c>
      <c r="H1945">
        <v>1</v>
      </c>
      <c r="I1945">
        <v>4.4400000000000004</v>
      </c>
      <c r="J1945">
        <v>13</v>
      </c>
      <c r="K1945">
        <v>9245.4699999999993</v>
      </c>
      <c r="L1945">
        <v>11.3</v>
      </c>
    </row>
    <row r="1946" spans="1:12" x14ac:dyDescent="0.3">
      <c r="A1946" t="s">
        <v>1961</v>
      </c>
      <c r="B1946" t="s">
        <v>13</v>
      </c>
      <c r="C1946" t="s">
        <v>14</v>
      </c>
      <c r="D1946">
        <v>30</v>
      </c>
      <c r="E1946" s="1">
        <v>45022</v>
      </c>
      <c r="F1946">
        <v>2023</v>
      </c>
      <c r="G1946" t="s">
        <v>5040</v>
      </c>
      <c r="H1946">
        <v>6</v>
      </c>
      <c r="I1946">
        <v>2.11</v>
      </c>
      <c r="J1946">
        <v>11</v>
      </c>
      <c r="K1946">
        <v>5658.8</v>
      </c>
      <c r="L1946">
        <v>2.6</v>
      </c>
    </row>
    <row r="1947" spans="1:12" x14ac:dyDescent="0.3">
      <c r="A1947" t="s">
        <v>1962</v>
      </c>
      <c r="B1947" t="s">
        <v>10</v>
      </c>
      <c r="C1947" t="s">
        <v>14</v>
      </c>
      <c r="D1947">
        <v>32</v>
      </c>
      <c r="E1947" s="1">
        <v>44589</v>
      </c>
      <c r="F1947">
        <v>2022</v>
      </c>
      <c r="G1947" t="s">
        <v>5037</v>
      </c>
      <c r="H1947">
        <v>28</v>
      </c>
      <c r="I1947">
        <v>2.5</v>
      </c>
      <c r="J1947">
        <v>7</v>
      </c>
      <c r="K1947">
        <v>12225.87</v>
      </c>
      <c r="L1947">
        <v>3.8</v>
      </c>
    </row>
    <row r="1948" spans="1:12" x14ac:dyDescent="0.3">
      <c r="A1948" t="s">
        <v>1963</v>
      </c>
      <c r="B1948" t="s">
        <v>18</v>
      </c>
      <c r="C1948" t="s">
        <v>11</v>
      </c>
      <c r="D1948">
        <v>41</v>
      </c>
      <c r="E1948" s="1">
        <v>44169</v>
      </c>
      <c r="F1948">
        <v>2020</v>
      </c>
      <c r="G1948" t="s">
        <v>5041</v>
      </c>
      <c r="H1948">
        <v>4</v>
      </c>
      <c r="I1948">
        <v>2.08</v>
      </c>
      <c r="J1948">
        <v>13</v>
      </c>
      <c r="K1948">
        <v>8099.48</v>
      </c>
      <c r="L1948">
        <v>4.9000000000000004</v>
      </c>
    </row>
    <row r="1949" spans="1:12" x14ac:dyDescent="0.3">
      <c r="A1949" t="s">
        <v>1964</v>
      </c>
      <c r="B1949" t="s">
        <v>24</v>
      </c>
      <c r="C1949" t="s">
        <v>11</v>
      </c>
      <c r="D1949">
        <v>39</v>
      </c>
      <c r="E1949" s="1">
        <v>45917</v>
      </c>
      <c r="F1949">
        <v>2025</v>
      </c>
      <c r="G1949" t="s">
        <v>5033</v>
      </c>
      <c r="H1949">
        <v>17</v>
      </c>
      <c r="I1949">
        <v>2.91</v>
      </c>
      <c r="J1949">
        <v>5</v>
      </c>
      <c r="K1949">
        <v>14869.83</v>
      </c>
      <c r="L1949">
        <v>0.1</v>
      </c>
    </row>
    <row r="1950" spans="1:12" x14ac:dyDescent="0.3">
      <c r="A1950" t="s">
        <v>1965</v>
      </c>
      <c r="B1950" t="s">
        <v>10</v>
      </c>
      <c r="C1950" t="s">
        <v>11</v>
      </c>
      <c r="D1950">
        <v>24</v>
      </c>
      <c r="E1950" s="1">
        <v>42540</v>
      </c>
      <c r="F1950">
        <v>2016</v>
      </c>
      <c r="G1950" t="s">
        <v>5032</v>
      </c>
      <c r="H1950">
        <v>19</v>
      </c>
      <c r="I1950">
        <v>2.46</v>
      </c>
      <c r="J1950">
        <v>11</v>
      </c>
      <c r="K1950">
        <v>4253.25</v>
      </c>
      <c r="L1950">
        <v>9.4</v>
      </c>
    </row>
    <row r="1951" spans="1:12" x14ac:dyDescent="0.3">
      <c r="A1951" t="s">
        <v>1966</v>
      </c>
      <c r="B1951" t="s">
        <v>34</v>
      </c>
      <c r="C1951" t="s">
        <v>14</v>
      </c>
      <c r="D1951">
        <v>32</v>
      </c>
      <c r="E1951" s="1">
        <v>40231</v>
      </c>
      <c r="F1951">
        <v>2010</v>
      </c>
      <c r="G1951" t="s">
        <v>5042</v>
      </c>
      <c r="H1951">
        <v>22</v>
      </c>
      <c r="I1951">
        <v>4.1500000000000004</v>
      </c>
      <c r="J1951">
        <v>13</v>
      </c>
      <c r="K1951">
        <v>3895.47</v>
      </c>
      <c r="L1951">
        <v>15.7</v>
      </c>
    </row>
    <row r="1952" spans="1:12" x14ac:dyDescent="0.3">
      <c r="A1952" t="s">
        <v>1967</v>
      </c>
      <c r="B1952" t="s">
        <v>16</v>
      </c>
      <c r="C1952" t="s">
        <v>11</v>
      </c>
      <c r="D1952">
        <v>39</v>
      </c>
      <c r="E1952" s="1">
        <v>45488</v>
      </c>
      <c r="F1952">
        <v>2024</v>
      </c>
      <c r="G1952" t="s">
        <v>5034</v>
      </c>
      <c r="H1952">
        <v>15</v>
      </c>
      <c r="I1952">
        <v>4.1399999999999997</v>
      </c>
      <c r="J1952">
        <v>4</v>
      </c>
      <c r="K1952">
        <v>11084.5</v>
      </c>
      <c r="L1952">
        <v>1.3</v>
      </c>
    </row>
    <row r="1953" spans="1:12" x14ac:dyDescent="0.3">
      <c r="A1953" t="s">
        <v>1968</v>
      </c>
      <c r="B1953" t="s">
        <v>13</v>
      </c>
      <c r="C1953" t="s">
        <v>11</v>
      </c>
      <c r="D1953">
        <v>32</v>
      </c>
      <c r="E1953" s="1">
        <v>40398</v>
      </c>
      <c r="F1953">
        <v>2010</v>
      </c>
      <c r="G1953" t="s">
        <v>5031</v>
      </c>
      <c r="H1953">
        <v>8</v>
      </c>
      <c r="I1953">
        <v>3.05</v>
      </c>
      <c r="J1953">
        <v>13</v>
      </c>
      <c r="K1953">
        <v>9072.99</v>
      </c>
      <c r="L1953">
        <v>15.2</v>
      </c>
    </row>
    <row r="1954" spans="1:12" x14ac:dyDescent="0.3">
      <c r="A1954" t="s">
        <v>1969</v>
      </c>
      <c r="B1954" t="s">
        <v>10</v>
      </c>
      <c r="C1954" t="s">
        <v>14</v>
      </c>
      <c r="D1954">
        <v>42</v>
      </c>
      <c r="E1954" s="1">
        <v>44018</v>
      </c>
      <c r="F1954">
        <v>2020</v>
      </c>
      <c r="G1954" t="s">
        <v>5034</v>
      </c>
      <c r="H1954">
        <v>6</v>
      </c>
      <c r="I1954">
        <v>2.94</v>
      </c>
      <c r="J1954">
        <v>3</v>
      </c>
      <c r="K1954">
        <v>5854.5</v>
      </c>
      <c r="L1954">
        <v>5.3</v>
      </c>
    </row>
    <row r="1955" spans="1:12" x14ac:dyDescent="0.3">
      <c r="A1955" t="s">
        <v>1970</v>
      </c>
      <c r="B1955" t="s">
        <v>34</v>
      </c>
      <c r="C1955" t="s">
        <v>14</v>
      </c>
      <c r="D1955">
        <v>57</v>
      </c>
      <c r="E1955" s="1">
        <v>43015</v>
      </c>
      <c r="F1955">
        <v>2017</v>
      </c>
      <c r="G1955" t="s">
        <v>5039</v>
      </c>
      <c r="H1955">
        <v>7</v>
      </c>
      <c r="I1955">
        <v>1.78</v>
      </c>
      <c r="J1955">
        <v>1</v>
      </c>
      <c r="K1955">
        <v>12555.73</v>
      </c>
      <c r="L1955">
        <v>8.1</v>
      </c>
    </row>
    <row r="1956" spans="1:12" x14ac:dyDescent="0.3">
      <c r="A1956" t="s">
        <v>1971</v>
      </c>
      <c r="B1956" t="s">
        <v>13</v>
      </c>
      <c r="C1956" t="s">
        <v>14</v>
      </c>
      <c r="D1956">
        <v>31</v>
      </c>
      <c r="E1956" s="1">
        <v>42038</v>
      </c>
      <c r="F1956">
        <v>2015</v>
      </c>
      <c r="G1956" t="s">
        <v>5042</v>
      </c>
      <c r="H1956">
        <v>3</v>
      </c>
      <c r="I1956">
        <v>3.29</v>
      </c>
      <c r="J1956">
        <v>5</v>
      </c>
      <c r="K1956">
        <v>9765.7199999999993</v>
      </c>
      <c r="L1956">
        <v>10.8</v>
      </c>
    </row>
    <row r="1957" spans="1:12" x14ac:dyDescent="0.3">
      <c r="A1957" t="s">
        <v>1972</v>
      </c>
      <c r="B1957" t="s">
        <v>18</v>
      </c>
      <c r="C1957" t="s">
        <v>14</v>
      </c>
      <c r="D1957">
        <v>31</v>
      </c>
      <c r="E1957" s="1">
        <v>43943</v>
      </c>
      <c r="F1957">
        <v>2020</v>
      </c>
      <c r="G1957" t="s">
        <v>5040</v>
      </c>
      <c r="H1957">
        <v>22</v>
      </c>
      <c r="I1957">
        <v>3.69</v>
      </c>
      <c r="J1957">
        <v>15</v>
      </c>
      <c r="K1957">
        <v>10181.040000000001</v>
      </c>
      <c r="L1957">
        <v>5.5</v>
      </c>
    </row>
    <row r="1958" spans="1:12" x14ac:dyDescent="0.3">
      <c r="A1958" t="s">
        <v>1973</v>
      </c>
      <c r="B1958" t="s">
        <v>24</v>
      </c>
      <c r="C1958" t="s">
        <v>11</v>
      </c>
      <c r="D1958">
        <v>42</v>
      </c>
      <c r="E1958" s="1">
        <v>42162</v>
      </c>
      <c r="F1958">
        <v>2015</v>
      </c>
      <c r="G1958" t="s">
        <v>5032</v>
      </c>
      <c r="H1958">
        <v>7</v>
      </c>
      <c r="I1958">
        <v>4.43</v>
      </c>
      <c r="J1958">
        <v>2</v>
      </c>
      <c r="K1958">
        <v>10578.81</v>
      </c>
      <c r="L1958">
        <v>10.4</v>
      </c>
    </row>
    <row r="1959" spans="1:12" x14ac:dyDescent="0.3">
      <c r="A1959" t="s">
        <v>1974</v>
      </c>
      <c r="B1959" t="s">
        <v>24</v>
      </c>
      <c r="C1959" t="s">
        <v>11</v>
      </c>
      <c r="D1959">
        <v>23</v>
      </c>
      <c r="E1959" s="1">
        <v>45375</v>
      </c>
      <c r="F1959">
        <v>2024</v>
      </c>
      <c r="G1959" t="s">
        <v>5035</v>
      </c>
      <c r="H1959">
        <v>24</v>
      </c>
      <c r="I1959">
        <v>3.19</v>
      </c>
      <c r="J1959">
        <v>2</v>
      </c>
      <c r="K1959">
        <v>12096.52</v>
      </c>
      <c r="L1959">
        <v>1.6</v>
      </c>
    </row>
    <row r="1960" spans="1:12" x14ac:dyDescent="0.3">
      <c r="A1960" t="s">
        <v>1975</v>
      </c>
      <c r="B1960" t="s">
        <v>13</v>
      </c>
      <c r="C1960" t="s">
        <v>11</v>
      </c>
      <c r="D1960">
        <v>22</v>
      </c>
      <c r="E1960" s="1">
        <v>40779</v>
      </c>
      <c r="F1960">
        <v>2011</v>
      </c>
      <c r="G1960" t="s">
        <v>5031</v>
      </c>
      <c r="H1960">
        <v>24</v>
      </c>
      <c r="I1960">
        <v>4.6399999999999997</v>
      </c>
      <c r="J1960">
        <v>6</v>
      </c>
      <c r="K1960">
        <v>7852.31</v>
      </c>
      <c r="L1960">
        <v>14.2</v>
      </c>
    </row>
    <row r="1961" spans="1:12" x14ac:dyDescent="0.3">
      <c r="A1961" t="s">
        <v>1976</v>
      </c>
      <c r="B1961" t="s">
        <v>16</v>
      </c>
      <c r="C1961" t="s">
        <v>14</v>
      </c>
      <c r="D1961">
        <v>58</v>
      </c>
      <c r="E1961" s="1">
        <v>41677</v>
      </c>
      <c r="F1961">
        <v>2014</v>
      </c>
      <c r="G1961" t="s">
        <v>5042</v>
      </c>
      <c r="H1961">
        <v>7</v>
      </c>
      <c r="I1961">
        <v>4.9400000000000004</v>
      </c>
      <c r="J1961">
        <v>1</v>
      </c>
      <c r="K1961">
        <v>7290.72</v>
      </c>
      <c r="L1961">
        <v>11.7</v>
      </c>
    </row>
    <row r="1962" spans="1:12" x14ac:dyDescent="0.3">
      <c r="A1962" t="s">
        <v>1977</v>
      </c>
      <c r="B1962" t="s">
        <v>10</v>
      </c>
      <c r="C1962" t="s">
        <v>14</v>
      </c>
      <c r="D1962">
        <v>27</v>
      </c>
      <c r="E1962" s="1">
        <v>41323</v>
      </c>
      <c r="F1962">
        <v>2013</v>
      </c>
      <c r="G1962" t="s">
        <v>5042</v>
      </c>
      <c r="H1962">
        <v>18</v>
      </c>
      <c r="I1962">
        <v>2.5</v>
      </c>
      <c r="J1962">
        <v>7</v>
      </c>
      <c r="K1962">
        <v>12391.81</v>
      </c>
      <c r="L1962">
        <v>12.7</v>
      </c>
    </row>
    <row r="1963" spans="1:12" x14ac:dyDescent="0.3">
      <c r="A1963" t="s">
        <v>1978</v>
      </c>
      <c r="B1963" t="s">
        <v>24</v>
      </c>
      <c r="C1963" t="s">
        <v>11</v>
      </c>
      <c r="D1963">
        <v>56</v>
      </c>
      <c r="E1963" s="1">
        <v>43526</v>
      </c>
      <c r="F1963">
        <v>2019</v>
      </c>
      <c r="G1963" t="s">
        <v>5035</v>
      </c>
      <c r="H1963">
        <v>2</v>
      </c>
      <c r="I1963">
        <v>3.89</v>
      </c>
      <c r="J1963">
        <v>13</v>
      </c>
      <c r="K1963">
        <v>10819.08</v>
      </c>
      <c r="L1963">
        <v>6.7</v>
      </c>
    </row>
    <row r="1964" spans="1:12" x14ac:dyDescent="0.3">
      <c r="A1964" t="s">
        <v>1979</v>
      </c>
      <c r="B1964" t="s">
        <v>13</v>
      </c>
      <c r="C1964" t="s">
        <v>14</v>
      </c>
      <c r="D1964">
        <v>31</v>
      </c>
      <c r="E1964" s="1">
        <v>43213</v>
      </c>
      <c r="F1964">
        <v>2018</v>
      </c>
      <c r="G1964" t="s">
        <v>5040</v>
      </c>
      <c r="H1964">
        <v>23</v>
      </c>
      <c r="I1964">
        <v>3.44</v>
      </c>
      <c r="J1964">
        <v>9</v>
      </c>
      <c r="K1964">
        <v>3114.17</v>
      </c>
      <c r="L1964">
        <v>7.5</v>
      </c>
    </row>
    <row r="1965" spans="1:12" x14ac:dyDescent="0.3">
      <c r="A1965" t="s">
        <v>1980</v>
      </c>
      <c r="B1965" t="s">
        <v>10</v>
      </c>
      <c r="C1965" t="s">
        <v>14</v>
      </c>
      <c r="D1965">
        <v>55</v>
      </c>
      <c r="E1965" s="1">
        <v>41410</v>
      </c>
      <c r="F1965">
        <v>2013</v>
      </c>
      <c r="G1965" t="s">
        <v>5036</v>
      </c>
      <c r="H1965">
        <v>16</v>
      </c>
      <c r="I1965">
        <v>2.84</v>
      </c>
      <c r="J1965">
        <v>4</v>
      </c>
      <c r="K1965">
        <v>12149.76</v>
      </c>
      <c r="L1965">
        <v>12.5</v>
      </c>
    </row>
    <row r="1966" spans="1:12" x14ac:dyDescent="0.3">
      <c r="A1966" t="s">
        <v>1981</v>
      </c>
      <c r="B1966" t="s">
        <v>16</v>
      </c>
      <c r="C1966" t="s">
        <v>11</v>
      </c>
      <c r="D1966">
        <v>47</v>
      </c>
      <c r="E1966" s="1">
        <v>44029</v>
      </c>
      <c r="F1966">
        <v>2020</v>
      </c>
      <c r="G1966" t="s">
        <v>5034</v>
      </c>
      <c r="H1966">
        <v>17</v>
      </c>
      <c r="I1966">
        <v>4.63</v>
      </c>
      <c r="J1966">
        <v>14</v>
      </c>
      <c r="K1966">
        <v>4556.0200000000004</v>
      </c>
      <c r="L1966">
        <v>5.3</v>
      </c>
    </row>
    <row r="1967" spans="1:12" x14ac:dyDescent="0.3">
      <c r="A1967" t="s">
        <v>1982</v>
      </c>
      <c r="B1967" t="s">
        <v>24</v>
      </c>
      <c r="C1967" t="s">
        <v>14</v>
      </c>
      <c r="D1967">
        <v>48</v>
      </c>
      <c r="E1967" s="1">
        <v>43836</v>
      </c>
      <c r="F1967">
        <v>2020</v>
      </c>
      <c r="G1967" t="s">
        <v>5037</v>
      </c>
      <c r="H1967">
        <v>6</v>
      </c>
      <c r="I1967">
        <v>1.62</v>
      </c>
      <c r="J1967">
        <v>10</v>
      </c>
      <c r="K1967">
        <v>10927.98</v>
      </c>
      <c r="L1967">
        <v>5.8</v>
      </c>
    </row>
    <row r="1968" spans="1:12" x14ac:dyDescent="0.3">
      <c r="A1968" t="s">
        <v>1983</v>
      </c>
      <c r="B1968" t="s">
        <v>18</v>
      </c>
      <c r="C1968" t="s">
        <v>11</v>
      </c>
      <c r="D1968">
        <v>23</v>
      </c>
      <c r="E1968" s="1">
        <v>41910</v>
      </c>
      <c r="F1968">
        <v>2014</v>
      </c>
      <c r="G1968" t="s">
        <v>5033</v>
      </c>
      <c r="H1968">
        <v>28</v>
      </c>
      <c r="I1968">
        <v>3.13</v>
      </c>
      <c r="J1968">
        <v>6</v>
      </c>
      <c r="K1968">
        <v>10782.4</v>
      </c>
      <c r="L1968">
        <v>11.1</v>
      </c>
    </row>
    <row r="1969" spans="1:12" x14ac:dyDescent="0.3">
      <c r="A1969" t="s">
        <v>1984</v>
      </c>
      <c r="B1969" t="s">
        <v>10</v>
      </c>
      <c r="C1969" t="s">
        <v>11</v>
      </c>
      <c r="D1969">
        <v>36</v>
      </c>
      <c r="E1969" s="1">
        <v>40266</v>
      </c>
      <c r="F1969">
        <v>2010</v>
      </c>
      <c r="G1969" t="s">
        <v>5035</v>
      </c>
      <c r="H1969">
        <v>29</v>
      </c>
      <c r="I1969">
        <v>3.3</v>
      </c>
      <c r="J1969">
        <v>13</v>
      </c>
      <c r="K1969">
        <v>10617.82</v>
      </c>
      <c r="L1969">
        <v>15.6</v>
      </c>
    </row>
    <row r="1970" spans="1:12" x14ac:dyDescent="0.3">
      <c r="A1970" t="s">
        <v>1985</v>
      </c>
      <c r="B1970" t="s">
        <v>34</v>
      </c>
      <c r="C1970" t="s">
        <v>14</v>
      </c>
      <c r="D1970">
        <v>54</v>
      </c>
      <c r="E1970" s="1">
        <v>41745</v>
      </c>
      <c r="F1970">
        <v>2014</v>
      </c>
      <c r="G1970" t="s">
        <v>5040</v>
      </c>
      <c r="H1970">
        <v>16</v>
      </c>
      <c r="I1970">
        <v>2.93</v>
      </c>
      <c r="J1970">
        <v>6</v>
      </c>
      <c r="K1970">
        <v>10158.09</v>
      </c>
      <c r="L1970">
        <v>11.6</v>
      </c>
    </row>
    <row r="1971" spans="1:12" x14ac:dyDescent="0.3">
      <c r="A1971" t="s">
        <v>1986</v>
      </c>
      <c r="B1971" t="s">
        <v>10</v>
      </c>
      <c r="C1971" t="s">
        <v>11</v>
      </c>
      <c r="D1971">
        <v>26</v>
      </c>
      <c r="E1971" s="1">
        <v>45003</v>
      </c>
      <c r="F1971">
        <v>2023</v>
      </c>
      <c r="G1971" t="s">
        <v>5035</v>
      </c>
      <c r="H1971">
        <v>18</v>
      </c>
      <c r="I1971">
        <v>4.03</v>
      </c>
      <c r="J1971">
        <v>0</v>
      </c>
      <c r="K1971">
        <v>9496.7800000000007</v>
      </c>
      <c r="L1971">
        <v>2.6</v>
      </c>
    </row>
    <row r="1972" spans="1:12" x14ac:dyDescent="0.3">
      <c r="A1972" t="s">
        <v>1987</v>
      </c>
      <c r="B1972" t="s">
        <v>16</v>
      </c>
      <c r="C1972" t="s">
        <v>11</v>
      </c>
      <c r="D1972">
        <v>48</v>
      </c>
      <c r="E1972" s="1">
        <v>45446</v>
      </c>
      <c r="F1972">
        <v>2024</v>
      </c>
      <c r="G1972" t="s">
        <v>5032</v>
      </c>
      <c r="H1972">
        <v>3</v>
      </c>
      <c r="I1972">
        <v>4.16</v>
      </c>
      <c r="J1972">
        <v>11</v>
      </c>
      <c r="K1972">
        <v>6269.71</v>
      </c>
      <c r="L1972">
        <v>1.4</v>
      </c>
    </row>
    <row r="1973" spans="1:12" x14ac:dyDescent="0.3">
      <c r="A1973" t="s">
        <v>1988</v>
      </c>
      <c r="B1973" t="s">
        <v>13</v>
      </c>
      <c r="C1973" t="s">
        <v>11</v>
      </c>
      <c r="D1973">
        <v>24</v>
      </c>
      <c r="E1973" s="1">
        <v>40515</v>
      </c>
      <c r="F1973">
        <v>2010</v>
      </c>
      <c r="G1973" t="s">
        <v>5041</v>
      </c>
      <c r="H1973">
        <v>3</v>
      </c>
      <c r="I1973">
        <v>4.3600000000000003</v>
      </c>
      <c r="J1973">
        <v>12</v>
      </c>
      <c r="K1973">
        <v>7574.17</v>
      </c>
      <c r="L1973">
        <v>14.9</v>
      </c>
    </row>
    <row r="1974" spans="1:12" x14ac:dyDescent="0.3">
      <c r="A1974" t="s">
        <v>1989</v>
      </c>
      <c r="B1974" t="s">
        <v>18</v>
      </c>
      <c r="C1974" t="s">
        <v>11</v>
      </c>
      <c r="D1974">
        <v>27</v>
      </c>
      <c r="E1974" s="1">
        <v>43155</v>
      </c>
      <c r="F1974">
        <v>2018</v>
      </c>
      <c r="G1974" t="s">
        <v>5042</v>
      </c>
      <c r="H1974">
        <v>24</v>
      </c>
      <c r="I1974">
        <v>3.85</v>
      </c>
      <c r="J1974">
        <v>3</v>
      </c>
      <c r="K1974">
        <v>6466.87</v>
      </c>
      <c r="L1974">
        <v>7.7</v>
      </c>
    </row>
    <row r="1975" spans="1:12" x14ac:dyDescent="0.3">
      <c r="A1975" t="s">
        <v>1990</v>
      </c>
      <c r="B1975" t="s">
        <v>16</v>
      </c>
      <c r="C1975" t="s">
        <v>14</v>
      </c>
      <c r="D1975">
        <v>55</v>
      </c>
      <c r="E1975" s="1">
        <v>45320</v>
      </c>
      <c r="F1975">
        <v>2024</v>
      </c>
      <c r="G1975" t="s">
        <v>5037</v>
      </c>
      <c r="H1975">
        <v>29</v>
      </c>
      <c r="I1975">
        <v>4.6100000000000003</v>
      </c>
      <c r="J1975">
        <v>8</v>
      </c>
      <c r="K1975">
        <v>5624.42</v>
      </c>
      <c r="L1975">
        <v>1.8</v>
      </c>
    </row>
    <row r="1976" spans="1:12" x14ac:dyDescent="0.3">
      <c r="A1976" t="s">
        <v>1991</v>
      </c>
      <c r="B1976" t="s">
        <v>10</v>
      </c>
      <c r="C1976" t="s">
        <v>11</v>
      </c>
      <c r="D1976">
        <v>32</v>
      </c>
      <c r="E1976" s="1">
        <v>43078</v>
      </c>
      <c r="F1976">
        <v>2017</v>
      </c>
      <c r="G1976" t="s">
        <v>5041</v>
      </c>
      <c r="H1976">
        <v>9</v>
      </c>
      <c r="I1976">
        <v>4.95</v>
      </c>
      <c r="J1976">
        <v>10</v>
      </c>
      <c r="K1976">
        <v>6692.37</v>
      </c>
      <c r="L1976">
        <v>7.9</v>
      </c>
    </row>
    <row r="1977" spans="1:12" x14ac:dyDescent="0.3">
      <c r="A1977" t="s">
        <v>1992</v>
      </c>
      <c r="B1977" t="s">
        <v>24</v>
      </c>
      <c r="C1977" t="s">
        <v>11</v>
      </c>
      <c r="D1977">
        <v>23</v>
      </c>
      <c r="E1977" s="1">
        <v>40709</v>
      </c>
      <c r="F1977">
        <v>2011</v>
      </c>
      <c r="G1977" t="s">
        <v>5032</v>
      </c>
      <c r="H1977">
        <v>15</v>
      </c>
      <c r="I1977">
        <v>4.7</v>
      </c>
      <c r="J1977">
        <v>1</v>
      </c>
      <c r="K1977">
        <v>4772.45</v>
      </c>
      <c r="L1977">
        <v>14.4</v>
      </c>
    </row>
    <row r="1978" spans="1:12" x14ac:dyDescent="0.3">
      <c r="A1978" t="s">
        <v>1993</v>
      </c>
      <c r="B1978" t="s">
        <v>10</v>
      </c>
      <c r="C1978" t="s">
        <v>11</v>
      </c>
      <c r="D1978">
        <v>56</v>
      </c>
      <c r="E1978" s="1">
        <v>40696</v>
      </c>
      <c r="F1978">
        <v>2011</v>
      </c>
      <c r="G1978" t="s">
        <v>5032</v>
      </c>
      <c r="H1978">
        <v>2</v>
      </c>
      <c r="I1978">
        <v>4.96</v>
      </c>
      <c r="J1978">
        <v>6</v>
      </c>
      <c r="K1978">
        <v>6481.86</v>
      </c>
      <c r="L1978">
        <v>14.4</v>
      </c>
    </row>
    <row r="1979" spans="1:12" x14ac:dyDescent="0.3">
      <c r="A1979" t="s">
        <v>1994</v>
      </c>
      <c r="B1979" t="s">
        <v>16</v>
      </c>
      <c r="C1979" t="s">
        <v>11</v>
      </c>
      <c r="D1979">
        <v>48</v>
      </c>
      <c r="E1979" s="1">
        <v>41367</v>
      </c>
      <c r="F1979">
        <v>2013</v>
      </c>
      <c r="G1979" t="s">
        <v>5040</v>
      </c>
      <c r="H1979">
        <v>3</v>
      </c>
      <c r="I1979">
        <v>4.41</v>
      </c>
      <c r="J1979">
        <v>10</v>
      </c>
      <c r="K1979">
        <v>11127.52</v>
      </c>
      <c r="L1979">
        <v>12.6</v>
      </c>
    </row>
    <row r="1980" spans="1:12" x14ac:dyDescent="0.3">
      <c r="A1980" t="s">
        <v>1995</v>
      </c>
      <c r="B1980" t="s">
        <v>18</v>
      </c>
      <c r="C1980" t="s">
        <v>14</v>
      </c>
      <c r="D1980">
        <v>25</v>
      </c>
      <c r="E1980" s="1">
        <v>45892</v>
      </c>
      <c r="F1980">
        <v>2025</v>
      </c>
      <c r="G1980" t="s">
        <v>5031</v>
      </c>
      <c r="H1980">
        <v>23</v>
      </c>
      <c r="I1980">
        <v>3.52</v>
      </c>
      <c r="J1980">
        <v>7</v>
      </c>
      <c r="K1980">
        <v>12319.64</v>
      </c>
      <c r="L1980">
        <v>0.2</v>
      </c>
    </row>
    <row r="1981" spans="1:12" x14ac:dyDescent="0.3">
      <c r="A1981" t="s">
        <v>1996</v>
      </c>
      <c r="B1981" t="s">
        <v>18</v>
      </c>
      <c r="C1981" t="s">
        <v>11</v>
      </c>
      <c r="D1981">
        <v>31</v>
      </c>
      <c r="E1981" s="1">
        <v>44843</v>
      </c>
      <c r="F1981">
        <v>2022</v>
      </c>
      <c r="G1981" t="s">
        <v>5039</v>
      </c>
      <c r="H1981">
        <v>9</v>
      </c>
      <c r="I1981">
        <v>4.3</v>
      </c>
      <c r="J1981">
        <v>3</v>
      </c>
      <c r="K1981">
        <v>11642.17</v>
      </c>
      <c r="L1981">
        <v>3.1</v>
      </c>
    </row>
    <row r="1982" spans="1:12" x14ac:dyDescent="0.3">
      <c r="A1982" t="s">
        <v>1997</v>
      </c>
      <c r="B1982" t="s">
        <v>13</v>
      </c>
      <c r="C1982" t="s">
        <v>11</v>
      </c>
      <c r="D1982">
        <v>39</v>
      </c>
      <c r="E1982" s="1">
        <v>43909</v>
      </c>
      <c r="F1982">
        <v>2020</v>
      </c>
      <c r="G1982" t="s">
        <v>5035</v>
      </c>
      <c r="H1982">
        <v>19</v>
      </c>
      <c r="I1982">
        <v>1.81</v>
      </c>
      <c r="J1982">
        <v>12</v>
      </c>
      <c r="K1982">
        <v>4080.86</v>
      </c>
      <c r="L1982">
        <v>5.6</v>
      </c>
    </row>
    <row r="1983" spans="1:12" x14ac:dyDescent="0.3">
      <c r="A1983" t="s">
        <v>1998</v>
      </c>
      <c r="B1983" t="s">
        <v>18</v>
      </c>
      <c r="C1983" t="s">
        <v>11</v>
      </c>
      <c r="D1983">
        <v>44</v>
      </c>
      <c r="E1983" s="1">
        <v>41713</v>
      </c>
      <c r="F1983">
        <v>2014</v>
      </c>
      <c r="G1983" t="s">
        <v>5035</v>
      </c>
      <c r="H1983">
        <v>15</v>
      </c>
      <c r="I1983">
        <v>4.0599999999999996</v>
      </c>
      <c r="J1983">
        <v>10</v>
      </c>
      <c r="K1983">
        <v>6591.62</v>
      </c>
      <c r="L1983">
        <v>11.6</v>
      </c>
    </row>
    <row r="1984" spans="1:12" x14ac:dyDescent="0.3">
      <c r="A1984" t="s">
        <v>1999</v>
      </c>
      <c r="B1984" t="s">
        <v>13</v>
      </c>
      <c r="C1984" t="s">
        <v>11</v>
      </c>
      <c r="D1984">
        <v>28</v>
      </c>
      <c r="E1984" s="1">
        <v>43142</v>
      </c>
      <c r="F1984">
        <v>2018</v>
      </c>
      <c r="G1984" t="s">
        <v>5042</v>
      </c>
      <c r="H1984">
        <v>11</v>
      </c>
      <c r="I1984">
        <v>4.8</v>
      </c>
      <c r="J1984">
        <v>1</v>
      </c>
      <c r="K1984">
        <v>12595.75</v>
      </c>
      <c r="L1984">
        <v>7.7</v>
      </c>
    </row>
    <row r="1985" spans="1:12" x14ac:dyDescent="0.3">
      <c r="A1985" t="s">
        <v>2000</v>
      </c>
      <c r="B1985" t="s">
        <v>16</v>
      </c>
      <c r="C1985" t="s">
        <v>14</v>
      </c>
      <c r="D1985">
        <v>51</v>
      </c>
      <c r="E1985" s="1">
        <v>45142</v>
      </c>
      <c r="F1985">
        <v>2023</v>
      </c>
      <c r="G1985" t="s">
        <v>5031</v>
      </c>
      <c r="H1985">
        <v>4</v>
      </c>
      <c r="I1985">
        <v>4.8099999999999996</v>
      </c>
      <c r="J1985">
        <v>7</v>
      </c>
      <c r="K1985">
        <v>7524.61</v>
      </c>
      <c r="L1985">
        <v>2.2000000000000002</v>
      </c>
    </row>
    <row r="1986" spans="1:12" x14ac:dyDescent="0.3">
      <c r="A1986" t="s">
        <v>2001</v>
      </c>
      <c r="B1986" t="s">
        <v>13</v>
      </c>
      <c r="C1986" t="s">
        <v>11</v>
      </c>
      <c r="D1986">
        <v>39</v>
      </c>
      <c r="E1986" s="1">
        <v>40854</v>
      </c>
      <c r="F1986">
        <v>2011</v>
      </c>
      <c r="G1986" t="s">
        <v>5038</v>
      </c>
      <c r="H1986">
        <v>7</v>
      </c>
      <c r="I1986">
        <v>3.82</v>
      </c>
      <c r="J1986">
        <v>1</v>
      </c>
      <c r="K1986">
        <v>8478.9699999999993</v>
      </c>
      <c r="L1986">
        <v>14</v>
      </c>
    </row>
    <row r="1987" spans="1:12" x14ac:dyDescent="0.3">
      <c r="A1987" t="s">
        <v>2002</v>
      </c>
      <c r="B1987" t="s">
        <v>18</v>
      </c>
      <c r="C1987" t="s">
        <v>14</v>
      </c>
      <c r="D1987">
        <v>24</v>
      </c>
      <c r="E1987" s="1">
        <v>43800</v>
      </c>
      <c r="F1987">
        <v>2019</v>
      </c>
      <c r="G1987" t="s">
        <v>5041</v>
      </c>
      <c r="H1987">
        <v>1</v>
      </c>
      <c r="I1987">
        <v>2.4500000000000002</v>
      </c>
      <c r="J1987">
        <v>5</v>
      </c>
      <c r="K1987">
        <v>9058.75</v>
      </c>
      <c r="L1987">
        <v>5.9</v>
      </c>
    </row>
    <row r="1988" spans="1:12" x14ac:dyDescent="0.3">
      <c r="A1988" t="s">
        <v>2003</v>
      </c>
      <c r="B1988" t="s">
        <v>16</v>
      </c>
      <c r="C1988" t="s">
        <v>11</v>
      </c>
      <c r="D1988">
        <v>51</v>
      </c>
      <c r="E1988" s="1">
        <v>41819</v>
      </c>
      <c r="F1988">
        <v>2014</v>
      </c>
      <c r="G1988" t="s">
        <v>5032</v>
      </c>
      <c r="H1988">
        <v>29</v>
      </c>
      <c r="I1988">
        <v>2.19</v>
      </c>
      <c r="J1988">
        <v>14</v>
      </c>
      <c r="K1988">
        <v>6382.35</v>
      </c>
      <c r="L1988">
        <v>11.4</v>
      </c>
    </row>
    <row r="1989" spans="1:12" x14ac:dyDescent="0.3">
      <c r="A1989" t="s">
        <v>2004</v>
      </c>
      <c r="B1989" t="s">
        <v>18</v>
      </c>
      <c r="C1989" t="s">
        <v>11</v>
      </c>
      <c r="D1989">
        <v>35</v>
      </c>
      <c r="E1989" s="1">
        <v>45618</v>
      </c>
      <c r="F1989">
        <v>2024</v>
      </c>
      <c r="G1989" t="s">
        <v>5038</v>
      </c>
      <c r="H1989">
        <v>22</v>
      </c>
      <c r="I1989">
        <v>2.0499999999999998</v>
      </c>
      <c r="J1989">
        <v>7</v>
      </c>
      <c r="K1989">
        <v>10478.67</v>
      </c>
      <c r="L1989">
        <v>0.9</v>
      </c>
    </row>
    <row r="1990" spans="1:12" x14ac:dyDescent="0.3">
      <c r="A1990" t="s">
        <v>2005</v>
      </c>
      <c r="B1990" t="s">
        <v>24</v>
      </c>
      <c r="C1990" t="s">
        <v>11</v>
      </c>
      <c r="D1990">
        <v>30</v>
      </c>
      <c r="E1990" s="1">
        <v>40994</v>
      </c>
      <c r="F1990">
        <v>2012</v>
      </c>
      <c r="G1990" t="s">
        <v>5035</v>
      </c>
      <c r="H1990">
        <v>26</v>
      </c>
      <c r="I1990">
        <v>4.8</v>
      </c>
      <c r="J1990">
        <v>11</v>
      </c>
      <c r="K1990">
        <v>14153.41</v>
      </c>
      <c r="L1990">
        <v>13.6</v>
      </c>
    </row>
    <row r="1991" spans="1:12" x14ac:dyDescent="0.3">
      <c r="A1991" t="s">
        <v>2006</v>
      </c>
      <c r="B1991" t="s">
        <v>10</v>
      </c>
      <c r="C1991" t="s">
        <v>11</v>
      </c>
      <c r="D1991">
        <v>28</v>
      </c>
      <c r="E1991" s="1">
        <v>44948</v>
      </c>
      <c r="F1991">
        <v>2023</v>
      </c>
      <c r="G1991" t="s">
        <v>5037</v>
      </c>
      <c r="H1991">
        <v>22</v>
      </c>
      <c r="I1991">
        <v>4.88</v>
      </c>
      <c r="J1991">
        <v>1</v>
      </c>
      <c r="K1991">
        <v>7880.45</v>
      </c>
      <c r="L1991">
        <v>2.8</v>
      </c>
    </row>
    <row r="1992" spans="1:12" x14ac:dyDescent="0.3">
      <c r="A1992" t="s">
        <v>2007</v>
      </c>
      <c r="B1992" t="s">
        <v>24</v>
      </c>
      <c r="C1992" t="s">
        <v>14</v>
      </c>
      <c r="D1992">
        <v>23</v>
      </c>
      <c r="E1992" s="1">
        <v>44864</v>
      </c>
      <c r="F1992">
        <v>2022</v>
      </c>
      <c r="G1992" t="s">
        <v>5039</v>
      </c>
      <c r="H1992">
        <v>30</v>
      </c>
      <c r="I1992">
        <v>3.29</v>
      </c>
      <c r="J1992">
        <v>14</v>
      </c>
      <c r="K1992">
        <v>7046.28</v>
      </c>
      <c r="L1992">
        <v>3</v>
      </c>
    </row>
    <row r="1993" spans="1:12" x14ac:dyDescent="0.3">
      <c r="A1993" t="s">
        <v>2008</v>
      </c>
      <c r="B1993" t="s">
        <v>13</v>
      </c>
      <c r="C1993" t="s">
        <v>14</v>
      </c>
      <c r="D1993">
        <v>31</v>
      </c>
      <c r="E1993" s="1">
        <v>41321</v>
      </c>
      <c r="F1993">
        <v>2013</v>
      </c>
      <c r="G1993" t="s">
        <v>5042</v>
      </c>
      <c r="H1993">
        <v>16</v>
      </c>
      <c r="I1993">
        <v>1.5</v>
      </c>
      <c r="J1993">
        <v>0</v>
      </c>
      <c r="K1993">
        <v>9077.41</v>
      </c>
      <c r="L1993">
        <v>12.7</v>
      </c>
    </row>
    <row r="1994" spans="1:12" x14ac:dyDescent="0.3">
      <c r="A1994" t="s">
        <v>2009</v>
      </c>
      <c r="B1994" t="s">
        <v>13</v>
      </c>
      <c r="C1994" t="s">
        <v>14</v>
      </c>
      <c r="D1994">
        <v>24</v>
      </c>
      <c r="E1994" s="1">
        <v>44270</v>
      </c>
      <c r="F1994">
        <v>2021</v>
      </c>
      <c r="G1994" t="s">
        <v>5035</v>
      </c>
      <c r="H1994">
        <v>15</v>
      </c>
      <c r="I1994">
        <v>4.32</v>
      </c>
      <c r="J1994">
        <v>3</v>
      </c>
      <c r="K1994">
        <v>4676.8</v>
      </c>
      <c r="L1994">
        <v>4.5999999999999996</v>
      </c>
    </row>
    <row r="1995" spans="1:12" x14ac:dyDescent="0.3">
      <c r="A1995" t="s">
        <v>2010</v>
      </c>
      <c r="B1995" t="s">
        <v>34</v>
      </c>
      <c r="C1995" t="s">
        <v>11</v>
      </c>
      <c r="D1995">
        <v>50</v>
      </c>
      <c r="E1995" s="1">
        <v>45876</v>
      </c>
      <c r="F1995">
        <v>2025</v>
      </c>
      <c r="G1995" t="s">
        <v>5031</v>
      </c>
      <c r="H1995">
        <v>7</v>
      </c>
      <c r="I1995">
        <v>2.8</v>
      </c>
      <c r="J1995">
        <v>5</v>
      </c>
      <c r="K1995">
        <v>7274.08</v>
      </c>
      <c r="L1995">
        <v>0.2</v>
      </c>
    </row>
    <row r="1996" spans="1:12" x14ac:dyDescent="0.3">
      <c r="A1996" t="s">
        <v>2011</v>
      </c>
      <c r="B1996" t="s">
        <v>34</v>
      </c>
      <c r="C1996" t="s">
        <v>11</v>
      </c>
      <c r="D1996">
        <v>60</v>
      </c>
      <c r="E1996" s="1">
        <v>42965</v>
      </c>
      <c r="F1996">
        <v>2017</v>
      </c>
      <c r="G1996" t="s">
        <v>5031</v>
      </c>
      <c r="H1996">
        <v>18</v>
      </c>
      <c r="I1996">
        <v>1.57</v>
      </c>
      <c r="J1996">
        <v>5</v>
      </c>
      <c r="K1996">
        <v>11632.21</v>
      </c>
      <c r="L1996">
        <v>8.1999999999999993</v>
      </c>
    </row>
    <row r="1997" spans="1:12" x14ac:dyDescent="0.3">
      <c r="A1997" t="s">
        <v>2012</v>
      </c>
      <c r="B1997" t="s">
        <v>18</v>
      </c>
      <c r="C1997" t="s">
        <v>11</v>
      </c>
      <c r="D1997">
        <v>57</v>
      </c>
      <c r="E1997" s="1">
        <v>40230</v>
      </c>
      <c r="F1997">
        <v>2010</v>
      </c>
      <c r="G1997" t="s">
        <v>5042</v>
      </c>
      <c r="H1997">
        <v>21</v>
      </c>
      <c r="I1997">
        <v>4.01</v>
      </c>
      <c r="J1997">
        <v>5</v>
      </c>
      <c r="K1997">
        <v>5788.48</v>
      </c>
      <c r="L1997">
        <v>15.7</v>
      </c>
    </row>
    <row r="1998" spans="1:12" x14ac:dyDescent="0.3">
      <c r="A1998" t="s">
        <v>2013</v>
      </c>
      <c r="B1998" t="s">
        <v>18</v>
      </c>
      <c r="C1998" t="s">
        <v>14</v>
      </c>
      <c r="D1998">
        <v>60</v>
      </c>
      <c r="E1998" s="1">
        <v>45190</v>
      </c>
      <c r="F1998">
        <v>2023</v>
      </c>
      <c r="G1998" t="s">
        <v>5033</v>
      </c>
      <c r="H1998">
        <v>21</v>
      </c>
      <c r="I1998">
        <v>3.97</v>
      </c>
      <c r="J1998">
        <v>4</v>
      </c>
      <c r="K1998">
        <v>9605.3700000000008</v>
      </c>
      <c r="L1998">
        <v>2.1</v>
      </c>
    </row>
    <row r="1999" spans="1:12" x14ac:dyDescent="0.3">
      <c r="A1999" t="s">
        <v>2014</v>
      </c>
      <c r="B1999" t="s">
        <v>16</v>
      </c>
      <c r="C1999" t="s">
        <v>11</v>
      </c>
      <c r="D1999">
        <v>59</v>
      </c>
      <c r="E1999" s="1">
        <v>43623</v>
      </c>
      <c r="F1999">
        <v>2019</v>
      </c>
      <c r="G1999" t="s">
        <v>5032</v>
      </c>
      <c r="H1999">
        <v>7</v>
      </c>
      <c r="I1999">
        <v>2.66</v>
      </c>
      <c r="J1999">
        <v>2</v>
      </c>
      <c r="K1999">
        <v>7217.07</v>
      </c>
      <c r="L1999">
        <v>6.4</v>
      </c>
    </row>
    <row r="2000" spans="1:12" x14ac:dyDescent="0.3">
      <c r="A2000" t="s">
        <v>2015</v>
      </c>
      <c r="B2000" t="s">
        <v>24</v>
      </c>
      <c r="C2000" t="s">
        <v>11</v>
      </c>
      <c r="D2000">
        <v>45</v>
      </c>
      <c r="E2000" s="1">
        <v>40885</v>
      </c>
      <c r="F2000">
        <v>2011</v>
      </c>
      <c r="G2000" t="s">
        <v>5041</v>
      </c>
      <c r="H2000">
        <v>8</v>
      </c>
      <c r="I2000">
        <v>2.57</v>
      </c>
      <c r="J2000">
        <v>13</v>
      </c>
      <c r="K2000">
        <v>10006.27</v>
      </c>
      <c r="L2000">
        <v>13.9</v>
      </c>
    </row>
    <row r="2001" spans="1:12" x14ac:dyDescent="0.3">
      <c r="A2001" t="s">
        <v>2016</v>
      </c>
      <c r="B2001" t="s">
        <v>34</v>
      </c>
      <c r="C2001" t="s">
        <v>14</v>
      </c>
      <c r="D2001">
        <v>48</v>
      </c>
      <c r="E2001" s="1">
        <v>41350</v>
      </c>
      <c r="F2001">
        <v>2013</v>
      </c>
      <c r="G2001" t="s">
        <v>5035</v>
      </c>
      <c r="H2001">
        <v>17</v>
      </c>
      <c r="I2001">
        <v>3.68</v>
      </c>
      <c r="J2001">
        <v>1</v>
      </c>
      <c r="K2001">
        <v>7141.94</v>
      </c>
      <c r="L2001">
        <v>12.6</v>
      </c>
    </row>
    <row r="2002" spans="1:12" x14ac:dyDescent="0.3">
      <c r="A2002" t="s">
        <v>2017</v>
      </c>
      <c r="B2002" t="s">
        <v>34</v>
      </c>
      <c r="C2002" t="s">
        <v>14</v>
      </c>
      <c r="D2002">
        <v>45</v>
      </c>
      <c r="E2002" s="1">
        <v>40824</v>
      </c>
      <c r="F2002">
        <v>2011</v>
      </c>
      <c r="G2002" t="s">
        <v>5039</v>
      </c>
      <c r="H2002">
        <v>8</v>
      </c>
      <c r="I2002">
        <v>4.84</v>
      </c>
      <c r="J2002">
        <v>4</v>
      </c>
      <c r="K2002">
        <v>11435.05</v>
      </c>
      <c r="L2002">
        <v>14.1</v>
      </c>
    </row>
    <row r="2003" spans="1:12" x14ac:dyDescent="0.3">
      <c r="A2003" t="s">
        <v>2018</v>
      </c>
      <c r="B2003" t="s">
        <v>13</v>
      </c>
      <c r="C2003" t="s">
        <v>11</v>
      </c>
      <c r="D2003">
        <v>59</v>
      </c>
      <c r="E2003" s="1">
        <v>40888</v>
      </c>
      <c r="F2003">
        <v>2011</v>
      </c>
      <c r="G2003" t="s">
        <v>5041</v>
      </c>
      <c r="H2003">
        <v>11</v>
      </c>
      <c r="I2003">
        <v>1.7</v>
      </c>
      <c r="J2003">
        <v>7</v>
      </c>
      <c r="K2003">
        <v>3462.38</v>
      </c>
      <c r="L2003">
        <v>13.9</v>
      </c>
    </row>
    <row r="2004" spans="1:12" x14ac:dyDescent="0.3">
      <c r="A2004" t="s">
        <v>2019</v>
      </c>
      <c r="B2004" t="s">
        <v>10</v>
      </c>
      <c r="C2004" t="s">
        <v>14</v>
      </c>
      <c r="D2004">
        <v>24</v>
      </c>
      <c r="E2004" s="1">
        <v>42454</v>
      </c>
      <c r="F2004">
        <v>2016</v>
      </c>
      <c r="G2004" t="s">
        <v>5035</v>
      </c>
      <c r="H2004">
        <v>25</v>
      </c>
      <c r="I2004">
        <v>3.07</v>
      </c>
      <c r="J2004">
        <v>13</v>
      </c>
      <c r="K2004">
        <v>5635.18</v>
      </c>
      <c r="L2004">
        <v>9.6</v>
      </c>
    </row>
    <row r="2005" spans="1:12" x14ac:dyDescent="0.3">
      <c r="A2005" t="s">
        <v>2020</v>
      </c>
      <c r="B2005" t="s">
        <v>16</v>
      </c>
      <c r="C2005" t="s">
        <v>11</v>
      </c>
      <c r="D2005">
        <v>32</v>
      </c>
      <c r="E2005" s="1">
        <v>44252</v>
      </c>
      <c r="F2005">
        <v>2021</v>
      </c>
      <c r="G2005" t="s">
        <v>5042</v>
      </c>
      <c r="H2005">
        <v>25</v>
      </c>
      <c r="I2005">
        <v>2.4</v>
      </c>
      <c r="J2005">
        <v>8</v>
      </c>
      <c r="K2005">
        <v>7419.02</v>
      </c>
      <c r="L2005">
        <v>4.7</v>
      </c>
    </row>
    <row r="2006" spans="1:12" x14ac:dyDescent="0.3">
      <c r="A2006" t="s">
        <v>2021</v>
      </c>
      <c r="B2006" t="s">
        <v>16</v>
      </c>
      <c r="C2006" t="s">
        <v>14</v>
      </c>
      <c r="D2006">
        <v>23</v>
      </c>
      <c r="E2006" s="1">
        <v>45657</v>
      </c>
      <c r="F2006">
        <v>2024</v>
      </c>
      <c r="G2006" t="s">
        <v>5041</v>
      </c>
      <c r="H2006">
        <v>31</v>
      </c>
      <c r="I2006">
        <v>4.41</v>
      </c>
      <c r="J2006">
        <v>13</v>
      </c>
      <c r="K2006">
        <v>5600.68</v>
      </c>
      <c r="L2006">
        <v>0.8</v>
      </c>
    </row>
    <row r="2007" spans="1:12" x14ac:dyDescent="0.3">
      <c r="A2007" t="s">
        <v>2022</v>
      </c>
      <c r="B2007" t="s">
        <v>13</v>
      </c>
      <c r="C2007" t="s">
        <v>14</v>
      </c>
      <c r="D2007">
        <v>55</v>
      </c>
      <c r="E2007" s="1">
        <v>44408</v>
      </c>
      <c r="F2007">
        <v>2021</v>
      </c>
      <c r="G2007" t="s">
        <v>5034</v>
      </c>
      <c r="H2007">
        <v>31</v>
      </c>
      <c r="I2007">
        <v>4.9800000000000004</v>
      </c>
      <c r="J2007">
        <v>2</v>
      </c>
      <c r="K2007">
        <v>9757.6200000000008</v>
      </c>
      <c r="L2007">
        <v>4.3</v>
      </c>
    </row>
    <row r="2008" spans="1:12" x14ac:dyDescent="0.3">
      <c r="A2008" t="s">
        <v>2023</v>
      </c>
      <c r="B2008" t="s">
        <v>13</v>
      </c>
      <c r="C2008" t="s">
        <v>14</v>
      </c>
      <c r="D2008">
        <v>47</v>
      </c>
      <c r="E2008" s="1">
        <v>42480</v>
      </c>
      <c r="F2008">
        <v>2016</v>
      </c>
      <c r="G2008" t="s">
        <v>5040</v>
      </c>
      <c r="H2008">
        <v>20</v>
      </c>
      <c r="I2008">
        <v>2.5</v>
      </c>
      <c r="J2008">
        <v>3</v>
      </c>
      <c r="K2008">
        <v>3146.15</v>
      </c>
      <c r="L2008">
        <v>9.5</v>
      </c>
    </row>
    <row r="2009" spans="1:12" x14ac:dyDescent="0.3">
      <c r="A2009" t="s">
        <v>2024</v>
      </c>
      <c r="B2009" t="s">
        <v>10</v>
      </c>
      <c r="C2009" t="s">
        <v>14</v>
      </c>
      <c r="D2009">
        <v>50</v>
      </c>
      <c r="E2009" s="1">
        <v>45913</v>
      </c>
      <c r="F2009">
        <v>2025</v>
      </c>
      <c r="G2009" t="s">
        <v>5033</v>
      </c>
      <c r="H2009">
        <v>13</v>
      </c>
      <c r="I2009">
        <v>3.2</v>
      </c>
      <c r="J2009">
        <v>11</v>
      </c>
      <c r="K2009">
        <v>5890.93</v>
      </c>
      <c r="L2009">
        <v>0.1</v>
      </c>
    </row>
    <row r="2010" spans="1:12" x14ac:dyDescent="0.3">
      <c r="A2010" t="s">
        <v>2025</v>
      </c>
      <c r="B2010" t="s">
        <v>34</v>
      </c>
      <c r="C2010" t="s">
        <v>14</v>
      </c>
      <c r="D2010">
        <v>47</v>
      </c>
      <c r="E2010" s="1">
        <v>44960</v>
      </c>
      <c r="F2010">
        <v>2023</v>
      </c>
      <c r="G2010" t="s">
        <v>5042</v>
      </c>
      <c r="H2010">
        <v>3</v>
      </c>
      <c r="I2010">
        <v>3.23</v>
      </c>
      <c r="J2010">
        <v>15</v>
      </c>
      <c r="K2010">
        <v>14342.15</v>
      </c>
      <c r="L2010">
        <v>2.7</v>
      </c>
    </row>
    <row r="2011" spans="1:12" x14ac:dyDescent="0.3">
      <c r="A2011" t="s">
        <v>2026</v>
      </c>
      <c r="B2011" t="s">
        <v>24</v>
      </c>
      <c r="C2011" t="s">
        <v>11</v>
      </c>
      <c r="D2011">
        <v>34</v>
      </c>
      <c r="E2011" s="1">
        <v>43694</v>
      </c>
      <c r="F2011">
        <v>2019</v>
      </c>
      <c r="G2011" t="s">
        <v>5031</v>
      </c>
      <c r="H2011">
        <v>17</v>
      </c>
      <c r="I2011">
        <v>2.71</v>
      </c>
      <c r="J2011">
        <v>12</v>
      </c>
      <c r="K2011">
        <v>9002.42</v>
      </c>
      <c r="L2011">
        <v>6.2</v>
      </c>
    </row>
    <row r="2012" spans="1:12" x14ac:dyDescent="0.3">
      <c r="A2012" t="s">
        <v>2027</v>
      </c>
      <c r="B2012" t="s">
        <v>24</v>
      </c>
      <c r="C2012" t="s">
        <v>14</v>
      </c>
      <c r="D2012">
        <v>46</v>
      </c>
      <c r="E2012" s="1">
        <v>41626</v>
      </c>
      <c r="F2012">
        <v>2013</v>
      </c>
      <c r="G2012" t="s">
        <v>5041</v>
      </c>
      <c r="H2012">
        <v>18</v>
      </c>
      <c r="I2012">
        <v>2.96</v>
      </c>
      <c r="J2012">
        <v>1</v>
      </c>
      <c r="K2012">
        <v>3832.31</v>
      </c>
      <c r="L2012">
        <v>11.9</v>
      </c>
    </row>
    <row r="2013" spans="1:12" x14ac:dyDescent="0.3">
      <c r="A2013" t="s">
        <v>2028</v>
      </c>
      <c r="B2013" t="s">
        <v>16</v>
      </c>
      <c r="C2013" t="s">
        <v>11</v>
      </c>
      <c r="D2013">
        <v>58</v>
      </c>
      <c r="E2013" s="1">
        <v>45144</v>
      </c>
      <c r="F2013">
        <v>2023</v>
      </c>
      <c r="G2013" t="s">
        <v>5031</v>
      </c>
      <c r="H2013">
        <v>6</v>
      </c>
      <c r="I2013">
        <v>4.6100000000000003</v>
      </c>
      <c r="J2013">
        <v>7</v>
      </c>
      <c r="K2013">
        <v>9795.31</v>
      </c>
      <c r="L2013">
        <v>2.2000000000000002</v>
      </c>
    </row>
    <row r="2014" spans="1:12" x14ac:dyDescent="0.3">
      <c r="A2014" t="s">
        <v>2029</v>
      </c>
      <c r="B2014" t="s">
        <v>10</v>
      </c>
      <c r="C2014" t="s">
        <v>11</v>
      </c>
      <c r="D2014">
        <v>57</v>
      </c>
      <c r="E2014" s="1">
        <v>44315</v>
      </c>
      <c r="F2014">
        <v>2021</v>
      </c>
      <c r="G2014" t="s">
        <v>5040</v>
      </c>
      <c r="H2014">
        <v>29</v>
      </c>
      <c r="I2014">
        <v>2.13</v>
      </c>
      <c r="J2014">
        <v>12</v>
      </c>
      <c r="K2014">
        <v>3940.49</v>
      </c>
      <c r="L2014">
        <v>4.5</v>
      </c>
    </row>
    <row r="2015" spans="1:12" x14ac:dyDescent="0.3">
      <c r="A2015" t="s">
        <v>2030</v>
      </c>
      <c r="B2015" t="s">
        <v>18</v>
      </c>
      <c r="C2015" t="s">
        <v>14</v>
      </c>
      <c r="D2015">
        <v>60</v>
      </c>
      <c r="E2015" s="1">
        <v>43155</v>
      </c>
      <c r="F2015">
        <v>2018</v>
      </c>
      <c r="G2015" t="s">
        <v>5042</v>
      </c>
      <c r="H2015">
        <v>24</v>
      </c>
      <c r="I2015">
        <v>3.85</v>
      </c>
      <c r="J2015">
        <v>3</v>
      </c>
      <c r="K2015">
        <v>14316.6</v>
      </c>
      <c r="L2015">
        <v>7.7</v>
      </c>
    </row>
    <row r="2016" spans="1:12" x14ac:dyDescent="0.3">
      <c r="A2016" t="s">
        <v>2031</v>
      </c>
      <c r="B2016" t="s">
        <v>10</v>
      </c>
      <c r="C2016" t="s">
        <v>11</v>
      </c>
      <c r="D2016">
        <v>32</v>
      </c>
      <c r="E2016" s="1">
        <v>44573</v>
      </c>
      <c r="F2016">
        <v>2022</v>
      </c>
      <c r="G2016" t="s">
        <v>5037</v>
      </c>
      <c r="H2016">
        <v>12</v>
      </c>
      <c r="I2016">
        <v>3.02</v>
      </c>
      <c r="J2016">
        <v>2</v>
      </c>
      <c r="K2016">
        <v>11271.14</v>
      </c>
      <c r="L2016">
        <v>3.8</v>
      </c>
    </row>
    <row r="2017" spans="1:12" x14ac:dyDescent="0.3">
      <c r="A2017" t="s">
        <v>2032</v>
      </c>
      <c r="B2017" t="s">
        <v>24</v>
      </c>
      <c r="C2017" t="s">
        <v>14</v>
      </c>
      <c r="D2017">
        <v>32</v>
      </c>
      <c r="E2017" s="1">
        <v>43461</v>
      </c>
      <c r="F2017">
        <v>2018</v>
      </c>
      <c r="G2017" t="s">
        <v>5041</v>
      </c>
      <c r="H2017">
        <v>27</v>
      </c>
      <c r="I2017">
        <v>2.95</v>
      </c>
      <c r="J2017">
        <v>2</v>
      </c>
      <c r="K2017">
        <v>4815.55</v>
      </c>
      <c r="L2017">
        <v>6.9</v>
      </c>
    </row>
    <row r="2018" spans="1:12" x14ac:dyDescent="0.3">
      <c r="A2018" t="s">
        <v>2033</v>
      </c>
      <c r="B2018" t="s">
        <v>13</v>
      </c>
      <c r="C2018" t="s">
        <v>14</v>
      </c>
      <c r="D2018">
        <v>32</v>
      </c>
      <c r="E2018" s="1">
        <v>45431</v>
      </c>
      <c r="F2018">
        <v>2024</v>
      </c>
      <c r="G2018" t="s">
        <v>5036</v>
      </c>
      <c r="H2018">
        <v>19</v>
      </c>
      <c r="I2018">
        <v>4.62</v>
      </c>
      <c r="J2018">
        <v>4</v>
      </c>
      <c r="K2018">
        <v>12210.55</v>
      </c>
      <c r="L2018">
        <v>1.5</v>
      </c>
    </row>
    <row r="2019" spans="1:12" x14ac:dyDescent="0.3">
      <c r="A2019" t="s">
        <v>2034</v>
      </c>
      <c r="B2019" t="s">
        <v>34</v>
      </c>
      <c r="C2019" t="s">
        <v>14</v>
      </c>
      <c r="D2019">
        <v>53</v>
      </c>
      <c r="E2019" s="1">
        <v>45961</v>
      </c>
      <c r="F2019">
        <v>2025</v>
      </c>
      <c r="G2019" t="s">
        <v>5039</v>
      </c>
      <c r="H2019">
        <v>31</v>
      </c>
      <c r="I2019">
        <v>3.98</v>
      </c>
      <c r="J2019">
        <v>6</v>
      </c>
      <c r="K2019">
        <v>4817.12</v>
      </c>
      <c r="L2019">
        <v>0</v>
      </c>
    </row>
    <row r="2020" spans="1:12" x14ac:dyDescent="0.3">
      <c r="A2020" t="s">
        <v>2035</v>
      </c>
      <c r="B2020" t="s">
        <v>13</v>
      </c>
      <c r="C2020" t="s">
        <v>14</v>
      </c>
      <c r="D2020">
        <v>23</v>
      </c>
      <c r="E2020" s="1">
        <v>42252</v>
      </c>
      <c r="F2020">
        <v>2015</v>
      </c>
      <c r="G2020" t="s">
        <v>5033</v>
      </c>
      <c r="H2020">
        <v>5</v>
      </c>
      <c r="I2020">
        <v>1.73</v>
      </c>
      <c r="J2020">
        <v>10</v>
      </c>
      <c r="K2020">
        <v>8690.4699999999993</v>
      </c>
      <c r="L2020">
        <v>10.199999999999999</v>
      </c>
    </row>
    <row r="2021" spans="1:12" x14ac:dyDescent="0.3">
      <c r="A2021" t="s">
        <v>2036</v>
      </c>
      <c r="B2021" t="s">
        <v>13</v>
      </c>
      <c r="C2021" t="s">
        <v>14</v>
      </c>
      <c r="D2021">
        <v>29</v>
      </c>
      <c r="E2021" s="1">
        <v>41923</v>
      </c>
      <c r="F2021">
        <v>2014</v>
      </c>
      <c r="G2021" t="s">
        <v>5039</v>
      </c>
      <c r="H2021">
        <v>11</v>
      </c>
      <c r="I2021">
        <v>4.4400000000000004</v>
      </c>
      <c r="J2021">
        <v>4</v>
      </c>
      <c r="K2021">
        <v>7370.31</v>
      </c>
      <c r="L2021">
        <v>11.1</v>
      </c>
    </row>
    <row r="2022" spans="1:12" x14ac:dyDescent="0.3">
      <c r="A2022" t="s">
        <v>2037</v>
      </c>
      <c r="B2022" t="s">
        <v>34</v>
      </c>
      <c r="C2022" t="s">
        <v>14</v>
      </c>
      <c r="D2022">
        <v>33</v>
      </c>
      <c r="E2022" s="1">
        <v>44710</v>
      </c>
      <c r="F2022">
        <v>2022</v>
      </c>
      <c r="G2022" t="s">
        <v>5036</v>
      </c>
      <c r="H2022">
        <v>29</v>
      </c>
      <c r="I2022">
        <v>4.71</v>
      </c>
      <c r="J2022">
        <v>2</v>
      </c>
      <c r="K2022">
        <v>6210.43</v>
      </c>
      <c r="L2022">
        <v>3.4</v>
      </c>
    </row>
    <row r="2023" spans="1:12" x14ac:dyDescent="0.3">
      <c r="A2023" t="s">
        <v>2038</v>
      </c>
      <c r="B2023" t="s">
        <v>13</v>
      </c>
      <c r="C2023" t="s">
        <v>11</v>
      </c>
      <c r="D2023">
        <v>48</v>
      </c>
      <c r="E2023" s="1">
        <v>42544</v>
      </c>
      <c r="F2023">
        <v>2016</v>
      </c>
      <c r="G2023" t="s">
        <v>5032</v>
      </c>
      <c r="H2023">
        <v>23</v>
      </c>
      <c r="I2023">
        <v>2.9</v>
      </c>
      <c r="J2023">
        <v>8</v>
      </c>
      <c r="K2023">
        <v>5530.76</v>
      </c>
      <c r="L2023">
        <v>9.4</v>
      </c>
    </row>
    <row r="2024" spans="1:12" x14ac:dyDescent="0.3">
      <c r="A2024" t="s">
        <v>2039</v>
      </c>
      <c r="B2024" t="s">
        <v>16</v>
      </c>
      <c r="C2024" t="s">
        <v>11</v>
      </c>
      <c r="D2024">
        <v>46</v>
      </c>
      <c r="E2024" s="1">
        <v>44363</v>
      </c>
      <c r="F2024">
        <v>2021</v>
      </c>
      <c r="G2024" t="s">
        <v>5032</v>
      </c>
      <c r="H2024">
        <v>16</v>
      </c>
      <c r="I2024">
        <v>3.13</v>
      </c>
      <c r="J2024">
        <v>8</v>
      </c>
      <c r="K2024">
        <v>10507.81</v>
      </c>
      <c r="L2024">
        <v>4.4000000000000004</v>
      </c>
    </row>
    <row r="2025" spans="1:12" x14ac:dyDescent="0.3">
      <c r="A2025" t="s">
        <v>2040</v>
      </c>
      <c r="B2025" t="s">
        <v>34</v>
      </c>
      <c r="C2025" t="s">
        <v>11</v>
      </c>
      <c r="D2025">
        <v>51</v>
      </c>
      <c r="E2025" s="1">
        <v>40961</v>
      </c>
      <c r="F2025">
        <v>2012</v>
      </c>
      <c r="G2025" t="s">
        <v>5042</v>
      </c>
      <c r="H2025">
        <v>22</v>
      </c>
      <c r="I2025">
        <v>2.39</v>
      </c>
      <c r="J2025">
        <v>5</v>
      </c>
      <c r="K2025">
        <v>14661.51</v>
      </c>
      <c r="L2025">
        <v>13.7</v>
      </c>
    </row>
    <row r="2026" spans="1:12" x14ac:dyDescent="0.3">
      <c r="A2026" t="s">
        <v>2041</v>
      </c>
      <c r="B2026" t="s">
        <v>18</v>
      </c>
      <c r="C2026" t="s">
        <v>14</v>
      </c>
      <c r="D2026">
        <v>36</v>
      </c>
      <c r="E2026" s="1">
        <v>42598</v>
      </c>
      <c r="F2026">
        <v>2016</v>
      </c>
      <c r="G2026" t="s">
        <v>5031</v>
      </c>
      <c r="H2026">
        <v>16</v>
      </c>
      <c r="I2026">
        <v>2.21</v>
      </c>
      <c r="J2026">
        <v>9</v>
      </c>
      <c r="K2026">
        <v>10693.12</v>
      </c>
      <c r="L2026">
        <v>9.1999999999999993</v>
      </c>
    </row>
    <row r="2027" spans="1:12" x14ac:dyDescent="0.3">
      <c r="A2027" t="s">
        <v>2042</v>
      </c>
      <c r="B2027" t="s">
        <v>16</v>
      </c>
      <c r="C2027" t="s">
        <v>11</v>
      </c>
      <c r="D2027">
        <v>34</v>
      </c>
      <c r="E2027" s="1">
        <v>45561</v>
      </c>
      <c r="F2027">
        <v>2024</v>
      </c>
      <c r="G2027" t="s">
        <v>5033</v>
      </c>
      <c r="H2027">
        <v>26</v>
      </c>
      <c r="I2027">
        <v>1.56</v>
      </c>
      <c r="J2027">
        <v>15</v>
      </c>
      <c r="K2027">
        <v>13467.42</v>
      </c>
      <c r="L2027">
        <v>1.1000000000000001</v>
      </c>
    </row>
    <row r="2028" spans="1:12" x14ac:dyDescent="0.3">
      <c r="A2028" t="s">
        <v>2043</v>
      </c>
      <c r="B2028" t="s">
        <v>34</v>
      </c>
      <c r="C2028" t="s">
        <v>14</v>
      </c>
      <c r="D2028">
        <v>30</v>
      </c>
      <c r="E2028" s="1">
        <v>43909</v>
      </c>
      <c r="F2028">
        <v>2020</v>
      </c>
      <c r="G2028" t="s">
        <v>5035</v>
      </c>
      <c r="H2028">
        <v>19</v>
      </c>
      <c r="I2028">
        <v>3.68</v>
      </c>
      <c r="J2028">
        <v>14</v>
      </c>
      <c r="K2028">
        <v>4355.17</v>
      </c>
      <c r="L2028">
        <v>5.6</v>
      </c>
    </row>
    <row r="2029" spans="1:12" x14ac:dyDescent="0.3">
      <c r="A2029" t="s">
        <v>2044</v>
      </c>
      <c r="B2029" t="s">
        <v>10</v>
      </c>
      <c r="C2029" t="s">
        <v>11</v>
      </c>
      <c r="D2029">
        <v>35</v>
      </c>
      <c r="E2029" s="1">
        <v>45115</v>
      </c>
      <c r="F2029">
        <v>2023</v>
      </c>
      <c r="G2029" t="s">
        <v>5034</v>
      </c>
      <c r="H2029">
        <v>8</v>
      </c>
      <c r="I2029">
        <v>2.48</v>
      </c>
      <c r="J2029">
        <v>15</v>
      </c>
      <c r="K2029">
        <v>13042.54</v>
      </c>
      <c r="L2029">
        <v>2.2999999999999998</v>
      </c>
    </row>
    <row r="2030" spans="1:12" x14ac:dyDescent="0.3">
      <c r="A2030" t="s">
        <v>2045</v>
      </c>
      <c r="B2030" t="s">
        <v>10</v>
      </c>
      <c r="C2030" t="s">
        <v>14</v>
      </c>
      <c r="D2030">
        <v>47</v>
      </c>
      <c r="E2030" s="1">
        <v>44959</v>
      </c>
      <c r="F2030">
        <v>2023</v>
      </c>
      <c r="G2030" t="s">
        <v>5042</v>
      </c>
      <c r="H2030">
        <v>2</v>
      </c>
      <c r="I2030">
        <v>2</v>
      </c>
      <c r="J2030">
        <v>6</v>
      </c>
      <c r="K2030">
        <v>14820</v>
      </c>
      <c r="L2030">
        <v>2.7</v>
      </c>
    </row>
    <row r="2031" spans="1:12" x14ac:dyDescent="0.3">
      <c r="A2031" t="s">
        <v>2046</v>
      </c>
      <c r="B2031" t="s">
        <v>24</v>
      </c>
      <c r="C2031" t="s">
        <v>14</v>
      </c>
      <c r="D2031">
        <v>60</v>
      </c>
      <c r="E2031" s="1">
        <v>42682</v>
      </c>
      <c r="F2031">
        <v>2016</v>
      </c>
      <c r="G2031" t="s">
        <v>5038</v>
      </c>
      <c r="H2031">
        <v>8</v>
      </c>
      <c r="I2031">
        <v>2.0099999999999998</v>
      </c>
      <c r="J2031">
        <v>11</v>
      </c>
      <c r="K2031">
        <v>11354.45</v>
      </c>
      <c r="L2031">
        <v>9</v>
      </c>
    </row>
    <row r="2032" spans="1:12" x14ac:dyDescent="0.3">
      <c r="A2032" t="s">
        <v>2047</v>
      </c>
      <c r="B2032" t="s">
        <v>34</v>
      </c>
      <c r="C2032" t="s">
        <v>11</v>
      </c>
      <c r="D2032">
        <v>42</v>
      </c>
      <c r="E2032" s="1">
        <v>42677</v>
      </c>
      <c r="F2032">
        <v>2016</v>
      </c>
      <c r="G2032" t="s">
        <v>5038</v>
      </c>
      <c r="H2032">
        <v>3</v>
      </c>
      <c r="I2032">
        <v>3.66</v>
      </c>
      <c r="J2032">
        <v>6</v>
      </c>
      <c r="K2032">
        <v>6454.69</v>
      </c>
      <c r="L2032">
        <v>9</v>
      </c>
    </row>
    <row r="2033" spans="1:12" x14ac:dyDescent="0.3">
      <c r="A2033" t="s">
        <v>2048</v>
      </c>
      <c r="B2033" t="s">
        <v>18</v>
      </c>
      <c r="C2033" t="s">
        <v>14</v>
      </c>
      <c r="D2033">
        <v>41</v>
      </c>
      <c r="E2033" s="1">
        <v>44547</v>
      </c>
      <c r="F2033">
        <v>2021</v>
      </c>
      <c r="G2033" t="s">
        <v>5041</v>
      </c>
      <c r="H2033">
        <v>17</v>
      </c>
      <c r="I2033">
        <v>2.62</v>
      </c>
      <c r="J2033">
        <v>10</v>
      </c>
      <c r="K2033">
        <v>5740.69</v>
      </c>
      <c r="L2033">
        <v>3.9</v>
      </c>
    </row>
    <row r="2034" spans="1:12" x14ac:dyDescent="0.3">
      <c r="A2034" t="s">
        <v>2049</v>
      </c>
      <c r="B2034" t="s">
        <v>16</v>
      </c>
      <c r="C2034" t="s">
        <v>11</v>
      </c>
      <c r="D2034">
        <v>36</v>
      </c>
      <c r="E2034" s="1">
        <v>42796</v>
      </c>
      <c r="F2034">
        <v>2017</v>
      </c>
      <c r="G2034" t="s">
        <v>5035</v>
      </c>
      <c r="H2034">
        <v>2</v>
      </c>
      <c r="I2034">
        <v>2.63</v>
      </c>
      <c r="J2034">
        <v>8</v>
      </c>
      <c r="K2034">
        <v>6820.92</v>
      </c>
      <c r="L2034">
        <v>8.6999999999999993</v>
      </c>
    </row>
    <row r="2035" spans="1:12" x14ac:dyDescent="0.3">
      <c r="A2035" t="s">
        <v>2050</v>
      </c>
      <c r="B2035" t="s">
        <v>34</v>
      </c>
      <c r="C2035" t="s">
        <v>14</v>
      </c>
      <c r="D2035">
        <v>35</v>
      </c>
      <c r="E2035" s="1">
        <v>40236</v>
      </c>
      <c r="F2035">
        <v>2010</v>
      </c>
      <c r="G2035" t="s">
        <v>5042</v>
      </c>
      <c r="H2035">
        <v>27</v>
      </c>
      <c r="I2035">
        <v>3.31</v>
      </c>
      <c r="J2035">
        <v>11</v>
      </c>
      <c r="K2035">
        <v>7618.72</v>
      </c>
      <c r="L2035">
        <v>15.7</v>
      </c>
    </row>
    <row r="2036" spans="1:12" x14ac:dyDescent="0.3">
      <c r="A2036" t="s">
        <v>2051</v>
      </c>
      <c r="B2036" t="s">
        <v>16</v>
      </c>
      <c r="C2036" t="s">
        <v>14</v>
      </c>
      <c r="D2036">
        <v>30</v>
      </c>
      <c r="E2036" s="1">
        <v>40657</v>
      </c>
      <c r="F2036">
        <v>2011</v>
      </c>
      <c r="G2036" t="s">
        <v>5040</v>
      </c>
      <c r="H2036">
        <v>24</v>
      </c>
      <c r="I2036">
        <v>1.98</v>
      </c>
      <c r="J2036">
        <v>5</v>
      </c>
      <c r="K2036">
        <v>8841.5499999999993</v>
      </c>
      <c r="L2036">
        <v>14.5</v>
      </c>
    </row>
    <row r="2037" spans="1:12" x14ac:dyDescent="0.3">
      <c r="A2037" t="s">
        <v>2052</v>
      </c>
      <c r="B2037" t="s">
        <v>10</v>
      </c>
      <c r="C2037" t="s">
        <v>11</v>
      </c>
      <c r="D2037">
        <v>52</v>
      </c>
      <c r="E2037" s="1">
        <v>45200</v>
      </c>
      <c r="F2037">
        <v>2023</v>
      </c>
      <c r="G2037" t="s">
        <v>5039</v>
      </c>
      <c r="H2037">
        <v>1</v>
      </c>
      <c r="I2037">
        <v>3.46</v>
      </c>
      <c r="J2037">
        <v>2</v>
      </c>
      <c r="K2037">
        <v>4361.22</v>
      </c>
      <c r="L2037">
        <v>2.1</v>
      </c>
    </row>
    <row r="2038" spans="1:12" x14ac:dyDescent="0.3">
      <c r="A2038" t="s">
        <v>2053</v>
      </c>
      <c r="B2038" t="s">
        <v>18</v>
      </c>
      <c r="C2038" t="s">
        <v>11</v>
      </c>
      <c r="D2038">
        <v>55</v>
      </c>
      <c r="E2038" s="1">
        <v>45098</v>
      </c>
      <c r="F2038">
        <v>2023</v>
      </c>
      <c r="G2038" t="s">
        <v>5032</v>
      </c>
      <c r="H2038">
        <v>21</v>
      </c>
      <c r="I2038">
        <v>1.7</v>
      </c>
      <c r="J2038">
        <v>14</v>
      </c>
      <c r="K2038">
        <v>12930.06</v>
      </c>
      <c r="L2038">
        <v>2.4</v>
      </c>
    </row>
    <row r="2039" spans="1:12" x14ac:dyDescent="0.3">
      <c r="A2039" t="s">
        <v>2054</v>
      </c>
      <c r="B2039" t="s">
        <v>16</v>
      </c>
      <c r="C2039" t="s">
        <v>11</v>
      </c>
      <c r="D2039">
        <v>43</v>
      </c>
      <c r="E2039" s="1">
        <v>40329</v>
      </c>
      <c r="F2039">
        <v>2010</v>
      </c>
      <c r="G2039" t="s">
        <v>5036</v>
      </c>
      <c r="H2039">
        <v>31</v>
      </c>
      <c r="I2039">
        <v>2.5099999999999998</v>
      </c>
      <c r="J2039">
        <v>7</v>
      </c>
      <c r="K2039">
        <v>4217.59</v>
      </c>
      <c r="L2039">
        <v>15.4</v>
      </c>
    </row>
    <row r="2040" spans="1:12" x14ac:dyDescent="0.3">
      <c r="A2040" t="s">
        <v>2055</v>
      </c>
      <c r="B2040" t="s">
        <v>13</v>
      </c>
      <c r="C2040" t="s">
        <v>14</v>
      </c>
      <c r="D2040">
        <v>25</v>
      </c>
      <c r="E2040" s="1">
        <v>40551</v>
      </c>
      <c r="F2040">
        <v>2011</v>
      </c>
      <c r="G2040" t="s">
        <v>5037</v>
      </c>
      <c r="H2040">
        <v>8</v>
      </c>
      <c r="I2040">
        <v>4.3899999999999997</v>
      </c>
      <c r="J2040">
        <v>14</v>
      </c>
      <c r="K2040">
        <v>3425.76</v>
      </c>
      <c r="L2040">
        <v>14.8</v>
      </c>
    </row>
    <row r="2041" spans="1:12" x14ac:dyDescent="0.3">
      <c r="A2041" t="s">
        <v>2056</v>
      </c>
      <c r="B2041" t="s">
        <v>13</v>
      </c>
      <c r="C2041" t="s">
        <v>11</v>
      </c>
      <c r="D2041">
        <v>34</v>
      </c>
      <c r="E2041" s="1">
        <v>45696</v>
      </c>
      <c r="F2041">
        <v>2025</v>
      </c>
      <c r="G2041" t="s">
        <v>5042</v>
      </c>
      <c r="H2041">
        <v>8</v>
      </c>
      <c r="I2041">
        <v>3.86</v>
      </c>
      <c r="J2041">
        <v>10</v>
      </c>
      <c r="K2041">
        <v>4532.01</v>
      </c>
      <c r="L2041">
        <v>0.7</v>
      </c>
    </row>
    <row r="2042" spans="1:12" x14ac:dyDescent="0.3">
      <c r="A2042" t="s">
        <v>2057</v>
      </c>
      <c r="B2042" t="s">
        <v>10</v>
      </c>
      <c r="C2042" t="s">
        <v>14</v>
      </c>
      <c r="D2042">
        <v>37</v>
      </c>
      <c r="E2042" s="1">
        <v>40850</v>
      </c>
      <c r="F2042">
        <v>2011</v>
      </c>
      <c r="G2042" t="s">
        <v>5038</v>
      </c>
      <c r="H2042">
        <v>3</v>
      </c>
      <c r="I2042">
        <v>4.72</v>
      </c>
      <c r="J2042">
        <v>11</v>
      </c>
      <c r="K2042">
        <v>7025.1</v>
      </c>
      <c r="L2042">
        <v>14</v>
      </c>
    </row>
    <row r="2043" spans="1:12" x14ac:dyDescent="0.3">
      <c r="A2043" t="s">
        <v>2058</v>
      </c>
      <c r="B2043" t="s">
        <v>24</v>
      </c>
      <c r="C2043" t="s">
        <v>14</v>
      </c>
      <c r="D2043">
        <v>28</v>
      </c>
      <c r="E2043" s="1">
        <v>44428</v>
      </c>
      <c r="F2043">
        <v>2021</v>
      </c>
      <c r="G2043" t="s">
        <v>5031</v>
      </c>
      <c r="H2043">
        <v>20</v>
      </c>
      <c r="I2043">
        <v>3.54</v>
      </c>
      <c r="J2043">
        <v>12</v>
      </c>
      <c r="K2043">
        <v>12011.11</v>
      </c>
      <c r="L2043">
        <v>4.2</v>
      </c>
    </row>
    <row r="2044" spans="1:12" x14ac:dyDescent="0.3">
      <c r="A2044" t="s">
        <v>2059</v>
      </c>
      <c r="B2044" t="s">
        <v>18</v>
      </c>
      <c r="C2044" t="s">
        <v>14</v>
      </c>
      <c r="D2044">
        <v>53</v>
      </c>
      <c r="E2044" s="1">
        <v>40368</v>
      </c>
      <c r="F2044">
        <v>2010</v>
      </c>
      <c r="G2044" t="s">
        <v>5034</v>
      </c>
      <c r="H2044">
        <v>9</v>
      </c>
      <c r="I2044">
        <v>4.6100000000000003</v>
      </c>
      <c r="J2044">
        <v>13</v>
      </c>
      <c r="K2044">
        <v>12332.33</v>
      </c>
      <c r="L2044">
        <v>15.3</v>
      </c>
    </row>
    <row r="2045" spans="1:12" x14ac:dyDescent="0.3">
      <c r="A2045" t="s">
        <v>2060</v>
      </c>
      <c r="B2045" t="s">
        <v>18</v>
      </c>
      <c r="C2045" t="s">
        <v>14</v>
      </c>
      <c r="D2045">
        <v>59</v>
      </c>
      <c r="E2045" s="1">
        <v>44125</v>
      </c>
      <c r="F2045">
        <v>2020</v>
      </c>
      <c r="G2045" t="s">
        <v>5039</v>
      </c>
      <c r="H2045">
        <v>21</v>
      </c>
      <c r="I2045">
        <v>1.61</v>
      </c>
      <c r="J2045">
        <v>8</v>
      </c>
      <c r="K2045">
        <v>5958.6</v>
      </c>
      <c r="L2045">
        <v>5</v>
      </c>
    </row>
    <row r="2046" spans="1:12" x14ac:dyDescent="0.3">
      <c r="A2046" t="s">
        <v>2061</v>
      </c>
      <c r="B2046" t="s">
        <v>13</v>
      </c>
      <c r="C2046" t="s">
        <v>14</v>
      </c>
      <c r="D2046">
        <v>37</v>
      </c>
      <c r="E2046" s="1">
        <v>40472</v>
      </c>
      <c r="F2046">
        <v>2010</v>
      </c>
      <c r="G2046" t="s">
        <v>5039</v>
      </c>
      <c r="H2046">
        <v>21</v>
      </c>
      <c r="I2046">
        <v>3.37</v>
      </c>
      <c r="J2046">
        <v>4</v>
      </c>
      <c r="K2046">
        <v>14930.24</v>
      </c>
      <c r="L2046">
        <v>15</v>
      </c>
    </row>
    <row r="2047" spans="1:12" x14ac:dyDescent="0.3">
      <c r="A2047" t="s">
        <v>2062</v>
      </c>
      <c r="B2047" t="s">
        <v>24</v>
      </c>
      <c r="C2047" t="s">
        <v>11</v>
      </c>
      <c r="D2047">
        <v>57</v>
      </c>
      <c r="E2047" s="1">
        <v>45256</v>
      </c>
      <c r="F2047">
        <v>2023</v>
      </c>
      <c r="G2047" t="s">
        <v>5038</v>
      </c>
      <c r="H2047">
        <v>26</v>
      </c>
      <c r="I2047">
        <v>2.98</v>
      </c>
      <c r="J2047">
        <v>2</v>
      </c>
      <c r="K2047">
        <v>14669.46</v>
      </c>
      <c r="L2047">
        <v>1.9</v>
      </c>
    </row>
    <row r="2048" spans="1:12" x14ac:dyDescent="0.3">
      <c r="A2048" t="s">
        <v>2063</v>
      </c>
      <c r="B2048" t="s">
        <v>24</v>
      </c>
      <c r="C2048" t="s">
        <v>11</v>
      </c>
      <c r="D2048">
        <v>39</v>
      </c>
      <c r="E2048" s="1">
        <v>41009</v>
      </c>
      <c r="F2048">
        <v>2012</v>
      </c>
      <c r="G2048" t="s">
        <v>5040</v>
      </c>
      <c r="H2048">
        <v>10</v>
      </c>
      <c r="I2048">
        <v>3.61</v>
      </c>
      <c r="J2048">
        <v>6</v>
      </c>
      <c r="K2048">
        <v>9890.7999999999993</v>
      </c>
      <c r="L2048">
        <v>13.6</v>
      </c>
    </row>
    <row r="2049" spans="1:12" x14ac:dyDescent="0.3">
      <c r="A2049" t="s">
        <v>2064</v>
      </c>
      <c r="B2049" t="s">
        <v>13</v>
      </c>
      <c r="C2049" t="s">
        <v>11</v>
      </c>
      <c r="D2049">
        <v>40</v>
      </c>
      <c r="E2049" s="1">
        <v>40328</v>
      </c>
      <c r="F2049">
        <v>2010</v>
      </c>
      <c r="G2049" t="s">
        <v>5036</v>
      </c>
      <c r="H2049">
        <v>30</v>
      </c>
      <c r="I2049">
        <v>3.67</v>
      </c>
      <c r="J2049">
        <v>13</v>
      </c>
      <c r="K2049">
        <v>8772.2999999999993</v>
      </c>
      <c r="L2049">
        <v>15.4</v>
      </c>
    </row>
    <row r="2050" spans="1:12" x14ac:dyDescent="0.3">
      <c r="A2050" t="s">
        <v>2065</v>
      </c>
      <c r="B2050" t="s">
        <v>18</v>
      </c>
      <c r="C2050" t="s">
        <v>11</v>
      </c>
      <c r="D2050">
        <v>58</v>
      </c>
      <c r="E2050" s="1">
        <v>41389</v>
      </c>
      <c r="F2050">
        <v>2013</v>
      </c>
      <c r="G2050" t="s">
        <v>5040</v>
      </c>
      <c r="H2050">
        <v>25</v>
      </c>
      <c r="I2050">
        <v>3.01</v>
      </c>
      <c r="J2050">
        <v>4</v>
      </c>
      <c r="K2050">
        <v>6204.39</v>
      </c>
      <c r="L2050">
        <v>12.5</v>
      </c>
    </row>
    <row r="2051" spans="1:12" x14ac:dyDescent="0.3">
      <c r="A2051" t="s">
        <v>2066</v>
      </c>
      <c r="B2051" t="s">
        <v>13</v>
      </c>
      <c r="C2051" t="s">
        <v>14</v>
      </c>
      <c r="D2051">
        <v>45</v>
      </c>
      <c r="E2051" s="1">
        <v>44501</v>
      </c>
      <c r="F2051">
        <v>2021</v>
      </c>
      <c r="G2051" t="s">
        <v>5038</v>
      </c>
      <c r="H2051">
        <v>1</v>
      </c>
      <c r="I2051">
        <v>1.74</v>
      </c>
      <c r="J2051">
        <v>10</v>
      </c>
      <c r="K2051">
        <v>13337.8</v>
      </c>
      <c r="L2051">
        <v>4</v>
      </c>
    </row>
    <row r="2052" spans="1:12" x14ac:dyDescent="0.3">
      <c r="A2052" t="s">
        <v>2067</v>
      </c>
      <c r="B2052" t="s">
        <v>18</v>
      </c>
      <c r="C2052" t="s">
        <v>11</v>
      </c>
      <c r="D2052">
        <v>39</v>
      </c>
      <c r="E2052" s="1">
        <v>45336</v>
      </c>
      <c r="F2052">
        <v>2024</v>
      </c>
      <c r="G2052" t="s">
        <v>5042</v>
      </c>
      <c r="H2052">
        <v>14</v>
      </c>
      <c r="I2052">
        <v>4.9000000000000004</v>
      </c>
      <c r="J2052">
        <v>14</v>
      </c>
      <c r="K2052">
        <v>7823.29</v>
      </c>
      <c r="L2052">
        <v>1.7</v>
      </c>
    </row>
    <row r="2053" spans="1:12" x14ac:dyDescent="0.3">
      <c r="A2053" t="s">
        <v>2068</v>
      </c>
      <c r="B2053" t="s">
        <v>24</v>
      </c>
      <c r="C2053" t="s">
        <v>11</v>
      </c>
      <c r="D2053">
        <v>27</v>
      </c>
      <c r="E2053" s="1">
        <v>44795</v>
      </c>
      <c r="F2053">
        <v>2022</v>
      </c>
      <c r="G2053" t="s">
        <v>5031</v>
      </c>
      <c r="H2053">
        <v>22</v>
      </c>
      <c r="I2053">
        <v>4.78</v>
      </c>
      <c r="J2053">
        <v>2</v>
      </c>
      <c r="K2053">
        <v>3507.64</v>
      </c>
      <c r="L2053">
        <v>3.2</v>
      </c>
    </row>
    <row r="2054" spans="1:12" x14ac:dyDescent="0.3">
      <c r="A2054" t="s">
        <v>2069</v>
      </c>
      <c r="B2054" t="s">
        <v>18</v>
      </c>
      <c r="C2054" t="s">
        <v>14</v>
      </c>
      <c r="D2054">
        <v>43</v>
      </c>
      <c r="E2054" s="1">
        <v>45003</v>
      </c>
      <c r="F2054">
        <v>2023</v>
      </c>
      <c r="G2054" t="s">
        <v>5035</v>
      </c>
      <c r="H2054">
        <v>18</v>
      </c>
      <c r="I2054">
        <v>3.06</v>
      </c>
      <c r="J2054">
        <v>10</v>
      </c>
      <c r="K2054">
        <v>13211.38</v>
      </c>
      <c r="L2054">
        <v>2.6</v>
      </c>
    </row>
    <row r="2055" spans="1:12" x14ac:dyDescent="0.3">
      <c r="A2055" t="s">
        <v>2070</v>
      </c>
      <c r="B2055" t="s">
        <v>18</v>
      </c>
      <c r="C2055" t="s">
        <v>11</v>
      </c>
      <c r="D2055">
        <v>22</v>
      </c>
      <c r="E2055" s="1">
        <v>44023</v>
      </c>
      <c r="F2055">
        <v>2020</v>
      </c>
      <c r="G2055" t="s">
        <v>5034</v>
      </c>
      <c r="H2055">
        <v>11</v>
      </c>
      <c r="I2055">
        <v>3.94</v>
      </c>
      <c r="J2055">
        <v>10</v>
      </c>
      <c r="K2055">
        <v>7704.8</v>
      </c>
      <c r="L2055">
        <v>5.3</v>
      </c>
    </row>
    <row r="2056" spans="1:12" x14ac:dyDescent="0.3">
      <c r="A2056" t="s">
        <v>2071</v>
      </c>
      <c r="B2056" t="s">
        <v>16</v>
      </c>
      <c r="C2056" t="s">
        <v>11</v>
      </c>
      <c r="D2056">
        <v>47</v>
      </c>
      <c r="E2056" s="1">
        <v>44329</v>
      </c>
      <c r="F2056">
        <v>2021</v>
      </c>
      <c r="G2056" t="s">
        <v>5036</v>
      </c>
      <c r="H2056">
        <v>13</v>
      </c>
      <c r="I2056">
        <v>2.34</v>
      </c>
      <c r="J2056">
        <v>8</v>
      </c>
      <c r="K2056">
        <v>4510.8</v>
      </c>
      <c r="L2056">
        <v>4.5</v>
      </c>
    </row>
    <row r="2057" spans="1:12" x14ac:dyDescent="0.3">
      <c r="A2057" t="s">
        <v>2072</v>
      </c>
      <c r="B2057" t="s">
        <v>16</v>
      </c>
      <c r="C2057" t="s">
        <v>11</v>
      </c>
      <c r="D2057">
        <v>41</v>
      </c>
      <c r="E2057" s="1">
        <v>42071</v>
      </c>
      <c r="F2057">
        <v>2015</v>
      </c>
      <c r="G2057" t="s">
        <v>5035</v>
      </c>
      <c r="H2057">
        <v>8</v>
      </c>
      <c r="I2057">
        <v>4.5599999999999996</v>
      </c>
      <c r="J2057">
        <v>1</v>
      </c>
      <c r="K2057">
        <v>6629.16</v>
      </c>
      <c r="L2057">
        <v>10.7</v>
      </c>
    </row>
    <row r="2058" spans="1:12" x14ac:dyDescent="0.3">
      <c r="A2058" t="s">
        <v>2073</v>
      </c>
      <c r="B2058" t="s">
        <v>24</v>
      </c>
      <c r="C2058" t="s">
        <v>11</v>
      </c>
      <c r="D2058">
        <v>49</v>
      </c>
      <c r="E2058" s="1">
        <v>43971</v>
      </c>
      <c r="F2058">
        <v>2020</v>
      </c>
      <c r="G2058" t="s">
        <v>5036</v>
      </c>
      <c r="H2058">
        <v>20</v>
      </c>
      <c r="I2058">
        <v>1.98</v>
      </c>
      <c r="J2058">
        <v>9</v>
      </c>
      <c r="K2058">
        <v>7053.33</v>
      </c>
      <c r="L2058">
        <v>5.5</v>
      </c>
    </row>
    <row r="2059" spans="1:12" x14ac:dyDescent="0.3">
      <c r="A2059" t="s">
        <v>2074</v>
      </c>
      <c r="B2059" t="s">
        <v>24</v>
      </c>
      <c r="C2059" t="s">
        <v>14</v>
      </c>
      <c r="D2059">
        <v>57</v>
      </c>
      <c r="E2059" s="1">
        <v>45340</v>
      </c>
      <c r="F2059">
        <v>2024</v>
      </c>
      <c r="G2059" t="s">
        <v>5042</v>
      </c>
      <c r="H2059">
        <v>18</v>
      </c>
      <c r="I2059">
        <v>2.12</v>
      </c>
      <c r="J2059">
        <v>1</v>
      </c>
      <c r="K2059">
        <v>10499.07</v>
      </c>
      <c r="L2059">
        <v>1.7</v>
      </c>
    </row>
    <row r="2060" spans="1:12" x14ac:dyDescent="0.3">
      <c r="A2060" t="s">
        <v>2075</v>
      </c>
      <c r="B2060" t="s">
        <v>18</v>
      </c>
      <c r="C2060" t="s">
        <v>14</v>
      </c>
      <c r="D2060">
        <v>32</v>
      </c>
      <c r="E2060" s="1">
        <v>41892</v>
      </c>
      <c r="F2060">
        <v>2014</v>
      </c>
      <c r="G2060" t="s">
        <v>5033</v>
      </c>
      <c r="H2060">
        <v>10</v>
      </c>
      <c r="I2060">
        <v>4.12</v>
      </c>
      <c r="J2060">
        <v>7</v>
      </c>
      <c r="K2060">
        <v>11256.84</v>
      </c>
      <c r="L2060">
        <v>11.2</v>
      </c>
    </row>
    <row r="2061" spans="1:12" x14ac:dyDescent="0.3">
      <c r="A2061" t="s">
        <v>2076</v>
      </c>
      <c r="B2061" t="s">
        <v>10</v>
      </c>
      <c r="C2061" t="s">
        <v>14</v>
      </c>
      <c r="D2061">
        <v>50</v>
      </c>
      <c r="E2061" s="1">
        <v>44439</v>
      </c>
      <c r="F2061">
        <v>2021</v>
      </c>
      <c r="G2061" t="s">
        <v>5031</v>
      </c>
      <c r="H2061">
        <v>31</v>
      </c>
      <c r="I2061">
        <v>3.71</v>
      </c>
      <c r="J2061">
        <v>3</v>
      </c>
      <c r="K2061">
        <v>12475.15</v>
      </c>
      <c r="L2061">
        <v>4.2</v>
      </c>
    </row>
    <row r="2062" spans="1:12" x14ac:dyDescent="0.3">
      <c r="A2062" t="s">
        <v>2077</v>
      </c>
      <c r="B2062" t="s">
        <v>18</v>
      </c>
      <c r="C2062" t="s">
        <v>11</v>
      </c>
      <c r="D2062">
        <v>33</v>
      </c>
      <c r="E2062" s="1">
        <v>40759</v>
      </c>
      <c r="F2062">
        <v>2011</v>
      </c>
      <c r="G2062" t="s">
        <v>5031</v>
      </c>
      <c r="H2062">
        <v>4</v>
      </c>
      <c r="I2062">
        <v>3.97</v>
      </c>
      <c r="J2062">
        <v>6</v>
      </c>
      <c r="K2062">
        <v>6687.15</v>
      </c>
      <c r="L2062">
        <v>14.3</v>
      </c>
    </row>
    <row r="2063" spans="1:12" x14ac:dyDescent="0.3">
      <c r="A2063" t="s">
        <v>2078</v>
      </c>
      <c r="B2063" t="s">
        <v>16</v>
      </c>
      <c r="C2063" t="s">
        <v>11</v>
      </c>
      <c r="D2063">
        <v>59</v>
      </c>
      <c r="E2063" s="1">
        <v>43576</v>
      </c>
      <c r="F2063">
        <v>2019</v>
      </c>
      <c r="G2063" t="s">
        <v>5040</v>
      </c>
      <c r="H2063">
        <v>21</v>
      </c>
      <c r="I2063">
        <v>2.4500000000000002</v>
      </c>
      <c r="J2063">
        <v>6</v>
      </c>
      <c r="K2063">
        <v>8231.31</v>
      </c>
      <c r="L2063">
        <v>6.5</v>
      </c>
    </row>
    <row r="2064" spans="1:12" x14ac:dyDescent="0.3">
      <c r="A2064" t="s">
        <v>2079</v>
      </c>
      <c r="B2064" t="s">
        <v>34</v>
      </c>
      <c r="C2064" t="s">
        <v>14</v>
      </c>
      <c r="D2064">
        <v>31</v>
      </c>
      <c r="E2064" s="1">
        <v>41544</v>
      </c>
      <c r="F2064">
        <v>2013</v>
      </c>
      <c r="G2064" t="s">
        <v>5033</v>
      </c>
      <c r="H2064">
        <v>27</v>
      </c>
      <c r="I2064">
        <v>1.75</v>
      </c>
      <c r="J2064">
        <v>5</v>
      </c>
      <c r="K2064">
        <v>5940.08</v>
      </c>
      <c r="L2064">
        <v>12.1</v>
      </c>
    </row>
    <row r="2065" spans="1:12" x14ac:dyDescent="0.3">
      <c r="A2065" t="s">
        <v>2080</v>
      </c>
      <c r="B2065" t="s">
        <v>18</v>
      </c>
      <c r="C2065" t="s">
        <v>14</v>
      </c>
      <c r="D2065">
        <v>56</v>
      </c>
      <c r="E2065" s="1">
        <v>45941</v>
      </c>
      <c r="F2065">
        <v>2025</v>
      </c>
      <c r="G2065" t="s">
        <v>5039</v>
      </c>
      <c r="H2065">
        <v>11</v>
      </c>
      <c r="I2065">
        <v>1.88</v>
      </c>
      <c r="J2065">
        <v>7</v>
      </c>
      <c r="K2065">
        <v>14506.89</v>
      </c>
      <c r="L2065">
        <v>0.1</v>
      </c>
    </row>
    <row r="2066" spans="1:12" x14ac:dyDescent="0.3">
      <c r="A2066" t="s">
        <v>2081</v>
      </c>
      <c r="B2066" t="s">
        <v>13</v>
      </c>
      <c r="C2066" t="s">
        <v>14</v>
      </c>
      <c r="D2066">
        <v>24</v>
      </c>
      <c r="E2066" s="1">
        <v>41963</v>
      </c>
      <c r="F2066">
        <v>2014</v>
      </c>
      <c r="G2066" t="s">
        <v>5038</v>
      </c>
      <c r="H2066">
        <v>20</v>
      </c>
      <c r="I2066">
        <v>1.81</v>
      </c>
      <c r="J2066">
        <v>0</v>
      </c>
      <c r="K2066">
        <v>4404.6000000000004</v>
      </c>
      <c r="L2066">
        <v>11</v>
      </c>
    </row>
    <row r="2067" spans="1:12" x14ac:dyDescent="0.3">
      <c r="A2067" t="s">
        <v>2082</v>
      </c>
      <c r="B2067" t="s">
        <v>13</v>
      </c>
      <c r="C2067" t="s">
        <v>11</v>
      </c>
      <c r="D2067">
        <v>28</v>
      </c>
      <c r="E2067" s="1">
        <v>42394</v>
      </c>
      <c r="F2067">
        <v>2016</v>
      </c>
      <c r="G2067" t="s">
        <v>5037</v>
      </c>
      <c r="H2067">
        <v>25</v>
      </c>
      <c r="I2067">
        <v>2.57</v>
      </c>
      <c r="J2067">
        <v>11</v>
      </c>
      <c r="K2067">
        <v>14077.01</v>
      </c>
      <c r="L2067">
        <v>9.8000000000000007</v>
      </c>
    </row>
    <row r="2068" spans="1:12" x14ac:dyDescent="0.3">
      <c r="A2068" t="s">
        <v>2083</v>
      </c>
      <c r="B2068" t="s">
        <v>18</v>
      </c>
      <c r="C2068" t="s">
        <v>11</v>
      </c>
      <c r="D2068">
        <v>27</v>
      </c>
      <c r="E2068" s="1">
        <v>40433</v>
      </c>
      <c r="F2068">
        <v>2010</v>
      </c>
      <c r="G2068" t="s">
        <v>5033</v>
      </c>
      <c r="H2068">
        <v>12</v>
      </c>
      <c r="I2068">
        <v>4.41</v>
      </c>
      <c r="J2068">
        <v>2</v>
      </c>
      <c r="K2068">
        <v>4935.6499999999996</v>
      </c>
      <c r="L2068">
        <v>15.1</v>
      </c>
    </row>
    <row r="2069" spans="1:12" x14ac:dyDescent="0.3">
      <c r="A2069" t="s">
        <v>2084</v>
      </c>
      <c r="B2069" t="s">
        <v>10</v>
      </c>
      <c r="C2069" t="s">
        <v>11</v>
      </c>
      <c r="D2069">
        <v>30</v>
      </c>
      <c r="E2069" s="1">
        <v>40570</v>
      </c>
      <c r="F2069">
        <v>2011</v>
      </c>
      <c r="G2069" t="s">
        <v>5037</v>
      </c>
      <c r="H2069">
        <v>27</v>
      </c>
      <c r="I2069">
        <v>1.67</v>
      </c>
      <c r="J2069">
        <v>8</v>
      </c>
      <c r="K2069">
        <v>6190.14</v>
      </c>
      <c r="L2069">
        <v>14.8</v>
      </c>
    </row>
    <row r="2070" spans="1:12" x14ac:dyDescent="0.3">
      <c r="A2070" t="s">
        <v>2085</v>
      </c>
      <c r="B2070" t="s">
        <v>16</v>
      </c>
      <c r="C2070" t="s">
        <v>14</v>
      </c>
      <c r="D2070">
        <v>37</v>
      </c>
      <c r="E2070" s="1">
        <v>44749</v>
      </c>
      <c r="F2070">
        <v>2022</v>
      </c>
      <c r="G2070" t="s">
        <v>5034</v>
      </c>
      <c r="H2070">
        <v>7</v>
      </c>
      <c r="I2070">
        <v>2.12</v>
      </c>
      <c r="J2070">
        <v>11</v>
      </c>
      <c r="K2070">
        <v>4712.1499999999996</v>
      </c>
      <c r="L2070">
        <v>3.3</v>
      </c>
    </row>
    <row r="2071" spans="1:12" x14ac:dyDescent="0.3">
      <c r="A2071" t="s">
        <v>2086</v>
      </c>
      <c r="B2071" t="s">
        <v>16</v>
      </c>
      <c r="C2071" t="s">
        <v>14</v>
      </c>
      <c r="D2071">
        <v>53</v>
      </c>
      <c r="E2071" s="1">
        <v>43359</v>
      </c>
      <c r="F2071">
        <v>2018</v>
      </c>
      <c r="G2071" t="s">
        <v>5033</v>
      </c>
      <c r="H2071">
        <v>16</v>
      </c>
      <c r="I2071">
        <v>3</v>
      </c>
      <c r="J2071">
        <v>0</v>
      </c>
      <c r="K2071">
        <v>13806.65</v>
      </c>
      <c r="L2071">
        <v>7.1</v>
      </c>
    </row>
    <row r="2072" spans="1:12" x14ac:dyDescent="0.3">
      <c r="A2072" t="s">
        <v>2087</v>
      </c>
      <c r="B2072" t="s">
        <v>34</v>
      </c>
      <c r="C2072" t="s">
        <v>14</v>
      </c>
      <c r="D2072">
        <v>45</v>
      </c>
      <c r="E2072" s="1">
        <v>41809</v>
      </c>
      <c r="F2072">
        <v>2014</v>
      </c>
      <c r="G2072" t="s">
        <v>5032</v>
      </c>
      <c r="H2072">
        <v>19</v>
      </c>
      <c r="I2072">
        <v>4.46</v>
      </c>
      <c r="J2072">
        <v>13</v>
      </c>
      <c r="K2072">
        <v>6308.75</v>
      </c>
      <c r="L2072">
        <v>11.4</v>
      </c>
    </row>
    <row r="2073" spans="1:12" x14ac:dyDescent="0.3">
      <c r="A2073" t="s">
        <v>2088</v>
      </c>
      <c r="B2073" t="s">
        <v>13</v>
      </c>
      <c r="C2073" t="s">
        <v>11</v>
      </c>
      <c r="D2073">
        <v>43</v>
      </c>
      <c r="E2073" s="1">
        <v>45655</v>
      </c>
      <c r="F2073">
        <v>2024</v>
      </c>
      <c r="G2073" t="s">
        <v>5041</v>
      </c>
      <c r="H2073">
        <v>29</v>
      </c>
      <c r="I2073">
        <v>4.8099999999999996</v>
      </c>
      <c r="J2073">
        <v>6</v>
      </c>
      <c r="K2073">
        <v>8512.86</v>
      </c>
      <c r="L2073">
        <v>0.8</v>
      </c>
    </row>
    <row r="2074" spans="1:12" x14ac:dyDescent="0.3">
      <c r="A2074" t="s">
        <v>2089</v>
      </c>
      <c r="B2074" t="s">
        <v>10</v>
      </c>
      <c r="C2074" t="s">
        <v>11</v>
      </c>
      <c r="D2074">
        <v>44</v>
      </c>
      <c r="E2074" s="1">
        <v>41006</v>
      </c>
      <c r="F2074">
        <v>2012</v>
      </c>
      <c r="G2074" t="s">
        <v>5040</v>
      </c>
      <c r="H2074">
        <v>7</v>
      </c>
      <c r="I2074">
        <v>3.48</v>
      </c>
      <c r="J2074">
        <v>3</v>
      </c>
      <c r="K2074">
        <v>14303.87</v>
      </c>
      <c r="L2074">
        <v>13.6</v>
      </c>
    </row>
    <row r="2075" spans="1:12" x14ac:dyDescent="0.3">
      <c r="A2075" t="s">
        <v>2090</v>
      </c>
      <c r="B2075" t="s">
        <v>18</v>
      </c>
      <c r="C2075" t="s">
        <v>14</v>
      </c>
      <c r="D2075">
        <v>36</v>
      </c>
      <c r="E2075" s="1">
        <v>41632</v>
      </c>
      <c r="F2075">
        <v>2013</v>
      </c>
      <c r="G2075" t="s">
        <v>5041</v>
      </c>
      <c r="H2075">
        <v>24</v>
      </c>
      <c r="I2075">
        <v>4.82</v>
      </c>
      <c r="J2075">
        <v>7</v>
      </c>
      <c r="K2075">
        <v>13234.64</v>
      </c>
      <c r="L2075">
        <v>11.9</v>
      </c>
    </row>
    <row r="2076" spans="1:12" x14ac:dyDescent="0.3">
      <c r="A2076" t="s">
        <v>2091</v>
      </c>
      <c r="B2076" t="s">
        <v>16</v>
      </c>
      <c r="C2076" t="s">
        <v>11</v>
      </c>
      <c r="D2076">
        <v>25</v>
      </c>
      <c r="E2076" s="1">
        <v>43468</v>
      </c>
      <c r="F2076">
        <v>2019</v>
      </c>
      <c r="G2076" t="s">
        <v>5037</v>
      </c>
      <c r="H2076">
        <v>3</v>
      </c>
      <c r="I2076">
        <v>1.59</v>
      </c>
      <c r="J2076">
        <v>15</v>
      </c>
      <c r="K2076">
        <v>5795.23</v>
      </c>
      <c r="L2076">
        <v>6.8</v>
      </c>
    </row>
    <row r="2077" spans="1:12" x14ac:dyDescent="0.3">
      <c r="A2077" t="s">
        <v>2092</v>
      </c>
      <c r="B2077" t="s">
        <v>10</v>
      </c>
      <c r="C2077" t="s">
        <v>14</v>
      </c>
      <c r="D2077">
        <v>51</v>
      </c>
      <c r="E2077" s="1">
        <v>43450</v>
      </c>
      <c r="F2077">
        <v>2018</v>
      </c>
      <c r="G2077" t="s">
        <v>5041</v>
      </c>
      <c r="H2077">
        <v>16</v>
      </c>
      <c r="I2077">
        <v>3.32</v>
      </c>
      <c r="J2077">
        <v>13</v>
      </c>
      <c r="K2077">
        <v>11946.55</v>
      </c>
      <c r="L2077">
        <v>6.9</v>
      </c>
    </row>
    <row r="2078" spans="1:12" x14ac:dyDescent="0.3">
      <c r="A2078" t="s">
        <v>2093</v>
      </c>
      <c r="B2078" t="s">
        <v>34</v>
      </c>
      <c r="C2078" t="s">
        <v>14</v>
      </c>
      <c r="D2078">
        <v>28</v>
      </c>
      <c r="E2078" s="1">
        <v>42163</v>
      </c>
      <c r="F2078">
        <v>2015</v>
      </c>
      <c r="G2078" t="s">
        <v>5032</v>
      </c>
      <c r="H2078">
        <v>8</v>
      </c>
      <c r="I2078">
        <v>4.13</v>
      </c>
      <c r="J2078">
        <v>0</v>
      </c>
      <c r="K2078">
        <v>14259.73</v>
      </c>
      <c r="L2078">
        <v>10.4</v>
      </c>
    </row>
    <row r="2079" spans="1:12" x14ac:dyDescent="0.3">
      <c r="A2079" t="s">
        <v>2094</v>
      </c>
      <c r="B2079" t="s">
        <v>10</v>
      </c>
      <c r="C2079" t="s">
        <v>14</v>
      </c>
      <c r="D2079">
        <v>34</v>
      </c>
      <c r="E2079" s="1">
        <v>42055</v>
      </c>
      <c r="F2079">
        <v>2015</v>
      </c>
      <c r="G2079" t="s">
        <v>5042</v>
      </c>
      <c r="H2079">
        <v>20</v>
      </c>
      <c r="I2079">
        <v>2.37</v>
      </c>
      <c r="J2079">
        <v>11</v>
      </c>
      <c r="K2079">
        <v>6939.8</v>
      </c>
      <c r="L2079">
        <v>10.7</v>
      </c>
    </row>
    <row r="2080" spans="1:12" x14ac:dyDescent="0.3">
      <c r="A2080" t="s">
        <v>2095</v>
      </c>
      <c r="B2080" t="s">
        <v>16</v>
      </c>
      <c r="C2080" t="s">
        <v>14</v>
      </c>
      <c r="D2080">
        <v>54</v>
      </c>
      <c r="E2080" s="1">
        <v>44142</v>
      </c>
      <c r="F2080">
        <v>2020</v>
      </c>
      <c r="G2080" t="s">
        <v>5038</v>
      </c>
      <c r="H2080">
        <v>7</v>
      </c>
      <c r="I2080">
        <v>2.93</v>
      </c>
      <c r="J2080">
        <v>1</v>
      </c>
      <c r="K2080">
        <v>13362.03</v>
      </c>
      <c r="L2080">
        <v>5</v>
      </c>
    </row>
    <row r="2081" spans="1:12" x14ac:dyDescent="0.3">
      <c r="A2081" t="s">
        <v>2096</v>
      </c>
      <c r="B2081" t="s">
        <v>24</v>
      </c>
      <c r="C2081" t="s">
        <v>14</v>
      </c>
      <c r="D2081">
        <v>43</v>
      </c>
      <c r="E2081" s="1">
        <v>44443</v>
      </c>
      <c r="F2081">
        <v>2021</v>
      </c>
      <c r="G2081" t="s">
        <v>5033</v>
      </c>
      <c r="H2081">
        <v>4</v>
      </c>
      <c r="I2081">
        <v>3.68</v>
      </c>
      <c r="J2081">
        <v>3</v>
      </c>
      <c r="K2081">
        <v>9759.83</v>
      </c>
      <c r="L2081">
        <v>4.2</v>
      </c>
    </row>
    <row r="2082" spans="1:12" x14ac:dyDescent="0.3">
      <c r="A2082" t="s">
        <v>2097</v>
      </c>
      <c r="B2082" t="s">
        <v>24</v>
      </c>
      <c r="C2082" t="s">
        <v>11</v>
      </c>
      <c r="D2082">
        <v>50</v>
      </c>
      <c r="E2082" s="1">
        <v>45792</v>
      </c>
      <c r="F2082">
        <v>2025</v>
      </c>
      <c r="G2082" t="s">
        <v>5036</v>
      </c>
      <c r="H2082">
        <v>15</v>
      </c>
      <c r="I2082">
        <v>2.85</v>
      </c>
      <c r="J2082">
        <v>0</v>
      </c>
      <c r="K2082">
        <v>13167.91</v>
      </c>
      <c r="L2082">
        <v>0.5</v>
      </c>
    </row>
    <row r="2083" spans="1:12" x14ac:dyDescent="0.3">
      <c r="A2083" t="s">
        <v>2098</v>
      </c>
      <c r="B2083" t="s">
        <v>24</v>
      </c>
      <c r="C2083" t="s">
        <v>14</v>
      </c>
      <c r="D2083">
        <v>53</v>
      </c>
      <c r="E2083" s="1">
        <v>45471</v>
      </c>
      <c r="F2083">
        <v>2024</v>
      </c>
      <c r="G2083" t="s">
        <v>5032</v>
      </c>
      <c r="H2083">
        <v>28</v>
      </c>
      <c r="I2083">
        <v>3.69</v>
      </c>
      <c r="J2083">
        <v>15</v>
      </c>
      <c r="K2083">
        <v>6113.34</v>
      </c>
      <c r="L2083">
        <v>1.3</v>
      </c>
    </row>
    <row r="2084" spans="1:12" x14ac:dyDescent="0.3">
      <c r="A2084" t="s">
        <v>2099</v>
      </c>
      <c r="B2084" t="s">
        <v>10</v>
      </c>
      <c r="C2084" t="s">
        <v>11</v>
      </c>
      <c r="D2084">
        <v>44</v>
      </c>
      <c r="E2084" s="1">
        <v>42581</v>
      </c>
      <c r="F2084">
        <v>2016</v>
      </c>
      <c r="G2084" t="s">
        <v>5034</v>
      </c>
      <c r="H2084">
        <v>30</v>
      </c>
      <c r="I2084">
        <v>2.46</v>
      </c>
      <c r="J2084">
        <v>11</v>
      </c>
      <c r="K2084">
        <v>13950.73</v>
      </c>
      <c r="L2084">
        <v>9.3000000000000007</v>
      </c>
    </row>
    <row r="2085" spans="1:12" x14ac:dyDescent="0.3">
      <c r="A2085" t="s">
        <v>2100</v>
      </c>
      <c r="B2085" t="s">
        <v>24</v>
      </c>
      <c r="C2085" t="s">
        <v>14</v>
      </c>
      <c r="D2085">
        <v>32</v>
      </c>
      <c r="E2085" s="1">
        <v>44114</v>
      </c>
      <c r="F2085">
        <v>2020</v>
      </c>
      <c r="G2085" t="s">
        <v>5039</v>
      </c>
      <c r="H2085">
        <v>10</v>
      </c>
      <c r="I2085">
        <v>3.57</v>
      </c>
      <c r="J2085">
        <v>4</v>
      </c>
      <c r="K2085">
        <v>11161.22</v>
      </c>
      <c r="L2085">
        <v>5.0999999999999996</v>
      </c>
    </row>
    <row r="2086" spans="1:12" x14ac:dyDescent="0.3">
      <c r="A2086" t="s">
        <v>2101</v>
      </c>
      <c r="B2086" t="s">
        <v>24</v>
      </c>
      <c r="C2086" t="s">
        <v>14</v>
      </c>
      <c r="D2086">
        <v>52</v>
      </c>
      <c r="E2086" s="1">
        <v>41355</v>
      </c>
      <c r="F2086">
        <v>2013</v>
      </c>
      <c r="G2086" t="s">
        <v>5035</v>
      </c>
      <c r="H2086">
        <v>22</v>
      </c>
      <c r="I2086">
        <v>3.06</v>
      </c>
      <c r="J2086">
        <v>4</v>
      </c>
      <c r="K2086">
        <v>13354.65</v>
      </c>
      <c r="L2086">
        <v>12.6</v>
      </c>
    </row>
    <row r="2087" spans="1:12" x14ac:dyDescent="0.3">
      <c r="A2087" t="s">
        <v>2102</v>
      </c>
      <c r="B2087" t="s">
        <v>18</v>
      </c>
      <c r="C2087" t="s">
        <v>14</v>
      </c>
      <c r="D2087">
        <v>26</v>
      </c>
      <c r="E2087" s="1">
        <v>43002</v>
      </c>
      <c r="F2087">
        <v>2017</v>
      </c>
      <c r="G2087" t="s">
        <v>5033</v>
      </c>
      <c r="H2087">
        <v>24</v>
      </c>
      <c r="I2087">
        <v>4.07</v>
      </c>
      <c r="J2087">
        <v>11</v>
      </c>
      <c r="K2087">
        <v>12738.46</v>
      </c>
      <c r="L2087">
        <v>8.1</v>
      </c>
    </row>
    <row r="2088" spans="1:12" x14ac:dyDescent="0.3">
      <c r="A2088" t="s">
        <v>2103</v>
      </c>
      <c r="B2088" t="s">
        <v>10</v>
      </c>
      <c r="C2088" t="s">
        <v>11</v>
      </c>
      <c r="D2088">
        <v>53</v>
      </c>
      <c r="E2088" s="1">
        <v>42860</v>
      </c>
      <c r="F2088">
        <v>2017</v>
      </c>
      <c r="G2088" t="s">
        <v>5036</v>
      </c>
      <c r="H2088">
        <v>5</v>
      </c>
      <c r="I2088">
        <v>3.03</v>
      </c>
      <c r="J2088">
        <v>13</v>
      </c>
      <c r="K2088">
        <v>9157.3799999999992</v>
      </c>
      <c r="L2088">
        <v>8.5</v>
      </c>
    </row>
    <row r="2089" spans="1:12" x14ac:dyDescent="0.3">
      <c r="A2089" t="s">
        <v>2104</v>
      </c>
      <c r="B2089" t="s">
        <v>18</v>
      </c>
      <c r="C2089" t="s">
        <v>14</v>
      </c>
      <c r="D2089">
        <v>49</v>
      </c>
      <c r="E2089" s="1">
        <v>40263</v>
      </c>
      <c r="F2089">
        <v>2010</v>
      </c>
      <c r="G2089" t="s">
        <v>5035</v>
      </c>
      <c r="H2089">
        <v>26</v>
      </c>
      <c r="I2089">
        <v>3.75</v>
      </c>
      <c r="J2089">
        <v>5</v>
      </c>
      <c r="K2089">
        <v>5419.46</v>
      </c>
      <c r="L2089">
        <v>15.6</v>
      </c>
    </row>
    <row r="2090" spans="1:12" x14ac:dyDescent="0.3">
      <c r="A2090" t="s">
        <v>2105</v>
      </c>
      <c r="B2090" t="s">
        <v>24</v>
      </c>
      <c r="C2090" t="s">
        <v>14</v>
      </c>
      <c r="D2090">
        <v>46</v>
      </c>
      <c r="E2090" s="1">
        <v>41505</v>
      </c>
      <c r="F2090">
        <v>2013</v>
      </c>
      <c r="G2090" t="s">
        <v>5031</v>
      </c>
      <c r="H2090">
        <v>19</v>
      </c>
      <c r="I2090">
        <v>3.16</v>
      </c>
      <c r="J2090">
        <v>4</v>
      </c>
      <c r="K2090">
        <v>9437.99</v>
      </c>
      <c r="L2090">
        <v>12.2</v>
      </c>
    </row>
    <row r="2091" spans="1:12" x14ac:dyDescent="0.3">
      <c r="A2091" t="s">
        <v>2106</v>
      </c>
      <c r="B2091" t="s">
        <v>18</v>
      </c>
      <c r="C2091" t="s">
        <v>14</v>
      </c>
      <c r="D2091">
        <v>48</v>
      </c>
      <c r="E2091" s="1">
        <v>41200</v>
      </c>
      <c r="F2091">
        <v>2012</v>
      </c>
      <c r="G2091" t="s">
        <v>5039</v>
      </c>
      <c r="H2091">
        <v>18</v>
      </c>
      <c r="I2091">
        <v>4.84</v>
      </c>
      <c r="J2091">
        <v>2</v>
      </c>
      <c r="K2091">
        <v>12817.32</v>
      </c>
      <c r="L2091">
        <v>13</v>
      </c>
    </row>
    <row r="2092" spans="1:12" x14ac:dyDescent="0.3">
      <c r="A2092" t="s">
        <v>2107</v>
      </c>
      <c r="B2092" t="s">
        <v>13</v>
      </c>
      <c r="C2092" t="s">
        <v>14</v>
      </c>
      <c r="D2092">
        <v>56</v>
      </c>
      <c r="E2092" s="1">
        <v>45106</v>
      </c>
      <c r="F2092">
        <v>2023</v>
      </c>
      <c r="G2092" t="s">
        <v>5032</v>
      </c>
      <c r="H2092">
        <v>29</v>
      </c>
      <c r="I2092">
        <v>4.2300000000000004</v>
      </c>
      <c r="J2092">
        <v>1</v>
      </c>
      <c r="K2092">
        <v>5030.88</v>
      </c>
      <c r="L2092">
        <v>2.2999999999999998</v>
      </c>
    </row>
    <row r="2093" spans="1:12" x14ac:dyDescent="0.3">
      <c r="A2093" t="s">
        <v>2108</v>
      </c>
      <c r="B2093" t="s">
        <v>13</v>
      </c>
      <c r="C2093" t="s">
        <v>11</v>
      </c>
      <c r="D2093">
        <v>42</v>
      </c>
      <c r="E2093" s="1">
        <v>41282</v>
      </c>
      <c r="F2093">
        <v>2013</v>
      </c>
      <c r="G2093" t="s">
        <v>5037</v>
      </c>
      <c r="H2093">
        <v>8</v>
      </c>
      <c r="I2093">
        <v>3.8</v>
      </c>
      <c r="J2093">
        <v>11</v>
      </c>
      <c r="K2093">
        <v>5210.3999999999996</v>
      </c>
      <c r="L2093">
        <v>12.8</v>
      </c>
    </row>
    <row r="2094" spans="1:12" x14ac:dyDescent="0.3">
      <c r="A2094" t="s">
        <v>2109</v>
      </c>
      <c r="B2094" t="s">
        <v>16</v>
      </c>
      <c r="C2094" t="s">
        <v>11</v>
      </c>
      <c r="D2094">
        <v>36</v>
      </c>
      <c r="E2094" s="1">
        <v>45676</v>
      </c>
      <c r="F2094">
        <v>2025</v>
      </c>
      <c r="G2094" t="s">
        <v>5037</v>
      </c>
      <c r="H2094">
        <v>19</v>
      </c>
      <c r="I2094">
        <v>4.95</v>
      </c>
      <c r="J2094">
        <v>15</v>
      </c>
      <c r="K2094">
        <v>14619.38</v>
      </c>
      <c r="L2094">
        <v>0.8</v>
      </c>
    </row>
    <row r="2095" spans="1:12" x14ac:dyDescent="0.3">
      <c r="A2095" t="s">
        <v>2110</v>
      </c>
      <c r="B2095" t="s">
        <v>13</v>
      </c>
      <c r="C2095" t="s">
        <v>14</v>
      </c>
      <c r="D2095">
        <v>42</v>
      </c>
      <c r="E2095" s="1">
        <v>41223</v>
      </c>
      <c r="F2095">
        <v>2012</v>
      </c>
      <c r="G2095" t="s">
        <v>5038</v>
      </c>
      <c r="H2095">
        <v>10</v>
      </c>
      <c r="I2095">
        <v>2.5099999999999998</v>
      </c>
      <c r="J2095">
        <v>11</v>
      </c>
      <c r="K2095">
        <v>8691.69</v>
      </c>
      <c r="L2095">
        <v>13</v>
      </c>
    </row>
    <row r="2096" spans="1:12" x14ac:dyDescent="0.3">
      <c r="A2096" t="s">
        <v>2111</v>
      </c>
      <c r="B2096" t="s">
        <v>34</v>
      </c>
      <c r="C2096" t="s">
        <v>11</v>
      </c>
      <c r="D2096">
        <v>48</v>
      </c>
      <c r="E2096" s="1">
        <v>44741</v>
      </c>
      <c r="F2096">
        <v>2022</v>
      </c>
      <c r="G2096" t="s">
        <v>5032</v>
      </c>
      <c r="H2096">
        <v>29</v>
      </c>
      <c r="I2096">
        <v>2.27</v>
      </c>
      <c r="J2096">
        <v>10</v>
      </c>
      <c r="K2096">
        <v>12932.4</v>
      </c>
      <c r="L2096">
        <v>3.3</v>
      </c>
    </row>
    <row r="2097" spans="1:12" x14ac:dyDescent="0.3">
      <c r="A2097" t="s">
        <v>2112</v>
      </c>
      <c r="B2097" t="s">
        <v>18</v>
      </c>
      <c r="C2097" t="s">
        <v>14</v>
      </c>
      <c r="D2097">
        <v>33</v>
      </c>
      <c r="E2097" s="1">
        <v>41471</v>
      </c>
      <c r="F2097">
        <v>2013</v>
      </c>
      <c r="G2097" t="s">
        <v>5034</v>
      </c>
      <c r="H2097">
        <v>16</v>
      </c>
      <c r="I2097">
        <v>4.59</v>
      </c>
      <c r="J2097">
        <v>15</v>
      </c>
      <c r="K2097">
        <v>12770.08</v>
      </c>
      <c r="L2097">
        <v>12.3</v>
      </c>
    </row>
    <row r="2098" spans="1:12" x14ac:dyDescent="0.3">
      <c r="A2098" t="s">
        <v>2113</v>
      </c>
      <c r="B2098" t="s">
        <v>18</v>
      </c>
      <c r="C2098" t="s">
        <v>11</v>
      </c>
      <c r="D2098">
        <v>58</v>
      </c>
      <c r="E2098" s="1">
        <v>45009</v>
      </c>
      <c r="F2098">
        <v>2023</v>
      </c>
      <c r="G2098" t="s">
        <v>5035</v>
      </c>
      <c r="H2098">
        <v>24</v>
      </c>
      <c r="I2098">
        <v>2.12</v>
      </c>
      <c r="J2098">
        <v>14</v>
      </c>
      <c r="K2098">
        <v>12938.64</v>
      </c>
      <c r="L2098">
        <v>2.6</v>
      </c>
    </row>
    <row r="2099" spans="1:12" x14ac:dyDescent="0.3">
      <c r="A2099" t="s">
        <v>2114</v>
      </c>
      <c r="B2099" t="s">
        <v>10</v>
      </c>
      <c r="C2099" t="s">
        <v>11</v>
      </c>
      <c r="D2099">
        <v>35</v>
      </c>
      <c r="E2099" s="1">
        <v>40885</v>
      </c>
      <c r="F2099">
        <v>2011</v>
      </c>
      <c r="G2099" t="s">
        <v>5041</v>
      </c>
      <c r="H2099">
        <v>8</v>
      </c>
      <c r="I2099">
        <v>2.9</v>
      </c>
      <c r="J2099">
        <v>3</v>
      </c>
      <c r="K2099">
        <v>6532.06</v>
      </c>
      <c r="L2099">
        <v>13.9</v>
      </c>
    </row>
    <row r="2100" spans="1:12" x14ac:dyDescent="0.3">
      <c r="A2100" t="s">
        <v>2115</v>
      </c>
      <c r="B2100" t="s">
        <v>18</v>
      </c>
      <c r="C2100" t="s">
        <v>14</v>
      </c>
      <c r="D2100">
        <v>46</v>
      </c>
      <c r="E2100" s="1">
        <v>42246</v>
      </c>
      <c r="F2100">
        <v>2015</v>
      </c>
      <c r="G2100" t="s">
        <v>5031</v>
      </c>
      <c r="H2100">
        <v>30</v>
      </c>
      <c r="I2100">
        <v>3.95</v>
      </c>
      <c r="J2100">
        <v>5</v>
      </c>
      <c r="K2100">
        <v>5933.91</v>
      </c>
      <c r="L2100">
        <v>10.199999999999999</v>
      </c>
    </row>
    <row r="2101" spans="1:12" x14ac:dyDescent="0.3">
      <c r="A2101" t="s">
        <v>2116</v>
      </c>
      <c r="B2101" t="s">
        <v>34</v>
      </c>
      <c r="C2101" t="s">
        <v>14</v>
      </c>
      <c r="D2101">
        <v>41</v>
      </c>
      <c r="E2101" s="1">
        <v>40360</v>
      </c>
      <c r="F2101">
        <v>2010</v>
      </c>
      <c r="G2101" t="s">
        <v>5034</v>
      </c>
      <c r="H2101">
        <v>1</v>
      </c>
      <c r="I2101">
        <v>4.22</v>
      </c>
      <c r="J2101">
        <v>6</v>
      </c>
      <c r="K2101">
        <v>12848.91</v>
      </c>
      <c r="L2101">
        <v>15.3</v>
      </c>
    </row>
    <row r="2102" spans="1:12" x14ac:dyDescent="0.3">
      <c r="A2102" t="s">
        <v>2117</v>
      </c>
      <c r="B2102" t="s">
        <v>13</v>
      </c>
      <c r="C2102" t="s">
        <v>14</v>
      </c>
      <c r="D2102">
        <v>42</v>
      </c>
      <c r="E2102" s="1">
        <v>44660</v>
      </c>
      <c r="F2102">
        <v>2022</v>
      </c>
      <c r="G2102" t="s">
        <v>5040</v>
      </c>
      <c r="H2102">
        <v>9</v>
      </c>
      <c r="I2102">
        <v>3.34</v>
      </c>
      <c r="J2102">
        <v>8</v>
      </c>
      <c r="K2102">
        <v>11324.62</v>
      </c>
      <c r="L2102">
        <v>3.6</v>
      </c>
    </row>
    <row r="2103" spans="1:12" x14ac:dyDescent="0.3">
      <c r="A2103" t="s">
        <v>2118</v>
      </c>
      <c r="B2103" t="s">
        <v>13</v>
      </c>
      <c r="C2103" t="s">
        <v>11</v>
      </c>
      <c r="D2103">
        <v>42</v>
      </c>
      <c r="E2103" s="1">
        <v>41660</v>
      </c>
      <c r="F2103">
        <v>2014</v>
      </c>
      <c r="G2103" t="s">
        <v>5037</v>
      </c>
      <c r="H2103">
        <v>21</v>
      </c>
      <c r="I2103">
        <v>3.56</v>
      </c>
      <c r="J2103">
        <v>15</v>
      </c>
      <c r="K2103">
        <v>8174.86</v>
      </c>
      <c r="L2103">
        <v>11.8</v>
      </c>
    </row>
    <row r="2104" spans="1:12" x14ac:dyDescent="0.3">
      <c r="A2104" t="s">
        <v>2119</v>
      </c>
      <c r="B2104" t="s">
        <v>13</v>
      </c>
      <c r="C2104" t="s">
        <v>11</v>
      </c>
      <c r="D2104">
        <v>55</v>
      </c>
      <c r="E2104" s="1">
        <v>43643</v>
      </c>
      <c r="F2104">
        <v>2019</v>
      </c>
      <c r="G2104" t="s">
        <v>5032</v>
      </c>
      <c r="H2104">
        <v>27</v>
      </c>
      <c r="I2104">
        <v>3.46</v>
      </c>
      <c r="J2104">
        <v>7</v>
      </c>
      <c r="K2104">
        <v>11152.05</v>
      </c>
      <c r="L2104">
        <v>6.4</v>
      </c>
    </row>
    <row r="2105" spans="1:12" x14ac:dyDescent="0.3">
      <c r="A2105" t="s">
        <v>2120</v>
      </c>
      <c r="B2105" t="s">
        <v>24</v>
      </c>
      <c r="C2105" t="s">
        <v>11</v>
      </c>
      <c r="D2105">
        <v>34</v>
      </c>
      <c r="E2105" s="1">
        <v>43185</v>
      </c>
      <c r="F2105">
        <v>2018</v>
      </c>
      <c r="G2105" t="s">
        <v>5035</v>
      </c>
      <c r="H2105">
        <v>26</v>
      </c>
      <c r="I2105">
        <v>4.59</v>
      </c>
      <c r="J2105">
        <v>0</v>
      </c>
      <c r="K2105">
        <v>9711.4699999999993</v>
      </c>
      <c r="L2105">
        <v>7.6</v>
      </c>
    </row>
    <row r="2106" spans="1:12" x14ac:dyDescent="0.3">
      <c r="A2106" t="s">
        <v>2121</v>
      </c>
      <c r="B2106" t="s">
        <v>18</v>
      </c>
      <c r="C2106" t="s">
        <v>11</v>
      </c>
      <c r="D2106">
        <v>59</v>
      </c>
      <c r="E2106" s="1">
        <v>45013</v>
      </c>
      <c r="F2106">
        <v>2023</v>
      </c>
      <c r="G2106" t="s">
        <v>5035</v>
      </c>
      <c r="H2106">
        <v>28</v>
      </c>
      <c r="I2106">
        <v>2.4900000000000002</v>
      </c>
      <c r="J2106">
        <v>7</v>
      </c>
      <c r="K2106">
        <v>14960.47</v>
      </c>
      <c r="L2106">
        <v>2.6</v>
      </c>
    </row>
    <row r="2107" spans="1:12" x14ac:dyDescent="0.3">
      <c r="A2107" t="s">
        <v>2122</v>
      </c>
      <c r="B2107" t="s">
        <v>10</v>
      </c>
      <c r="C2107" t="s">
        <v>11</v>
      </c>
      <c r="D2107">
        <v>27</v>
      </c>
      <c r="E2107" s="1">
        <v>40414</v>
      </c>
      <c r="F2107">
        <v>2010</v>
      </c>
      <c r="G2107" t="s">
        <v>5031</v>
      </c>
      <c r="H2107">
        <v>24</v>
      </c>
      <c r="I2107">
        <v>3.44</v>
      </c>
      <c r="J2107">
        <v>13</v>
      </c>
      <c r="K2107">
        <v>7768.35</v>
      </c>
      <c r="L2107">
        <v>15.2</v>
      </c>
    </row>
    <row r="2108" spans="1:12" x14ac:dyDescent="0.3">
      <c r="A2108" t="s">
        <v>2123</v>
      </c>
      <c r="B2108" t="s">
        <v>10</v>
      </c>
      <c r="C2108" t="s">
        <v>11</v>
      </c>
      <c r="D2108">
        <v>53</v>
      </c>
      <c r="E2108" s="1">
        <v>43839</v>
      </c>
      <c r="F2108">
        <v>2020</v>
      </c>
      <c r="G2108" t="s">
        <v>5037</v>
      </c>
      <c r="H2108">
        <v>9</v>
      </c>
      <c r="I2108">
        <v>2.9</v>
      </c>
      <c r="J2108">
        <v>5</v>
      </c>
      <c r="K2108">
        <v>6380.41</v>
      </c>
      <c r="L2108">
        <v>5.8</v>
      </c>
    </row>
    <row r="2109" spans="1:12" x14ac:dyDescent="0.3">
      <c r="A2109" t="s">
        <v>2124</v>
      </c>
      <c r="B2109" t="s">
        <v>18</v>
      </c>
      <c r="C2109" t="s">
        <v>14</v>
      </c>
      <c r="D2109">
        <v>55</v>
      </c>
      <c r="E2109" s="1">
        <v>43575</v>
      </c>
      <c r="F2109">
        <v>2019</v>
      </c>
      <c r="G2109" t="s">
        <v>5040</v>
      </c>
      <c r="H2109">
        <v>20</v>
      </c>
      <c r="I2109">
        <v>3.88</v>
      </c>
      <c r="J2109">
        <v>3</v>
      </c>
      <c r="K2109">
        <v>6175.28</v>
      </c>
      <c r="L2109">
        <v>6.5</v>
      </c>
    </row>
    <row r="2110" spans="1:12" x14ac:dyDescent="0.3">
      <c r="A2110" t="s">
        <v>2125</v>
      </c>
      <c r="B2110" t="s">
        <v>16</v>
      </c>
      <c r="C2110" t="s">
        <v>14</v>
      </c>
      <c r="D2110">
        <v>48</v>
      </c>
      <c r="E2110" s="1">
        <v>42699</v>
      </c>
      <c r="F2110">
        <v>2016</v>
      </c>
      <c r="G2110" t="s">
        <v>5038</v>
      </c>
      <c r="H2110">
        <v>25</v>
      </c>
      <c r="I2110">
        <v>3.73</v>
      </c>
      <c r="J2110">
        <v>5</v>
      </c>
      <c r="K2110">
        <v>10997.27</v>
      </c>
      <c r="L2110">
        <v>8.9</v>
      </c>
    </row>
    <row r="2111" spans="1:12" x14ac:dyDescent="0.3">
      <c r="A2111" t="s">
        <v>2126</v>
      </c>
      <c r="B2111" t="s">
        <v>18</v>
      </c>
      <c r="C2111" t="s">
        <v>11</v>
      </c>
      <c r="D2111">
        <v>59</v>
      </c>
      <c r="E2111" s="1">
        <v>43551</v>
      </c>
      <c r="F2111">
        <v>2019</v>
      </c>
      <c r="G2111" t="s">
        <v>5035</v>
      </c>
      <c r="H2111">
        <v>27</v>
      </c>
      <c r="I2111">
        <v>3.28</v>
      </c>
      <c r="J2111">
        <v>1</v>
      </c>
      <c r="K2111">
        <v>4235.21</v>
      </c>
      <c r="L2111">
        <v>6.6</v>
      </c>
    </row>
    <row r="2112" spans="1:12" x14ac:dyDescent="0.3">
      <c r="A2112" t="s">
        <v>2127</v>
      </c>
      <c r="B2112" t="s">
        <v>10</v>
      </c>
      <c r="C2112" t="s">
        <v>14</v>
      </c>
      <c r="D2112">
        <v>57</v>
      </c>
      <c r="E2112" s="1">
        <v>42765</v>
      </c>
      <c r="F2112">
        <v>2017</v>
      </c>
      <c r="G2112" t="s">
        <v>5037</v>
      </c>
      <c r="H2112">
        <v>30</v>
      </c>
      <c r="I2112">
        <v>3.15</v>
      </c>
      <c r="J2112">
        <v>1</v>
      </c>
      <c r="K2112">
        <v>6511.27</v>
      </c>
      <c r="L2112">
        <v>8.8000000000000007</v>
      </c>
    </row>
    <row r="2113" spans="1:12" x14ac:dyDescent="0.3">
      <c r="A2113" t="s">
        <v>2128</v>
      </c>
      <c r="B2113" t="s">
        <v>13</v>
      </c>
      <c r="C2113" t="s">
        <v>14</v>
      </c>
      <c r="D2113">
        <v>48</v>
      </c>
      <c r="E2113" s="1">
        <v>45021</v>
      </c>
      <c r="F2113">
        <v>2023</v>
      </c>
      <c r="G2113" t="s">
        <v>5040</v>
      </c>
      <c r="H2113">
        <v>5</v>
      </c>
      <c r="I2113">
        <v>2.2400000000000002</v>
      </c>
      <c r="J2113">
        <v>15</v>
      </c>
      <c r="K2113">
        <v>4186.1899999999996</v>
      </c>
      <c r="L2113">
        <v>2.6</v>
      </c>
    </row>
    <row r="2114" spans="1:12" x14ac:dyDescent="0.3">
      <c r="A2114" t="s">
        <v>2129</v>
      </c>
      <c r="B2114" t="s">
        <v>24</v>
      </c>
      <c r="C2114" t="s">
        <v>14</v>
      </c>
      <c r="D2114">
        <v>51</v>
      </c>
      <c r="E2114" s="1">
        <v>42941</v>
      </c>
      <c r="F2114">
        <v>2017</v>
      </c>
      <c r="G2114" t="s">
        <v>5034</v>
      </c>
      <c r="H2114">
        <v>25</v>
      </c>
      <c r="I2114">
        <v>3.2</v>
      </c>
      <c r="J2114">
        <v>9</v>
      </c>
      <c r="K2114">
        <v>14255.19</v>
      </c>
      <c r="L2114">
        <v>8.3000000000000007</v>
      </c>
    </row>
    <row r="2115" spans="1:12" x14ac:dyDescent="0.3">
      <c r="A2115" t="s">
        <v>2130</v>
      </c>
      <c r="B2115" t="s">
        <v>24</v>
      </c>
      <c r="C2115" t="s">
        <v>11</v>
      </c>
      <c r="D2115">
        <v>44</v>
      </c>
      <c r="E2115" s="1">
        <v>44770</v>
      </c>
      <c r="F2115">
        <v>2022</v>
      </c>
      <c r="G2115" t="s">
        <v>5034</v>
      </c>
      <c r="H2115">
        <v>28</v>
      </c>
      <c r="I2115">
        <v>4.82</v>
      </c>
      <c r="J2115">
        <v>4</v>
      </c>
      <c r="K2115">
        <v>5030.75</v>
      </c>
      <c r="L2115">
        <v>3.3</v>
      </c>
    </row>
    <row r="2116" spans="1:12" x14ac:dyDescent="0.3">
      <c r="A2116" t="s">
        <v>2131</v>
      </c>
      <c r="B2116" t="s">
        <v>34</v>
      </c>
      <c r="C2116" t="s">
        <v>11</v>
      </c>
      <c r="D2116">
        <v>37</v>
      </c>
      <c r="E2116" s="1">
        <v>43422</v>
      </c>
      <c r="F2116">
        <v>2018</v>
      </c>
      <c r="G2116" t="s">
        <v>5038</v>
      </c>
      <c r="H2116">
        <v>18</v>
      </c>
      <c r="I2116">
        <v>2.72</v>
      </c>
      <c r="J2116">
        <v>1</v>
      </c>
      <c r="K2116">
        <v>11964.94</v>
      </c>
      <c r="L2116">
        <v>7</v>
      </c>
    </row>
    <row r="2117" spans="1:12" x14ac:dyDescent="0.3">
      <c r="A2117" t="s">
        <v>2132</v>
      </c>
      <c r="B2117" t="s">
        <v>18</v>
      </c>
      <c r="C2117" t="s">
        <v>14</v>
      </c>
      <c r="D2117">
        <v>58</v>
      </c>
      <c r="E2117" s="1">
        <v>43739</v>
      </c>
      <c r="F2117">
        <v>2019</v>
      </c>
      <c r="G2117" t="s">
        <v>5039</v>
      </c>
      <c r="H2117">
        <v>1</v>
      </c>
      <c r="I2117">
        <v>2.34</v>
      </c>
      <c r="J2117">
        <v>11</v>
      </c>
      <c r="K2117">
        <v>3518.8</v>
      </c>
      <c r="L2117">
        <v>6.1</v>
      </c>
    </row>
    <row r="2118" spans="1:12" x14ac:dyDescent="0.3">
      <c r="A2118" t="s">
        <v>2133</v>
      </c>
      <c r="B2118" t="s">
        <v>16</v>
      </c>
      <c r="C2118" t="s">
        <v>14</v>
      </c>
      <c r="D2118">
        <v>30</v>
      </c>
      <c r="E2118" s="1">
        <v>41864</v>
      </c>
      <c r="F2118">
        <v>2014</v>
      </c>
      <c r="G2118" t="s">
        <v>5031</v>
      </c>
      <c r="H2118">
        <v>13</v>
      </c>
      <c r="I2118">
        <v>4.01</v>
      </c>
      <c r="J2118">
        <v>7</v>
      </c>
      <c r="K2118">
        <v>9282.18</v>
      </c>
      <c r="L2118">
        <v>11.2</v>
      </c>
    </row>
    <row r="2119" spans="1:12" x14ac:dyDescent="0.3">
      <c r="A2119" t="s">
        <v>2134</v>
      </c>
      <c r="B2119" t="s">
        <v>24</v>
      </c>
      <c r="C2119" t="s">
        <v>11</v>
      </c>
      <c r="D2119">
        <v>54</v>
      </c>
      <c r="E2119" s="1">
        <v>44433</v>
      </c>
      <c r="F2119">
        <v>2021</v>
      </c>
      <c r="G2119" t="s">
        <v>5031</v>
      </c>
      <c r="H2119">
        <v>25</v>
      </c>
      <c r="I2119">
        <v>4.76</v>
      </c>
      <c r="J2119">
        <v>5</v>
      </c>
      <c r="K2119">
        <v>7128.81</v>
      </c>
      <c r="L2119">
        <v>4.2</v>
      </c>
    </row>
    <row r="2120" spans="1:12" x14ac:dyDescent="0.3">
      <c r="A2120" t="s">
        <v>2135</v>
      </c>
      <c r="B2120" t="s">
        <v>24</v>
      </c>
      <c r="C2120" t="s">
        <v>14</v>
      </c>
      <c r="D2120">
        <v>47</v>
      </c>
      <c r="E2120" s="1">
        <v>45194</v>
      </c>
      <c r="F2120">
        <v>2023</v>
      </c>
      <c r="G2120" t="s">
        <v>5033</v>
      </c>
      <c r="H2120">
        <v>25</v>
      </c>
      <c r="I2120">
        <v>1.71</v>
      </c>
      <c r="J2120">
        <v>1</v>
      </c>
      <c r="K2120">
        <v>4127.7299999999996</v>
      </c>
      <c r="L2120">
        <v>2.1</v>
      </c>
    </row>
    <row r="2121" spans="1:12" x14ac:dyDescent="0.3">
      <c r="A2121" t="s">
        <v>2136</v>
      </c>
      <c r="B2121" t="s">
        <v>16</v>
      </c>
      <c r="C2121" t="s">
        <v>11</v>
      </c>
      <c r="D2121">
        <v>59</v>
      </c>
      <c r="E2121" s="1">
        <v>44887</v>
      </c>
      <c r="F2121">
        <v>2022</v>
      </c>
      <c r="G2121" t="s">
        <v>5038</v>
      </c>
      <c r="H2121">
        <v>22</v>
      </c>
      <c r="I2121">
        <v>1.92</v>
      </c>
      <c r="J2121">
        <v>10</v>
      </c>
      <c r="K2121">
        <v>12436.25</v>
      </c>
      <c r="L2121">
        <v>2.9</v>
      </c>
    </row>
    <row r="2122" spans="1:12" x14ac:dyDescent="0.3">
      <c r="A2122" t="s">
        <v>2137</v>
      </c>
      <c r="B2122" t="s">
        <v>13</v>
      </c>
      <c r="C2122" t="s">
        <v>11</v>
      </c>
      <c r="D2122">
        <v>56</v>
      </c>
      <c r="E2122" s="1">
        <v>44392</v>
      </c>
      <c r="F2122">
        <v>2021</v>
      </c>
      <c r="G2122" t="s">
        <v>5034</v>
      </c>
      <c r="H2122">
        <v>15</v>
      </c>
      <c r="I2122">
        <v>2.4500000000000002</v>
      </c>
      <c r="J2122">
        <v>8</v>
      </c>
      <c r="K2122">
        <v>8179.43</v>
      </c>
      <c r="L2122">
        <v>4.3</v>
      </c>
    </row>
    <row r="2123" spans="1:12" x14ac:dyDescent="0.3">
      <c r="A2123" t="s">
        <v>2138</v>
      </c>
      <c r="B2123" t="s">
        <v>18</v>
      </c>
      <c r="C2123" t="s">
        <v>14</v>
      </c>
      <c r="D2123">
        <v>33</v>
      </c>
      <c r="E2123" s="1">
        <v>40494</v>
      </c>
      <c r="F2123">
        <v>2010</v>
      </c>
      <c r="G2123" t="s">
        <v>5038</v>
      </c>
      <c r="H2123">
        <v>12</v>
      </c>
      <c r="I2123">
        <v>3.68</v>
      </c>
      <c r="J2123">
        <v>8</v>
      </c>
      <c r="K2123">
        <v>4512.5</v>
      </c>
      <c r="L2123">
        <v>15</v>
      </c>
    </row>
    <row r="2124" spans="1:12" x14ac:dyDescent="0.3">
      <c r="A2124" t="s">
        <v>2139</v>
      </c>
      <c r="B2124" t="s">
        <v>10</v>
      </c>
      <c r="C2124" t="s">
        <v>11</v>
      </c>
      <c r="D2124">
        <v>33</v>
      </c>
      <c r="E2124" s="1">
        <v>41252</v>
      </c>
      <c r="F2124">
        <v>2012</v>
      </c>
      <c r="G2124" t="s">
        <v>5041</v>
      </c>
      <c r="H2124">
        <v>9</v>
      </c>
      <c r="I2124">
        <v>1.89</v>
      </c>
      <c r="J2124">
        <v>10</v>
      </c>
      <c r="K2124">
        <v>14135.06</v>
      </c>
      <c r="L2124">
        <v>12.9</v>
      </c>
    </row>
    <row r="2125" spans="1:12" x14ac:dyDescent="0.3">
      <c r="A2125" t="s">
        <v>2140</v>
      </c>
      <c r="B2125" t="s">
        <v>16</v>
      </c>
      <c r="C2125" t="s">
        <v>11</v>
      </c>
      <c r="D2125">
        <v>57</v>
      </c>
      <c r="E2125" s="1">
        <v>44150</v>
      </c>
      <c r="F2125">
        <v>2020</v>
      </c>
      <c r="G2125" t="s">
        <v>5038</v>
      </c>
      <c r="H2125">
        <v>15</v>
      </c>
      <c r="I2125">
        <v>4.96</v>
      </c>
      <c r="J2125">
        <v>9</v>
      </c>
      <c r="K2125">
        <v>3298.19</v>
      </c>
      <c r="L2125">
        <v>5</v>
      </c>
    </row>
    <row r="2126" spans="1:12" x14ac:dyDescent="0.3">
      <c r="A2126" t="s">
        <v>2141</v>
      </c>
      <c r="B2126" t="s">
        <v>10</v>
      </c>
      <c r="C2126" t="s">
        <v>11</v>
      </c>
      <c r="D2126">
        <v>59</v>
      </c>
      <c r="E2126" s="1">
        <v>41855</v>
      </c>
      <c r="F2126">
        <v>2014</v>
      </c>
      <c r="G2126" t="s">
        <v>5031</v>
      </c>
      <c r="H2126">
        <v>4</v>
      </c>
      <c r="I2126">
        <v>3.73</v>
      </c>
      <c r="J2126">
        <v>1</v>
      </c>
      <c r="K2126">
        <v>3233.46</v>
      </c>
      <c r="L2126">
        <v>11.3</v>
      </c>
    </row>
    <row r="2127" spans="1:12" x14ac:dyDescent="0.3">
      <c r="A2127" t="s">
        <v>2142</v>
      </c>
      <c r="B2127" t="s">
        <v>18</v>
      </c>
      <c r="C2127" t="s">
        <v>14</v>
      </c>
      <c r="D2127">
        <v>50</v>
      </c>
      <c r="E2127" s="1">
        <v>40483</v>
      </c>
      <c r="F2127">
        <v>2010</v>
      </c>
      <c r="G2127" t="s">
        <v>5038</v>
      </c>
      <c r="H2127">
        <v>1</v>
      </c>
      <c r="I2127">
        <v>1.75</v>
      </c>
      <c r="J2127">
        <v>10</v>
      </c>
      <c r="K2127">
        <v>14697.81</v>
      </c>
      <c r="L2127">
        <v>15</v>
      </c>
    </row>
    <row r="2128" spans="1:12" x14ac:dyDescent="0.3">
      <c r="A2128" t="s">
        <v>2143</v>
      </c>
      <c r="B2128" t="s">
        <v>34</v>
      </c>
      <c r="C2128" t="s">
        <v>11</v>
      </c>
      <c r="D2128">
        <v>29</v>
      </c>
      <c r="E2128" s="1">
        <v>43451</v>
      </c>
      <c r="F2128">
        <v>2018</v>
      </c>
      <c r="G2128" t="s">
        <v>5041</v>
      </c>
      <c r="H2128">
        <v>17</v>
      </c>
      <c r="I2128">
        <v>4.41</v>
      </c>
      <c r="J2128">
        <v>3</v>
      </c>
      <c r="K2128">
        <v>5085.01</v>
      </c>
      <c r="L2128">
        <v>6.9</v>
      </c>
    </row>
    <row r="2129" spans="1:12" x14ac:dyDescent="0.3">
      <c r="A2129" t="s">
        <v>2144</v>
      </c>
      <c r="B2129" t="s">
        <v>18</v>
      </c>
      <c r="C2129" t="s">
        <v>14</v>
      </c>
      <c r="D2129">
        <v>41</v>
      </c>
      <c r="E2129" s="1">
        <v>42318</v>
      </c>
      <c r="F2129">
        <v>2015</v>
      </c>
      <c r="G2129" t="s">
        <v>5038</v>
      </c>
      <c r="H2129">
        <v>10</v>
      </c>
      <c r="I2129">
        <v>2.63</v>
      </c>
      <c r="J2129">
        <v>15</v>
      </c>
      <c r="K2129">
        <v>14432.49</v>
      </c>
      <c r="L2129">
        <v>10</v>
      </c>
    </row>
    <row r="2130" spans="1:12" x14ac:dyDescent="0.3">
      <c r="A2130" t="s">
        <v>2145</v>
      </c>
      <c r="B2130" t="s">
        <v>18</v>
      </c>
      <c r="C2130" t="s">
        <v>11</v>
      </c>
      <c r="D2130">
        <v>58</v>
      </c>
      <c r="E2130" s="1">
        <v>45287</v>
      </c>
      <c r="F2130">
        <v>2023</v>
      </c>
      <c r="G2130" t="s">
        <v>5041</v>
      </c>
      <c r="H2130">
        <v>27</v>
      </c>
      <c r="I2130">
        <v>4.54</v>
      </c>
      <c r="J2130">
        <v>5</v>
      </c>
      <c r="K2130">
        <v>9071.3799999999992</v>
      </c>
      <c r="L2130">
        <v>1.8</v>
      </c>
    </row>
    <row r="2131" spans="1:12" x14ac:dyDescent="0.3">
      <c r="A2131" t="s">
        <v>2146</v>
      </c>
      <c r="B2131" t="s">
        <v>10</v>
      </c>
      <c r="C2131" t="s">
        <v>11</v>
      </c>
      <c r="D2131">
        <v>52</v>
      </c>
      <c r="E2131" s="1">
        <v>41381</v>
      </c>
      <c r="F2131">
        <v>2013</v>
      </c>
      <c r="G2131" t="s">
        <v>5040</v>
      </c>
      <c r="H2131">
        <v>17</v>
      </c>
      <c r="I2131">
        <v>2.2200000000000002</v>
      </c>
      <c r="J2131">
        <v>9</v>
      </c>
      <c r="K2131">
        <v>8277.14</v>
      </c>
      <c r="L2131">
        <v>12.6</v>
      </c>
    </row>
    <row r="2132" spans="1:12" x14ac:dyDescent="0.3">
      <c r="A2132" t="s">
        <v>2147</v>
      </c>
      <c r="B2132" t="s">
        <v>13</v>
      </c>
      <c r="C2132" t="s">
        <v>11</v>
      </c>
      <c r="D2132">
        <v>34</v>
      </c>
      <c r="E2132" s="1">
        <v>42673</v>
      </c>
      <c r="F2132">
        <v>2016</v>
      </c>
      <c r="G2132" t="s">
        <v>5039</v>
      </c>
      <c r="H2132">
        <v>30</v>
      </c>
      <c r="I2132">
        <v>3.59</v>
      </c>
      <c r="J2132">
        <v>1</v>
      </c>
      <c r="K2132">
        <v>4982.97</v>
      </c>
      <c r="L2132">
        <v>9</v>
      </c>
    </row>
    <row r="2133" spans="1:12" x14ac:dyDescent="0.3">
      <c r="A2133" t="s">
        <v>2148</v>
      </c>
      <c r="B2133" t="s">
        <v>34</v>
      </c>
      <c r="C2133" t="s">
        <v>14</v>
      </c>
      <c r="D2133">
        <v>36</v>
      </c>
      <c r="E2133" s="1">
        <v>44984</v>
      </c>
      <c r="F2133">
        <v>2023</v>
      </c>
      <c r="G2133" t="s">
        <v>5042</v>
      </c>
      <c r="H2133">
        <v>27</v>
      </c>
      <c r="I2133">
        <v>4.3600000000000003</v>
      </c>
      <c r="J2133">
        <v>5</v>
      </c>
      <c r="K2133">
        <v>9218.89</v>
      </c>
      <c r="L2133">
        <v>2.7</v>
      </c>
    </row>
    <row r="2134" spans="1:12" x14ac:dyDescent="0.3">
      <c r="A2134" t="s">
        <v>2149</v>
      </c>
      <c r="B2134" t="s">
        <v>18</v>
      </c>
      <c r="C2134" t="s">
        <v>14</v>
      </c>
      <c r="D2134">
        <v>26</v>
      </c>
      <c r="E2134" s="1">
        <v>40730</v>
      </c>
      <c r="F2134">
        <v>2011</v>
      </c>
      <c r="G2134" t="s">
        <v>5034</v>
      </c>
      <c r="H2134">
        <v>6</v>
      </c>
      <c r="I2134">
        <v>3.78</v>
      </c>
      <c r="J2134">
        <v>2</v>
      </c>
      <c r="K2134">
        <v>11457.68</v>
      </c>
      <c r="L2134">
        <v>14.3</v>
      </c>
    </row>
    <row r="2135" spans="1:12" x14ac:dyDescent="0.3">
      <c r="A2135" t="s">
        <v>2150</v>
      </c>
      <c r="B2135" t="s">
        <v>24</v>
      </c>
      <c r="C2135" t="s">
        <v>11</v>
      </c>
      <c r="D2135">
        <v>55</v>
      </c>
      <c r="E2135" s="1">
        <v>41081</v>
      </c>
      <c r="F2135">
        <v>2012</v>
      </c>
      <c r="G2135" t="s">
        <v>5032</v>
      </c>
      <c r="H2135">
        <v>21</v>
      </c>
      <c r="I2135">
        <v>2.0299999999999998</v>
      </c>
      <c r="J2135">
        <v>5</v>
      </c>
      <c r="K2135">
        <v>10716.35</v>
      </c>
      <c r="L2135">
        <v>13.4</v>
      </c>
    </row>
    <row r="2136" spans="1:12" x14ac:dyDescent="0.3">
      <c r="A2136" t="s">
        <v>2151</v>
      </c>
      <c r="B2136" t="s">
        <v>13</v>
      </c>
      <c r="C2136" t="s">
        <v>14</v>
      </c>
      <c r="D2136">
        <v>40</v>
      </c>
      <c r="E2136" s="1">
        <v>43453</v>
      </c>
      <c r="F2136">
        <v>2018</v>
      </c>
      <c r="G2136" t="s">
        <v>5041</v>
      </c>
      <c r="H2136">
        <v>19</v>
      </c>
      <c r="I2136">
        <v>2.39</v>
      </c>
      <c r="J2136">
        <v>12</v>
      </c>
      <c r="K2136">
        <v>13271.9</v>
      </c>
      <c r="L2136">
        <v>6.9</v>
      </c>
    </row>
    <row r="2137" spans="1:12" x14ac:dyDescent="0.3">
      <c r="A2137" t="s">
        <v>2152</v>
      </c>
      <c r="B2137" t="s">
        <v>10</v>
      </c>
      <c r="C2137" t="s">
        <v>11</v>
      </c>
      <c r="D2137">
        <v>33</v>
      </c>
      <c r="E2137" s="1">
        <v>43675</v>
      </c>
      <c r="F2137">
        <v>2019</v>
      </c>
      <c r="G2137" t="s">
        <v>5034</v>
      </c>
      <c r="H2137">
        <v>29</v>
      </c>
      <c r="I2137">
        <v>1.74</v>
      </c>
      <c r="J2137">
        <v>9</v>
      </c>
      <c r="K2137">
        <v>4978.55</v>
      </c>
      <c r="L2137">
        <v>6.3</v>
      </c>
    </row>
    <row r="2138" spans="1:12" x14ac:dyDescent="0.3">
      <c r="A2138" t="s">
        <v>2153</v>
      </c>
      <c r="B2138" t="s">
        <v>24</v>
      </c>
      <c r="C2138" t="s">
        <v>14</v>
      </c>
      <c r="D2138">
        <v>52</v>
      </c>
      <c r="E2138" s="1">
        <v>42676</v>
      </c>
      <c r="F2138">
        <v>2016</v>
      </c>
      <c r="G2138" t="s">
        <v>5038</v>
      </c>
      <c r="H2138">
        <v>2</v>
      </c>
      <c r="I2138">
        <v>3.74</v>
      </c>
      <c r="J2138">
        <v>5</v>
      </c>
      <c r="K2138">
        <v>9925.94</v>
      </c>
      <c r="L2138">
        <v>9</v>
      </c>
    </row>
    <row r="2139" spans="1:12" x14ac:dyDescent="0.3">
      <c r="A2139" t="s">
        <v>2154</v>
      </c>
      <c r="B2139" t="s">
        <v>16</v>
      </c>
      <c r="C2139" t="s">
        <v>14</v>
      </c>
      <c r="D2139">
        <v>26</v>
      </c>
      <c r="E2139" s="1">
        <v>42635</v>
      </c>
      <c r="F2139">
        <v>2016</v>
      </c>
      <c r="G2139" t="s">
        <v>5033</v>
      </c>
      <c r="H2139">
        <v>22</v>
      </c>
      <c r="I2139">
        <v>1.55</v>
      </c>
      <c r="J2139">
        <v>4</v>
      </c>
      <c r="K2139">
        <v>9406.39</v>
      </c>
      <c r="L2139">
        <v>9.1</v>
      </c>
    </row>
    <row r="2140" spans="1:12" x14ac:dyDescent="0.3">
      <c r="A2140" t="s">
        <v>2155</v>
      </c>
      <c r="B2140" t="s">
        <v>24</v>
      </c>
      <c r="C2140" t="s">
        <v>11</v>
      </c>
      <c r="D2140">
        <v>54</v>
      </c>
      <c r="E2140" s="1">
        <v>45488</v>
      </c>
      <c r="F2140">
        <v>2024</v>
      </c>
      <c r="G2140" t="s">
        <v>5034</v>
      </c>
      <c r="H2140">
        <v>15</v>
      </c>
      <c r="I2140">
        <v>3.64</v>
      </c>
      <c r="J2140">
        <v>10</v>
      </c>
      <c r="K2140">
        <v>10716.91</v>
      </c>
      <c r="L2140">
        <v>1.3</v>
      </c>
    </row>
    <row r="2141" spans="1:12" x14ac:dyDescent="0.3">
      <c r="A2141" t="s">
        <v>2156</v>
      </c>
      <c r="B2141" t="s">
        <v>24</v>
      </c>
      <c r="C2141" t="s">
        <v>11</v>
      </c>
      <c r="D2141">
        <v>32</v>
      </c>
      <c r="E2141" s="1">
        <v>42255</v>
      </c>
      <c r="F2141">
        <v>2015</v>
      </c>
      <c r="G2141" t="s">
        <v>5033</v>
      </c>
      <c r="H2141">
        <v>8</v>
      </c>
      <c r="I2141">
        <v>3.17</v>
      </c>
      <c r="J2141">
        <v>9</v>
      </c>
      <c r="K2141">
        <v>8674.35</v>
      </c>
      <c r="L2141">
        <v>10.199999999999999</v>
      </c>
    </row>
    <row r="2142" spans="1:12" x14ac:dyDescent="0.3">
      <c r="A2142" t="s">
        <v>2157</v>
      </c>
      <c r="B2142" t="s">
        <v>16</v>
      </c>
      <c r="C2142" t="s">
        <v>11</v>
      </c>
      <c r="D2142">
        <v>58</v>
      </c>
      <c r="E2142" s="1">
        <v>45517</v>
      </c>
      <c r="F2142">
        <v>2024</v>
      </c>
      <c r="G2142" t="s">
        <v>5031</v>
      </c>
      <c r="H2142">
        <v>13</v>
      </c>
      <c r="I2142">
        <v>1.97</v>
      </c>
      <c r="J2142">
        <v>15</v>
      </c>
      <c r="K2142">
        <v>3329.47</v>
      </c>
      <c r="L2142">
        <v>1.2</v>
      </c>
    </row>
    <row r="2143" spans="1:12" x14ac:dyDescent="0.3">
      <c r="A2143" t="s">
        <v>2158</v>
      </c>
      <c r="B2143" t="s">
        <v>18</v>
      </c>
      <c r="C2143" t="s">
        <v>11</v>
      </c>
      <c r="D2143">
        <v>30</v>
      </c>
      <c r="E2143" s="1">
        <v>42720</v>
      </c>
      <c r="F2143">
        <v>2016</v>
      </c>
      <c r="G2143" t="s">
        <v>5041</v>
      </c>
      <c r="H2143">
        <v>16</v>
      </c>
      <c r="I2143">
        <v>4.82</v>
      </c>
      <c r="J2143">
        <v>3</v>
      </c>
      <c r="K2143">
        <v>10131.459999999999</v>
      </c>
      <c r="L2143">
        <v>8.9</v>
      </c>
    </row>
    <row r="2144" spans="1:12" x14ac:dyDescent="0.3">
      <c r="A2144" t="s">
        <v>2159</v>
      </c>
      <c r="B2144" t="s">
        <v>16</v>
      </c>
      <c r="C2144" t="s">
        <v>11</v>
      </c>
      <c r="D2144">
        <v>34</v>
      </c>
      <c r="E2144" s="1">
        <v>44933</v>
      </c>
      <c r="F2144">
        <v>2023</v>
      </c>
      <c r="G2144" t="s">
        <v>5037</v>
      </c>
      <c r="H2144">
        <v>7</v>
      </c>
      <c r="I2144">
        <v>2</v>
      </c>
      <c r="J2144">
        <v>2</v>
      </c>
      <c r="K2144">
        <v>8209.15</v>
      </c>
      <c r="L2144">
        <v>2.8</v>
      </c>
    </row>
    <row r="2145" spans="1:12" x14ac:dyDescent="0.3">
      <c r="A2145" t="s">
        <v>2160</v>
      </c>
      <c r="B2145" t="s">
        <v>24</v>
      </c>
      <c r="C2145" t="s">
        <v>14</v>
      </c>
      <c r="D2145">
        <v>58</v>
      </c>
      <c r="E2145" s="1">
        <v>41868</v>
      </c>
      <c r="F2145">
        <v>2014</v>
      </c>
      <c r="G2145" t="s">
        <v>5031</v>
      </c>
      <c r="H2145">
        <v>17</v>
      </c>
      <c r="I2145">
        <v>2.99</v>
      </c>
      <c r="J2145">
        <v>5</v>
      </c>
      <c r="K2145">
        <v>9324.7999999999993</v>
      </c>
      <c r="L2145">
        <v>11.2</v>
      </c>
    </row>
    <row r="2146" spans="1:12" x14ac:dyDescent="0.3">
      <c r="A2146" t="s">
        <v>2161</v>
      </c>
      <c r="B2146" t="s">
        <v>13</v>
      </c>
      <c r="C2146" t="s">
        <v>14</v>
      </c>
      <c r="D2146">
        <v>57</v>
      </c>
      <c r="E2146" s="1">
        <v>42256</v>
      </c>
      <c r="F2146">
        <v>2015</v>
      </c>
      <c r="G2146" t="s">
        <v>5033</v>
      </c>
      <c r="H2146">
        <v>9</v>
      </c>
      <c r="I2146">
        <v>4.76</v>
      </c>
      <c r="J2146">
        <v>7</v>
      </c>
      <c r="K2146">
        <v>8232.24</v>
      </c>
      <c r="L2146">
        <v>10.199999999999999</v>
      </c>
    </row>
    <row r="2147" spans="1:12" x14ac:dyDescent="0.3">
      <c r="A2147" t="s">
        <v>2162</v>
      </c>
      <c r="B2147" t="s">
        <v>13</v>
      </c>
      <c r="C2147" t="s">
        <v>11</v>
      </c>
      <c r="D2147">
        <v>59</v>
      </c>
      <c r="E2147" s="1">
        <v>42890</v>
      </c>
      <c r="F2147">
        <v>2017</v>
      </c>
      <c r="G2147" t="s">
        <v>5032</v>
      </c>
      <c r="H2147">
        <v>4</v>
      </c>
      <c r="I2147">
        <v>4.76</v>
      </c>
      <c r="J2147">
        <v>2</v>
      </c>
      <c r="K2147">
        <v>4357.6000000000004</v>
      </c>
      <c r="L2147">
        <v>8.4</v>
      </c>
    </row>
    <row r="2148" spans="1:12" x14ac:dyDescent="0.3">
      <c r="A2148" t="s">
        <v>2163</v>
      </c>
      <c r="B2148" t="s">
        <v>18</v>
      </c>
      <c r="C2148" t="s">
        <v>11</v>
      </c>
      <c r="D2148">
        <v>42</v>
      </c>
      <c r="E2148" s="1">
        <v>40460</v>
      </c>
      <c r="F2148">
        <v>2010</v>
      </c>
      <c r="G2148" t="s">
        <v>5039</v>
      </c>
      <c r="H2148">
        <v>9</v>
      </c>
      <c r="I2148">
        <v>4.26</v>
      </c>
      <c r="J2148">
        <v>13</v>
      </c>
      <c r="K2148">
        <v>9903.7999999999993</v>
      </c>
      <c r="L2148">
        <v>15.1</v>
      </c>
    </row>
    <row r="2149" spans="1:12" x14ac:dyDescent="0.3">
      <c r="A2149" t="s">
        <v>2164</v>
      </c>
      <c r="B2149" t="s">
        <v>10</v>
      </c>
      <c r="C2149" t="s">
        <v>11</v>
      </c>
      <c r="D2149">
        <v>51</v>
      </c>
      <c r="E2149" s="1">
        <v>40408</v>
      </c>
      <c r="F2149">
        <v>2010</v>
      </c>
      <c r="G2149" t="s">
        <v>5031</v>
      </c>
      <c r="H2149">
        <v>18</v>
      </c>
      <c r="I2149">
        <v>2.99</v>
      </c>
      <c r="J2149">
        <v>3</v>
      </c>
      <c r="K2149">
        <v>8574.33</v>
      </c>
      <c r="L2149">
        <v>15.2</v>
      </c>
    </row>
    <row r="2150" spans="1:12" x14ac:dyDescent="0.3">
      <c r="A2150" t="s">
        <v>2165</v>
      </c>
      <c r="B2150" t="s">
        <v>24</v>
      </c>
      <c r="C2150" t="s">
        <v>14</v>
      </c>
      <c r="D2150">
        <v>46</v>
      </c>
      <c r="E2150" s="1">
        <v>41796</v>
      </c>
      <c r="F2150">
        <v>2014</v>
      </c>
      <c r="G2150" t="s">
        <v>5032</v>
      </c>
      <c r="H2150">
        <v>6</v>
      </c>
      <c r="I2150">
        <v>4.55</v>
      </c>
      <c r="J2150">
        <v>6</v>
      </c>
      <c r="K2150">
        <v>7191.95</v>
      </c>
      <c r="L2150">
        <v>11.4</v>
      </c>
    </row>
    <row r="2151" spans="1:12" x14ac:dyDescent="0.3">
      <c r="A2151" t="s">
        <v>2166</v>
      </c>
      <c r="B2151" t="s">
        <v>13</v>
      </c>
      <c r="C2151" t="s">
        <v>11</v>
      </c>
      <c r="D2151">
        <v>33</v>
      </c>
      <c r="E2151" s="1">
        <v>41624</v>
      </c>
      <c r="F2151">
        <v>2013</v>
      </c>
      <c r="G2151" t="s">
        <v>5041</v>
      </c>
      <c r="H2151">
        <v>16</v>
      </c>
      <c r="I2151">
        <v>2.57</v>
      </c>
      <c r="J2151">
        <v>2</v>
      </c>
      <c r="K2151">
        <v>13609.36</v>
      </c>
      <c r="L2151">
        <v>11.9</v>
      </c>
    </row>
    <row r="2152" spans="1:12" x14ac:dyDescent="0.3">
      <c r="A2152" t="s">
        <v>2167</v>
      </c>
      <c r="B2152" t="s">
        <v>13</v>
      </c>
      <c r="C2152" t="s">
        <v>11</v>
      </c>
      <c r="D2152">
        <v>54</v>
      </c>
      <c r="E2152" s="1">
        <v>40497</v>
      </c>
      <c r="F2152">
        <v>2010</v>
      </c>
      <c r="G2152" t="s">
        <v>5038</v>
      </c>
      <c r="H2152">
        <v>15</v>
      </c>
      <c r="I2152">
        <v>3.53</v>
      </c>
      <c r="J2152">
        <v>12</v>
      </c>
      <c r="K2152">
        <v>3990.69</v>
      </c>
      <c r="L2152">
        <v>15</v>
      </c>
    </row>
    <row r="2153" spans="1:12" x14ac:dyDescent="0.3">
      <c r="A2153" t="s">
        <v>2168</v>
      </c>
      <c r="B2153" t="s">
        <v>16</v>
      </c>
      <c r="C2153" t="s">
        <v>11</v>
      </c>
      <c r="D2153">
        <v>48</v>
      </c>
      <c r="E2153" s="1">
        <v>40225</v>
      </c>
      <c r="F2153">
        <v>2010</v>
      </c>
      <c r="G2153" t="s">
        <v>5042</v>
      </c>
      <c r="H2153">
        <v>16</v>
      </c>
      <c r="I2153">
        <v>3.53</v>
      </c>
      <c r="J2153">
        <v>5</v>
      </c>
      <c r="K2153">
        <v>11071.14</v>
      </c>
      <c r="L2153">
        <v>15.7</v>
      </c>
    </row>
    <row r="2154" spans="1:12" x14ac:dyDescent="0.3">
      <c r="A2154" t="s">
        <v>2169</v>
      </c>
      <c r="B2154" t="s">
        <v>18</v>
      </c>
      <c r="C2154" t="s">
        <v>11</v>
      </c>
      <c r="D2154">
        <v>41</v>
      </c>
      <c r="E2154" s="1">
        <v>40953</v>
      </c>
      <c r="F2154">
        <v>2012</v>
      </c>
      <c r="G2154" t="s">
        <v>5042</v>
      </c>
      <c r="H2154">
        <v>14</v>
      </c>
      <c r="I2154">
        <v>3.04</v>
      </c>
      <c r="J2154">
        <v>15</v>
      </c>
      <c r="K2154">
        <v>4366.7299999999996</v>
      </c>
      <c r="L2154">
        <v>13.7</v>
      </c>
    </row>
    <row r="2155" spans="1:12" x14ac:dyDescent="0.3">
      <c r="A2155" t="s">
        <v>2170</v>
      </c>
      <c r="B2155" t="s">
        <v>34</v>
      </c>
      <c r="C2155" t="s">
        <v>11</v>
      </c>
      <c r="D2155">
        <v>60</v>
      </c>
      <c r="E2155" s="1">
        <v>43957</v>
      </c>
      <c r="F2155">
        <v>2020</v>
      </c>
      <c r="G2155" t="s">
        <v>5036</v>
      </c>
      <c r="H2155">
        <v>6</v>
      </c>
      <c r="I2155">
        <v>4.96</v>
      </c>
      <c r="J2155">
        <v>6</v>
      </c>
      <c r="K2155">
        <v>6262.49</v>
      </c>
      <c r="L2155">
        <v>5.5</v>
      </c>
    </row>
    <row r="2156" spans="1:12" x14ac:dyDescent="0.3">
      <c r="A2156" t="s">
        <v>2171</v>
      </c>
      <c r="B2156" t="s">
        <v>16</v>
      </c>
      <c r="C2156" t="s">
        <v>14</v>
      </c>
      <c r="D2156">
        <v>33</v>
      </c>
      <c r="E2156" s="1">
        <v>45524</v>
      </c>
      <c r="F2156">
        <v>2024</v>
      </c>
      <c r="G2156" t="s">
        <v>5031</v>
      </c>
      <c r="H2156">
        <v>20</v>
      </c>
      <c r="I2156">
        <v>2.56</v>
      </c>
      <c r="J2156">
        <v>12</v>
      </c>
      <c r="K2156">
        <v>5530.71</v>
      </c>
      <c r="L2156">
        <v>1.2</v>
      </c>
    </row>
    <row r="2157" spans="1:12" x14ac:dyDescent="0.3">
      <c r="A2157" t="s">
        <v>2172</v>
      </c>
      <c r="B2157" t="s">
        <v>18</v>
      </c>
      <c r="C2157" t="s">
        <v>11</v>
      </c>
      <c r="D2157">
        <v>52</v>
      </c>
      <c r="E2157" s="1">
        <v>42890</v>
      </c>
      <c r="F2157">
        <v>2017</v>
      </c>
      <c r="G2157" t="s">
        <v>5032</v>
      </c>
      <c r="H2157">
        <v>4</v>
      </c>
      <c r="I2157">
        <v>2.62</v>
      </c>
      <c r="J2157">
        <v>7</v>
      </c>
      <c r="K2157">
        <v>12252.47</v>
      </c>
      <c r="L2157">
        <v>8.4</v>
      </c>
    </row>
    <row r="2158" spans="1:12" x14ac:dyDescent="0.3">
      <c r="A2158" t="s">
        <v>2173</v>
      </c>
      <c r="B2158" t="s">
        <v>18</v>
      </c>
      <c r="C2158" t="s">
        <v>11</v>
      </c>
      <c r="D2158">
        <v>44</v>
      </c>
      <c r="E2158" s="1">
        <v>44768</v>
      </c>
      <c r="F2158">
        <v>2022</v>
      </c>
      <c r="G2158" t="s">
        <v>5034</v>
      </c>
      <c r="H2158">
        <v>26</v>
      </c>
      <c r="I2158">
        <v>4.13</v>
      </c>
      <c r="J2158">
        <v>12</v>
      </c>
      <c r="K2158">
        <v>5630.55</v>
      </c>
      <c r="L2158">
        <v>3.3</v>
      </c>
    </row>
    <row r="2159" spans="1:12" x14ac:dyDescent="0.3">
      <c r="A2159" t="s">
        <v>2174</v>
      </c>
      <c r="B2159" t="s">
        <v>13</v>
      </c>
      <c r="C2159" t="s">
        <v>14</v>
      </c>
      <c r="D2159">
        <v>39</v>
      </c>
      <c r="E2159" s="1">
        <v>40738</v>
      </c>
      <c r="F2159">
        <v>2011</v>
      </c>
      <c r="G2159" t="s">
        <v>5034</v>
      </c>
      <c r="H2159">
        <v>14</v>
      </c>
      <c r="I2159">
        <v>3.79</v>
      </c>
      <c r="J2159">
        <v>13</v>
      </c>
      <c r="K2159">
        <v>4510.33</v>
      </c>
      <c r="L2159">
        <v>14.3</v>
      </c>
    </row>
    <row r="2160" spans="1:12" x14ac:dyDescent="0.3">
      <c r="A2160" t="s">
        <v>2175</v>
      </c>
      <c r="B2160" t="s">
        <v>34</v>
      </c>
      <c r="C2160" t="s">
        <v>11</v>
      </c>
      <c r="D2160">
        <v>36</v>
      </c>
      <c r="E2160" s="1">
        <v>41467</v>
      </c>
      <c r="F2160">
        <v>2013</v>
      </c>
      <c r="G2160" t="s">
        <v>5034</v>
      </c>
      <c r="H2160">
        <v>12</v>
      </c>
      <c r="I2160">
        <v>4.01</v>
      </c>
      <c r="J2160">
        <v>1</v>
      </c>
      <c r="K2160">
        <v>8229.58</v>
      </c>
      <c r="L2160">
        <v>12.3</v>
      </c>
    </row>
    <row r="2161" spans="1:12" x14ac:dyDescent="0.3">
      <c r="A2161" t="s">
        <v>2176</v>
      </c>
      <c r="B2161" t="s">
        <v>10</v>
      </c>
      <c r="C2161" t="s">
        <v>14</v>
      </c>
      <c r="D2161">
        <v>25</v>
      </c>
      <c r="E2161" s="1">
        <v>40922</v>
      </c>
      <c r="F2161">
        <v>2012</v>
      </c>
      <c r="G2161" t="s">
        <v>5037</v>
      </c>
      <c r="H2161">
        <v>14</v>
      </c>
      <c r="I2161">
        <v>4.58</v>
      </c>
      <c r="J2161">
        <v>10</v>
      </c>
      <c r="K2161">
        <v>6710.74</v>
      </c>
      <c r="L2161">
        <v>13.8</v>
      </c>
    </row>
    <row r="2162" spans="1:12" x14ac:dyDescent="0.3">
      <c r="A2162" t="s">
        <v>2177</v>
      </c>
      <c r="B2162" t="s">
        <v>24</v>
      </c>
      <c r="C2162" t="s">
        <v>14</v>
      </c>
      <c r="D2162">
        <v>56</v>
      </c>
      <c r="E2162" s="1">
        <v>45371</v>
      </c>
      <c r="F2162">
        <v>2024</v>
      </c>
      <c r="G2162" t="s">
        <v>5035</v>
      </c>
      <c r="H2162">
        <v>20</v>
      </c>
      <c r="I2162">
        <v>4.8099999999999996</v>
      </c>
      <c r="J2162">
        <v>11</v>
      </c>
      <c r="K2162">
        <v>9850.84</v>
      </c>
      <c r="L2162">
        <v>1.6</v>
      </c>
    </row>
    <row r="2163" spans="1:12" x14ac:dyDescent="0.3">
      <c r="A2163" t="s">
        <v>2178</v>
      </c>
      <c r="B2163" t="s">
        <v>34</v>
      </c>
      <c r="C2163" t="s">
        <v>11</v>
      </c>
      <c r="D2163">
        <v>55</v>
      </c>
      <c r="E2163" s="1">
        <v>43759</v>
      </c>
      <c r="F2163">
        <v>2019</v>
      </c>
      <c r="G2163" t="s">
        <v>5039</v>
      </c>
      <c r="H2163">
        <v>21</v>
      </c>
      <c r="I2163">
        <v>4.04</v>
      </c>
      <c r="J2163">
        <v>3</v>
      </c>
      <c r="K2163">
        <v>12616.83</v>
      </c>
      <c r="L2163">
        <v>6</v>
      </c>
    </row>
    <row r="2164" spans="1:12" x14ac:dyDescent="0.3">
      <c r="A2164" t="s">
        <v>2179</v>
      </c>
      <c r="B2164" t="s">
        <v>10</v>
      </c>
      <c r="C2164" t="s">
        <v>14</v>
      </c>
      <c r="D2164">
        <v>26</v>
      </c>
      <c r="E2164" s="1">
        <v>43159</v>
      </c>
      <c r="F2164">
        <v>2018</v>
      </c>
      <c r="G2164" t="s">
        <v>5042</v>
      </c>
      <c r="H2164">
        <v>28</v>
      </c>
      <c r="I2164">
        <v>2.6</v>
      </c>
      <c r="J2164">
        <v>9</v>
      </c>
      <c r="K2164">
        <v>5373.19</v>
      </c>
      <c r="L2164">
        <v>7.7</v>
      </c>
    </row>
    <row r="2165" spans="1:12" x14ac:dyDescent="0.3">
      <c r="A2165" t="s">
        <v>2180</v>
      </c>
      <c r="B2165" t="s">
        <v>24</v>
      </c>
      <c r="C2165" t="s">
        <v>11</v>
      </c>
      <c r="D2165">
        <v>26</v>
      </c>
      <c r="E2165" s="1">
        <v>43258</v>
      </c>
      <c r="F2165">
        <v>2018</v>
      </c>
      <c r="G2165" t="s">
        <v>5032</v>
      </c>
      <c r="H2165">
        <v>7</v>
      </c>
      <c r="I2165">
        <v>2.39</v>
      </c>
      <c r="J2165">
        <v>10</v>
      </c>
      <c r="K2165">
        <v>13350.98</v>
      </c>
      <c r="L2165">
        <v>7.4</v>
      </c>
    </row>
    <row r="2166" spans="1:12" x14ac:dyDescent="0.3">
      <c r="A2166" t="s">
        <v>2181</v>
      </c>
      <c r="B2166" t="s">
        <v>18</v>
      </c>
      <c r="C2166" t="s">
        <v>14</v>
      </c>
      <c r="D2166">
        <v>45</v>
      </c>
      <c r="E2166" s="1">
        <v>43120</v>
      </c>
      <c r="F2166">
        <v>2018</v>
      </c>
      <c r="G2166" t="s">
        <v>5037</v>
      </c>
      <c r="H2166">
        <v>20</v>
      </c>
      <c r="I2166">
        <v>3.18</v>
      </c>
      <c r="J2166">
        <v>13</v>
      </c>
      <c r="K2166">
        <v>13425.9</v>
      </c>
      <c r="L2166">
        <v>7.8</v>
      </c>
    </row>
    <row r="2167" spans="1:12" x14ac:dyDescent="0.3">
      <c r="A2167" t="s">
        <v>2182</v>
      </c>
      <c r="B2167" t="s">
        <v>16</v>
      </c>
      <c r="C2167" t="s">
        <v>11</v>
      </c>
      <c r="D2167">
        <v>35</v>
      </c>
      <c r="E2167" s="1">
        <v>42580</v>
      </c>
      <c r="F2167">
        <v>2016</v>
      </c>
      <c r="G2167" t="s">
        <v>5034</v>
      </c>
      <c r="H2167">
        <v>29</v>
      </c>
      <c r="I2167">
        <v>3.78</v>
      </c>
      <c r="J2167">
        <v>3</v>
      </c>
      <c r="K2167">
        <v>12621.9</v>
      </c>
      <c r="L2167">
        <v>9.3000000000000007</v>
      </c>
    </row>
    <row r="2168" spans="1:12" x14ac:dyDescent="0.3">
      <c r="A2168" t="s">
        <v>2183</v>
      </c>
      <c r="B2168" t="s">
        <v>13</v>
      </c>
      <c r="C2168" t="s">
        <v>14</v>
      </c>
      <c r="D2168">
        <v>54</v>
      </c>
      <c r="E2168" s="1">
        <v>43574</v>
      </c>
      <c r="F2168">
        <v>2019</v>
      </c>
      <c r="G2168" t="s">
        <v>5040</v>
      </c>
      <c r="H2168">
        <v>19</v>
      </c>
      <c r="I2168">
        <v>2.83</v>
      </c>
      <c r="J2168">
        <v>14</v>
      </c>
      <c r="K2168">
        <v>5986.19</v>
      </c>
      <c r="L2168">
        <v>6.5</v>
      </c>
    </row>
    <row r="2169" spans="1:12" x14ac:dyDescent="0.3">
      <c r="A2169" t="s">
        <v>2184</v>
      </c>
      <c r="B2169" t="s">
        <v>13</v>
      </c>
      <c r="C2169" t="s">
        <v>14</v>
      </c>
      <c r="D2169">
        <v>45</v>
      </c>
      <c r="E2169" s="1">
        <v>41299</v>
      </c>
      <c r="F2169">
        <v>2013</v>
      </c>
      <c r="G2169" t="s">
        <v>5037</v>
      </c>
      <c r="H2169">
        <v>25</v>
      </c>
      <c r="I2169">
        <v>3.24</v>
      </c>
      <c r="J2169">
        <v>12</v>
      </c>
      <c r="K2169">
        <v>9292.9</v>
      </c>
      <c r="L2169">
        <v>12.8</v>
      </c>
    </row>
    <row r="2170" spans="1:12" x14ac:dyDescent="0.3">
      <c r="A2170" t="s">
        <v>2185</v>
      </c>
      <c r="B2170" t="s">
        <v>16</v>
      </c>
      <c r="C2170" t="s">
        <v>11</v>
      </c>
      <c r="D2170">
        <v>29</v>
      </c>
      <c r="E2170" s="1">
        <v>44915</v>
      </c>
      <c r="F2170">
        <v>2022</v>
      </c>
      <c r="G2170" t="s">
        <v>5041</v>
      </c>
      <c r="H2170">
        <v>20</v>
      </c>
      <c r="I2170">
        <v>2</v>
      </c>
      <c r="J2170">
        <v>4</v>
      </c>
      <c r="K2170">
        <v>10880.68</v>
      </c>
      <c r="L2170">
        <v>2.9</v>
      </c>
    </row>
    <row r="2171" spans="1:12" x14ac:dyDescent="0.3">
      <c r="A2171" t="s">
        <v>2186</v>
      </c>
      <c r="B2171" t="s">
        <v>16</v>
      </c>
      <c r="C2171" t="s">
        <v>14</v>
      </c>
      <c r="D2171">
        <v>50</v>
      </c>
      <c r="E2171" s="1">
        <v>40647</v>
      </c>
      <c r="F2171">
        <v>2011</v>
      </c>
      <c r="G2171" t="s">
        <v>5040</v>
      </c>
      <c r="H2171">
        <v>14</v>
      </c>
      <c r="I2171">
        <v>4.2</v>
      </c>
      <c r="J2171">
        <v>3</v>
      </c>
      <c r="K2171">
        <v>7010.35</v>
      </c>
      <c r="L2171">
        <v>14.6</v>
      </c>
    </row>
    <row r="2172" spans="1:12" x14ac:dyDescent="0.3">
      <c r="A2172" t="s">
        <v>2187</v>
      </c>
      <c r="B2172" t="s">
        <v>18</v>
      </c>
      <c r="C2172" t="s">
        <v>14</v>
      </c>
      <c r="D2172">
        <v>25</v>
      </c>
      <c r="E2172" s="1">
        <v>43415</v>
      </c>
      <c r="F2172">
        <v>2018</v>
      </c>
      <c r="G2172" t="s">
        <v>5038</v>
      </c>
      <c r="H2172">
        <v>11</v>
      </c>
      <c r="I2172">
        <v>2.2000000000000002</v>
      </c>
      <c r="J2172">
        <v>8</v>
      </c>
      <c r="K2172">
        <v>5807.46</v>
      </c>
      <c r="L2172">
        <v>7</v>
      </c>
    </row>
    <row r="2173" spans="1:12" x14ac:dyDescent="0.3">
      <c r="A2173" t="s">
        <v>2188</v>
      </c>
      <c r="B2173" t="s">
        <v>18</v>
      </c>
      <c r="C2173" t="s">
        <v>11</v>
      </c>
      <c r="D2173">
        <v>47</v>
      </c>
      <c r="E2173" s="1">
        <v>41715</v>
      </c>
      <c r="F2173">
        <v>2014</v>
      </c>
      <c r="G2173" t="s">
        <v>5035</v>
      </c>
      <c r="H2173">
        <v>17</v>
      </c>
      <c r="I2173">
        <v>4.51</v>
      </c>
      <c r="J2173">
        <v>0</v>
      </c>
      <c r="K2173">
        <v>9798.98</v>
      </c>
      <c r="L2173">
        <v>11.6</v>
      </c>
    </row>
    <row r="2174" spans="1:12" x14ac:dyDescent="0.3">
      <c r="A2174" t="s">
        <v>2189</v>
      </c>
      <c r="B2174" t="s">
        <v>24</v>
      </c>
      <c r="C2174" t="s">
        <v>11</v>
      </c>
      <c r="D2174">
        <v>34</v>
      </c>
      <c r="E2174" s="1">
        <v>41881</v>
      </c>
      <c r="F2174">
        <v>2014</v>
      </c>
      <c r="G2174" t="s">
        <v>5031</v>
      </c>
      <c r="H2174">
        <v>30</v>
      </c>
      <c r="I2174">
        <v>4.4400000000000004</v>
      </c>
      <c r="J2174">
        <v>11</v>
      </c>
      <c r="K2174">
        <v>4602.21</v>
      </c>
      <c r="L2174">
        <v>11.2</v>
      </c>
    </row>
    <row r="2175" spans="1:12" x14ac:dyDescent="0.3">
      <c r="A2175" t="s">
        <v>2190</v>
      </c>
      <c r="B2175" t="s">
        <v>18</v>
      </c>
      <c r="C2175" t="s">
        <v>11</v>
      </c>
      <c r="D2175">
        <v>46</v>
      </c>
      <c r="E2175" s="1">
        <v>41037</v>
      </c>
      <c r="F2175">
        <v>2012</v>
      </c>
      <c r="G2175" t="s">
        <v>5036</v>
      </c>
      <c r="H2175">
        <v>8</v>
      </c>
      <c r="I2175">
        <v>4.9800000000000004</v>
      </c>
      <c r="J2175">
        <v>3</v>
      </c>
      <c r="K2175">
        <v>11863.97</v>
      </c>
      <c r="L2175">
        <v>13.5</v>
      </c>
    </row>
    <row r="2176" spans="1:12" x14ac:dyDescent="0.3">
      <c r="A2176" t="s">
        <v>2191</v>
      </c>
      <c r="B2176" t="s">
        <v>10</v>
      </c>
      <c r="C2176" t="s">
        <v>14</v>
      </c>
      <c r="D2176">
        <v>52</v>
      </c>
      <c r="E2176" s="1">
        <v>43779</v>
      </c>
      <c r="F2176">
        <v>2019</v>
      </c>
      <c r="G2176" t="s">
        <v>5038</v>
      </c>
      <c r="H2176">
        <v>10</v>
      </c>
      <c r="I2176">
        <v>2.48</v>
      </c>
      <c r="J2176">
        <v>6</v>
      </c>
      <c r="K2176">
        <v>9245.14</v>
      </c>
      <c r="L2176">
        <v>6</v>
      </c>
    </row>
    <row r="2177" spans="1:12" x14ac:dyDescent="0.3">
      <c r="A2177" t="s">
        <v>2192</v>
      </c>
      <c r="B2177" t="s">
        <v>10</v>
      </c>
      <c r="C2177" t="s">
        <v>11</v>
      </c>
      <c r="D2177">
        <v>25</v>
      </c>
      <c r="E2177" s="1">
        <v>41379</v>
      </c>
      <c r="F2177">
        <v>2013</v>
      </c>
      <c r="G2177" t="s">
        <v>5040</v>
      </c>
      <c r="H2177">
        <v>15</v>
      </c>
      <c r="I2177">
        <v>3.11</v>
      </c>
      <c r="J2177">
        <v>0</v>
      </c>
      <c r="K2177">
        <v>8780.93</v>
      </c>
      <c r="L2177">
        <v>12.6</v>
      </c>
    </row>
    <row r="2178" spans="1:12" x14ac:dyDescent="0.3">
      <c r="A2178" t="s">
        <v>2193</v>
      </c>
      <c r="B2178" t="s">
        <v>10</v>
      </c>
      <c r="C2178" t="s">
        <v>11</v>
      </c>
      <c r="D2178">
        <v>41</v>
      </c>
      <c r="E2178" s="1">
        <v>45418</v>
      </c>
      <c r="F2178">
        <v>2024</v>
      </c>
      <c r="G2178" t="s">
        <v>5036</v>
      </c>
      <c r="H2178">
        <v>6</v>
      </c>
      <c r="I2178">
        <v>4.74</v>
      </c>
      <c r="J2178">
        <v>12</v>
      </c>
      <c r="K2178">
        <v>10662.78</v>
      </c>
      <c r="L2178">
        <v>1.5</v>
      </c>
    </row>
    <row r="2179" spans="1:12" x14ac:dyDescent="0.3">
      <c r="A2179" t="s">
        <v>2194</v>
      </c>
      <c r="B2179" t="s">
        <v>10</v>
      </c>
      <c r="C2179" t="s">
        <v>14</v>
      </c>
      <c r="D2179">
        <v>32</v>
      </c>
      <c r="E2179" s="1">
        <v>44327</v>
      </c>
      <c r="F2179">
        <v>2021</v>
      </c>
      <c r="G2179" t="s">
        <v>5036</v>
      </c>
      <c r="H2179">
        <v>11</v>
      </c>
      <c r="I2179">
        <v>4.1500000000000004</v>
      </c>
      <c r="J2179">
        <v>8</v>
      </c>
      <c r="K2179">
        <v>13089.31</v>
      </c>
      <c r="L2179">
        <v>4.5</v>
      </c>
    </row>
    <row r="2180" spans="1:12" x14ac:dyDescent="0.3">
      <c r="A2180" t="s">
        <v>2195</v>
      </c>
      <c r="B2180" t="s">
        <v>18</v>
      </c>
      <c r="C2180" t="s">
        <v>11</v>
      </c>
      <c r="D2180">
        <v>25</v>
      </c>
      <c r="E2180" s="1">
        <v>42655</v>
      </c>
      <c r="F2180">
        <v>2016</v>
      </c>
      <c r="G2180" t="s">
        <v>5039</v>
      </c>
      <c r="H2180">
        <v>12</v>
      </c>
      <c r="I2180">
        <v>2.7</v>
      </c>
      <c r="J2180">
        <v>9</v>
      </c>
      <c r="K2180">
        <v>14761.06</v>
      </c>
      <c r="L2180">
        <v>9.1</v>
      </c>
    </row>
    <row r="2181" spans="1:12" x14ac:dyDescent="0.3">
      <c r="A2181" t="s">
        <v>2196</v>
      </c>
      <c r="B2181" t="s">
        <v>16</v>
      </c>
      <c r="C2181" t="s">
        <v>14</v>
      </c>
      <c r="D2181">
        <v>36</v>
      </c>
      <c r="E2181" s="1">
        <v>40338</v>
      </c>
      <c r="F2181">
        <v>2010</v>
      </c>
      <c r="G2181" t="s">
        <v>5032</v>
      </c>
      <c r="H2181">
        <v>9</v>
      </c>
      <c r="I2181">
        <v>4.53</v>
      </c>
      <c r="J2181">
        <v>8</v>
      </c>
      <c r="K2181">
        <v>13846.59</v>
      </c>
      <c r="L2181">
        <v>15.4</v>
      </c>
    </row>
    <row r="2182" spans="1:12" x14ac:dyDescent="0.3">
      <c r="A2182" t="s">
        <v>2197</v>
      </c>
      <c r="B2182" t="s">
        <v>10</v>
      </c>
      <c r="C2182" t="s">
        <v>14</v>
      </c>
      <c r="D2182">
        <v>36</v>
      </c>
      <c r="E2182" s="1">
        <v>45373</v>
      </c>
      <c r="F2182">
        <v>2024</v>
      </c>
      <c r="G2182" t="s">
        <v>5035</v>
      </c>
      <c r="H2182">
        <v>22</v>
      </c>
      <c r="I2182">
        <v>3.34</v>
      </c>
      <c r="J2182">
        <v>7</v>
      </c>
      <c r="K2182">
        <v>11354.81</v>
      </c>
      <c r="L2182">
        <v>1.6</v>
      </c>
    </row>
    <row r="2183" spans="1:12" x14ac:dyDescent="0.3">
      <c r="A2183" t="s">
        <v>2198</v>
      </c>
      <c r="B2183" t="s">
        <v>16</v>
      </c>
      <c r="C2183" t="s">
        <v>11</v>
      </c>
      <c r="D2183">
        <v>48</v>
      </c>
      <c r="E2183" s="1">
        <v>45678</v>
      </c>
      <c r="F2183">
        <v>2025</v>
      </c>
      <c r="G2183" t="s">
        <v>5037</v>
      </c>
      <c r="H2183">
        <v>21</v>
      </c>
      <c r="I2183">
        <v>4.53</v>
      </c>
      <c r="J2183">
        <v>7</v>
      </c>
      <c r="K2183">
        <v>14077.51</v>
      </c>
      <c r="L2183">
        <v>0.8</v>
      </c>
    </row>
    <row r="2184" spans="1:12" x14ac:dyDescent="0.3">
      <c r="A2184" t="s">
        <v>2199</v>
      </c>
      <c r="B2184" t="s">
        <v>16</v>
      </c>
      <c r="C2184" t="s">
        <v>14</v>
      </c>
      <c r="D2184">
        <v>53</v>
      </c>
      <c r="E2184" s="1">
        <v>41506</v>
      </c>
      <c r="F2184">
        <v>2013</v>
      </c>
      <c r="G2184" t="s">
        <v>5031</v>
      </c>
      <c r="H2184">
        <v>20</v>
      </c>
      <c r="I2184">
        <v>4.9400000000000004</v>
      </c>
      <c r="J2184">
        <v>6</v>
      </c>
      <c r="K2184">
        <v>3319.51</v>
      </c>
      <c r="L2184">
        <v>12.2</v>
      </c>
    </row>
    <row r="2185" spans="1:12" x14ac:dyDescent="0.3">
      <c r="A2185" t="s">
        <v>2200</v>
      </c>
      <c r="B2185" t="s">
        <v>24</v>
      </c>
      <c r="C2185" t="s">
        <v>11</v>
      </c>
      <c r="D2185">
        <v>42</v>
      </c>
      <c r="E2185" s="1">
        <v>43909</v>
      </c>
      <c r="F2185">
        <v>2020</v>
      </c>
      <c r="G2185" t="s">
        <v>5035</v>
      </c>
      <c r="H2185">
        <v>19</v>
      </c>
      <c r="I2185">
        <v>2.4300000000000002</v>
      </c>
      <c r="J2185">
        <v>9</v>
      </c>
      <c r="K2185">
        <v>6548.73</v>
      </c>
      <c r="L2185">
        <v>5.6</v>
      </c>
    </row>
    <row r="2186" spans="1:12" x14ac:dyDescent="0.3">
      <c r="A2186" t="s">
        <v>2201</v>
      </c>
      <c r="B2186" t="s">
        <v>18</v>
      </c>
      <c r="C2186" t="s">
        <v>11</v>
      </c>
      <c r="D2186">
        <v>45</v>
      </c>
      <c r="E2186" s="1">
        <v>41792</v>
      </c>
      <c r="F2186">
        <v>2014</v>
      </c>
      <c r="G2186" t="s">
        <v>5032</v>
      </c>
      <c r="H2186">
        <v>2</v>
      </c>
      <c r="I2186">
        <v>2.38</v>
      </c>
      <c r="J2186">
        <v>10</v>
      </c>
      <c r="K2186">
        <v>9051.24</v>
      </c>
      <c r="L2186">
        <v>11.4</v>
      </c>
    </row>
    <row r="2187" spans="1:12" x14ac:dyDescent="0.3">
      <c r="A2187" t="s">
        <v>2202</v>
      </c>
      <c r="B2187" t="s">
        <v>34</v>
      </c>
      <c r="C2187" t="s">
        <v>11</v>
      </c>
      <c r="D2187">
        <v>24</v>
      </c>
      <c r="E2187" s="1">
        <v>44572</v>
      </c>
      <c r="F2187">
        <v>2022</v>
      </c>
      <c r="G2187" t="s">
        <v>5037</v>
      </c>
      <c r="H2187">
        <v>11</v>
      </c>
      <c r="I2187">
        <v>2.82</v>
      </c>
      <c r="J2187">
        <v>6</v>
      </c>
      <c r="K2187">
        <v>11226.19</v>
      </c>
      <c r="L2187">
        <v>3.8</v>
      </c>
    </row>
    <row r="2188" spans="1:12" x14ac:dyDescent="0.3">
      <c r="A2188" t="s">
        <v>2203</v>
      </c>
      <c r="B2188" t="s">
        <v>16</v>
      </c>
      <c r="C2188" t="s">
        <v>11</v>
      </c>
      <c r="D2188">
        <v>58</v>
      </c>
      <c r="E2188" s="1">
        <v>43180</v>
      </c>
      <c r="F2188">
        <v>2018</v>
      </c>
      <c r="G2188" t="s">
        <v>5035</v>
      </c>
      <c r="H2188">
        <v>21</v>
      </c>
      <c r="I2188">
        <v>4.1100000000000003</v>
      </c>
      <c r="J2188">
        <v>2</v>
      </c>
      <c r="K2188">
        <v>7238.36</v>
      </c>
      <c r="L2188">
        <v>7.6</v>
      </c>
    </row>
    <row r="2189" spans="1:12" x14ac:dyDescent="0.3">
      <c r="A2189" t="s">
        <v>2204</v>
      </c>
      <c r="B2189" t="s">
        <v>16</v>
      </c>
      <c r="C2189" t="s">
        <v>14</v>
      </c>
      <c r="D2189">
        <v>32</v>
      </c>
      <c r="E2189" s="1">
        <v>40544</v>
      </c>
      <c r="F2189">
        <v>2011</v>
      </c>
      <c r="G2189" t="s">
        <v>5037</v>
      </c>
      <c r="H2189">
        <v>1</v>
      </c>
      <c r="I2189">
        <v>3.64</v>
      </c>
      <c r="J2189">
        <v>12</v>
      </c>
      <c r="K2189">
        <v>7211.59</v>
      </c>
      <c r="L2189">
        <v>14.8</v>
      </c>
    </row>
    <row r="2190" spans="1:12" x14ac:dyDescent="0.3">
      <c r="A2190" t="s">
        <v>2205</v>
      </c>
      <c r="B2190" t="s">
        <v>18</v>
      </c>
      <c r="C2190" t="s">
        <v>11</v>
      </c>
      <c r="D2190">
        <v>54</v>
      </c>
      <c r="E2190" s="1">
        <v>45860</v>
      </c>
      <c r="F2190">
        <v>2025</v>
      </c>
      <c r="G2190" t="s">
        <v>5034</v>
      </c>
      <c r="H2190">
        <v>22</v>
      </c>
      <c r="I2190">
        <v>2.79</v>
      </c>
      <c r="J2190">
        <v>4</v>
      </c>
      <c r="K2190">
        <v>8964.92</v>
      </c>
      <c r="L2190">
        <v>0.3</v>
      </c>
    </row>
    <row r="2191" spans="1:12" x14ac:dyDescent="0.3">
      <c r="A2191" t="s">
        <v>2206</v>
      </c>
      <c r="B2191" t="s">
        <v>24</v>
      </c>
      <c r="C2191" t="s">
        <v>14</v>
      </c>
      <c r="D2191">
        <v>33</v>
      </c>
      <c r="E2191" s="1">
        <v>42600</v>
      </c>
      <c r="F2191">
        <v>2016</v>
      </c>
      <c r="G2191" t="s">
        <v>5031</v>
      </c>
      <c r="H2191">
        <v>18</v>
      </c>
      <c r="I2191">
        <v>3.2</v>
      </c>
      <c r="J2191">
        <v>12</v>
      </c>
      <c r="K2191">
        <v>4695.16</v>
      </c>
      <c r="L2191">
        <v>9.1999999999999993</v>
      </c>
    </row>
    <row r="2192" spans="1:12" x14ac:dyDescent="0.3">
      <c r="A2192" t="s">
        <v>2207</v>
      </c>
      <c r="B2192" t="s">
        <v>24</v>
      </c>
      <c r="C2192" t="s">
        <v>14</v>
      </c>
      <c r="D2192">
        <v>49</v>
      </c>
      <c r="E2192" s="1">
        <v>42963</v>
      </c>
      <c r="F2192">
        <v>2017</v>
      </c>
      <c r="G2192" t="s">
        <v>5031</v>
      </c>
      <c r="H2192">
        <v>16</v>
      </c>
      <c r="I2192">
        <v>2.66</v>
      </c>
      <c r="J2192">
        <v>14</v>
      </c>
      <c r="K2192">
        <v>8466.5499999999993</v>
      </c>
      <c r="L2192">
        <v>8.1999999999999993</v>
      </c>
    </row>
    <row r="2193" spans="1:12" x14ac:dyDescent="0.3">
      <c r="A2193" t="s">
        <v>2208</v>
      </c>
      <c r="B2193" t="s">
        <v>24</v>
      </c>
      <c r="C2193" t="s">
        <v>11</v>
      </c>
      <c r="D2193">
        <v>28</v>
      </c>
      <c r="E2193" s="1">
        <v>41475</v>
      </c>
      <c r="F2193">
        <v>2013</v>
      </c>
      <c r="G2193" t="s">
        <v>5034</v>
      </c>
      <c r="H2193">
        <v>20</v>
      </c>
      <c r="I2193">
        <v>1.7</v>
      </c>
      <c r="J2193">
        <v>8</v>
      </c>
      <c r="K2193">
        <v>5301</v>
      </c>
      <c r="L2193">
        <v>12.3</v>
      </c>
    </row>
    <row r="2194" spans="1:12" x14ac:dyDescent="0.3">
      <c r="A2194" t="s">
        <v>2209</v>
      </c>
      <c r="B2194" t="s">
        <v>16</v>
      </c>
      <c r="C2194" t="s">
        <v>11</v>
      </c>
      <c r="D2194">
        <v>22</v>
      </c>
      <c r="E2194" s="1">
        <v>40984</v>
      </c>
      <c r="F2194">
        <v>2012</v>
      </c>
      <c r="G2194" t="s">
        <v>5035</v>
      </c>
      <c r="H2194">
        <v>16</v>
      </c>
      <c r="I2194">
        <v>2</v>
      </c>
      <c r="J2194">
        <v>15</v>
      </c>
      <c r="K2194">
        <v>3510.93</v>
      </c>
      <c r="L2194">
        <v>13.6</v>
      </c>
    </row>
    <row r="2195" spans="1:12" x14ac:dyDescent="0.3">
      <c r="A2195" t="s">
        <v>2210</v>
      </c>
      <c r="B2195" t="s">
        <v>18</v>
      </c>
      <c r="C2195" t="s">
        <v>14</v>
      </c>
      <c r="D2195">
        <v>27</v>
      </c>
      <c r="E2195" s="1">
        <v>41753</v>
      </c>
      <c r="F2195">
        <v>2014</v>
      </c>
      <c r="G2195" t="s">
        <v>5040</v>
      </c>
      <c r="H2195">
        <v>24</v>
      </c>
      <c r="I2195">
        <v>2.4</v>
      </c>
      <c r="J2195">
        <v>13</v>
      </c>
      <c r="K2195">
        <v>7774.59</v>
      </c>
      <c r="L2195">
        <v>11.5</v>
      </c>
    </row>
    <row r="2196" spans="1:12" x14ac:dyDescent="0.3">
      <c r="A2196" t="s">
        <v>2211</v>
      </c>
      <c r="B2196" t="s">
        <v>34</v>
      </c>
      <c r="C2196" t="s">
        <v>14</v>
      </c>
      <c r="D2196">
        <v>51</v>
      </c>
      <c r="E2196" s="1">
        <v>41419</v>
      </c>
      <c r="F2196">
        <v>2013</v>
      </c>
      <c r="G2196" t="s">
        <v>5036</v>
      </c>
      <c r="H2196">
        <v>25</v>
      </c>
      <c r="I2196">
        <v>3.62</v>
      </c>
      <c r="J2196">
        <v>14</v>
      </c>
      <c r="K2196">
        <v>5256.07</v>
      </c>
      <c r="L2196">
        <v>12.4</v>
      </c>
    </row>
    <row r="2197" spans="1:12" x14ac:dyDescent="0.3">
      <c r="A2197" t="s">
        <v>2212</v>
      </c>
      <c r="B2197" t="s">
        <v>18</v>
      </c>
      <c r="C2197" t="s">
        <v>14</v>
      </c>
      <c r="D2197">
        <v>52</v>
      </c>
      <c r="E2197" s="1">
        <v>41340</v>
      </c>
      <c r="F2197">
        <v>2013</v>
      </c>
      <c r="G2197" t="s">
        <v>5035</v>
      </c>
      <c r="H2197">
        <v>7</v>
      </c>
      <c r="I2197">
        <v>1.94</v>
      </c>
      <c r="J2197">
        <v>6</v>
      </c>
      <c r="K2197">
        <v>12813.29</v>
      </c>
      <c r="L2197">
        <v>12.7</v>
      </c>
    </row>
    <row r="2198" spans="1:12" x14ac:dyDescent="0.3">
      <c r="A2198" t="s">
        <v>2213</v>
      </c>
      <c r="B2198" t="s">
        <v>18</v>
      </c>
      <c r="C2198" t="s">
        <v>14</v>
      </c>
      <c r="D2198">
        <v>32</v>
      </c>
      <c r="E2198" s="1">
        <v>42899</v>
      </c>
      <c r="F2198">
        <v>2017</v>
      </c>
      <c r="G2198" t="s">
        <v>5032</v>
      </c>
      <c r="H2198">
        <v>13</v>
      </c>
      <c r="I2198">
        <v>2.29</v>
      </c>
      <c r="J2198">
        <v>4</v>
      </c>
      <c r="K2198">
        <v>5491.77</v>
      </c>
      <c r="L2198">
        <v>8.4</v>
      </c>
    </row>
    <row r="2199" spans="1:12" x14ac:dyDescent="0.3">
      <c r="A2199" t="s">
        <v>2214</v>
      </c>
      <c r="B2199" t="s">
        <v>18</v>
      </c>
      <c r="C2199" t="s">
        <v>11</v>
      </c>
      <c r="D2199">
        <v>53</v>
      </c>
      <c r="E2199" s="1">
        <v>43727</v>
      </c>
      <c r="F2199">
        <v>2019</v>
      </c>
      <c r="G2199" t="s">
        <v>5033</v>
      </c>
      <c r="H2199">
        <v>19</v>
      </c>
      <c r="I2199">
        <v>4.57</v>
      </c>
      <c r="J2199">
        <v>3</v>
      </c>
      <c r="K2199">
        <v>6390.37</v>
      </c>
      <c r="L2199">
        <v>6.1</v>
      </c>
    </row>
    <row r="2200" spans="1:12" x14ac:dyDescent="0.3">
      <c r="A2200" t="s">
        <v>2215</v>
      </c>
      <c r="B2200" t="s">
        <v>13</v>
      </c>
      <c r="C2200" t="s">
        <v>11</v>
      </c>
      <c r="D2200">
        <v>50</v>
      </c>
      <c r="E2200" s="1">
        <v>40561</v>
      </c>
      <c r="F2200">
        <v>2011</v>
      </c>
      <c r="G2200" t="s">
        <v>5037</v>
      </c>
      <c r="H2200">
        <v>18</v>
      </c>
      <c r="I2200">
        <v>3.36</v>
      </c>
      <c r="J2200">
        <v>2</v>
      </c>
      <c r="K2200">
        <v>12988.12</v>
      </c>
      <c r="L2200">
        <v>14.8</v>
      </c>
    </row>
    <row r="2201" spans="1:12" x14ac:dyDescent="0.3">
      <c r="A2201" t="s">
        <v>2216</v>
      </c>
      <c r="B2201" t="s">
        <v>16</v>
      </c>
      <c r="C2201" t="s">
        <v>14</v>
      </c>
      <c r="D2201">
        <v>26</v>
      </c>
      <c r="E2201" s="1">
        <v>42052</v>
      </c>
      <c r="F2201">
        <v>2015</v>
      </c>
      <c r="G2201" t="s">
        <v>5042</v>
      </c>
      <c r="H2201">
        <v>17</v>
      </c>
      <c r="I2201">
        <v>2.48</v>
      </c>
      <c r="J2201">
        <v>15</v>
      </c>
      <c r="K2201">
        <v>7784.6</v>
      </c>
      <c r="L2201">
        <v>10.7</v>
      </c>
    </row>
    <row r="2202" spans="1:12" x14ac:dyDescent="0.3">
      <c r="A2202" t="s">
        <v>2217</v>
      </c>
      <c r="B2202" t="s">
        <v>10</v>
      </c>
      <c r="C2202" t="s">
        <v>14</v>
      </c>
      <c r="D2202">
        <v>49</v>
      </c>
      <c r="E2202" s="1">
        <v>40858</v>
      </c>
      <c r="F2202">
        <v>2011</v>
      </c>
      <c r="G2202" t="s">
        <v>5038</v>
      </c>
      <c r="H2202">
        <v>11</v>
      </c>
      <c r="I2202">
        <v>2.99</v>
      </c>
      <c r="J2202">
        <v>4</v>
      </c>
      <c r="K2202">
        <v>9351.82</v>
      </c>
      <c r="L2202">
        <v>14</v>
      </c>
    </row>
    <row r="2203" spans="1:12" x14ac:dyDescent="0.3">
      <c r="A2203" t="s">
        <v>2218</v>
      </c>
      <c r="B2203" t="s">
        <v>18</v>
      </c>
      <c r="C2203" t="s">
        <v>11</v>
      </c>
      <c r="D2203">
        <v>58</v>
      </c>
      <c r="E2203" s="1">
        <v>40498</v>
      </c>
      <c r="F2203">
        <v>2010</v>
      </c>
      <c r="G2203" t="s">
        <v>5038</v>
      </c>
      <c r="H2203">
        <v>16</v>
      </c>
      <c r="I2203">
        <v>1.58</v>
      </c>
      <c r="J2203">
        <v>12</v>
      </c>
      <c r="K2203">
        <v>6856.83</v>
      </c>
      <c r="L2203">
        <v>15</v>
      </c>
    </row>
    <row r="2204" spans="1:12" x14ac:dyDescent="0.3">
      <c r="A2204" t="s">
        <v>2219</v>
      </c>
      <c r="B2204" t="s">
        <v>34</v>
      </c>
      <c r="C2204" t="s">
        <v>11</v>
      </c>
      <c r="D2204">
        <v>45</v>
      </c>
      <c r="E2204" s="1">
        <v>45129</v>
      </c>
      <c r="F2204">
        <v>2023</v>
      </c>
      <c r="G2204" t="s">
        <v>5034</v>
      </c>
      <c r="H2204">
        <v>22</v>
      </c>
      <c r="I2204">
        <v>3.11</v>
      </c>
      <c r="J2204">
        <v>15</v>
      </c>
      <c r="K2204">
        <v>4772.2</v>
      </c>
      <c r="L2204">
        <v>2.2999999999999998</v>
      </c>
    </row>
    <row r="2205" spans="1:12" x14ac:dyDescent="0.3">
      <c r="A2205" t="s">
        <v>2220</v>
      </c>
      <c r="B2205" t="s">
        <v>10</v>
      </c>
      <c r="C2205" t="s">
        <v>14</v>
      </c>
      <c r="D2205">
        <v>56</v>
      </c>
      <c r="E2205" s="1">
        <v>42832</v>
      </c>
      <c r="F2205">
        <v>2017</v>
      </c>
      <c r="G2205" t="s">
        <v>5040</v>
      </c>
      <c r="H2205">
        <v>7</v>
      </c>
      <c r="I2205">
        <v>4.1399999999999997</v>
      </c>
      <c r="J2205">
        <v>6</v>
      </c>
      <c r="K2205">
        <v>10154.620000000001</v>
      </c>
      <c r="L2205">
        <v>8.6</v>
      </c>
    </row>
    <row r="2206" spans="1:12" x14ac:dyDescent="0.3">
      <c r="A2206" t="s">
        <v>2221</v>
      </c>
      <c r="B2206" t="s">
        <v>13</v>
      </c>
      <c r="C2206" t="s">
        <v>11</v>
      </c>
      <c r="D2206">
        <v>38</v>
      </c>
      <c r="E2206" s="1">
        <v>41048</v>
      </c>
      <c r="F2206">
        <v>2012</v>
      </c>
      <c r="G2206" t="s">
        <v>5036</v>
      </c>
      <c r="H2206">
        <v>19</v>
      </c>
      <c r="I2206">
        <v>2.84</v>
      </c>
      <c r="J2206">
        <v>13</v>
      </c>
      <c r="K2206">
        <v>6675.95</v>
      </c>
      <c r="L2206">
        <v>13.5</v>
      </c>
    </row>
    <row r="2207" spans="1:12" x14ac:dyDescent="0.3">
      <c r="A2207" t="s">
        <v>2222</v>
      </c>
      <c r="B2207" t="s">
        <v>34</v>
      </c>
      <c r="C2207" t="s">
        <v>14</v>
      </c>
      <c r="D2207">
        <v>32</v>
      </c>
      <c r="E2207" s="1">
        <v>43784</v>
      </c>
      <c r="F2207">
        <v>2019</v>
      </c>
      <c r="G2207" t="s">
        <v>5038</v>
      </c>
      <c r="H2207">
        <v>15</v>
      </c>
      <c r="I2207">
        <v>3.22</v>
      </c>
      <c r="J2207">
        <v>4</v>
      </c>
      <c r="K2207">
        <v>6994.58</v>
      </c>
      <c r="L2207">
        <v>6</v>
      </c>
    </row>
    <row r="2208" spans="1:12" x14ac:dyDescent="0.3">
      <c r="A2208" t="s">
        <v>2223</v>
      </c>
      <c r="B2208" t="s">
        <v>16</v>
      </c>
      <c r="C2208" t="s">
        <v>14</v>
      </c>
      <c r="D2208">
        <v>49</v>
      </c>
      <c r="E2208" s="1">
        <v>42261</v>
      </c>
      <c r="F2208">
        <v>2015</v>
      </c>
      <c r="G2208" t="s">
        <v>5033</v>
      </c>
      <c r="H2208">
        <v>14</v>
      </c>
      <c r="I2208">
        <v>4.13</v>
      </c>
      <c r="J2208">
        <v>2</v>
      </c>
      <c r="K2208">
        <v>12434.92</v>
      </c>
      <c r="L2208">
        <v>10.1</v>
      </c>
    </row>
    <row r="2209" spans="1:12" x14ac:dyDescent="0.3">
      <c r="A2209" t="s">
        <v>2224</v>
      </c>
      <c r="B2209" t="s">
        <v>24</v>
      </c>
      <c r="C2209" t="s">
        <v>14</v>
      </c>
      <c r="D2209">
        <v>37</v>
      </c>
      <c r="E2209" s="1">
        <v>43872</v>
      </c>
      <c r="F2209">
        <v>2020</v>
      </c>
      <c r="G2209" t="s">
        <v>5042</v>
      </c>
      <c r="H2209">
        <v>11</v>
      </c>
      <c r="I2209">
        <v>5</v>
      </c>
      <c r="J2209">
        <v>5</v>
      </c>
      <c r="K2209">
        <v>11330.32</v>
      </c>
      <c r="L2209">
        <v>5.7</v>
      </c>
    </row>
    <row r="2210" spans="1:12" x14ac:dyDescent="0.3">
      <c r="A2210" t="s">
        <v>2225</v>
      </c>
      <c r="B2210" t="s">
        <v>24</v>
      </c>
      <c r="C2210" t="s">
        <v>11</v>
      </c>
      <c r="D2210">
        <v>38</v>
      </c>
      <c r="E2210" s="1">
        <v>45925</v>
      </c>
      <c r="F2210">
        <v>2025</v>
      </c>
      <c r="G2210" t="s">
        <v>5033</v>
      </c>
      <c r="H2210">
        <v>25</v>
      </c>
      <c r="I2210">
        <v>2.08</v>
      </c>
      <c r="J2210">
        <v>15</v>
      </c>
      <c r="K2210">
        <v>4265.7</v>
      </c>
      <c r="L2210">
        <v>0.1</v>
      </c>
    </row>
    <row r="2211" spans="1:12" x14ac:dyDescent="0.3">
      <c r="A2211" t="s">
        <v>2226</v>
      </c>
      <c r="B2211" t="s">
        <v>16</v>
      </c>
      <c r="C2211" t="s">
        <v>11</v>
      </c>
      <c r="D2211">
        <v>36</v>
      </c>
      <c r="E2211" s="1">
        <v>43301</v>
      </c>
      <c r="F2211">
        <v>2018</v>
      </c>
      <c r="G2211" t="s">
        <v>5034</v>
      </c>
      <c r="H2211">
        <v>20</v>
      </c>
      <c r="I2211">
        <v>2.2200000000000002</v>
      </c>
      <c r="J2211">
        <v>3</v>
      </c>
      <c r="K2211">
        <v>3911.73</v>
      </c>
      <c r="L2211">
        <v>7.3</v>
      </c>
    </row>
    <row r="2212" spans="1:12" x14ac:dyDescent="0.3">
      <c r="A2212" t="s">
        <v>2227</v>
      </c>
      <c r="B2212" t="s">
        <v>10</v>
      </c>
      <c r="C2212" t="s">
        <v>11</v>
      </c>
      <c r="D2212">
        <v>24</v>
      </c>
      <c r="E2212" s="1">
        <v>43807</v>
      </c>
      <c r="F2212">
        <v>2019</v>
      </c>
      <c r="G2212" t="s">
        <v>5041</v>
      </c>
      <c r="H2212">
        <v>8</v>
      </c>
      <c r="I2212">
        <v>3.84</v>
      </c>
      <c r="J2212">
        <v>10</v>
      </c>
      <c r="K2212">
        <v>7688.78</v>
      </c>
      <c r="L2212">
        <v>5.9</v>
      </c>
    </row>
    <row r="2213" spans="1:12" x14ac:dyDescent="0.3">
      <c r="A2213" t="s">
        <v>2228</v>
      </c>
      <c r="B2213" t="s">
        <v>24</v>
      </c>
      <c r="C2213" t="s">
        <v>11</v>
      </c>
      <c r="D2213">
        <v>50</v>
      </c>
      <c r="E2213" s="1">
        <v>44547</v>
      </c>
      <c r="F2213">
        <v>2021</v>
      </c>
      <c r="G2213" t="s">
        <v>5041</v>
      </c>
      <c r="H2213">
        <v>17</v>
      </c>
      <c r="I2213">
        <v>1.87</v>
      </c>
      <c r="J2213">
        <v>2</v>
      </c>
      <c r="K2213">
        <v>3472.36</v>
      </c>
      <c r="L2213">
        <v>3.9</v>
      </c>
    </row>
    <row r="2214" spans="1:12" x14ac:dyDescent="0.3">
      <c r="A2214" t="s">
        <v>2229</v>
      </c>
      <c r="B2214" t="s">
        <v>24</v>
      </c>
      <c r="C2214" t="s">
        <v>14</v>
      </c>
      <c r="D2214">
        <v>27</v>
      </c>
      <c r="E2214" s="1">
        <v>41383</v>
      </c>
      <c r="F2214">
        <v>2013</v>
      </c>
      <c r="G2214" t="s">
        <v>5040</v>
      </c>
      <c r="H2214">
        <v>19</v>
      </c>
      <c r="I2214">
        <v>2.0699999999999998</v>
      </c>
      <c r="J2214">
        <v>10</v>
      </c>
      <c r="K2214">
        <v>8342.24</v>
      </c>
      <c r="L2214">
        <v>12.5</v>
      </c>
    </row>
    <row r="2215" spans="1:12" x14ac:dyDescent="0.3">
      <c r="A2215" t="s">
        <v>2230</v>
      </c>
      <c r="B2215" t="s">
        <v>34</v>
      </c>
      <c r="C2215" t="s">
        <v>11</v>
      </c>
      <c r="D2215">
        <v>31</v>
      </c>
      <c r="E2215" s="1">
        <v>45764</v>
      </c>
      <c r="F2215">
        <v>2025</v>
      </c>
      <c r="G2215" t="s">
        <v>5040</v>
      </c>
      <c r="H2215">
        <v>17</v>
      </c>
      <c r="I2215">
        <v>4.63</v>
      </c>
      <c r="J2215">
        <v>13</v>
      </c>
      <c r="K2215">
        <v>9553.7199999999993</v>
      </c>
      <c r="L2215">
        <v>0.5</v>
      </c>
    </row>
    <row r="2216" spans="1:12" x14ac:dyDescent="0.3">
      <c r="A2216" t="s">
        <v>2231</v>
      </c>
      <c r="B2216" t="s">
        <v>10</v>
      </c>
      <c r="C2216" t="s">
        <v>11</v>
      </c>
      <c r="D2216">
        <v>52</v>
      </c>
      <c r="E2216" s="1">
        <v>43919</v>
      </c>
      <c r="F2216">
        <v>2020</v>
      </c>
      <c r="G2216" t="s">
        <v>5035</v>
      </c>
      <c r="H2216">
        <v>29</v>
      </c>
      <c r="I2216">
        <v>4.55</v>
      </c>
      <c r="J2216">
        <v>0</v>
      </c>
      <c r="K2216">
        <v>4022.84</v>
      </c>
      <c r="L2216">
        <v>5.6</v>
      </c>
    </row>
    <row r="2217" spans="1:12" x14ac:dyDescent="0.3">
      <c r="A2217" t="s">
        <v>2232</v>
      </c>
      <c r="B2217" t="s">
        <v>18</v>
      </c>
      <c r="C2217" t="s">
        <v>11</v>
      </c>
      <c r="D2217">
        <v>50</v>
      </c>
      <c r="E2217" s="1">
        <v>41522</v>
      </c>
      <c r="F2217">
        <v>2013</v>
      </c>
      <c r="G2217" t="s">
        <v>5033</v>
      </c>
      <c r="H2217">
        <v>5</v>
      </c>
      <c r="I2217">
        <v>2.83</v>
      </c>
      <c r="J2217">
        <v>10</v>
      </c>
      <c r="K2217">
        <v>7646.38</v>
      </c>
      <c r="L2217">
        <v>12.2</v>
      </c>
    </row>
    <row r="2218" spans="1:12" x14ac:dyDescent="0.3">
      <c r="A2218" t="s">
        <v>2233</v>
      </c>
      <c r="B2218" t="s">
        <v>16</v>
      </c>
      <c r="C2218" t="s">
        <v>14</v>
      </c>
      <c r="D2218">
        <v>26</v>
      </c>
      <c r="E2218" s="1">
        <v>43938</v>
      </c>
      <c r="F2218">
        <v>2020</v>
      </c>
      <c r="G2218" t="s">
        <v>5040</v>
      </c>
      <c r="H2218">
        <v>17</v>
      </c>
      <c r="I2218">
        <v>1.84</v>
      </c>
      <c r="J2218">
        <v>3</v>
      </c>
      <c r="K2218">
        <v>5550.49</v>
      </c>
      <c r="L2218">
        <v>5.5</v>
      </c>
    </row>
    <row r="2219" spans="1:12" x14ac:dyDescent="0.3">
      <c r="A2219" t="s">
        <v>2234</v>
      </c>
      <c r="B2219" t="s">
        <v>18</v>
      </c>
      <c r="C2219" t="s">
        <v>14</v>
      </c>
      <c r="D2219">
        <v>22</v>
      </c>
      <c r="E2219" s="1">
        <v>43978</v>
      </c>
      <c r="F2219">
        <v>2020</v>
      </c>
      <c r="G2219" t="s">
        <v>5036</v>
      </c>
      <c r="H2219">
        <v>27</v>
      </c>
      <c r="I2219">
        <v>1.75</v>
      </c>
      <c r="J2219">
        <v>9</v>
      </c>
      <c r="K2219">
        <v>8401.75</v>
      </c>
      <c r="L2219">
        <v>5.4</v>
      </c>
    </row>
    <row r="2220" spans="1:12" x14ac:dyDescent="0.3">
      <c r="A2220" t="s">
        <v>2235</v>
      </c>
      <c r="B2220" t="s">
        <v>10</v>
      </c>
      <c r="C2220" t="s">
        <v>14</v>
      </c>
      <c r="D2220">
        <v>30</v>
      </c>
      <c r="E2220" s="1">
        <v>42968</v>
      </c>
      <c r="F2220">
        <v>2017</v>
      </c>
      <c r="G2220" t="s">
        <v>5031</v>
      </c>
      <c r="H2220">
        <v>21</v>
      </c>
      <c r="I2220">
        <v>2.7</v>
      </c>
      <c r="J2220">
        <v>15</v>
      </c>
      <c r="K2220">
        <v>5945.83</v>
      </c>
      <c r="L2220">
        <v>8.1999999999999993</v>
      </c>
    </row>
    <row r="2221" spans="1:12" x14ac:dyDescent="0.3">
      <c r="A2221" t="s">
        <v>2236</v>
      </c>
      <c r="B2221" t="s">
        <v>34</v>
      </c>
      <c r="C2221" t="s">
        <v>11</v>
      </c>
      <c r="D2221">
        <v>26</v>
      </c>
      <c r="E2221" s="1">
        <v>40725</v>
      </c>
      <c r="F2221">
        <v>2011</v>
      </c>
      <c r="G2221" t="s">
        <v>5034</v>
      </c>
      <c r="H2221">
        <v>1</v>
      </c>
      <c r="I2221">
        <v>2.87</v>
      </c>
      <c r="J2221">
        <v>7</v>
      </c>
      <c r="K2221">
        <v>4687.75</v>
      </c>
      <c r="L2221">
        <v>14.3</v>
      </c>
    </row>
    <row r="2222" spans="1:12" x14ac:dyDescent="0.3">
      <c r="A2222" t="s">
        <v>2237</v>
      </c>
      <c r="B2222" t="s">
        <v>24</v>
      </c>
      <c r="C2222" t="s">
        <v>11</v>
      </c>
      <c r="D2222">
        <v>45</v>
      </c>
      <c r="E2222" s="1">
        <v>45206</v>
      </c>
      <c r="F2222">
        <v>2023</v>
      </c>
      <c r="G2222" t="s">
        <v>5039</v>
      </c>
      <c r="H2222">
        <v>7</v>
      </c>
      <c r="I2222">
        <v>2.2599999999999998</v>
      </c>
      <c r="J2222">
        <v>8</v>
      </c>
      <c r="K2222">
        <v>13831.51</v>
      </c>
      <c r="L2222">
        <v>2.1</v>
      </c>
    </row>
    <row r="2223" spans="1:12" x14ac:dyDescent="0.3">
      <c r="A2223" t="s">
        <v>2238</v>
      </c>
      <c r="B2223" t="s">
        <v>34</v>
      </c>
      <c r="C2223" t="s">
        <v>11</v>
      </c>
      <c r="D2223">
        <v>51</v>
      </c>
      <c r="E2223" s="1">
        <v>44011</v>
      </c>
      <c r="F2223">
        <v>2020</v>
      </c>
      <c r="G2223" t="s">
        <v>5032</v>
      </c>
      <c r="H2223">
        <v>29</v>
      </c>
      <c r="I2223">
        <v>3.63</v>
      </c>
      <c r="J2223">
        <v>10</v>
      </c>
      <c r="K2223">
        <v>6376.24</v>
      </c>
      <c r="L2223">
        <v>5.3</v>
      </c>
    </row>
    <row r="2224" spans="1:12" x14ac:dyDescent="0.3">
      <c r="A2224" t="s">
        <v>2239</v>
      </c>
      <c r="B2224" t="s">
        <v>13</v>
      </c>
      <c r="C2224" t="s">
        <v>14</v>
      </c>
      <c r="D2224">
        <v>54</v>
      </c>
      <c r="E2224" s="1">
        <v>40303</v>
      </c>
      <c r="F2224">
        <v>2010</v>
      </c>
      <c r="G2224" t="s">
        <v>5036</v>
      </c>
      <c r="H2224">
        <v>5</v>
      </c>
      <c r="I2224">
        <v>2.94</v>
      </c>
      <c r="J2224">
        <v>6</v>
      </c>
      <c r="K2224">
        <v>10056.65</v>
      </c>
      <c r="L2224">
        <v>15.5</v>
      </c>
    </row>
    <row r="2225" spans="1:12" x14ac:dyDescent="0.3">
      <c r="A2225" t="s">
        <v>2240</v>
      </c>
      <c r="B2225" t="s">
        <v>24</v>
      </c>
      <c r="C2225" t="s">
        <v>14</v>
      </c>
      <c r="D2225">
        <v>44</v>
      </c>
      <c r="E2225" s="1">
        <v>45649</v>
      </c>
      <c r="F2225">
        <v>2024</v>
      </c>
      <c r="G2225" t="s">
        <v>5041</v>
      </c>
      <c r="H2225">
        <v>23</v>
      </c>
      <c r="I2225">
        <v>2.33</v>
      </c>
      <c r="J2225">
        <v>11</v>
      </c>
      <c r="K2225">
        <v>5500.12</v>
      </c>
      <c r="L2225">
        <v>0.9</v>
      </c>
    </row>
    <row r="2226" spans="1:12" x14ac:dyDescent="0.3">
      <c r="A2226" t="s">
        <v>2241</v>
      </c>
      <c r="B2226" t="s">
        <v>16</v>
      </c>
      <c r="C2226" t="s">
        <v>11</v>
      </c>
      <c r="D2226">
        <v>42</v>
      </c>
      <c r="E2226" s="1">
        <v>41691</v>
      </c>
      <c r="F2226">
        <v>2014</v>
      </c>
      <c r="G2226" t="s">
        <v>5042</v>
      </c>
      <c r="H2226">
        <v>21</v>
      </c>
      <c r="I2226">
        <v>3.62</v>
      </c>
      <c r="J2226">
        <v>13</v>
      </c>
      <c r="K2226">
        <v>7569.2</v>
      </c>
      <c r="L2226">
        <v>11.7</v>
      </c>
    </row>
    <row r="2227" spans="1:12" x14ac:dyDescent="0.3">
      <c r="A2227" t="s">
        <v>2242</v>
      </c>
      <c r="B2227" t="s">
        <v>16</v>
      </c>
      <c r="C2227" t="s">
        <v>11</v>
      </c>
      <c r="D2227">
        <v>43</v>
      </c>
      <c r="E2227" s="1">
        <v>44230</v>
      </c>
      <c r="F2227">
        <v>2021</v>
      </c>
      <c r="G2227" t="s">
        <v>5042</v>
      </c>
      <c r="H2227">
        <v>3</v>
      </c>
      <c r="I2227">
        <v>3.29</v>
      </c>
      <c r="J2227">
        <v>3</v>
      </c>
      <c r="K2227">
        <v>8875.08</v>
      </c>
      <c r="L2227">
        <v>4.7</v>
      </c>
    </row>
    <row r="2228" spans="1:12" x14ac:dyDescent="0.3">
      <c r="A2228" t="s">
        <v>2243</v>
      </c>
      <c r="B2228" t="s">
        <v>13</v>
      </c>
      <c r="C2228" t="s">
        <v>11</v>
      </c>
      <c r="D2228">
        <v>56</v>
      </c>
      <c r="E2228" s="1">
        <v>44305</v>
      </c>
      <c r="F2228">
        <v>2021</v>
      </c>
      <c r="G2228" t="s">
        <v>5040</v>
      </c>
      <c r="H2228">
        <v>19</v>
      </c>
      <c r="I2228">
        <v>1.94</v>
      </c>
      <c r="J2228">
        <v>10</v>
      </c>
      <c r="K2228">
        <v>12114.64</v>
      </c>
      <c r="L2228">
        <v>4.5</v>
      </c>
    </row>
    <row r="2229" spans="1:12" x14ac:dyDescent="0.3">
      <c r="A2229" t="s">
        <v>2244</v>
      </c>
      <c r="B2229" t="s">
        <v>18</v>
      </c>
      <c r="C2229" t="s">
        <v>14</v>
      </c>
      <c r="D2229">
        <v>52</v>
      </c>
      <c r="E2229" s="1">
        <v>40621</v>
      </c>
      <c r="F2229">
        <v>2011</v>
      </c>
      <c r="G2229" t="s">
        <v>5035</v>
      </c>
      <c r="H2229">
        <v>19</v>
      </c>
      <c r="I2229">
        <v>4.22</v>
      </c>
      <c r="J2229">
        <v>8</v>
      </c>
      <c r="K2229">
        <v>10297.790000000001</v>
      </c>
      <c r="L2229">
        <v>14.6</v>
      </c>
    </row>
    <row r="2230" spans="1:12" x14ac:dyDescent="0.3">
      <c r="A2230" t="s">
        <v>2245</v>
      </c>
      <c r="B2230" t="s">
        <v>13</v>
      </c>
      <c r="C2230" t="s">
        <v>11</v>
      </c>
      <c r="D2230">
        <v>27</v>
      </c>
      <c r="E2230" s="1">
        <v>40499</v>
      </c>
      <c r="F2230">
        <v>2010</v>
      </c>
      <c r="G2230" t="s">
        <v>5038</v>
      </c>
      <c r="H2230">
        <v>17</v>
      </c>
      <c r="I2230">
        <v>2.7</v>
      </c>
      <c r="J2230">
        <v>1</v>
      </c>
      <c r="K2230">
        <v>3931.59</v>
      </c>
      <c r="L2230">
        <v>15</v>
      </c>
    </row>
    <row r="2231" spans="1:12" x14ac:dyDescent="0.3">
      <c r="A2231" t="s">
        <v>2246</v>
      </c>
      <c r="B2231" t="s">
        <v>34</v>
      </c>
      <c r="C2231" t="s">
        <v>11</v>
      </c>
      <c r="D2231">
        <v>59</v>
      </c>
      <c r="E2231" s="1">
        <v>41836</v>
      </c>
      <c r="F2231">
        <v>2014</v>
      </c>
      <c r="G2231" t="s">
        <v>5034</v>
      </c>
      <c r="H2231">
        <v>16</v>
      </c>
      <c r="I2231">
        <v>3.56</v>
      </c>
      <c r="J2231">
        <v>6</v>
      </c>
      <c r="K2231">
        <v>14241.1</v>
      </c>
      <c r="L2231">
        <v>11.3</v>
      </c>
    </row>
    <row r="2232" spans="1:12" x14ac:dyDescent="0.3">
      <c r="A2232" t="s">
        <v>2247</v>
      </c>
      <c r="B2232" t="s">
        <v>24</v>
      </c>
      <c r="C2232" t="s">
        <v>14</v>
      </c>
      <c r="D2232">
        <v>29</v>
      </c>
      <c r="E2232" s="1">
        <v>45192</v>
      </c>
      <c r="F2232">
        <v>2023</v>
      </c>
      <c r="G2232" t="s">
        <v>5033</v>
      </c>
      <c r="H2232">
        <v>23</v>
      </c>
      <c r="I2232">
        <v>2.58</v>
      </c>
      <c r="J2232">
        <v>11</v>
      </c>
      <c r="K2232">
        <v>5794.34</v>
      </c>
      <c r="L2232">
        <v>2.1</v>
      </c>
    </row>
    <row r="2233" spans="1:12" x14ac:dyDescent="0.3">
      <c r="A2233" t="s">
        <v>2248</v>
      </c>
      <c r="B2233" t="s">
        <v>24</v>
      </c>
      <c r="C2233" t="s">
        <v>11</v>
      </c>
      <c r="D2233">
        <v>34</v>
      </c>
      <c r="E2233" s="1">
        <v>44572</v>
      </c>
      <c r="F2233">
        <v>2022</v>
      </c>
      <c r="G2233" t="s">
        <v>5037</v>
      </c>
      <c r="H2233">
        <v>11</v>
      </c>
      <c r="I2233">
        <v>3.35</v>
      </c>
      <c r="J2233">
        <v>11</v>
      </c>
      <c r="K2233">
        <v>13924.24</v>
      </c>
      <c r="L2233">
        <v>3.8</v>
      </c>
    </row>
    <row r="2234" spans="1:12" x14ac:dyDescent="0.3">
      <c r="A2234" t="s">
        <v>2249</v>
      </c>
      <c r="B2234" t="s">
        <v>16</v>
      </c>
      <c r="C2234" t="s">
        <v>11</v>
      </c>
      <c r="D2234">
        <v>55</v>
      </c>
      <c r="E2234" s="1">
        <v>43163</v>
      </c>
      <c r="F2234">
        <v>2018</v>
      </c>
      <c r="G2234" t="s">
        <v>5035</v>
      </c>
      <c r="H2234">
        <v>4</v>
      </c>
      <c r="I2234">
        <v>1.51</v>
      </c>
      <c r="J2234">
        <v>1</v>
      </c>
      <c r="K2234">
        <v>5379.61</v>
      </c>
      <c r="L2234">
        <v>7.7</v>
      </c>
    </row>
    <row r="2235" spans="1:12" x14ac:dyDescent="0.3">
      <c r="A2235" t="s">
        <v>2250</v>
      </c>
      <c r="B2235" t="s">
        <v>34</v>
      </c>
      <c r="C2235" t="s">
        <v>14</v>
      </c>
      <c r="D2235">
        <v>37</v>
      </c>
      <c r="E2235" s="1">
        <v>40303</v>
      </c>
      <c r="F2235">
        <v>2010</v>
      </c>
      <c r="G2235" t="s">
        <v>5036</v>
      </c>
      <c r="H2235">
        <v>5</v>
      </c>
      <c r="I2235">
        <v>2.48</v>
      </c>
      <c r="J2235">
        <v>6</v>
      </c>
      <c r="K2235">
        <v>6779.82</v>
      </c>
      <c r="L2235">
        <v>15.5</v>
      </c>
    </row>
    <row r="2236" spans="1:12" x14ac:dyDescent="0.3">
      <c r="A2236" t="s">
        <v>2251</v>
      </c>
      <c r="B2236" t="s">
        <v>24</v>
      </c>
      <c r="C2236" t="s">
        <v>14</v>
      </c>
      <c r="D2236">
        <v>54</v>
      </c>
      <c r="E2236" s="1">
        <v>45576</v>
      </c>
      <c r="F2236">
        <v>2024</v>
      </c>
      <c r="G2236" t="s">
        <v>5039</v>
      </c>
      <c r="H2236">
        <v>11</v>
      </c>
      <c r="I2236">
        <v>4.2699999999999996</v>
      </c>
      <c r="J2236">
        <v>12</v>
      </c>
      <c r="K2236">
        <v>10971.08</v>
      </c>
      <c r="L2236">
        <v>1.1000000000000001</v>
      </c>
    </row>
    <row r="2237" spans="1:12" x14ac:dyDescent="0.3">
      <c r="A2237" t="s">
        <v>2252</v>
      </c>
      <c r="B2237" t="s">
        <v>16</v>
      </c>
      <c r="C2237" t="s">
        <v>11</v>
      </c>
      <c r="D2237">
        <v>33</v>
      </c>
      <c r="E2237" s="1">
        <v>43054</v>
      </c>
      <c r="F2237">
        <v>2017</v>
      </c>
      <c r="G2237" t="s">
        <v>5038</v>
      </c>
      <c r="H2237">
        <v>15</v>
      </c>
      <c r="I2237">
        <v>3.23</v>
      </c>
      <c r="J2237">
        <v>6</v>
      </c>
      <c r="K2237">
        <v>10193.68</v>
      </c>
      <c r="L2237">
        <v>8</v>
      </c>
    </row>
    <row r="2238" spans="1:12" x14ac:dyDescent="0.3">
      <c r="A2238" t="s">
        <v>2253</v>
      </c>
      <c r="B2238" t="s">
        <v>18</v>
      </c>
      <c r="C2238" t="s">
        <v>14</v>
      </c>
      <c r="D2238">
        <v>30</v>
      </c>
      <c r="E2238" s="1">
        <v>44774</v>
      </c>
      <c r="F2238">
        <v>2022</v>
      </c>
      <c r="G2238" t="s">
        <v>5031</v>
      </c>
      <c r="H2238">
        <v>1</v>
      </c>
      <c r="I2238">
        <v>4.82</v>
      </c>
      <c r="J2238">
        <v>1</v>
      </c>
      <c r="K2238">
        <v>5903.7</v>
      </c>
      <c r="L2238">
        <v>3.3</v>
      </c>
    </row>
    <row r="2239" spans="1:12" x14ac:dyDescent="0.3">
      <c r="A2239" t="s">
        <v>2254</v>
      </c>
      <c r="B2239" t="s">
        <v>34</v>
      </c>
      <c r="C2239" t="s">
        <v>11</v>
      </c>
      <c r="D2239">
        <v>30</v>
      </c>
      <c r="E2239" s="1">
        <v>44549</v>
      </c>
      <c r="F2239">
        <v>2021</v>
      </c>
      <c r="G2239" t="s">
        <v>5041</v>
      </c>
      <c r="H2239">
        <v>19</v>
      </c>
      <c r="I2239">
        <v>2.3199999999999998</v>
      </c>
      <c r="J2239">
        <v>10</v>
      </c>
      <c r="K2239">
        <v>4807.58</v>
      </c>
      <c r="L2239">
        <v>3.9</v>
      </c>
    </row>
    <row r="2240" spans="1:12" x14ac:dyDescent="0.3">
      <c r="A2240" t="s">
        <v>2255</v>
      </c>
      <c r="B2240" t="s">
        <v>24</v>
      </c>
      <c r="C2240" t="s">
        <v>11</v>
      </c>
      <c r="D2240">
        <v>32</v>
      </c>
      <c r="E2240" s="1">
        <v>40426</v>
      </c>
      <c r="F2240">
        <v>2010</v>
      </c>
      <c r="G2240" t="s">
        <v>5033</v>
      </c>
      <c r="H2240">
        <v>5</v>
      </c>
      <c r="I2240">
        <v>3.14</v>
      </c>
      <c r="J2240">
        <v>15</v>
      </c>
      <c r="K2240">
        <v>10875.06</v>
      </c>
      <c r="L2240">
        <v>15.2</v>
      </c>
    </row>
    <row r="2241" spans="1:12" x14ac:dyDescent="0.3">
      <c r="A2241" t="s">
        <v>2256</v>
      </c>
      <c r="B2241" t="s">
        <v>13</v>
      </c>
      <c r="C2241" t="s">
        <v>14</v>
      </c>
      <c r="D2241">
        <v>55</v>
      </c>
      <c r="E2241" s="1">
        <v>43297</v>
      </c>
      <c r="F2241">
        <v>2018</v>
      </c>
      <c r="G2241" t="s">
        <v>5034</v>
      </c>
      <c r="H2241">
        <v>16</v>
      </c>
      <c r="I2241">
        <v>2.74</v>
      </c>
      <c r="J2241">
        <v>13</v>
      </c>
      <c r="K2241">
        <v>8935.91</v>
      </c>
      <c r="L2241">
        <v>7.3</v>
      </c>
    </row>
    <row r="2242" spans="1:12" x14ac:dyDescent="0.3">
      <c r="A2242" t="s">
        <v>2257</v>
      </c>
      <c r="B2242" t="s">
        <v>16</v>
      </c>
      <c r="C2242" t="s">
        <v>14</v>
      </c>
      <c r="D2242">
        <v>53</v>
      </c>
      <c r="E2242" s="1">
        <v>43212</v>
      </c>
      <c r="F2242">
        <v>2018</v>
      </c>
      <c r="G2242" t="s">
        <v>5040</v>
      </c>
      <c r="H2242">
        <v>22</v>
      </c>
      <c r="I2242">
        <v>4.72</v>
      </c>
      <c r="J2242">
        <v>15</v>
      </c>
      <c r="K2242">
        <v>14693.61</v>
      </c>
      <c r="L2242">
        <v>7.5</v>
      </c>
    </row>
    <row r="2243" spans="1:12" x14ac:dyDescent="0.3">
      <c r="A2243" t="s">
        <v>2258</v>
      </c>
      <c r="B2243" t="s">
        <v>16</v>
      </c>
      <c r="C2243" t="s">
        <v>14</v>
      </c>
      <c r="D2243">
        <v>43</v>
      </c>
      <c r="E2243" s="1">
        <v>44563</v>
      </c>
      <c r="F2243">
        <v>2022</v>
      </c>
      <c r="G2243" t="s">
        <v>5037</v>
      </c>
      <c r="H2243">
        <v>2</v>
      </c>
      <c r="I2243">
        <v>2.15</v>
      </c>
      <c r="J2243">
        <v>14</v>
      </c>
      <c r="K2243">
        <v>10467.030000000001</v>
      </c>
      <c r="L2243">
        <v>3.8</v>
      </c>
    </row>
    <row r="2244" spans="1:12" x14ac:dyDescent="0.3">
      <c r="A2244" t="s">
        <v>2259</v>
      </c>
      <c r="B2244" t="s">
        <v>16</v>
      </c>
      <c r="C2244" t="s">
        <v>14</v>
      </c>
      <c r="D2244">
        <v>40</v>
      </c>
      <c r="E2244" s="1">
        <v>43651</v>
      </c>
      <c r="F2244">
        <v>2019</v>
      </c>
      <c r="G2244" t="s">
        <v>5034</v>
      </c>
      <c r="H2244">
        <v>5</v>
      </c>
      <c r="I2244">
        <v>1.52</v>
      </c>
      <c r="J2244">
        <v>6</v>
      </c>
      <c r="K2244">
        <v>3275.87</v>
      </c>
      <c r="L2244">
        <v>6.3</v>
      </c>
    </row>
    <row r="2245" spans="1:12" x14ac:dyDescent="0.3">
      <c r="A2245" t="s">
        <v>2260</v>
      </c>
      <c r="B2245" t="s">
        <v>34</v>
      </c>
      <c r="C2245" t="s">
        <v>14</v>
      </c>
      <c r="D2245">
        <v>31</v>
      </c>
      <c r="E2245" s="1">
        <v>42215</v>
      </c>
      <c r="F2245">
        <v>2015</v>
      </c>
      <c r="G2245" t="s">
        <v>5034</v>
      </c>
      <c r="H2245">
        <v>30</v>
      </c>
      <c r="I2245">
        <v>3.97</v>
      </c>
      <c r="J2245">
        <v>12</v>
      </c>
      <c r="K2245">
        <v>10189.17</v>
      </c>
      <c r="L2245">
        <v>10.3</v>
      </c>
    </row>
    <row r="2246" spans="1:12" x14ac:dyDescent="0.3">
      <c r="A2246" t="s">
        <v>2261</v>
      </c>
      <c r="B2246" t="s">
        <v>10</v>
      </c>
      <c r="C2246" t="s">
        <v>11</v>
      </c>
      <c r="D2246">
        <v>49</v>
      </c>
      <c r="E2246" s="1">
        <v>40582</v>
      </c>
      <c r="F2246">
        <v>2011</v>
      </c>
      <c r="G2246" t="s">
        <v>5042</v>
      </c>
      <c r="H2246">
        <v>8</v>
      </c>
      <c r="I2246">
        <v>4.99</v>
      </c>
      <c r="J2246">
        <v>1</v>
      </c>
      <c r="K2246">
        <v>12102.95</v>
      </c>
      <c r="L2246">
        <v>14.7</v>
      </c>
    </row>
    <row r="2247" spans="1:12" x14ac:dyDescent="0.3">
      <c r="A2247" t="s">
        <v>2262</v>
      </c>
      <c r="B2247" t="s">
        <v>13</v>
      </c>
      <c r="C2247" t="s">
        <v>14</v>
      </c>
      <c r="D2247">
        <v>39</v>
      </c>
      <c r="E2247" s="1">
        <v>43388</v>
      </c>
      <c r="F2247">
        <v>2018</v>
      </c>
      <c r="G2247" t="s">
        <v>5039</v>
      </c>
      <c r="H2247">
        <v>15</v>
      </c>
      <c r="I2247">
        <v>3.23</v>
      </c>
      <c r="J2247">
        <v>9</v>
      </c>
      <c r="K2247">
        <v>4198.67</v>
      </c>
      <c r="L2247">
        <v>7.1</v>
      </c>
    </row>
    <row r="2248" spans="1:12" x14ac:dyDescent="0.3">
      <c r="A2248" t="s">
        <v>2263</v>
      </c>
      <c r="B2248" t="s">
        <v>13</v>
      </c>
      <c r="C2248" t="s">
        <v>11</v>
      </c>
      <c r="D2248">
        <v>39</v>
      </c>
      <c r="E2248" s="1">
        <v>41689</v>
      </c>
      <c r="F2248">
        <v>2014</v>
      </c>
      <c r="G2248" t="s">
        <v>5042</v>
      </c>
      <c r="H2248">
        <v>19</v>
      </c>
      <c r="I2248">
        <v>1.51</v>
      </c>
      <c r="J2248">
        <v>15</v>
      </c>
      <c r="K2248">
        <v>13625.55</v>
      </c>
      <c r="L2248">
        <v>11.7</v>
      </c>
    </row>
    <row r="2249" spans="1:12" x14ac:dyDescent="0.3">
      <c r="A2249" t="s">
        <v>2264</v>
      </c>
      <c r="B2249" t="s">
        <v>10</v>
      </c>
      <c r="C2249" t="s">
        <v>14</v>
      </c>
      <c r="D2249">
        <v>47</v>
      </c>
      <c r="E2249" s="1">
        <v>41246</v>
      </c>
      <c r="F2249">
        <v>2012</v>
      </c>
      <c r="G2249" t="s">
        <v>5041</v>
      </c>
      <c r="H2249">
        <v>3</v>
      </c>
      <c r="I2249">
        <v>2.52</v>
      </c>
      <c r="J2249">
        <v>8</v>
      </c>
      <c r="K2249">
        <v>4588.67</v>
      </c>
      <c r="L2249">
        <v>12.9</v>
      </c>
    </row>
    <row r="2250" spans="1:12" x14ac:dyDescent="0.3">
      <c r="A2250" t="s">
        <v>2265</v>
      </c>
      <c r="B2250" t="s">
        <v>34</v>
      </c>
      <c r="C2250" t="s">
        <v>14</v>
      </c>
      <c r="D2250">
        <v>46</v>
      </c>
      <c r="E2250" s="1">
        <v>41284</v>
      </c>
      <c r="F2250">
        <v>2013</v>
      </c>
      <c r="G2250" t="s">
        <v>5037</v>
      </c>
      <c r="H2250">
        <v>10</v>
      </c>
      <c r="I2250">
        <v>3.05</v>
      </c>
      <c r="J2250">
        <v>2</v>
      </c>
      <c r="K2250">
        <v>13977.56</v>
      </c>
      <c r="L2250">
        <v>12.8</v>
      </c>
    </row>
    <row r="2251" spans="1:12" x14ac:dyDescent="0.3">
      <c r="A2251" t="s">
        <v>2266</v>
      </c>
      <c r="B2251" t="s">
        <v>24</v>
      </c>
      <c r="C2251" t="s">
        <v>11</v>
      </c>
      <c r="D2251">
        <v>39</v>
      </c>
      <c r="E2251" s="1">
        <v>44820</v>
      </c>
      <c r="F2251">
        <v>2022</v>
      </c>
      <c r="G2251" t="s">
        <v>5033</v>
      </c>
      <c r="H2251">
        <v>16</v>
      </c>
      <c r="I2251">
        <v>3.03</v>
      </c>
      <c r="J2251">
        <v>13</v>
      </c>
      <c r="K2251">
        <v>8842.61</v>
      </c>
      <c r="L2251">
        <v>3.1</v>
      </c>
    </row>
    <row r="2252" spans="1:12" x14ac:dyDescent="0.3">
      <c r="A2252" t="s">
        <v>2267</v>
      </c>
      <c r="B2252" t="s">
        <v>16</v>
      </c>
      <c r="C2252" t="s">
        <v>14</v>
      </c>
      <c r="D2252">
        <v>51</v>
      </c>
      <c r="E2252" s="1">
        <v>45335</v>
      </c>
      <c r="F2252">
        <v>2024</v>
      </c>
      <c r="G2252" t="s">
        <v>5042</v>
      </c>
      <c r="H2252">
        <v>13</v>
      </c>
      <c r="I2252">
        <v>1.51</v>
      </c>
      <c r="J2252">
        <v>3</v>
      </c>
      <c r="K2252">
        <v>3530.55</v>
      </c>
      <c r="L2252">
        <v>1.7</v>
      </c>
    </row>
    <row r="2253" spans="1:12" x14ac:dyDescent="0.3">
      <c r="A2253" t="s">
        <v>2268</v>
      </c>
      <c r="B2253" t="s">
        <v>34</v>
      </c>
      <c r="C2253" t="s">
        <v>11</v>
      </c>
      <c r="D2253">
        <v>38</v>
      </c>
      <c r="E2253" s="1">
        <v>43049</v>
      </c>
      <c r="F2253">
        <v>2017</v>
      </c>
      <c r="G2253" t="s">
        <v>5038</v>
      </c>
      <c r="H2253">
        <v>10</v>
      </c>
      <c r="I2253">
        <v>3.33</v>
      </c>
      <c r="J2253">
        <v>5</v>
      </c>
      <c r="K2253">
        <v>4770.93</v>
      </c>
      <c r="L2253">
        <v>8</v>
      </c>
    </row>
    <row r="2254" spans="1:12" x14ac:dyDescent="0.3">
      <c r="A2254" t="s">
        <v>2269</v>
      </c>
      <c r="B2254" t="s">
        <v>34</v>
      </c>
      <c r="C2254" t="s">
        <v>11</v>
      </c>
      <c r="D2254">
        <v>39</v>
      </c>
      <c r="E2254" s="1">
        <v>43422</v>
      </c>
      <c r="F2254">
        <v>2018</v>
      </c>
      <c r="G2254" t="s">
        <v>5038</v>
      </c>
      <c r="H2254">
        <v>18</v>
      </c>
      <c r="I2254">
        <v>2.2200000000000002</v>
      </c>
      <c r="J2254">
        <v>4</v>
      </c>
      <c r="K2254">
        <v>5012.5</v>
      </c>
      <c r="L2254">
        <v>7</v>
      </c>
    </row>
    <row r="2255" spans="1:12" x14ac:dyDescent="0.3">
      <c r="A2255" t="s">
        <v>2270</v>
      </c>
      <c r="B2255" t="s">
        <v>16</v>
      </c>
      <c r="C2255" t="s">
        <v>11</v>
      </c>
      <c r="D2255">
        <v>24</v>
      </c>
      <c r="E2255" s="1">
        <v>40244</v>
      </c>
      <c r="F2255">
        <v>2010</v>
      </c>
      <c r="G2255" t="s">
        <v>5035</v>
      </c>
      <c r="H2255">
        <v>7</v>
      </c>
      <c r="I2255">
        <v>4.17</v>
      </c>
      <c r="J2255">
        <v>14</v>
      </c>
      <c r="K2255">
        <v>12816.3</v>
      </c>
      <c r="L2255">
        <v>15.7</v>
      </c>
    </row>
    <row r="2256" spans="1:12" x14ac:dyDescent="0.3">
      <c r="A2256" t="s">
        <v>2271</v>
      </c>
      <c r="B2256" t="s">
        <v>18</v>
      </c>
      <c r="C2256" t="s">
        <v>11</v>
      </c>
      <c r="D2256">
        <v>30</v>
      </c>
      <c r="E2256" s="1">
        <v>41314</v>
      </c>
      <c r="F2256">
        <v>2013</v>
      </c>
      <c r="G2256" t="s">
        <v>5042</v>
      </c>
      <c r="H2256">
        <v>9</v>
      </c>
      <c r="I2256">
        <v>3.5</v>
      </c>
      <c r="J2256">
        <v>4</v>
      </c>
      <c r="K2256">
        <v>8904.15</v>
      </c>
      <c r="L2256">
        <v>12.7</v>
      </c>
    </row>
    <row r="2257" spans="1:12" x14ac:dyDescent="0.3">
      <c r="A2257" t="s">
        <v>2272</v>
      </c>
      <c r="B2257" t="s">
        <v>18</v>
      </c>
      <c r="C2257" t="s">
        <v>14</v>
      </c>
      <c r="D2257">
        <v>49</v>
      </c>
      <c r="E2257" s="1">
        <v>42798</v>
      </c>
      <c r="F2257">
        <v>2017</v>
      </c>
      <c r="G2257" t="s">
        <v>5035</v>
      </c>
      <c r="H2257">
        <v>4</v>
      </c>
      <c r="I2257">
        <v>3.54</v>
      </c>
      <c r="J2257">
        <v>9</v>
      </c>
      <c r="K2257">
        <v>10579.93</v>
      </c>
      <c r="L2257">
        <v>8.6999999999999993</v>
      </c>
    </row>
    <row r="2258" spans="1:12" x14ac:dyDescent="0.3">
      <c r="A2258" t="s">
        <v>2273</v>
      </c>
      <c r="B2258" t="s">
        <v>34</v>
      </c>
      <c r="C2258" t="s">
        <v>11</v>
      </c>
      <c r="D2258">
        <v>26</v>
      </c>
      <c r="E2258" s="1">
        <v>44441</v>
      </c>
      <c r="F2258">
        <v>2021</v>
      </c>
      <c r="G2258" t="s">
        <v>5033</v>
      </c>
      <c r="H2258">
        <v>2</v>
      </c>
      <c r="I2258">
        <v>4.78</v>
      </c>
      <c r="J2258">
        <v>6</v>
      </c>
      <c r="K2258">
        <v>9675.5499999999993</v>
      </c>
      <c r="L2258">
        <v>4.2</v>
      </c>
    </row>
    <row r="2259" spans="1:12" x14ac:dyDescent="0.3">
      <c r="A2259" t="s">
        <v>2274</v>
      </c>
      <c r="B2259" t="s">
        <v>24</v>
      </c>
      <c r="C2259" t="s">
        <v>14</v>
      </c>
      <c r="D2259">
        <v>44</v>
      </c>
      <c r="E2259" s="1">
        <v>44947</v>
      </c>
      <c r="F2259">
        <v>2023</v>
      </c>
      <c r="G2259" t="s">
        <v>5037</v>
      </c>
      <c r="H2259">
        <v>21</v>
      </c>
      <c r="I2259">
        <v>2.48</v>
      </c>
      <c r="J2259">
        <v>13</v>
      </c>
      <c r="K2259">
        <v>8966.92</v>
      </c>
      <c r="L2259">
        <v>2.8</v>
      </c>
    </row>
    <row r="2260" spans="1:12" x14ac:dyDescent="0.3">
      <c r="A2260" t="s">
        <v>2275</v>
      </c>
      <c r="B2260" t="s">
        <v>34</v>
      </c>
      <c r="C2260" t="s">
        <v>11</v>
      </c>
      <c r="D2260">
        <v>31</v>
      </c>
      <c r="E2260" s="1">
        <v>44286</v>
      </c>
      <c r="F2260">
        <v>2021</v>
      </c>
      <c r="G2260" t="s">
        <v>5035</v>
      </c>
      <c r="H2260">
        <v>31</v>
      </c>
      <c r="I2260">
        <v>1.57</v>
      </c>
      <c r="J2260">
        <v>1</v>
      </c>
      <c r="K2260">
        <v>8846.41</v>
      </c>
      <c r="L2260">
        <v>4.5999999999999996</v>
      </c>
    </row>
    <row r="2261" spans="1:12" x14ac:dyDescent="0.3">
      <c r="A2261" t="s">
        <v>2276</v>
      </c>
      <c r="B2261" t="s">
        <v>18</v>
      </c>
      <c r="C2261" t="s">
        <v>14</v>
      </c>
      <c r="D2261">
        <v>34</v>
      </c>
      <c r="E2261" s="1">
        <v>43823</v>
      </c>
      <c r="F2261">
        <v>2019</v>
      </c>
      <c r="G2261" t="s">
        <v>5041</v>
      </c>
      <c r="H2261">
        <v>24</v>
      </c>
      <c r="I2261">
        <v>3.68</v>
      </c>
      <c r="J2261">
        <v>15</v>
      </c>
      <c r="K2261">
        <v>9262.39</v>
      </c>
      <c r="L2261">
        <v>5.9</v>
      </c>
    </row>
    <row r="2262" spans="1:12" x14ac:dyDescent="0.3">
      <c r="A2262" t="s">
        <v>2277</v>
      </c>
      <c r="B2262" t="s">
        <v>18</v>
      </c>
      <c r="C2262" t="s">
        <v>14</v>
      </c>
      <c r="D2262">
        <v>55</v>
      </c>
      <c r="E2262" s="1">
        <v>42048</v>
      </c>
      <c r="F2262">
        <v>2015</v>
      </c>
      <c r="G2262" t="s">
        <v>5042</v>
      </c>
      <c r="H2262">
        <v>13</v>
      </c>
      <c r="I2262">
        <v>4.82</v>
      </c>
      <c r="J2262">
        <v>4</v>
      </c>
      <c r="K2262">
        <v>13148.05</v>
      </c>
      <c r="L2262">
        <v>10.7</v>
      </c>
    </row>
    <row r="2263" spans="1:12" x14ac:dyDescent="0.3">
      <c r="A2263" t="s">
        <v>2278</v>
      </c>
      <c r="B2263" t="s">
        <v>13</v>
      </c>
      <c r="C2263" t="s">
        <v>14</v>
      </c>
      <c r="D2263">
        <v>53</v>
      </c>
      <c r="E2263" s="1">
        <v>43057</v>
      </c>
      <c r="F2263">
        <v>2017</v>
      </c>
      <c r="G2263" t="s">
        <v>5038</v>
      </c>
      <c r="H2263">
        <v>18</v>
      </c>
      <c r="I2263">
        <v>3.57</v>
      </c>
      <c r="J2263">
        <v>6</v>
      </c>
      <c r="K2263">
        <v>12284.17</v>
      </c>
      <c r="L2263">
        <v>8</v>
      </c>
    </row>
    <row r="2264" spans="1:12" x14ac:dyDescent="0.3">
      <c r="A2264" t="s">
        <v>2279</v>
      </c>
      <c r="B2264" t="s">
        <v>34</v>
      </c>
      <c r="C2264" t="s">
        <v>11</v>
      </c>
      <c r="D2264">
        <v>32</v>
      </c>
      <c r="E2264" s="1">
        <v>45100</v>
      </c>
      <c r="F2264">
        <v>2023</v>
      </c>
      <c r="G2264" t="s">
        <v>5032</v>
      </c>
      <c r="H2264">
        <v>23</v>
      </c>
      <c r="I2264">
        <v>2.91</v>
      </c>
      <c r="J2264">
        <v>11</v>
      </c>
      <c r="K2264">
        <v>9189.0400000000009</v>
      </c>
      <c r="L2264">
        <v>2.4</v>
      </c>
    </row>
    <row r="2265" spans="1:12" x14ac:dyDescent="0.3">
      <c r="A2265" t="s">
        <v>2280</v>
      </c>
      <c r="B2265" t="s">
        <v>10</v>
      </c>
      <c r="C2265" t="s">
        <v>11</v>
      </c>
      <c r="D2265">
        <v>32</v>
      </c>
      <c r="E2265" s="1">
        <v>43488</v>
      </c>
      <c r="F2265">
        <v>2019</v>
      </c>
      <c r="G2265" t="s">
        <v>5037</v>
      </c>
      <c r="H2265">
        <v>23</v>
      </c>
      <c r="I2265">
        <v>1.77</v>
      </c>
      <c r="J2265">
        <v>7</v>
      </c>
      <c r="K2265">
        <v>12902.67</v>
      </c>
      <c r="L2265">
        <v>6.8</v>
      </c>
    </row>
    <row r="2266" spans="1:12" x14ac:dyDescent="0.3">
      <c r="A2266" t="s">
        <v>2281</v>
      </c>
      <c r="B2266" t="s">
        <v>16</v>
      </c>
      <c r="C2266" t="s">
        <v>14</v>
      </c>
      <c r="D2266">
        <v>57</v>
      </c>
      <c r="E2266" s="1">
        <v>43705</v>
      </c>
      <c r="F2266">
        <v>2019</v>
      </c>
      <c r="G2266" t="s">
        <v>5031</v>
      </c>
      <c r="H2266">
        <v>28</v>
      </c>
      <c r="I2266">
        <v>1.89</v>
      </c>
      <c r="J2266">
        <v>12</v>
      </c>
      <c r="K2266">
        <v>7377.43</v>
      </c>
      <c r="L2266">
        <v>6.2</v>
      </c>
    </row>
    <row r="2267" spans="1:12" x14ac:dyDescent="0.3">
      <c r="A2267" t="s">
        <v>2282</v>
      </c>
      <c r="B2267" t="s">
        <v>16</v>
      </c>
      <c r="C2267" t="s">
        <v>11</v>
      </c>
      <c r="D2267">
        <v>22</v>
      </c>
      <c r="E2267" s="1">
        <v>41387</v>
      </c>
      <c r="F2267">
        <v>2013</v>
      </c>
      <c r="G2267" t="s">
        <v>5040</v>
      </c>
      <c r="H2267">
        <v>23</v>
      </c>
      <c r="I2267">
        <v>3.14</v>
      </c>
      <c r="J2267">
        <v>3</v>
      </c>
      <c r="K2267">
        <v>12023.71</v>
      </c>
      <c r="L2267">
        <v>12.5</v>
      </c>
    </row>
    <row r="2268" spans="1:12" x14ac:dyDescent="0.3">
      <c r="A2268" t="s">
        <v>2283</v>
      </c>
      <c r="B2268" t="s">
        <v>18</v>
      </c>
      <c r="C2268" t="s">
        <v>11</v>
      </c>
      <c r="D2268">
        <v>41</v>
      </c>
      <c r="E2268" s="1">
        <v>43684</v>
      </c>
      <c r="F2268">
        <v>2019</v>
      </c>
      <c r="G2268" t="s">
        <v>5031</v>
      </c>
      <c r="H2268">
        <v>7</v>
      </c>
      <c r="I2268">
        <v>2.9</v>
      </c>
      <c r="J2268">
        <v>8</v>
      </c>
      <c r="K2268">
        <v>14558.56</v>
      </c>
      <c r="L2268">
        <v>6.2</v>
      </c>
    </row>
    <row r="2269" spans="1:12" x14ac:dyDescent="0.3">
      <c r="A2269" t="s">
        <v>2284</v>
      </c>
      <c r="B2269" t="s">
        <v>34</v>
      </c>
      <c r="C2269" t="s">
        <v>14</v>
      </c>
      <c r="D2269">
        <v>24</v>
      </c>
      <c r="E2269" s="1">
        <v>41656</v>
      </c>
      <c r="F2269">
        <v>2014</v>
      </c>
      <c r="G2269" t="s">
        <v>5037</v>
      </c>
      <c r="H2269">
        <v>17</v>
      </c>
      <c r="I2269">
        <v>4.9400000000000004</v>
      </c>
      <c r="J2269">
        <v>7</v>
      </c>
      <c r="K2269">
        <v>6561.57</v>
      </c>
      <c r="L2269">
        <v>11.8</v>
      </c>
    </row>
    <row r="2270" spans="1:12" x14ac:dyDescent="0.3">
      <c r="A2270" t="s">
        <v>2285</v>
      </c>
      <c r="B2270" t="s">
        <v>13</v>
      </c>
      <c r="C2270" t="s">
        <v>11</v>
      </c>
      <c r="D2270">
        <v>29</v>
      </c>
      <c r="E2270" s="1">
        <v>40430</v>
      </c>
      <c r="F2270">
        <v>2010</v>
      </c>
      <c r="G2270" t="s">
        <v>5033</v>
      </c>
      <c r="H2270">
        <v>9</v>
      </c>
      <c r="I2270">
        <v>3.09</v>
      </c>
      <c r="J2270">
        <v>9</v>
      </c>
      <c r="K2270">
        <v>5208.3599999999997</v>
      </c>
      <c r="L2270">
        <v>15.2</v>
      </c>
    </row>
    <row r="2271" spans="1:12" x14ac:dyDescent="0.3">
      <c r="A2271" t="s">
        <v>2286</v>
      </c>
      <c r="B2271" t="s">
        <v>18</v>
      </c>
      <c r="C2271" t="s">
        <v>11</v>
      </c>
      <c r="D2271">
        <v>25</v>
      </c>
      <c r="E2271" s="1">
        <v>42568</v>
      </c>
      <c r="F2271">
        <v>2016</v>
      </c>
      <c r="G2271" t="s">
        <v>5034</v>
      </c>
      <c r="H2271">
        <v>17</v>
      </c>
      <c r="I2271">
        <v>3.01</v>
      </c>
      <c r="J2271">
        <v>7</v>
      </c>
      <c r="K2271">
        <v>11094.47</v>
      </c>
      <c r="L2271">
        <v>9.3000000000000007</v>
      </c>
    </row>
    <row r="2272" spans="1:12" x14ac:dyDescent="0.3">
      <c r="A2272" t="s">
        <v>2287</v>
      </c>
      <c r="B2272" t="s">
        <v>24</v>
      </c>
      <c r="C2272" t="s">
        <v>11</v>
      </c>
      <c r="D2272">
        <v>37</v>
      </c>
      <c r="E2272" s="1">
        <v>40985</v>
      </c>
      <c r="F2272">
        <v>2012</v>
      </c>
      <c r="G2272" t="s">
        <v>5035</v>
      </c>
      <c r="H2272">
        <v>17</v>
      </c>
      <c r="I2272">
        <v>1.79</v>
      </c>
      <c r="J2272">
        <v>13</v>
      </c>
      <c r="K2272">
        <v>14015.84</v>
      </c>
      <c r="L2272">
        <v>13.6</v>
      </c>
    </row>
    <row r="2273" spans="1:12" x14ac:dyDescent="0.3">
      <c r="A2273" t="s">
        <v>2288</v>
      </c>
      <c r="B2273" t="s">
        <v>10</v>
      </c>
      <c r="C2273" t="s">
        <v>11</v>
      </c>
      <c r="D2273">
        <v>53</v>
      </c>
      <c r="E2273" s="1">
        <v>41840</v>
      </c>
      <c r="F2273">
        <v>2014</v>
      </c>
      <c r="G2273" t="s">
        <v>5034</v>
      </c>
      <c r="H2273">
        <v>20</v>
      </c>
      <c r="I2273">
        <v>3.11</v>
      </c>
      <c r="J2273">
        <v>11</v>
      </c>
      <c r="K2273">
        <v>14015.01</v>
      </c>
      <c r="L2273">
        <v>11.3</v>
      </c>
    </row>
    <row r="2274" spans="1:12" x14ac:dyDescent="0.3">
      <c r="A2274" t="s">
        <v>2289</v>
      </c>
      <c r="B2274" t="s">
        <v>34</v>
      </c>
      <c r="C2274" t="s">
        <v>11</v>
      </c>
      <c r="D2274">
        <v>59</v>
      </c>
      <c r="E2274" s="1">
        <v>43362</v>
      </c>
      <c r="F2274">
        <v>2018</v>
      </c>
      <c r="G2274" t="s">
        <v>5033</v>
      </c>
      <c r="H2274">
        <v>19</v>
      </c>
      <c r="I2274">
        <v>2.94</v>
      </c>
      <c r="J2274">
        <v>4</v>
      </c>
      <c r="K2274">
        <v>13444.83</v>
      </c>
      <c r="L2274">
        <v>7.1</v>
      </c>
    </row>
    <row r="2275" spans="1:12" x14ac:dyDescent="0.3">
      <c r="A2275" t="s">
        <v>2290</v>
      </c>
      <c r="B2275" t="s">
        <v>16</v>
      </c>
      <c r="C2275" t="s">
        <v>11</v>
      </c>
      <c r="D2275">
        <v>37</v>
      </c>
      <c r="E2275" s="1">
        <v>43615</v>
      </c>
      <c r="F2275">
        <v>2019</v>
      </c>
      <c r="G2275" t="s">
        <v>5036</v>
      </c>
      <c r="H2275">
        <v>30</v>
      </c>
      <c r="I2275">
        <v>4.0599999999999996</v>
      </c>
      <c r="J2275">
        <v>0</v>
      </c>
      <c r="K2275">
        <v>3537.33</v>
      </c>
      <c r="L2275">
        <v>6.4</v>
      </c>
    </row>
    <row r="2276" spans="1:12" x14ac:dyDescent="0.3">
      <c r="A2276" t="s">
        <v>2291</v>
      </c>
      <c r="B2276" t="s">
        <v>24</v>
      </c>
      <c r="C2276" t="s">
        <v>11</v>
      </c>
      <c r="D2276">
        <v>29</v>
      </c>
      <c r="E2276" s="1">
        <v>40989</v>
      </c>
      <c r="F2276">
        <v>2012</v>
      </c>
      <c r="G2276" t="s">
        <v>5035</v>
      </c>
      <c r="H2276">
        <v>21</v>
      </c>
      <c r="I2276">
        <v>4.12</v>
      </c>
      <c r="J2276">
        <v>15</v>
      </c>
      <c r="K2276">
        <v>11547.1</v>
      </c>
      <c r="L2276">
        <v>13.6</v>
      </c>
    </row>
    <row r="2277" spans="1:12" x14ac:dyDescent="0.3">
      <c r="A2277" t="s">
        <v>2292</v>
      </c>
      <c r="B2277" t="s">
        <v>13</v>
      </c>
      <c r="C2277" t="s">
        <v>14</v>
      </c>
      <c r="D2277">
        <v>35</v>
      </c>
      <c r="E2277" s="1">
        <v>44060</v>
      </c>
      <c r="F2277">
        <v>2020</v>
      </c>
      <c r="G2277" t="s">
        <v>5031</v>
      </c>
      <c r="H2277">
        <v>17</v>
      </c>
      <c r="I2277">
        <v>4.04</v>
      </c>
      <c r="J2277">
        <v>7</v>
      </c>
      <c r="K2277">
        <v>10513.67</v>
      </c>
      <c r="L2277">
        <v>5.2</v>
      </c>
    </row>
    <row r="2278" spans="1:12" x14ac:dyDescent="0.3">
      <c r="A2278" t="s">
        <v>2293</v>
      </c>
      <c r="B2278" t="s">
        <v>10</v>
      </c>
      <c r="C2278" t="s">
        <v>14</v>
      </c>
      <c r="D2278">
        <v>40</v>
      </c>
      <c r="E2278" s="1">
        <v>44833</v>
      </c>
      <c r="F2278">
        <v>2022</v>
      </c>
      <c r="G2278" t="s">
        <v>5033</v>
      </c>
      <c r="H2278">
        <v>29</v>
      </c>
      <c r="I2278">
        <v>4.96</v>
      </c>
      <c r="J2278">
        <v>7</v>
      </c>
      <c r="K2278">
        <v>8642.01</v>
      </c>
      <c r="L2278">
        <v>3.1</v>
      </c>
    </row>
    <row r="2279" spans="1:12" x14ac:dyDescent="0.3">
      <c r="A2279" t="s">
        <v>2294</v>
      </c>
      <c r="B2279" t="s">
        <v>16</v>
      </c>
      <c r="C2279" t="s">
        <v>11</v>
      </c>
      <c r="D2279">
        <v>56</v>
      </c>
      <c r="E2279" s="1">
        <v>44625</v>
      </c>
      <c r="F2279">
        <v>2022</v>
      </c>
      <c r="G2279" t="s">
        <v>5035</v>
      </c>
      <c r="H2279">
        <v>5</v>
      </c>
      <c r="I2279">
        <v>1.9</v>
      </c>
      <c r="J2279">
        <v>7</v>
      </c>
      <c r="K2279">
        <v>11530.81</v>
      </c>
      <c r="L2279">
        <v>3.7</v>
      </c>
    </row>
    <row r="2280" spans="1:12" x14ac:dyDescent="0.3">
      <c r="A2280" t="s">
        <v>2295</v>
      </c>
      <c r="B2280" t="s">
        <v>24</v>
      </c>
      <c r="C2280" t="s">
        <v>14</v>
      </c>
      <c r="D2280">
        <v>32</v>
      </c>
      <c r="E2280" s="1">
        <v>42562</v>
      </c>
      <c r="F2280">
        <v>2016</v>
      </c>
      <c r="G2280" t="s">
        <v>5034</v>
      </c>
      <c r="H2280">
        <v>11</v>
      </c>
      <c r="I2280">
        <v>4.03</v>
      </c>
      <c r="J2280">
        <v>1</v>
      </c>
      <c r="K2280">
        <v>8023.49</v>
      </c>
      <c r="L2280">
        <v>9.3000000000000007</v>
      </c>
    </row>
    <row r="2281" spans="1:12" x14ac:dyDescent="0.3">
      <c r="A2281" t="s">
        <v>2296</v>
      </c>
      <c r="B2281" t="s">
        <v>16</v>
      </c>
      <c r="C2281" t="s">
        <v>14</v>
      </c>
      <c r="D2281">
        <v>55</v>
      </c>
      <c r="E2281" s="1">
        <v>41405</v>
      </c>
      <c r="F2281">
        <v>2013</v>
      </c>
      <c r="G2281" t="s">
        <v>5036</v>
      </c>
      <c r="H2281">
        <v>11</v>
      </c>
      <c r="I2281">
        <v>2.25</v>
      </c>
      <c r="J2281">
        <v>14</v>
      </c>
      <c r="K2281">
        <v>5420.57</v>
      </c>
      <c r="L2281">
        <v>12.5</v>
      </c>
    </row>
    <row r="2282" spans="1:12" x14ac:dyDescent="0.3">
      <c r="A2282" t="s">
        <v>2297</v>
      </c>
      <c r="B2282" t="s">
        <v>18</v>
      </c>
      <c r="C2282" t="s">
        <v>11</v>
      </c>
      <c r="D2282">
        <v>24</v>
      </c>
      <c r="E2282" s="1">
        <v>42751</v>
      </c>
      <c r="F2282">
        <v>2017</v>
      </c>
      <c r="G2282" t="s">
        <v>5037</v>
      </c>
      <c r="H2282">
        <v>16</v>
      </c>
      <c r="I2282">
        <v>4.75</v>
      </c>
      <c r="J2282">
        <v>1</v>
      </c>
      <c r="K2282">
        <v>11539.55</v>
      </c>
      <c r="L2282">
        <v>8.8000000000000007</v>
      </c>
    </row>
    <row r="2283" spans="1:12" x14ac:dyDescent="0.3">
      <c r="A2283" t="s">
        <v>2298</v>
      </c>
      <c r="B2283" t="s">
        <v>16</v>
      </c>
      <c r="C2283" t="s">
        <v>14</v>
      </c>
      <c r="D2283">
        <v>29</v>
      </c>
      <c r="E2283" s="1">
        <v>42896</v>
      </c>
      <c r="F2283">
        <v>2017</v>
      </c>
      <c r="G2283" t="s">
        <v>5032</v>
      </c>
      <c r="H2283">
        <v>10</v>
      </c>
      <c r="I2283">
        <v>4.82</v>
      </c>
      <c r="J2283">
        <v>15</v>
      </c>
      <c r="K2283">
        <v>3062.84</v>
      </c>
      <c r="L2283">
        <v>8.4</v>
      </c>
    </row>
    <row r="2284" spans="1:12" x14ac:dyDescent="0.3">
      <c r="A2284" t="s">
        <v>2299</v>
      </c>
      <c r="B2284" t="s">
        <v>18</v>
      </c>
      <c r="C2284" t="s">
        <v>11</v>
      </c>
      <c r="D2284">
        <v>60</v>
      </c>
      <c r="E2284" s="1">
        <v>40976</v>
      </c>
      <c r="F2284">
        <v>2012</v>
      </c>
      <c r="G2284" t="s">
        <v>5035</v>
      </c>
      <c r="H2284">
        <v>8</v>
      </c>
      <c r="I2284">
        <v>4.4400000000000004</v>
      </c>
      <c r="J2284">
        <v>11</v>
      </c>
      <c r="K2284">
        <v>3295.01</v>
      </c>
      <c r="L2284">
        <v>13.7</v>
      </c>
    </row>
    <row r="2285" spans="1:12" x14ac:dyDescent="0.3">
      <c r="A2285" t="s">
        <v>2300</v>
      </c>
      <c r="B2285" t="s">
        <v>13</v>
      </c>
      <c r="C2285" t="s">
        <v>11</v>
      </c>
      <c r="D2285">
        <v>35</v>
      </c>
      <c r="E2285" s="1">
        <v>41394</v>
      </c>
      <c r="F2285">
        <v>2013</v>
      </c>
      <c r="G2285" t="s">
        <v>5040</v>
      </c>
      <c r="H2285">
        <v>30</v>
      </c>
      <c r="I2285">
        <v>2.23</v>
      </c>
      <c r="J2285">
        <v>12</v>
      </c>
      <c r="K2285">
        <v>11979.89</v>
      </c>
      <c r="L2285">
        <v>12.5</v>
      </c>
    </row>
    <row r="2286" spans="1:12" x14ac:dyDescent="0.3">
      <c r="A2286" t="s">
        <v>2301</v>
      </c>
      <c r="B2286" t="s">
        <v>18</v>
      </c>
      <c r="C2286" t="s">
        <v>14</v>
      </c>
      <c r="D2286">
        <v>47</v>
      </c>
      <c r="E2286" s="1">
        <v>41683</v>
      </c>
      <c r="F2286">
        <v>2014</v>
      </c>
      <c r="G2286" t="s">
        <v>5042</v>
      </c>
      <c r="H2286">
        <v>13</v>
      </c>
      <c r="I2286">
        <v>4.93</v>
      </c>
      <c r="J2286">
        <v>14</v>
      </c>
      <c r="K2286">
        <v>4438.03</v>
      </c>
      <c r="L2286">
        <v>11.7</v>
      </c>
    </row>
    <row r="2287" spans="1:12" x14ac:dyDescent="0.3">
      <c r="A2287" t="s">
        <v>2302</v>
      </c>
      <c r="B2287" t="s">
        <v>34</v>
      </c>
      <c r="C2287" t="s">
        <v>14</v>
      </c>
      <c r="D2287">
        <v>51</v>
      </c>
      <c r="E2287" s="1">
        <v>43896</v>
      </c>
      <c r="F2287">
        <v>2020</v>
      </c>
      <c r="G2287" t="s">
        <v>5035</v>
      </c>
      <c r="H2287">
        <v>6</v>
      </c>
      <c r="I2287">
        <v>2.52</v>
      </c>
      <c r="J2287">
        <v>14</v>
      </c>
      <c r="K2287">
        <v>13216.69</v>
      </c>
      <c r="L2287">
        <v>5.7</v>
      </c>
    </row>
    <row r="2288" spans="1:12" x14ac:dyDescent="0.3">
      <c r="A2288" t="s">
        <v>2303</v>
      </c>
      <c r="B2288" t="s">
        <v>24</v>
      </c>
      <c r="C2288" t="s">
        <v>14</v>
      </c>
      <c r="D2288">
        <v>55</v>
      </c>
      <c r="E2288" s="1">
        <v>43566</v>
      </c>
      <c r="F2288">
        <v>2019</v>
      </c>
      <c r="G2288" t="s">
        <v>5040</v>
      </c>
      <c r="H2288">
        <v>11</v>
      </c>
      <c r="I2288">
        <v>3.52</v>
      </c>
      <c r="J2288">
        <v>5</v>
      </c>
      <c r="K2288">
        <v>14977.72</v>
      </c>
      <c r="L2288">
        <v>6.6</v>
      </c>
    </row>
    <row r="2289" spans="1:12" x14ac:dyDescent="0.3">
      <c r="A2289" t="s">
        <v>2304</v>
      </c>
      <c r="B2289" t="s">
        <v>18</v>
      </c>
      <c r="C2289" t="s">
        <v>14</v>
      </c>
      <c r="D2289">
        <v>57</v>
      </c>
      <c r="E2289" s="1">
        <v>41800</v>
      </c>
      <c r="F2289">
        <v>2014</v>
      </c>
      <c r="G2289" t="s">
        <v>5032</v>
      </c>
      <c r="H2289">
        <v>10</v>
      </c>
      <c r="I2289">
        <v>2.73</v>
      </c>
      <c r="J2289">
        <v>9</v>
      </c>
      <c r="K2289">
        <v>13029.84</v>
      </c>
      <c r="L2289">
        <v>11.4</v>
      </c>
    </row>
    <row r="2290" spans="1:12" x14ac:dyDescent="0.3">
      <c r="A2290" t="s">
        <v>2305</v>
      </c>
      <c r="B2290" t="s">
        <v>10</v>
      </c>
      <c r="C2290" t="s">
        <v>14</v>
      </c>
      <c r="D2290">
        <v>49</v>
      </c>
      <c r="E2290" s="1">
        <v>45311</v>
      </c>
      <c r="F2290">
        <v>2024</v>
      </c>
      <c r="G2290" t="s">
        <v>5037</v>
      </c>
      <c r="H2290">
        <v>20</v>
      </c>
      <c r="I2290">
        <v>4.49</v>
      </c>
      <c r="J2290">
        <v>0</v>
      </c>
      <c r="K2290">
        <v>9875.6</v>
      </c>
      <c r="L2290">
        <v>1.8</v>
      </c>
    </row>
    <row r="2291" spans="1:12" x14ac:dyDescent="0.3">
      <c r="A2291" t="s">
        <v>2306</v>
      </c>
      <c r="B2291" t="s">
        <v>10</v>
      </c>
      <c r="C2291" t="s">
        <v>14</v>
      </c>
      <c r="D2291">
        <v>39</v>
      </c>
      <c r="E2291" s="1">
        <v>40371</v>
      </c>
      <c r="F2291">
        <v>2010</v>
      </c>
      <c r="G2291" t="s">
        <v>5034</v>
      </c>
      <c r="H2291">
        <v>12</v>
      </c>
      <c r="I2291">
        <v>3.39</v>
      </c>
      <c r="J2291">
        <v>13</v>
      </c>
      <c r="K2291">
        <v>3302.17</v>
      </c>
      <c r="L2291">
        <v>15.3</v>
      </c>
    </row>
    <row r="2292" spans="1:12" x14ac:dyDescent="0.3">
      <c r="A2292" t="s">
        <v>2307</v>
      </c>
      <c r="B2292" t="s">
        <v>18</v>
      </c>
      <c r="C2292" t="s">
        <v>11</v>
      </c>
      <c r="D2292">
        <v>45</v>
      </c>
      <c r="E2292" s="1">
        <v>42316</v>
      </c>
      <c r="F2292">
        <v>2015</v>
      </c>
      <c r="G2292" t="s">
        <v>5038</v>
      </c>
      <c r="H2292">
        <v>8</v>
      </c>
      <c r="I2292">
        <v>2.93</v>
      </c>
      <c r="J2292">
        <v>14</v>
      </c>
      <c r="K2292">
        <v>5506.38</v>
      </c>
      <c r="L2292">
        <v>10</v>
      </c>
    </row>
    <row r="2293" spans="1:12" x14ac:dyDescent="0.3">
      <c r="A2293" t="s">
        <v>2308</v>
      </c>
      <c r="B2293" t="s">
        <v>10</v>
      </c>
      <c r="C2293" t="s">
        <v>14</v>
      </c>
      <c r="D2293">
        <v>29</v>
      </c>
      <c r="E2293" s="1">
        <v>43501</v>
      </c>
      <c r="F2293">
        <v>2019</v>
      </c>
      <c r="G2293" t="s">
        <v>5042</v>
      </c>
      <c r="H2293">
        <v>5</v>
      </c>
      <c r="I2293">
        <v>4.3600000000000003</v>
      </c>
      <c r="J2293">
        <v>7</v>
      </c>
      <c r="K2293">
        <v>11894.89</v>
      </c>
      <c r="L2293">
        <v>6.7</v>
      </c>
    </row>
    <row r="2294" spans="1:12" x14ac:dyDescent="0.3">
      <c r="A2294" t="s">
        <v>2309</v>
      </c>
      <c r="B2294" t="s">
        <v>10</v>
      </c>
      <c r="C2294" t="s">
        <v>11</v>
      </c>
      <c r="D2294">
        <v>29</v>
      </c>
      <c r="E2294" s="1">
        <v>40265</v>
      </c>
      <c r="F2294">
        <v>2010</v>
      </c>
      <c r="G2294" t="s">
        <v>5035</v>
      </c>
      <c r="H2294">
        <v>28</v>
      </c>
      <c r="I2294">
        <v>4.38</v>
      </c>
      <c r="J2294">
        <v>6</v>
      </c>
      <c r="K2294">
        <v>11503.32</v>
      </c>
      <c r="L2294">
        <v>15.6</v>
      </c>
    </row>
    <row r="2295" spans="1:12" x14ac:dyDescent="0.3">
      <c r="A2295" t="s">
        <v>2310</v>
      </c>
      <c r="B2295" t="s">
        <v>10</v>
      </c>
      <c r="C2295" t="s">
        <v>14</v>
      </c>
      <c r="D2295">
        <v>34</v>
      </c>
      <c r="E2295" s="1">
        <v>45871</v>
      </c>
      <c r="F2295">
        <v>2025</v>
      </c>
      <c r="G2295" t="s">
        <v>5031</v>
      </c>
      <c r="H2295">
        <v>2</v>
      </c>
      <c r="I2295">
        <v>2.67</v>
      </c>
      <c r="J2295">
        <v>11</v>
      </c>
      <c r="K2295">
        <v>6295.03</v>
      </c>
      <c r="L2295">
        <v>0.2</v>
      </c>
    </row>
    <row r="2296" spans="1:12" x14ac:dyDescent="0.3">
      <c r="A2296" t="s">
        <v>2311</v>
      </c>
      <c r="B2296" t="s">
        <v>13</v>
      </c>
      <c r="C2296" t="s">
        <v>11</v>
      </c>
      <c r="D2296">
        <v>36</v>
      </c>
      <c r="E2296" s="1">
        <v>45812</v>
      </c>
      <c r="F2296">
        <v>2025</v>
      </c>
      <c r="G2296" t="s">
        <v>5032</v>
      </c>
      <c r="H2296">
        <v>4</v>
      </c>
      <c r="I2296">
        <v>4.79</v>
      </c>
      <c r="J2296">
        <v>5</v>
      </c>
      <c r="K2296">
        <v>13034.09</v>
      </c>
      <c r="L2296">
        <v>0.4</v>
      </c>
    </row>
    <row r="2297" spans="1:12" x14ac:dyDescent="0.3">
      <c r="A2297" t="s">
        <v>2312</v>
      </c>
      <c r="B2297" t="s">
        <v>16</v>
      </c>
      <c r="C2297" t="s">
        <v>11</v>
      </c>
      <c r="D2297">
        <v>23</v>
      </c>
      <c r="E2297" s="1">
        <v>43765</v>
      </c>
      <c r="F2297">
        <v>2019</v>
      </c>
      <c r="G2297" t="s">
        <v>5039</v>
      </c>
      <c r="H2297">
        <v>27</v>
      </c>
      <c r="I2297">
        <v>4.3</v>
      </c>
      <c r="J2297">
        <v>9</v>
      </c>
      <c r="K2297">
        <v>10714.54</v>
      </c>
      <c r="L2297">
        <v>6</v>
      </c>
    </row>
    <row r="2298" spans="1:12" x14ac:dyDescent="0.3">
      <c r="A2298" t="s">
        <v>2313</v>
      </c>
      <c r="B2298" t="s">
        <v>16</v>
      </c>
      <c r="C2298" t="s">
        <v>14</v>
      </c>
      <c r="D2298">
        <v>49</v>
      </c>
      <c r="E2298" s="1">
        <v>42812</v>
      </c>
      <c r="F2298">
        <v>2017</v>
      </c>
      <c r="G2298" t="s">
        <v>5035</v>
      </c>
      <c r="H2298">
        <v>18</v>
      </c>
      <c r="I2298">
        <v>4.1500000000000004</v>
      </c>
      <c r="J2298">
        <v>0</v>
      </c>
      <c r="K2298">
        <v>14416.69</v>
      </c>
      <c r="L2298">
        <v>8.6</v>
      </c>
    </row>
    <row r="2299" spans="1:12" x14ac:dyDescent="0.3">
      <c r="A2299" t="s">
        <v>2314</v>
      </c>
      <c r="B2299" t="s">
        <v>10</v>
      </c>
      <c r="C2299" t="s">
        <v>11</v>
      </c>
      <c r="D2299">
        <v>44</v>
      </c>
      <c r="E2299" s="1">
        <v>45549</v>
      </c>
      <c r="F2299">
        <v>2024</v>
      </c>
      <c r="G2299" t="s">
        <v>5033</v>
      </c>
      <c r="H2299">
        <v>14</v>
      </c>
      <c r="I2299">
        <v>2.76</v>
      </c>
      <c r="J2299">
        <v>7</v>
      </c>
      <c r="K2299">
        <v>9848.68</v>
      </c>
      <c r="L2299">
        <v>1.1000000000000001</v>
      </c>
    </row>
    <row r="2300" spans="1:12" x14ac:dyDescent="0.3">
      <c r="A2300" t="s">
        <v>2315</v>
      </c>
      <c r="B2300" t="s">
        <v>10</v>
      </c>
      <c r="C2300" t="s">
        <v>11</v>
      </c>
      <c r="D2300">
        <v>30</v>
      </c>
      <c r="E2300" s="1">
        <v>44510</v>
      </c>
      <c r="F2300">
        <v>2021</v>
      </c>
      <c r="G2300" t="s">
        <v>5038</v>
      </c>
      <c r="H2300">
        <v>10</v>
      </c>
      <c r="I2300">
        <v>2.72</v>
      </c>
      <c r="J2300">
        <v>7</v>
      </c>
      <c r="K2300">
        <v>3775.64</v>
      </c>
      <c r="L2300">
        <v>4</v>
      </c>
    </row>
    <row r="2301" spans="1:12" x14ac:dyDescent="0.3">
      <c r="A2301" t="s">
        <v>2316</v>
      </c>
      <c r="B2301" t="s">
        <v>16</v>
      </c>
      <c r="C2301" t="s">
        <v>14</v>
      </c>
      <c r="D2301">
        <v>36</v>
      </c>
      <c r="E2301" s="1">
        <v>43978</v>
      </c>
      <c r="F2301">
        <v>2020</v>
      </c>
      <c r="G2301" t="s">
        <v>5036</v>
      </c>
      <c r="H2301">
        <v>27</v>
      </c>
      <c r="I2301">
        <v>1.51</v>
      </c>
      <c r="J2301">
        <v>9</v>
      </c>
      <c r="K2301">
        <v>10816.42</v>
      </c>
      <c r="L2301">
        <v>5.4</v>
      </c>
    </row>
    <row r="2302" spans="1:12" x14ac:dyDescent="0.3">
      <c r="A2302" t="s">
        <v>2317</v>
      </c>
      <c r="B2302" t="s">
        <v>10</v>
      </c>
      <c r="C2302" t="s">
        <v>14</v>
      </c>
      <c r="D2302">
        <v>60</v>
      </c>
      <c r="E2302" s="1">
        <v>42425</v>
      </c>
      <c r="F2302">
        <v>2016</v>
      </c>
      <c r="G2302" t="s">
        <v>5042</v>
      </c>
      <c r="H2302">
        <v>25</v>
      </c>
      <c r="I2302">
        <v>4.43</v>
      </c>
      <c r="J2302">
        <v>6</v>
      </c>
      <c r="K2302">
        <v>11635.61</v>
      </c>
      <c r="L2302">
        <v>9.6999999999999993</v>
      </c>
    </row>
    <row r="2303" spans="1:12" x14ac:dyDescent="0.3">
      <c r="A2303" t="s">
        <v>2318</v>
      </c>
      <c r="B2303" t="s">
        <v>13</v>
      </c>
      <c r="C2303" t="s">
        <v>11</v>
      </c>
      <c r="D2303">
        <v>24</v>
      </c>
      <c r="E2303" s="1">
        <v>42334</v>
      </c>
      <c r="F2303">
        <v>2015</v>
      </c>
      <c r="G2303" t="s">
        <v>5038</v>
      </c>
      <c r="H2303">
        <v>26</v>
      </c>
      <c r="I2303">
        <v>1.56</v>
      </c>
      <c r="J2303">
        <v>13</v>
      </c>
      <c r="K2303">
        <v>3265.1</v>
      </c>
      <c r="L2303">
        <v>9.9</v>
      </c>
    </row>
    <row r="2304" spans="1:12" x14ac:dyDescent="0.3">
      <c r="A2304" t="s">
        <v>2319</v>
      </c>
      <c r="B2304" t="s">
        <v>13</v>
      </c>
      <c r="C2304" t="s">
        <v>14</v>
      </c>
      <c r="D2304">
        <v>39</v>
      </c>
      <c r="E2304" s="1">
        <v>44193</v>
      </c>
      <c r="F2304">
        <v>2020</v>
      </c>
      <c r="G2304" t="s">
        <v>5041</v>
      </c>
      <c r="H2304">
        <v>28</v>
      </c>
      <c r="I2304">
        <v>4.68</v>
      </c>
      <c r="J2304">
        <v>8</v>
      </c>
      <c r="K2304">
        <v>12659.24</v>
      </c>
      <c r="L2304">
        <v>4.8</v>
      </c>
    </row>
    <row r="2305" spans="1:12" x14ac:dyDescent="0.3">
      <c r="A2305" t="s">
        <v>2320</v>
      </c>
      <c r="B2305" t="s">
        <v>16</v>
      </c>
      <c r="C2305" t="s">
        <v>14</v>
      </c>
      <c r="D2305">
        <v>46</v>
      </c>
      <c r="E2305" s="1">
        <v>41060</v>
      </c>
      <c r="F2305">
        <v>2012</v>
      </c>
      <c r="G2305" t="s">
        <v>5036</v>
      </c>
      <c r="H2305">
        <v>31</v>
      </c>
      <c r="I2305">
        <v>2.74</v>
      </c>
      <c r="J2305">
        <v>11</v>
      </c>
      <c r="K2305">
        <v>10213.89</v>
      </c>
      <c r="L2305">
        <v>13.4</v>
      </c>
    </row>
    <row r="2306" spans="1:12" x14ac:dyDescent="0.3">
      <c r="A2306" t="s">
        <v>2321</v>
      </c>
      <c r="B2306" t="s">
        <v>13</v>
      </c>
      <c r="C2306" t="s">
        <v>14</v>
      </c>
      <c r="D2306">
        <v>33</v>
      </c>
      <c r="E2306" s="1">
        <v>41167</v>
      </c>
      <c r="F2306">
        <v>2012</v>
      </c>
      <c r="G2306" t="s">
        <v>5033</v>
      </c>
      <c r="H2306">
        <v>15</v>
      </c>
      <c r="I2306">
        <v>3.02</v>
      </c>
      <c r="J2306">
        <v>1</v>
      </c>
      <c r="K2306">
        <v>7349.17</v>
      </c>
      <c r="L2306">
        <v>13.1</v>
      </c>
    </row>
    <row r="2307" spans="1:12" x14ac:dyDescent="0.3">
      <c r="A2307" t="s">
        <v>2322</v>
      </c>
      <c r="B2307" t="s">
        <v>16</v>
      </c>
      <c r="C2307" t="s">
        <v>14</v>
      </c>
      <c r="D2307">
        <v>57</v>
      </c>
      <c r="E2307" s="1">
        <v>43581</v>
      </c>
      <c r="F2307">
        <v>2019</v>
      </c>
      <c r="G2307" t="s">
        <v>5040</v>
      </c>
      <c r="H2307">
        <v>26</v>
      </c>
      <c r="I2307">
        <v>4.57</v>
      </c>
      <c r="J2307">
        <v>7</v>
      </c>
      <c r="K2307">
        <v>4462.63</v>
      </c>
      <c r="L2307">
        <v>6.5</v>
      </c>
    </row>
    <row r="2308" spans="1:12" x14ac:dyDescent="0.3">
      <c r="A2308" t="s">
        <v>2323</v>
      </c>
      <c r="B2308" t="s">
        <v>13</v>
      </c>
      <c r="C2308" t="s">
        <v>14</v>
      </c>
      <c r="D2308">
        <v>57</v>
      </c>
      <c r="E2308" s="1">
        <v>41421</v>
      </c>
      <c r="F2308">
        <v>2013</v>
      </c>
      <c r="G2308" t="s">
        <v>5036</v>
      </c>
      <c r="H2308">
        <v>27</v>
      </c>
      <c r="I2308">
        <v>3.66</v>
      </c>
      <c r="J2308">
        <v>10</v>
      </c>
      <c r="K2308">
        <v>7997.33</v>
      </c>
      <c r="L2308">
        <v>12.4</v>
      </c>
    </row>
    <row r="2309" spans="1:12" x14ac:dyDescent="0.3">
      <c r="A2309" t="s">
        <v>2324</v>
      </c>
      <c r="B2309" t="s">
        <v>24</v>
      </c>
      <c r="C2309" t="s">
        <v>14</v>
      </c>
      <c r="D2309">
        <v>42</v>
      </c>
      <c r="E2309" s="1">
        <v>45908</v>
      </c>
      <c r="F2309">
        <v>2025</v>
      </c>
      <c r="G2309" t="s">
        <v>5033</v>
      </c>
      <c r="H2309">
        <v>8</v>
      </c>
      <c r="I2309">
        <v>4.29</v>
      </c>
      <c r="J2309">
        <v>14</v>
      </c>
      <c r="K2309">
        <v>5971.52</v>
      </c>
      <c r="L2309">
        <v>0.1</v>
      </c>
    </row>
    <row r="2310" spans="1:12" x14ac:dyDescent="0.3">
      <c r="A2310" t="s">
        <v>2325</v>
      </c>
      <c r="B2310" t="s">
        <v>34</v>
      </c>
      <c r="C2310" t="s">
        <v>14</v>
      </c>
      <c r="D2310">
        <v>31</v>
      </c>
      <c r="E2310" s="1">
        <v>44835</v>
      </c>
      <c r="F2310">
        <v>2022</v>
      </c>
      <c r="G2310" t="s">
        <v>5039</v>
      </c>
      <c r="H2310">
        <v>1</v>
      </c>
      <c r="I2310">
        <v>4.0999999999999996</v>
      </c>
      <c r="J2310">
        <v>11</v>
      </c>
      <c r="K2310">
        <v>9812.27</v>
      </c>
      <c r="L2310">
        <v>3.1</v>
      </c>
    </row>
    <row r="2311" spans="1:12" x14ac:dyDescent="0.3">
      <c r="A2311" t="s">
        <v>2326</v>
      </c>
      <c r="B2311" t="s">
        <v>10</v>
      </c>
      <c r="C2311" t="s">
        <v>14</v>
      </c>
      <c r="D2311">
        <v>30</v>
      </c>
      <c r="E2311" s="1">
        <v>43959</v>
      </c>
      <c r="F2311">
        <v>2020</v>
      </c>
      <c r="G2311" t="s">
        <v>5036</v>
      </c>
      <c r="H2311">
        <v>8</v>
      </c>
      <c r="I2311">
        <v>3.26</v>
      </c>
      <c r="J2311">
        <v>6</v>
      </c>
      <c r="K2311">
        <v>13741.44</v>
      </c>
      <c r="L2311">
        <v>5.5</v>
      </c>
    </row>
    <row r="2312" spans="1:12" x14ac:dyDescent="0.3">
      <c r="A2312" t="s">
        <v>2327</v>
      </c>
      <c r="B2312" t="s">
        <v>24</v>
      </c>
      <c r="C2312" t="s">
        <v>11</v>
      </c>
      <c r="D2312">
        <v>47</v>
      </c>
      <c r="E2312" s="1">
        <v>45377</v>
      </c>
      <c r="F2312">
        <v>2024</v>
      </c>
      <c r="G2312" t="s">
        <v>5035</v>
      </c>
      <c r="H2312">
        <v>26</v>
      </c>
      <c r="I2312">
        <v>3.76</v>
      </c>
      <c r="J2312">
        <v>2</v>
      </c>
      <c r="K2312">
        <v>13508.14</v>
      </c>
      <c r="L2312">
        <v>1.6</v>
      </c>
    </row>
    <row r="2313" spans="1:12" x14ac:dyDescent="0.3">
      <c r="A2313" t="s">
        <v>2328</v>
      </c>
      <c r="B2313" t="s">
        <v>18</v>
      </c>
      <c r="C2313" t="s">
        <v>11</v>
      </c>
      <c r="D2313">
        <v>54</v>
      </c>
      <c r="E2313" s="1">
        <v>44285</v>
      </c>
      <c r="F2313">
        <v>2021</v>
      </c>
      <c r="G2313" t="s">
        <v>5035</v>
      </c>
      <c r="H2313">
        <v>30</v>
      </c>
      <c r="I2313">
        <v>2.0299999999999998</v>
      </c>
      <c r="J2313">
        <v>6</v>
      </c>
      <c r="K2313">
        <v>11338.88</v>
      </c>
      <c r="L2313">
        <v>4.5999999999999996</v>
      </c>
    </row>
    <row r="2314" spans="1:12" x14ac:dyDescent="0.3">
      <c r="A2314" t="s">
        <v>2329</v>
      </c>
      <c r="B2314" t="s">
        <v>34</v>
      </c>
      <c r="C2314" t="s">
        <v>11</v>
      </c>
      <c r="D2314">
        <v>30</v>
      </c>
      <c r="E2314" s="1">
        <v>41084</v>
      </c>
      <c r="F2314">
        <v>2012</v>
      </c>
      <c r="G2314" t="s">
        <v>5032</v>
      </c>
      <c r="H2314">
        <v>24</v>
      </c>
      <c r="I2314">
        <v>2.2599999999999998</v>
      </c>
      <c r="J2314">
        <v>12</v>
      </c>
      <c r="K2314">
        <v>7567.77</v>
      </c>
      <c r="L2314">
        <v>13.4</v>
      </c>
    </row>
    <row r="2315" spans="1:12" x14ac:dyDescent="0.3">
      <c r="A2315" t="s">
        <v>2330</v>
      </c>
      <c r="B2315" t="s">
        <v>16</v>
      </c>
      <c r="C2315" t="s">
        <v>14</v>
      </c>
      <c r="D2315">
        <v>60</v>
      </c>
      <c r="E2315" s="1">
        <v>44282</v>
      </c>
      <c r="F2315">
        <v>2021</v>
      </c>
      <c r="G2315" t="s">
        <v>5035</v>
      </c>
      <c r="H2315">
        <v>27</v>
      </c>
      <c r="I2315">
        <v>2.1</v>
      </c>
      <c r="J2315">
        <v>4</v>
      </c>
      <c r="K2315">
        <v>5466.33</v>
      </c>
      <c r="L2315">
        <v>4.5999999999999996</v>
      </c>
    </row>
    <row r="2316" spans="1:12" x14ac:dyDescent="0.3">
      <c r="A2316" t="s">
        <v>2331</v>
      </c>
      <c r="B2316" t="s">
        <v>10</v>
      </c>
      <c r="C2316" t="s">
        <v>14</v>
      </c>
      <c r="D2316">
        <v>24</v>
      </c>
      <c r="E2316" s="1">
        <v>43709</v>
      </c>
      <c r="F2316">
        <v>2019</v>
      </c>
      <c r="G2316" t="s">
        <v>5033</v>
      </c>
      <c r="H2316">
        <v>1</v>
      </c>
      <c r="I2316">
        <v>2.12</v>
      </c>
      <c r="J2316">
        <v>2</v>
      </c>
      <c r="K2316">
        <v>3060.42</v>
      </c>
      <c r="L2316">
        <v>6.2</v>
      </c>
    </row>
    <row r="2317" spans="1:12" x14ac:dyDescent="0.3">
      <c r="A2317" t="s">
        <v>2332</v>
      </c>
      <c r="B2317" t="s">
        <v>18</v>
      </c>
      <c r="C2317" t="s">
        <v>14</v>
      </c>
      <c r="D2317">
        <v>57</v>
      </c>
      <c r="E2317" s="1">
        <v>40181</v>
      </c>
      <c r="F2317">
        <v>2010</v>
      </c>
      <c r="G2317" t="s">
        <v>5037</v>
      </c>
      <c r="H2317">
        <v>3</v>
      </c>
      <c r="I2317">
        <v>3.84</v>
      </c>
      <c r="J2317">
        <v>2</v>
      </c>
      <c r="K2317">
        <v>9915.7000000000007</v>
      </c>
      <c r="L2317">
        <v>15.8</v>
      </c>
    </row>
    <row r="2318" spans="1:12" x14ac:dyDescent="0.3">
      <c r="A2318" t="s">
        <v>2333</v>
      </c>
      <c r="B2318" t="s">
        <v>34</v>
      </c>
      <c r="C2318" t="s">
        <v>14</v>
      </c>
      <c r="D2318">
        <v>35</v>
      </c>
      <c r="E2318" s="1">
        <v>43610</v>
      </c>
      <c r="F2318">
        <v>2019</v>
      </c>
      <c r="G2318" t="s">
        <v>5036</v>
      </c>
      <c r="H2318">
        <v>25</v>
      </c>
      <c r="I2318">
        <v>4.18</v>
      </c>
      <c r="J2318">
        <v>7</v>
      </c>
      <c r="K2318">
        <v>8046.48</v>
      </c>
      <c r="L2318">
        <v>6.4</v>
      </c>
    </row>
    <row r="2319" spans="1:12" x14ac:dyDescent="0.3">
      <c r="A2319" t="s">
        <v>2334</v>
      </c>
      <c r="B2319" t="s">
        <v>24</v>
      </c>
      <c r="C2319" t="s">
        <v>14</v>
      </c>
      <c r="D2319">
        <v>37</v>
      </c>
      <c r="E2319" s="1">
        <v>44762</v>
      </c>
      <c r="F2319">
        <v>2022</v>
      </c>
      <c r="G2319" t="s">
        <v>5034</v>
      </c>
      <c r="H2319">
        <v>20</v>
      </c>
      <c r="I2319">
        <v>3.82</v>
      </c>
      <c r="J2319">
        <v>13</v>
      </c>
      <c r="K2319">
        <v>6977.56</v>
      </c>
      <c r="L2319">
        <v>3.3</v>
      </c>
    </row>
    <row r="2320" spans="1:12" x14ac:dyDescent="0.3">
      <c r="A2320" t="s">
        <v>2335</v>
      </c>
      <c r="B2320" t="s">
        <v>34</v>
      </c>
      <c r="C2320" t="s">
        <v>14</v>
      </c>
      <c r="D2320">
        <v>55</v>
      </c>
      <c r="E2320" s="1">
        <v>44357</v>
      </c>
      <c r="F2320">
        <v>2021</v>
      </c>
      <c r="G2320" t="s">
        <v>5032</v>
      </c>
      <c r="H2320">
        <v>10</v>
      </c>
      <c r="I2320">
        <v>4.28</v>
      </c>
      <c r="J2320">
        <v>3</v>
      </c>
      <c r="K2320">
        <v>6837.82</v>
      </c>
      <c r="L2320">
        <v>4.4000000000000004</v>
      </c>
    </row>
    <row r="2321" spans="1:12" x14ac:dyDescent="0.3">
      <c r="A2321" t="s">
        <v>2336</v>
      </c>
      <c r="B2321" t="s">
        <v>13</v>
      </c>
      <c r="C2321" t="s">
        <v>11</v>
      </c>
      <c r="D2321">
        <v>26</v>
      </c>
      <c r="E2321" s="1">
        <v>45469</v>
      </c>
      <c r="F2321">
        <v>2024</v>
      </c>
      <c r="G2321" t="s">
        <v>5032</v>
      </c>
      <c r="H2321">
        <v>26</v>
      </c>
      <c r="I2321">
        <v>3.05</v>
      </c>
      <c r="J2321">
        <v>11</v>
      </c>
      <c r="K2321">
        <v>9127.09</v>
      </c>
      <c r="L2321">
        <v>1.4</v>
      </c>
    </row>
    <row r="2322" spans="1:12" x14ac:dyDescent="0.3">
      <c r="A2322" t="s">
        <v>2337</v>
      </c>
      <c r="B2322" t="s">
        <v>16</v>
      </c>
      <c r="C2322" t="s">
        <v>11</v>
      </c>
      <c r="D2322">
        <v>56</v>
      </c>
      <c r="E2322" s="1">
        <v>43155</v>
      </c>
      <c r="F2322">
        <v>2018</v>
      </c>
      <c r="G2322" t="s">
        <v>5042</v>
      </c>
      <c r="H2322">
        <v>24</v>
      </c>
      <c r="I2322">
        <v>2.15</v>
      </c>
      <c r="J2322">
        <v>2</v>
      </c>
      <c r="K2322">
        <v>8397.3799999999992</v>
      </c>
      <c r="L2322">
        <v>7.7</v>
      </c>
    </row>
    <row r="2323" spans="1:12" x14ac:dyDescent="0.3">
      <c r="A2323" t="s">
        <v>2338</v>
      </c>
      <c r="B2323" t="s">
        <v>10</v>
      </c>
      <c r="C2323" t="s">
        <v>11</v>
      </c>
      <c r="D2323">
        <v>36</v>
      </c>
      <c r="E2323" s="1">
        <v>41915</v>
      </c>
      <c r="F2323">
        <v>2014</v>
      </c>
      <c r="G2323" t="s">
        <v>5039</v>
      </c>
      <c r="H2323">
        <v>3</v>
      </c>
      <c r="I2323">
        <v>3.57</v>
      </c>
      <c r="J2323">
        <v>3</v>
      </c>
      <c r="K2323">
        <v>11603.53</v>
      </c>
      <c r="L2323">
        <v>11.1</v>
      </c>
    </row>
    <row r="2324" spans="1:12" x14ac:dyDescent="0.3">
      <c r="A2324" t="s">
        <v>2339</v>
      </c>
      <c r="B2324" t="s">
        <v>13</v>
      </c>
      <c r="C2324" t="s">
        <v>11</v>
      </c>
      <c r="D2324">
        <v>39</v>
      </c>
      <c r="E2324" s="1">
        <v>42851</v>
      </c>
      <c r="F2324">
        <v>2017</v>
      </c>
      <c r="G2324" t="s">
        <v>5040</v>
      </c>
      <c r="H2324">
        <v>26</v>
      </c>
      <c r="I2324">
        <v>4.1500000000000004</v>
      </c>
      <c r="J2324">
        <v>9</v>
      </c>
      <c r="K2324">
        <v>6490.04</v>
      </c>
      <c r="L2324">
        <v>8.5</v>
      </c>
    </row>
    <row r="2325" spans="1:12" x14ac:dyDescent="0.3">
      <c r="A2325" t="s">
        <v>2340</v>
      </c>
      <c r="B2325" t="s">
        <v>18</v>
      </c>
      <c r="C2325" t="s">
        <v>11</v>
      </c>
      <c r="D2325">
        <v>36</v>
      </c>
      <c r="E2325" s="1">
        <v>45134</v>
      </c>
      <c r="F2325">
        <v>2023</v>
      </c>
      <c r="G2325" t="s">
        <v>5034</v>
      </c>
      <c r="H2325">
        <v>27</v>
      </c>
      <c r="I2325">
        <v>3.02</v>
      </c>
      <c r="J2325">
        <v>8</v>
      </c>
      <c r="K2325">
        <v>13315.28</v>
      </c>
      <c r="L2325">
        <v>2.2999999999999998</v>
      </c>
    </row>
    <row r="2326" spans="1:12" x14ac:dyDescent="0.3">
      <c r="A2326" t="s">
        <v>2341</v>
      </c>
      <c r="B2326" t="s">
        <v>16</v>
      </c>
      <c r="C2326" t="s">
        <v>11</v>
      </c>
      <c r="D2326">
        <v>54</v>
      </c>
      <c r="E2326" s="1">
        <v>43147</v>
      </c>
      <c r="F2326">
        <v>2018</v>
      </c>
      <c r="G2326" t="s">
        <v>5042</v>
      </c>
      <c r="H2326">
        <v>16</v>
      </c>
      <c r="I2326">
        <v>3.68</v>
      </c>
      <c r="J2326">
        <v>2</v>
      </c>
      <c r="K2326">
        <v>10607.12</v>
      </c>
      <c r="L2326">
        <v>7.7</v>
      </c>
    </row>
    <row r="2327" spans="1:12" x14ac:dyDescent="0.3">
      <c r="A2327" t="s">
        <v>2342</v>
      </c>
      <c r="B2327" t="s">
        <v>13</v>
      </c>
      <c r="C2327" t="s">
        <v>11</v>
      </c>
      <c r="D2327">
        <v>26</v>
      </c>
      <c r="E2327" s="1">
        <v>40484</v>
      </c>
      <c r="F2327">
        <v>2010</v>
      </c>
      <c r="G2327" t="s">
        <v>5038</v>
      </c>
      <c r="H2327">
        <v>2</v>
      </c>
      <c r="I2327">
        <v>2.81</v>
      </c>
      <c r="J2327">
        <v>1</v>
      </c>
      <c r="K2327">
        <v>3767.89</v>
      </c>
      <c r="L2327">
        <v>15</v>
      </c>
    </row>
    <row r="2328" spans="1:12" x14ac:dyDescent="0.3">
      <c r="A2328" t="s">
        <v>2343</v>
      </c>
      <c r="B2328" t="s">
        <v>34</v>
      </c>
      <c r="C2328" t="s">
        <v>14</v>
      </c>
      <c r="D2328">
        <v>49</v>
      </c>
      <c r="E2328" s="1">
        <v>42652</v>
      </c>
      <c r="F2328">
        <v>2016</v>
      </c>
      <c r="G2328" t="s">
        <v>5039</v>
      </c>
      <c r="H2328">
        <v>9</v>
      </c>
      <c r="I2328">
        <v>3.01</v>
      </c>
      <c r="J2328">
        <v>8</v>
      </c>
      <c r="K2328">
        <v>10139.23</v>
      </c>
      <c r="L2328">
        <v>9.1</v>
      </c>
    </row>
    <row r="2329" spans="1:12" x14ac:dyDescent="0.3">
      <c r="A2329" t="s">
        <v>2344</v>
      </c>
      <c r="B2329" t="s">
        <v>34</v>
      </c>
      <c r="C2329" t="s">
        <v>14</v>
      </c>
      <c r="D2329">
        <v>39</v>
      </c>
      <c r="E2329" s="1">
        <v>43121</v>
      </c>
      <c r="F2329">
        <v>2018</v>
      </c>
      <c r="G2329" t="s">
        <v>5037</v>
      </c>
      <c r="H2329">
        <v>21</v>
      </c>
      <c r="I2329">
        <v>3.28</v>
      </c>
      <c r="J2329">
        <v>5</v>
      </c>
      <c r="K2329">
        <v>7296.74</v>
      </c>
      <c r="L2329">
        <v>7.8</v>
      </c>
    </row>
    <row r="2330" spans="1:12" x14ac:dyDescent="0.3">
      <c r="A2330" t="s">
        <v>2345</v>
      </c>
      <c r="B2330" t="s">
        <v>16</v>
      </c>
      <c r="C2330" t="s">
        <v>14</v>
      </c>
      <c r="D2330">
        <v>48</v>
      </c>
      <c r="E2330" s="1">
        <v>41945</v>
      </c>
      <c r="F2330">
        <v>2014</v>
      </c>
      <c r="G2330" t="s">
        <v>5038</v>
      </c>
      <c r="H2330">
        <v>2</v>
      </c>
      <c r="I2330">
        <v>2.67</v>
      </c>
      <c r="J2330">
        <v>14</v>
      </c>
      <c r="K2330">
        <v>12794.74</v>
      </c>
      <c r="L2330">
        <v>11</v>
      </c>
    </row>
    <row r="2331" spans="1:12" x14ac:dyDescent="0.3">
      <c r="A2331" t="s">
        <v>2346</v>
      </c>
      <c r="B2331" t="s">
        <v>10</v>
      </c>
      <c r="C2331" t="s">
        <v>14</v>
      </c>
      <c r="D2331">
        <v>24</v>
      </c>
      <c r="E2331" s="1">
        <v>41811</v>
      </c>
      <c r="F2331">
        <v>2014</v>
      </c>
      <c r="G2331" t="s">
        <v>5032</v>
      </c>
      <c r="H2331">
        <v>21</v>
      </c>
      <c r="I2331">
        <v>4.62</v>
      </c>
      <c r="J2331">
        <v>10</v>
      </c>
      <c r="K2331">
        <v>4547.8900000000003</v>
      </c>
      <c r="L2331">
        <v>11.4</v>
      </c>
    </row>
    <row r="2332" spans="1:12" x14ac:dyDescent="0.3">
      <c r="A2332" t="s">
        <v>2347</v>
      </c>
      <c r="B2332" t="s">
        <v>18</v>
      </c>
      <c r="C2332" t="s">
        <v>14</v>
      </c>
      <c r="D2332">
        <v>34</v>
      </c>
      <c r="E2332" s="1">
        <v>40388</v>
      </c>
      <c r="F2332">
        <v>2010</v>
      </c>
      <c r="G2332" t="s">
        <v>5034</v>
      </c>
      <c r="H2332">
        <v>29</v>
      </c>
      <c r="I2332">
        <v>4.76</v>
      </c>
      <c r="J2332">
        <v>6</v>
      </c>
      <c r="K2332">
        <v>5851.89</v>
      </c>
      <c r="L2332">
        <v>15.3</v>
      </c>
    </row>
    <row r="2333" spans="1:12" x14ac:dyDescent="0.3">
      <c r="A2333" t="s">
        <v>2348</v>
      </c>
      <c r="B2333" t="s">
        <v>13</v>
      </c>
      <c r="C2333" t="s">
        <v>14</v>
      </c>
      <c r="D2333">
        <v>30</v>
      </c>
      <c r="E2333" s="1">
        <v>41666</v>
      </c>
      <c r="F2333">
        <v>2014</v>
      </c>
      <c r="G2333" t="s">
        <v>5037</v>
      </c>
      <c r="H2333">
        <v>27</v>
      </c>
      <c r="I2333">
        <v>2.75</v>
      </c>
      <c r="J2333">
        <v>13</v>
      </c>
      <c r="K2333">
        <v>13955.13</v>
      </c>
      <c r="L2333">
        <v>11.8</v>
      </c>
    </row>
    <row r="2334" spans="1:12" x14ac:dyDescent="0.3">
      <c r="A2334" t="s">
        <v>2349</v>
      </c>
      <c r="B2334" t="s">
        <v>18</v>
      </c>
      <c r="C2334" t="s">
        <v>11</v>
      </c>
      <c r="D2334">
        <v>51</v>
      </c>
      <c r="E2334" s="1">
        <v>41320</v>
      </c>
      <c r="F2334">
        <v>2013</v>
      </c>
      <c r="G2334" t="s">
        <v>5042</v>
      </c>
      <c r="H2334">
        <v>15</v>
      </c>
      <c r="I2334">
        <v>4.04</v>
      </c>
      <c r="J2334">
        <v>6</v>
      </c>
      <c r="K2334">
        <v>6030.5</v>
      </c>
      <c r="L2334">
        <v>12.7</v>
      </c>
    </row>
    <row r="2335" spans="1:12" x14ac:dyDescent="0.3">
      <c r="A2335" t="s">
        <v>2350</v>
      </c>
      <c r="B2335" t="s">
        <v>10</v>
      </c>
      <c r="C2335" t="s">
        <v>14</v>
      </c>
      <c r="D2335">
        <v>33</v>
      </c>
      <c r="E2335" s="1">
        <v>45838</v>
      </c>
      <c r="F2335">
        <v>2025</v>
      </c>
      <c r="G2335" t="s">
        <v>5032</v>
      </c>
      <c r="H2335">
        <v>30</v>
      </c>
      <c r="I2335">
        <v>3.41</v>
      </c>
      <c r="J2335">
        <v>8</v>
      </c>
      <c r="K2335">
        <v>13681.52</v>
      </c>
      <c r="L2335">
        <v>0.3</v>
      </c>
    </row>
    <row r="2336" spans="1:12" x14ac:dyDescent="0.3">
      <c r="A2336" t="s">
        <v>2351</v>
      </c>
      <c r="B2336" t="s">
        <v>16</v>
      </c>
      <c r="C2336" t="s">
        <v>11</v>
      </c>
      <c r="D2336">
        <v>50</v>
      </c>
      <c r="E2336" s="1">
        <v>40578</v>
      </c>
      <c r="F2336">
        <v>2011</v>
      </c>
      <c r="G2336" t="s">
        <v>5042</v>
      </c>
      <c r="H2336">
        <v>4</v>
      </c>
      <c r="I2336">
        <v>2.41</v>
      </c>
      <c r="J2336">
        <v>5</v>
      </c>
      <c r="K2336">
        <v>8991.66</v>
      </c>
      <c r="L2336">
        <v>14.8</v>
      </c>
    </row>
    <row r="2337" spans="1:12" x14ac:dyDescent="0.3">
      <c r="A2337" t="s">
        <v>2352</v>
      </c>
      <c r="B2337" t="s">
        <v>10</v>
      </c>
      <c r="C2337" t="s">
        <v>14</v>
      </c>
      <c r="D2337">
        <v>56</v>
      </c>
      <c r="E2337" s="1">
        <v>40258</v>
      </c>
      <c r="F2337">
        <v>2010</v>
      </c>
      <c r="G2337" t="s">
        <v>5035</v>
      </c>
      <c r="H2337">
        <v>21</v>
      </c>
      <c r="I2337">
        <v>4.6100000000000003</v>
      </c>
      <c r="J2337">
        <v>14</v>
      </c>
      <c r="K2337">
        <v>13475.1</v>
      </c>
      <c r="L2337">
        <v>15.6</v>
      </c>
    </row>
    <row r="2338" spans="1:12" x14ac:dyDescent="0.3">
      <c r="A2338" t="s">
        <v>2353</v>
      </c>
      <c r="B2338" t="s">
        <v>16</v>
      </c>
      <c r="C2338" t="s">
        <v>14</v>
      </c>
      <c r="D2338">
        <v>43</v>
      </c>
      <c r="E2338" s="1">
        <v>40512</v>
      </c>
      <c r="F2338">
        <v>2010</v>
      </c>
      <c r="G2338" t="s">
        <v>5038</v>
      </c>
      <c r="H2338">
        <v>30</v>
      </c>
      <c r="I2338">
        <v>4.12</v>
      </c>
      <c r="J2338">
        <v>3</v>
      </c>
      <c r="K2338">
        <v>3625.93</v>
      </c>
      <c r="L2338">
        <v>14.9</v>
      </c>
    </row>
    <row r="2339" spans="1:12" x14ac:dyDescent="0.3">
      <c r="A2339" t="s">
        <v>2354</v>
      </c>
      <c r="B2339" t="s">
        <v>13</v>
      </c>
      <c r="C2339" t="s">
        <v>14</v>
      </c>
      <c r="D2339">
        <v>28</v>
      </c>
      <c r="E2339" s="1">
        <v>45259</v>
      </c>
      <c r="F2339">
        <v>2023</v>
      </c>
      <c r="G2339" t="s">
        <v>5038</v>
      </c>
      <c r="H2339">
        <v>29</v>
      </c>
      <c r="I2339">
        <v>4.95</v>
      </c>
      <c r="J2339">
        <v>11</v>
      </c>
      <c r="K2339">
        <v>10949.8</v>
      </c>
      <c r="L2339">
        <v>1.9</v>
      </c>
    </row>
    <row r="2340" spans="1:12" x14ac:dyDescent="0.3">
      <c r="A2340" t="s">
        <v>2355</v>
      </c>
      <c r="B2340" t="s">
        <v>10</v>
      </c>
      <c r="C2340" t="s">
        <v>11</v>
      </c>
      <c r="D2340">
        <v>49</v>
      </c>
      <c r="E2340" s="1">
        <v>44829</v>
      </c>
      <c r="F2340">
        <v>2022</v>
      </c>
      <c r="G2340" t="s">
        <v>5033</v>
      </c>
      <c r="H2340">
        <v>25</v>
      </c>
      <c r="I2340">
        <v>3.12</v>
      </c>
      <c r="J2340">
        <v>12</v>
      </c>
      <c r="K2340">
        <v>13368.85</v>
      </c>
      <c r="L2340">
        <v>3.1</v>
      </c>
    </row>
    <row r="2341" spans="1:12" x14ac:dyDescent="0.3">
      <c r="A2341" t="s">
        <v>2356</v>
      </c>
      <c r="B2341" t="s">
        <v>34</v>
      </c>
      <c r="C2341" t="s">
        <v>14</v>
      </c>
      <c r="D2341">
        <v>53</v>
      </c>
      <c r="E2341" s="1">
        <v>45830</v>
      </c>
      <c r="F2341">
        <v>2025</v>
      </c>
      <c r="G2341" t="s">
        <v>5032</v>
      </c>
      <c r="H2341">
        <v>22</v>
      </c>
      <c r="I2341">
        <v>1.8</v>
      </c>
      <c r="J2341">
        <v>6</v>
      </c>
      <c r="K2341">
        <v>4431.1899999999996</v>
      </c>
      <c r="L2341">
        <v>0.4</v>
      </c>
    </row>
    <row r="2342" spans="1:12" x14ac:dyDescent="0.3">
      <c r="A2342" t="s">
        <v>2357</v>
      </c>
      <c r="B2342" t="s">
        <v>10</v>
      </c>
      <c r="C2342" t="s">
        <v>11</v>
      </c>
      <c r="D2342">
        <v>26</v>
      </c>
      <c r="E2342" s="1">
        <v>41422</v>
      </c>
      <c r="F2342">
        <v>2013</v>
      </c>
      <c r="G2342" t="s">
        <v>5036</v>
      </c>
      <c r="H2342">
        <v>28</v>
      </c>
      <c r="I2342">
        <v>2.64</v>
      </c>
      <c r="J2342">
        <v>6</v>
      </c>
      <c r="K2342">
        <v>9448.27</v>
      </c>
      <c r="L2342">
        <v>12.4</v>
      </c>
    </row>
    <row r="2343" spans="1:12" x14ac:dyDescent="0.3">
      <c r="A2343" t="s">
        <v>2358</v>
      </c>
      <c r="B2343" t="s">
        <v>10</v>
      </c>
      <c r="C2343" t="s">
        <v>14</v>
      </c>
      <c r="D2343">
        <v>39</v>
      </c>
      <c r="E2343" s="1">
        <v>41517</v>
      </c>
      <c r="F2343">
        <v>2013</v>
      </c>
      <c r="G2343" t="s">
        <v>5031</v>
      </c>
      <c r="H2343">
        <v>31</v>
      </c>
      <c r="I2343">
        <v>4.8899999999999997</v>
      </c>
      <c r="J2343">
        <v>1</v>
      </c>
      <c r="K2343">
        <v>4773.43</v>
      </c>
      <c r="L2343">
        <v>12.2</v>
      </c>
    </row>
    <row r="2344" spans="1:12" x14ac:dyDescent="0.3">
      <c r="A2344" t="s">
        <v>2359</v>
      </c>
      <c r="B2344" t="s">
        <v>34</v>
      </c>
      <c r="C2344" t="s">
        <v>14</v>
      </c>
      <c r="D2344">
        <v>40</v>
      </c>
      <c r="E2344" s="1">
        <v>45216</v>
      </c>
      <c r="F2344">
        <v>2023</v>
      </c>
      <c r="G2344" t="s">
        <v>5039</v>
      </c>
      <c r="H2344">
        <v>17</v>
      </c>
      <c r="I2344">
        <v>4.8600000000000003</v>
      </c>
      <c r="J2344">
        <v>4</v>
      </c>
      <c r="K2344">
        <v>7059.4</v>
      </c>
      <c r="L2344">
        <v>2</v>
      </c>
    </row>
    <row r="2345" spans="1:12" x14ac:dyDescent="0.3">
      <c r="A2345" t="s">
        <v>2360</v>
      </c>
      <c r="B2345" t="s">
        <v>18</v>
      </c>
      <c r="C2345" t="s">
        <v>14</v>
      </c>
      <c r="D2345">
        <v>48</v>
      </c>
      <c r="E2345" s="1">
        <v>42417</v>
      </c>
      <c r="F2345">
        <v>2016</v>
      </c>
      <c r="G2345" t="s">
        <v>5042</v>
      </c>
      <c r="H2345">
        <v>17</v>
      </c>
      <c r="I2345">
        <v>4.34</v>
      </c>
      <c r="J2345">
        <v>0</v>
      </c>
      <c r="K2345">
        <v>11966.89</v>
      </c>
      <c r="L2345">
        <v>9.6999999999999993</v>
      </c>
    </row>
    <row r="2346" spans="1:12" x14ac:dyDescent="0.3">
      <c r="A2346" t="s">
        <v>2361</v>
      </c>
      <c r="B2346" t="s">
        <v>10</v>
      </c>
      <c r="C2346" t="s">
        <v>14</v>
      </c>
      <c r="D2346">
        <v>56</v>
      </c>
      <c r="E2346" s="1">
        <v>42515</v>
      </c>
      <c r="F2346">
        <v>2016</v>
      </c>
      <c r="G2346" t="s">
        <v>5036</v>
      </c>
      <c r="H2346">
        <v>25</v>
      </c>
      <c r="I2346">
        <v>4.8899999999999997</v>
      </c>
      <c r="J2346">
        <v>0</v>
      </c>
      <c r="K2346">
        <v>8883.43</v>
      </c>
      <c r="L2346">
        <v>9.4</v>
      </c>
    </row>
    <row r="2347" spans="1:12" x14ac:dyDescent="0.3">
      <c r="A2347" t="s">
        <v>2362</v>
      </c>
      <c r="B2347" t="s">
        <v>24</v>
      </c>
      <c r="C2347" t="s">
        <v>11</v>
      </c>
      <c r="D2347">
        <v>34</v>
      </c>
      <c r="E2347" s="1">
        <v>43490</v>
      </c>
      <c r="F2347">
        <v>2019</v>
      </c>
      <c r="G2347" t="s">
        <v>5037</v>
      </c>
      <c r="H2347">
        <v>25</v>
      </c>
      <c r="I2347">
        <v>2.59</v>
      </c>
      <c r="J2347">
        <v>9</v>
      </c>
      <c r="K2347">
        <v>4034.25</v>
      </c>
      <c r="L2347">
        <v>6.8</v>
      </c>
    </row>
    <row r="2348" spans="1:12" x14ac:dyDescent="0.3">
      <c r="A2348" t="s">
        <v>2363</v>
      </c>
      <c r="B2348" t="s">
        <v>10</v>
      </c>
      <c r="C2348" t="s">
        <v>11</v>
      </c>
      <c r="D2348">
        <v>49</v>
      </c>
      <c r="E2348" s="1">
        <v>44464</v>
      </c>
      <c r="F2348">
        <v>2021</v>
      </c>
      <c r="G2348" t="s">
        <v>5033</v>
      </c>
      <c r="H2348">
        <v>25</v>
      </c>
      <c r="I2348">
        <v>2.57</v>
      </c>
      <c r="J2348">
        <v>7</v>
      </c>
      <c r="K2348">
        <v>6193.22</v>
      </c>
      <c r="L2348">
        <v>4.0999999999999996</v>
      </c>
    </row>
    <row r="2349" spans="1:12" x14ac:dyDescent="0.3">
      <c r="A2349" t="s">
        <v>2364</v>
      </c>
      <c r="B2349" t="s">
        <v>13</v>
      </c>
      <c r="C2349" t="s">
        <v>14</v>
      </c>
      <c r="D2349">
        <v>26</v>
      </c>
      <c r="E2349" s="1">
        <v>41504</v>
      </c>
      <c r="F2349">
        <v>2013</v>
      </c>
      <c r="G2349" t="s">
        <v>5031</v>
      </c>
      <c r="H2349">
        <v>18</v>
      </c>
      <c r="I2349">
        <v>1.58</v>
      </c>
      <c r="J2349">
        <v>13</v>
      </c>
      <c r="K2349">
        <v>9457.39</v>
      </c>
      <c r="L2349">
        <v>12.2</v>
      </c>
    </row>
    <row r="2350" spans="1:12" x14ac:dyDescent="0.3">
      <c r="A2350" t="s">
        <v>2365</v>
      </c>
      <c r="B2350" t="s">
        <v>18</v>
      </c>
      <c r="C2350" t="s">
        <v>11</v>
      </c>
      <c r="D2350">
        <v>24</v>
      </c>
      <c r="E2350" s="1">
        <v>42504</v>
      </c>
      <c r="F2350">
        <v>2016</v>
      </c>
      <c r="G2350" t="s">
        <v>5036</v>
      </c>
      <c r="H2350">
        <v>14</v>
      </c>
      <c r="I2350">
        <v>4.2</v>
      </c>
      <c r="J2350">
        <v>1</v>
      </c>
      <c r="K2350">
        <v>7006.61</v>
      </c>
      <c r="L2350">
        <v>9.5</v>
      </c>
    </row>
    <row r="2351" spans="1:12" x14ac:dyDescent="0.3">
      <c r="A2351" t="s">
        <v>2366</v>
      </c>
      <c r="B2351" t="s">
        <v>18</v>
      </c>
      <c r="C2351" t="s">
        <v>11</v>
      </c>
      <c r="D2351">
        <v>41</v>
      </c>
      <c r="E2351" s="1">
        <v>41566</v>
      </c>
      <c r="F2351">
        <v>2013</v>
      </c>
      <c r="G2351" t="s">
        <v>5039</v>
      </c>
      <c r="H2351">
        <v>19</v>
      </c>
      <c r="I2351">
        <v>2.6</v>
      </c>
      <c r="J2351">
        <v>10</v>
      </c>
      <c r="K2351">
        <v>11479.57</v>
      </c>
      <c r="L2351">
        <v>12</v>
      </c>
    </row>
    <row r="2352" spans="1:12" x14ac:dyDescent="0.3">
      <c r="A2352" t="s">
        <v>2367</v>
      </c>
      <c r="B2352" t="s">
        <v>24</v>
      </c>
      <c r="C2352" t="s">
        <v>14</v>
      </c>
      <c r="D2352">
        <v>45</v>
      </c>
      <c r="E2352" s="1">
        <v>43483</v>
      </c>
      <c r="F2352">
        <v>2019</v>
      </c>
      <c r="G2352" t="s">
        <v>5037</v>
      </c>
      <c r="H2352">
        <v>18</v>
      </c>
      <c r="I2352">
        <v>4.1399999999999997</v>
      </c>
      <c r="J2352">
        <v>11</v>
      </c>
      <c r="K2352">
        <v>4853.6400000000003</v>
      </c>
      <c r="L2352">
        <v>6.8</v>
      </c>
    </row>
    <row r="2353" spans="1:12" x14ac:dyDescent="0.3">
      <c r="A2353" t="s">
        <v>2368</v>
      </c>
      <c r="B2353" t="s">
        <v>16</v>
      </c>
      <c r="C2353" t="s">
        <v>11</v>
      </c>
      <c r="D2353">
        <v>23</v>
      </c>
      <c r="E2353" s="1">
        <v>42775</v>
      </c>
      <c r="F2353">
        <v>2017</v>
      </c>
      <c r="G2353" t="s">
        <v>5042</v>
      </c>
      <c r="H2353">
        <v>9</v>
      </c>
      <c r="I2353">
        <v>3.61</v>
      </c>
      <c r="J2353">
        <v>15</v>
      </c>
      <c r="K2353">
        <v>7608.65</v>
      </c>
      <c r="L2353">
        <v>8.6999999999999993</v>
      </c>
    </row>
    <row r="2354" spans="1:12" x14ac:dyDescent="0.3">
      <c r="A2354" t="s">
        <v>2369</v>
      </c>
      <c r="B2354" t="s">
        <v>13</v>
      </c>
      <c r="C2354" t="s">
        <v>11</v>
      </c>
      <c r="D2354">
        <v>27</v>
      </c>
      <c r="E2354" s="1">
        <v>44667</v>
      </c>
      <c r="F2354">
        <v>2022</v>
      </c>
      <c r="G2354" t="s">
        <v>5040</v>
      </c>
      <c r="H2354">
        <v>16</v>
      </c>
      <c r="I2354">
        <v>2.5299999999999998</v>
      </c>
      <c r="J2354">
        <v>6</v>
      </c>
      <c r="K2354">
        <v>3301.4</v>
      </c>
      <c r="L2354">
        <v>3.5</v>
      </c>
    </row>
    <row r="2355" spans="1:12" x14ac:dyDescent="0.3">
      <c r="A2355" t="s">
        <v>2370</v>
      </c>
      <c r="B2355" t="s">
        <v>34</v>
      </c>
      <c r="C2355" t="s">
        <v>11</v>
      </c>
      <c r="D2355">
        <v>30</v>
      </c>
      <c r="E2355" s="1">
        <v>42462</v>
      </c>
      <c r="F2355">
        <v>2016</v>
      </c>
      <c r="G2355" t="s">
        <v>5040</v>
      </c>
      <c r="H2355">
        <v>2</v>
      </c>
      <c r="I2355">
        <v>3.19</v>
      </c>
      <c r="J2355">
        <v>8</v>
      </c>
      <c r="K2355">
        <v>5635.64</v>
      </c>
      <c r="L2355">
        <v>9.6</v>
      </c>
    </row>
    <row r="2356" spans="1:12" x14ac:dyDescent="0.3">
      <c r="A2356" t="s">
        <v>2371</v>
      </c>
      <c r="B2356" t="s">
        <v>34</v>
      </c>
      <c r="C2356" t="s">
        <v>11</v>
      </c>
      <c r="D2356">
        <v>54</v>
      </c>
      <c r="E2356" s="1">
        <v>45238</v>
      </c>
      <c r="F2356">
        <v>2023</v>
      </c>
      <c r="G2356" t="s">
        <v>5038</v>
      </c>
      <c r="H2356">
        <v>8</v>
      </c>
      <c r="I2356">
        <v>3.25</v>
      </c>
      <c r="J2356">
        <v>4</v>
      </c>
      <c r="K2356">
        <v>7005.4</v>
      </c>
      <c r="L2356">
        <v>2</v>
      </c>
    </row>
    <row r="2357" spans="1:12" x14ac:dyDescent="0.3">
      <c r="A2357" t="s">
        <v>2372</v>
      </c>
      <c r="B2357" t="s">
        <v>24</v>
      </c>
      <c r="C2357" t="s">
        <v>11</v>
      </c>
      <c r="D2357">
        <v>32</v>
      </c>
      <c r="E2357" s="1">
        <v>45847</v>
      </c>
      <c r="F2357">
        <v>2025</v>
      </c>
      <c r="G2357" t="s">
        <v>5034</v>
      </c>
      <c r="H2357">
        <v>9</v>
      </c>
      <c r="I2357">
        <v>2.86</v>
      </c>
      <c r="J2357">
        <v>10</v>
      </c>
      <c r="K2357">
        <v>11282.28</v>
      </c>
      <c r="L2357">
        <v>0.3</v>
      </c>
    </row>
    <row r="2358" spans="1:12" x14ac:dyDescent="0.3">
      <c r="A2358" t="s">
        <v>2373</v>
      </c>
      <c r="B2358" t="s">
        <v>18</v>
      </c>
      <c r="C2358" t="s">
        <v>14</v>
      </c>
      <c r="D2358">
        <v>47</v>
      </c>
      <c r="E2358" s="1">
        <v>43118</v>
      </c>
      <c r="F2358">
        <v>2018</v>
      </c>
      <c r="G2358" t="s">
        <v>5037</v>
      </c>
      <c r="H2358">
        <v>18</v>
      </c>
      <c r="I2358">
        <v>2.57</v>
      </c>
      <c r="J2358">
        <v>10</v>
      </c>
      <c r="K2358">
        <v>9603.18</v>
      </c>
      <c r="L2358">
        <v>7.8</v>
      </c>
    </row>
    <row r="2359" spans="1:12" x14ac:dyDescent="0.3">
      <c r="A2359" t="s">
        <v>2374</v>
      </c>
      <c r="B2359" t="s">
        <v>34</v>
      </c>
      <c r="C2359" t="s">
        <v>11</v>
      </c>
      <c r="D2359">
        <v>48</v>
      </c>
      <c r="E2359" s="1">
        <v>40514</v>
      </c>
      <c r="F2359">
        <v>2010</v>
      </c>
      <c r="G2359" t="s">
        <v>5041</v>
      </c>
      <c r="H2359">
        <v>2</v>
      </c>
      <c r="I2359">
        <v>4.66</v>
      </c>
      <c r="J2359">
        <v>4</v>
      </c>
      <c r="K2359">
        <v>8759.6200000000008</v>
      </c>
      <c r="L2359">
        <v>14.9</v>
      </c>
    </row>
    <row r="2360" spans="1:12" x14ac:dyDescent="0.3">
      <c r="A2360" t="s">
        <v>2375</v>
      </c>
      <c r="B2360" t="s">
        <v>16</v>
      </c>
      <c r="C2360" t="s">
        <v>11</v>
      </c>
      <c r="D2360">
        <v>29</v>
      </c>
      <c r="E2360" s="1">
        <v>40773</v>
      </c>
      <c r="F2360">
        <v>2011</v>
      </c>
      <c r="G2360" t="s">
        <v>5031</v>
      </c>
      <c r="H2360">
        <v>18</v>
      </c>
      <c r="I2360">
        <v>3.18</v>
      </c>
      <c r="J2360">
        <v>1</v>
      </c>
      <c r="K2360">
        <v>11498.33</v>
      </c>
      <c r="L2360">
        <v>14.2</v>
      </c>
    </row>
    <row r="2361" spans="1:12" x14ac:dyDescent="0.3">
      <c r="A2361" t="s">
        <v>2376</v>
      </c>
      <c r="B2361" t="s">
        <v>24</v>
      </c>
      <c r="C2361" t="s">
        <v>14</v>
      </c>
      <c r="D2361">
        <v>28</v>
      </c>
      <c r="E2361" s="1">
        <v>43704</v>
      </c>
      <c r="F2361">
        <v>2019</v>
      </c>
      <c r="G2361" t="s">
        <v>5031</v>
      </c>
      <c r="H2361">
        <v>27</v>
      </c>
      <c r="I2361">
        <v>3.74</v>
      </c>
      <c r="J2361">
        <v>9</v>
      </c>
      <c r="K2361">
        <v>11725.52</v>
      </c>
      <c r="L2361">
        <v>6.2</v>
      </c>
    </row>
    <row r="2362" spans="1:12" x14ac:dyDescent="0.3">
      <c r="A2362" t="s">
        <v>2377</v>
      </c>
      <c r="B2362" t="s">
        <v>18</v>
      </c>
      <c r="C2362" t="s">
        <v>11</v>
      </c>
      <c r="D2362">
        <v>51</v>
      </c>
      <c r="E2362" s="1">
        <v>43433</v>
      </c>
      <c r="F2362">
        <v>2018</v>
      </c>
      <c r="G2362" t="s">
        <v>5038</v>
      </c>
      <c r="H2362">
        <v>29</v>
      </c>
      <c r="I2362">
        <v>1.58</v>
      </c>
      <c r="J2362">
        <v>15</v>
      </c>
      <c r="K2362">
        <v>5767.34</v>
      </c>
      <c r="L2362">
        <v>6.9</v>
      </c>
    </row>
    <row r="2363" spans="1:12" x14ac:dyDescent="0.3">
      <c r="A2363" t="s">
        <v>2378</v>
      </c>
      <c r="B2363" t="s">
        <v>16</v>
      </c>
      <c r="C2363" t="s">
        <v>11</v>
      </c>
      <c r="D2363">
        <v>60</v>
      </c>
      <c r="E2363" s="1">
        <v>41285</v>
      </c>
      <c r="F2363">
        <v>2013</v>
      </c>
      <c r="G2363" t="s">
        <v>5037</v>
      </c>
      <c r="H2363">
        <v>11</v>
      </c>
      <c r="I2363">
        <v>3.61</v>
      </c>
      <c r="J2363">
        <v>8</v>
      </c>
      <c r="K2363">
        <v>4228.6000000000004</v>
      </c>
      <c r="L2363">
        <v>12.8</v>
      </c>
    </row>
    <row r="2364" spans="1:12" x14ac:dyDescent="0.3">
      <c r="A2364" t="s">
        <v>2379</v>
      </c>
      <c r="B2364" t="s">
        <v>24</v>
      </c>
      <c r="C2364" t="s">
        <v>11</v>
      </c>
      <c r="D2364">
        <v>60</v>
      </c>
      <c r="E2364" s="1">
        <v>42263</v>
      </c>
      <c r="F2364">
        <v>2015</v>
      </c>
      <c r="G2364" t="s">
        <v>5033</v>
      </c>
      <c r="H2364">
        <v>16</v>
      </c>
      <c r="I2364">
        <v>2.2000000000000002</v>
      </c>
      <c r="J2364">
        <v>2</v>
      </c>
      <c r="K2364">
        <v>11760.44</v>
      </c>
      <c r="L2364">
        <v>10.1</v>
      </c>
    </row>
    <row r="2365" spans="1:12" x14ac:dyDescent="0.3">
      <c r="A2365" t="s">
        <v>2380</v>
      </c>
      <c r="B2365" t="s">
        <v>24</v>
      </c>
      <c r="C2365" t="s">
        <v>14</v>
      </c>
      <c r="D2365">
        <v>30</v>
      </c>
      <c r="E2365" s="1">
        <v>43117</v>
      </c>
      <c r="F2365">
        <v>2018</v>
      </c>
      <c r="G2365" t="s">
        <v>5037</v>
      </c>
      <c r="H2365">
        <v>17</v>
      </c>
      <c r="I2365">
        <v>2</v>
      </c>
      <c r="J2365">
        <v>6</v>
      </c>
      <c r="K2365">
        <v>14500.22</v>
      </c>
      <c r="L2365">
        <v>7.8</v>
      </c>
    </row>
    <row r="2366" spans="1:12" x14ac:dyDescent="0.3">
      <c r="A2366" t="s">
        <v>2381</v>
      </c>
      <c r="B2366" t="s">
        <v>24</v>
      </c>
      <c r="C2366" t="s">
        <v>11</v>
      </c>
      <c r="D2366">
        <v>36</v>
      </c>
      <c r="E2366" s="1">
        <v>45838</v>
      </c>
      <c r="F2366">
        <v>2025</v>
      </c>
      <c r="G2366" t="s">
        <v>5032</v>
      </c>
      <c r="H2366">
        <v>30</v>
      </c>
      <c r="I2366">
        <v>2.57</v>
      </c>
      <c r="J2366">
        <v>2</v>
      </c>
      <c r="K2366">
        <v>11583.6</v>
      </c>
      <c r="L2366">
        <v>0.3</v>
      </c>
    </row>
    <row r="2367" spans="1:12" x14ac:dyDescent="0.3">
      <c r="A2367" t="s">
        <v>2382</v>
      </c>
      <c r="B2367" t="s">
        <v>10</v>
      </c>
      <c r="C2367" t="s">
        <v>14</v>
      </c>
      <c r="D2367">
        <v>58</v>
      </c>
      <c r="E2367" s="1">
        <v>41238</v>
      </c>
      <c r="F2367">
        <v>2012</v>
      </c>
      <c r="G2367" t="s">
        <v>5038</v>
      </c>
      <c r="H2367">
        <v>25</v>
      </c>
      <c r="I2367">
        <v>3.98</v>
      </c>
      <c r="J2367">
        <v>7</v>
      </c>
      <c r="K2367">
        <v>4517.18</v>
      </c>
      <c r="L2367">
        <v>12.9</v>
      </c>
    </row>
    <row r="2368" spans="1:12" x14ac:dyDescent="0.3">
      <c r="A2368" t="s">
        <v>2383</v>
      </c>
      <c r="B2368" t="s">
        <v>16</v>
      </c>
      <c r="C2368" t="s">
        <v>11</v>
      </c>
      <c r="D2368">
        <v>30</v>
      </c>
      <c r="E2368" s="1">
        <v>45927</v>
      </c>
      <c r="F2368">
        <v>2025</v>
      </c>
      <c r="G2368" t="s">
        <v>5033</v>
      </c>
      <c r="H2368">
        <v>27</v>
      </c>
      <c r="I2368">
        <v>3.25</v>
      </c>
      <c r="J2368">
        <v>3</v>
      </c>
      <c r="K2368">
        <v>11229.45</v>
      </c>
      <c r="L2368">
        <v>0.1</v>
      </c>
    </row>
    <row r="2369" spans="1:12" x14ac:dyDescent="0.3">
      <c r="A2369" t="s">
        <v>2384</v>
      </c>
      <c r="B2369" t="s">
        <v>24</v>
      </c>
      <c r="C2369" t="s">
        <v>14</v>
      </c>
      <c r="D2369">
        <v>56</v>
      </c>
      <c r="E2369" s="1">
        <v>43933</v>
      </c>
      <c r="F2369">
        <v>2020</v>
      </c>
      <c r="G2369" t="s">
        <v>5040</v>
      </c>
      <c r="H2369">
        <v>12</v>
      </c>
      <c r="I2369">
        <v>3.62</v>
      </c>
      <c r="J2369">
        <v>7</v>
      </c>
      <c r="K2369">
        <v>13363.01</v>
      </c>
      <c r="L2369">
        <v>5.6</v>
      </c>
    </row>
    <row r="2370" spans="1:12" x14ac:dyDescent="0.3">
      <c r="A2370" t="s">
        <v>2385</v>
      </c>
      <c r="B2370" t="s">
        <v>13</v>
      </c>
      <c r="C2370" t="s">
        <v>14</v>
      </c>
      <c r="D2370">
        <v>37</v>
      </c>
      <c r="E2370" s="1">
        <v>43191</v>
      </c>
      <c r="F2370">
        <v>2018</v>
      </c>
      <c r="G2370" t="s">
        <v>5040</v>
      </c>
      <c r="H2370">
        <v>1</v>
      </c>
      <c r="I2370">
        <v>4.32</v>
      </c>
      <c r="J2370">
        <v>0</v>
      </c>
      <c r="K2370">
        <v>10606.09</v>
      </c>
      <c r="L2370">
        <v>7.6</v>
      </c>
    </row>
    <row r="2371" spans="1:12" x14ac:dyDescent="0.3">
      <c r="A2371" t="s">
        <v>2386</v>
      </c>
      <c r="B2371" t="s">
        <v>13</v>
      </c>
      <c r="C2371" t="s">
        <v>11</v>
      </c>
      <c r="D2371">
        <v>30</v>
      </c>
      <c r="E2371" s="1">
        <v>43007</v>
      </c>
      <c r="F2371">
        <v>2017</v>
      </c>
      <c r="G2371" t="s">
        <v>5033</v>
      </c>
      <c r="H2371">
        <v>29</v>
      </c>
      <c r="I2371">
        <v>4.83</v>
      </c>
      <c r="J2371">
        <v>11</v>
      </c>
      <c r="K2371">
        <v>8167.42</v>
      </c>
      <c r="L2371">
        <v>8.1</v>
      </c>
    </row>
    <row r="2372" spans="1:12" x14ac:dyDescent="0.3">
      <c r="A2372" t="s">
        <v>2387</v>
      </c>
      <c r="B2372" t="s">
        <v>16</v>
      </c>
      <c r="C2372" t="s">
        <v>14</v>
      </c>
      <c r="D2372">
        <v>39</v>
      </c>
      <c r="E2372" s="1">
        <v>42472</v>
      </c>
      <c r="F2372">
        <v>2016</v>
      </c>
      <c r="G2372" t="s">
        <v>5040</v>
      </c>
      <c r="H2372">
        <v>12</v>
      </c>
      <c r="I2372">
        <v>4.97</v>
      </c>
      <c r="J2372">
        <v>3</v>
      </c>
      <c r="K2372">
        <v>6211.57</v>
      </c>
      <c r="L2372">
        <v>9.6</v>
      </c>
    </row>
    <row r="2373" spans="1:12" x14ac:dyDescent="0.3">
      <c r="A2373" t="s">
        <v>2388</v>
      </c>
      <c r="B2373" t="s">
        <v>34</v>
      </c>
      <c r="C2373" t="s">
        <v>11</v>
      </c>
      <c r="D2373">
        <v>42</v>
      </c>
      <c r="E2373" s="1">
        <v>43801</v>
      </c>
      <c r="F2373">
        <v>2019</v>
      </c>
      <c r="G2373" t="s">
        <v>5041</v>
      </c>
      <c r="H2373">
        <v>2</v>
      </c>
      <c r="I2373">
        <v>2.76</v>
      </c>
      <c r="J2373">
        <v>2</v>
      </c>
      <c r="K2373">
        <v>6860.05</v>
      </c>
      <c r="L2373">
        <v>5.9</v>
      </c>
    </row>
    <row r="2374" spans="1:12" x14ac:dyDescent="0.3">
      <c r="A2374" t="s">
        <v>2389</v>
      </c>
      <c r="B2374" t="s">
        <v>16</v>
      </c>
      <c r="C2374" t="s">
        <v>14</v>
      </c>
      <c r="D2374">
        <v>28</v>
      </c>
      <c r="E2374" s="1">
        <v>43803</v>
      </c>
      <c r="F2374">
        <v>2019</v>
      </c>
      <c r="G2374" t="s">
        <v>5041</v>
      </c>
      <c r="H2374">
        <v>4</v>
      </c>
      <c r="I2374">
        <v>4.37</v>
      </c>
      <c r="J2374">
        <v>2</v>
      </c>
      <c r="K2374">
        <v>8825.4500000000007</v>
      </c>
      <c r="L2374">
        <v>5.9</v>
      </c>
    </row>
    <row r="2375" spans="1:12" x14ac:dyDescent="0.3">
      <c r="A2375" t="s">
        <v>2390</v>
      </c>
      <c r="B2375" t="s">
        <v>18</v>
      </c>
      <c r="C2375" t="s">
        <v>14</v>
      </c>
      <c r="D2375">
        <v>51</v>
      </c>
      <c r="E2375" s="1">
        <v>40655</v>
      </c>
      <c r="F2375">
        <v>2011</v>
      </c>
      <c r="G2375" t="s">
        <v>5040</v>
      </c>
      <c r="H2375">
        <v>22</v>
      </c>
      <c r="I2375">
        <v>3.18</v>
      </c>
      <c r="J2375">
        <v>7</v>
      </c>
      <c r="K2375">
        <v>9661.8799999999992</v>
      </c>
      <c r="L2375">
        <v>14.5</v>
      </c>
    </row>
    <row r="2376" spans="1:12" x14ac:dyDescent="0.3">
      <c r="A2376" t="s">
        <v>2391</v>
      </c>
      <c r="B2376" t="s">
        <v>24</v>
      </c>
      <c r="C2376" t="s">
        <v>11</v>
      </c>
      <c r="D2376">
        <v>60</v>
      </c>
      <c r="E2376" s="1">
        <v>43786</v>
      </c>
      <c r="F2376">
        <v>2019</v>
      </c>
      <c r="G2376" t="s">
        <v>5038</v>
      </c>
      <c r="H2376">
        <v>17</v>
      </c>
      <c r="I2376">
        <v>1.69</v>
      </c>
      <c r="J2376">
        <v>5</v>
      </c>
      <c r="K2376">
        <v>4349.72</v>
      </c>
      <c r="L2376">
        <v>6</v>
      </c>
    </row>
    <row r="2377" spans="1:12" x14ac:dyDescent="0.3">
      <c r="A2377" t="s">
        <v>2392</v>
      </c>
      <c r="B2377" t="s">
        <v>10</v>
      </c>
      <c r="C2377" t="s">
        <v>11</v>
      </c>
      <c r="D2377">
        <v>35</v>
      </c>
      <c r="E2377" s="1">
        <v>40728</v>
      </c>
      <c r="F2377">
        <v>2011</v>
      </c>
      <c r="G2377" t="s">
        <v>5034</v>
      </c>
      <c r="H2377">
        <v>4</v>
      </c>
      <c r="I2377">
        <v>2.09</v>
      </c>
      <c r="J2377">
        <v>13</v>
      </c>
      <c r="K2377">
        <v>4618.87</v>
      </c>
      <c r="L2377">
        <v>14.3</v>
      </c>
    </row>
    <row r="2378" spans="1:12" x14ac:dyDescent="0.3">
      <c r="A2378" t="s">
        <v>2393</v>
      </c>
      <c r="B2378" t="s">
        <v>34</v>
      </c>
      <c r="C2378" t="s">
        <v>11</v>
      </c>
      <c r="D2378">
        <v>27</v>
      </c>
      <c r="E2378" s="1">
        <v>41803</v>
      </c>
      <c r="F2378">
        <v>2014</v>
      </c>
      <c r="G2378" t="s">
        <v>5032</v>
      </c>
      <c r="H2378">
        <v>13</v>
      </c>
      <c r="I2378">
        <v>2.79</v>
      </c>
      <c r="J2378">
        <v>4</v>
      </c>
      <c r="K2378">
        <v>3482.62</v>
      </c>
      <c r="L2378">
        <v>11.4</v>
      </c>
    </row>
    <row r="2379" spans="1:12" x14ac:dyDescent="0.3">
      <c r="A2379" t="s">
        <v>2394</v>
      </c>
      <c r="B2379" t="s">
        <v>13</v>
      </c>
      <c r="C2379" t="s">
        <v>14</v>
      </c>
      <c r="D2379">
        <v>49</v>
      </c>
      <c r="E2379" s="1">
        <v>43897</v>
      </c>
      <c r="F2379">
        <v>2020</v>
      </c>
      <c r="G2379" t="s">
        <v>5035</v>
      </c>
      <c r="H2379">
        <v>7</v>
      </c>
      <c r="I2379">
        <v>2.96</v>
      </c>
      <c r="J2379">
        <v>11</v>
      </c>
      <c r="K2379">
        <v>14959.72</v>
      </c>
      <c r="L2379">
        <v>5.7</v>
      </c>
    </row>
    <row r="2380" spans="1:12" x14ac:dyDescent="0.3">
      <c r="A2380" t="s">
        <v>2395</v>
      </c>
      <c r="B2380" t="s">
        <v>10</v>
      </c>
      <c r="C2380" t="s">
        <v>14</v>
      </c>
      <c r="D2380">
        <v>37</v>
      </c>
      <c r="E2380" s="1">
        <v>44602</v>
      </c>
      <c r="F2380">
        <v>2022</v>
      </c>
      <c r="G2380" t="s">
        <v>5042</v>
      </c>
      <c r="H2380">
        <v>10</v>
      </c>
      <c r="I2380">
        <v>2.4</v>
      </c>
      <c r="J2380">
        <v>14</v>
      </c>
      <c r="K2380">
        <v>4606.07</v>
      </c>
      <c r="L2380">
        <v>3.7</v>
      </c>
    </row>
    <row r="2381" spans="1:12" x14ac:dyDescent="0.3">
      <c r="A2381" t="s">
        <v>2396</v>
      </c>
      <c r="B2381" t="s">
        <v>10</v>
      </c>
      <c r="C2381" t="s">
        <v>14</v>
      </c>
      <c r="D2381">
        <v>30</v>
      </c>
      <c r="E2381" s="1">
        <v>42470</v>
      </c>
      <c r="F2381">
        <v>2016</v>
      </c>
      <c r="G2381" t="s">
        <v>5040</v>
      </c>
      <c r="H2381">
        <v>10</v>
      </c>
      <c r="I2381">
        <v>2.93</v>
      </c>
      <c r="J2381">
        <v>15</v>
      </c>
      <c r="K2381">
        <v>10243.86</v>
      </c>
      <c r="L2381">
        <v>9.6</v>
      </c>
    </row>
    <row r="2382" spans="1:12" x14ac:dyDescent="0.3">
      <c r="A2382" t="s">
        <v>2397</v>
      </c>
      <c r="B2382" t="s">
        <v>34</v>
      </c>
      <c r="C2382" t="s">
        <v>11</v>
      </c>
      <c r="D2382">
        <v>23</v>
      </c>
      <c r="E2382" s="1">
        <v>40553</v>
      </c>
      <c r="F2382">
        <v>2011</v>
      </c>
      <c r="G2382" t="s">
        <v>5037</v>
      </c>
      <c r="H2382">
        <v>10</v>
      </c>
      <c r="I2382">
        <v>2.4300000000000002</v>
      </c>
      <c r="J2382">
        <v>0</v>
      </c>
      <c r="K2382">
        <v>10043.23</v>
      </c>
      <c r="L2382">
        <v>14.8</v>
      </c>
    </row>
    <row r="2383" spans="1:12" x14ac:dyDescent="0.3">
      <c r="A2383" t="s">
        <v>2398</v>
      </c>
      <c r="B2383" t="s">
        <v>34</v>
      </c>
      <c r="C2383" t="s">
        <v>14</v>
      </c>
      <c r="D2383">
        <v>44</v>
      </c>
      <c r="E2383" s="1">
        <v>41465</v>
      </c>
      <c r="F2383">
        <v>2013</v>
      </c>
      <c r="G2383" t="s">
        <v>5034</v>
      </c>
      <c r="H2383">
        <v>10</v>
      </c>
      <c r="I2383">
        <v>4.0599999999999996</v>
      </c>
      <c r="J2383">
        <v>8</v>
      </c>
      <c r="K2383">
        <v>3918.02</v>
      </c>
      <c r="L2383">
        <v>12.3</v>
      </c>
    </row>
    <row r="2384" spans="1:12" x14ac:dyDescent="0.3">
      <c r="A2384" t="s">
        <v>2399</v>
      </c>
      <c r="B2384" t="s">
        <v>16</v>
      </c>
      <c r="C2384" t="s">
        <v>14</v>
      </c>
      <c r="D2384">
        <v>22</v>
      </c>
      <c r="E2384" s="1">
        <v>42494</v>
      </c>
      <c r="F2384">
        <v>2016</v>
      </c>
      <c r="G2384" t="s">
        <v>5036</v>
      </c>
      <c r="H2384">
        <v>4</v>
      </c>
      <c r="I2384">
        <v>1.6</v>
      </c>
      <c r="J2384">
        <v>15</v>
      </c>
      <c r="K2384">
        <v>8707.19</v>
      </c>
      <c r="L2384">
        <v>9.5</v>
      </c>
    </row>
    <row r="2385" spans="1:12" x14ac:dyDescent="0.3">
      <c r="A2385" t="s">
        <v>2400</v>
      </c>
      <c r="B2385" t="s">
        <v>34</v>
      </c>
      <c r="C2385" t="s">
        <v>11</v>
      </c>
      <c r="D2385">
        <v>45</v>
      </c>
      <c r="E2385" s="1">
        <v>44744</v>
      </c>
      <c r="F2385">
        <v>2022</v>
      </c>
      <c r="G2385" t="s">
        <v>5034</v>
      </c>
      <c r="H2385">
        <v>2</v>
      </c>
      <c r="I2385">
        <v>4.32</v>
      </c>
      <c r="J2385">
        <v>11</v>
      </c>
      <c r="K2385">
        <v>8032.17</v>
      </c>
      <c r="L2385">
        <v>3.3</v>
      </c>
    </row>
    <row r="2386" spans="1:12" x14ac:dyDescent="0.3">
      <c r="A2386" t="s">
        <v>2401</v>
      </c>
      <c r="B2386" t="s">
        <v>18</v>
      </c>
      <c r="C2386" t="s">
        <v>14</v>
      </c>
      <c r="D2386">
        <v>50</v>
      </c>
      <c r="E2386" s="1">
        <v>45490</v>
      </c>
      <c r="F2386">
        <v>2024</v>
      </c>
      <c r="G2386" t="s">
        <v>5034</v>
      </c>
      <c r="H2386">
        <v>17</v>
      </c>
      <c r="I2386">
        <v>3.96</v>
      </c>
      <c r="J2386">
        <v>12</v>
      </c>
      <c r="K2386">
        <v>11906.15</v>
      </c>
      <c r="L2386">
        <v>1.3</v>
      </c>
    </row>
    <row r="2387" spans="1:12" x14ac:dyDescent="0.3">
      <c r="A2387" t="s">
        <v>2402</v>
      </c>
      <c r="B2387" t="s">
        <v>10</v>
      </c>
      <c r="C2387" t="s">
        <v>14</v>
      </c>
      <c r="D2387">
        <v>48</v>
      </c>
      <c r="E2387" s="1">
        <v>41575</v>
      </c>
      <c r="F2387">
        <v>2013</v>
      </c>
      <c r="G2387" t="s">
        <v>5039</v>
      </c>
      <c r="H2387">
        <v>28</v>
      </c>
      <c r="I2387">
        <v>2.78</v>
      </c>
      <c r="J2387">
        <v>2</v>
      </c>
      <c r="K2387">
        <v>8681.14</v>
      </c>
      <c r="L2387">
        <v>12</v>
      </c>
    </row>
    <row r="2388" spans="1:12" x14ac:dyDescent="0.3">
      <c r="A2388" t="s">
        <v>2403</v>
      </c>
      <c r="B2388" t="s">
        <v>13</v>
      </c>
      <c r="C2388" t="s">
        <v>11</v>
      </c>
      <c r="D2388">
        <v>30</v>
      </c>
      <c r="E2388" s="1">
        <v>41137</v>
      </c>
      <c r="F2388">
        <v>2012</v>
      </c>
      <c r="G2388" t="s">
        <v>5031</v>
      </c>
      <c r="H2388">
        <v>16</v>
      </c>
      <c r="I2388">
        <v>3.67</v>
      </c>
      <c r="J2388">
        <v>6</v>
      </c>
      <c r="K2388">
        <v>12350.49</v>
      </c>
      <c r="L2388">
        <v>13.2</v>
      </c>
    </row>
    <row r="2389" spans="1:12" x14ac:dyDescent="0.3">
      <c r="A2389" t="s">
        <v>2404</v>
      </c>
      <c r="B2389" t="s">
        <v>18</v>
      </c>
      <c r="C2389" t="s">
        <v>14</v>
      </c>
      <c r="D2389">
        <v>56</v>
      </c>
      <c r="E2389" s="1">
        <v>45282</v>
      </c>
      <c r="F2389">
        <v>2023</v>
      </c>
      <c r="G2389" t="s">
        <v>5041</v>
      </c>
      <c r="H2389">
        <v>22</v>
      </c>
      <c r="I2389">
        <v>1.68</v>
      </c>
      <c r="J2389">
        <v>13</v>
      </c>
      <c r="K2389">
        <v>7177.98</v>
      </c>
      <c r="L2389">
        <v>1.9</v>
      </c>
    </row>
    <row r="2390" spans="1:12" x14ac:dyDescent="0.3">
      <c r="A2390" t="s">
        <v>2405</v>
      </c>
      <c r="B2390" t="s">
        <v>13</v>
      </c>
      <c r="C2390" t="s">
        <v>11</v>
      </c>
      <c r="D2390">
        <v>33</v>
      </c>
      <c r="E2390" s="1">
        <v>41955</v>
      </c>
      <c r="F2390">
        <v>2014</v>
      </c>
      <c r="G2390" t="s">
        <v>5038</v>
      </c>
      <c r="H2390">
        <v>12</v>
      </c>
      <c r="I2390">
        <v>2.0499999999999998</v>
      </c>
      <c r="J2390">
        <v>4</v>
      </c>
      <c r="K2390">
        <v>9021.5300000000007</v>
      </c>
      <c r="L2390">
        <v>11</v>
      </c>
    </row>
    <row r="2391" spans="1:12" x14ac:dyDescent="0.3">
      <c r="A2391" t="s">
        <v>2406</v>
      </c>
      <c r="B2391" t="s">
        <v>24</v>
      </c>
      <c r="C2391" t="s">
        <v>14</v>
      </c>
      <c r="D2391">
        <v>46</v>
      </c>
      <c r="E2391" s="1">
        <v>43749</v>
      </c>
      <c r="F2391">
        <v>2019</v>
      </c>
      <c r="G2391" t="s">
        <v>5039</v>
      </c>
      <c r="H2391">
        <v>11</v>
      </c>
      <c r="I2391">
        <v>2.5299999999999998</v>
      </c>
      <c r="J2391">
        <v>10</v>
      </c>
      <c r="K2391">
        <v>12130.71</v>
      </c>
      <c r="L2391">
        <v>6.1</v>
      </c>
    </row>
    <row r="2392" spans="1:12" x14ac:dyDescent="0.3">
      <c r="A2392" t="s">
        <v>2407</v>
      </c>
      <c r="B2392" t="s">
        <v>24</v>
      </c>
      <c r="C2392" t="s">
        <v>11</v>
      </c>
      <c r="D2392">
        <v>37</v>
      </c>
      <c r="E2392" s="1">
        <v>43944</v>
      </c>
      <c r="F2392">
        <v>2020</v>
      </c>
      <c r="G2392" t="s">
        <v>5040</v>
      </c>
      <c r="H2392">
        <v>23</v>
      </c>
      <c r="I2392">
        <v>3.02</v>
      </c>
      <c r="J2392">
        <v>11</v>
      </c>
      <c r="K2392">
        <v>14110.28</v>
      </c>
      <c r="L2392">
        <v>5.5</v>
      </c>
    </row>
    <row r="2393" spans="1:12" x14ac:dyDescent="0.3">
      <c r="A2393" t="s">
        <v>2408</v>
      </c>
      <c r="B2393" t="s">
        <v>24</v>
      </c>
      <c r="C2393" t="s">
        <v>14</v>
      </c>
      <c r="D2393">
        <v>32</v>
      </c>
      <c r="E2393" s="1">
        <v>41022</v>
      </c>
      <c r="F2393">
        <v>2012</v>
      </c>
      <c r="G2393" t="s">
        <v>5040</v>
      </c>
      <c r="H2393">
        <v>23</v>
      </c>
      <c r="I2393">
        <v>4.6900000000000004</v>
      </c>
      <c r="J2393">
        <v>4</v>
      </c>
      <c r="K2393">
        <v>4329.2700000000004</v>
      </c>
      <c r="L2393">
        <v>13.5</v>
      </c>
    </row>
    <row r="2394" spans="1:12" x14ac:dyDescent="0.3">
      <c r="A2394" t="s">
        <v>2409</v>
      </c>
      <c r="B2394" t="s">
        <v>13</v>
      </c>
      <c r="C2394" t="s">
        <v>14</v>
      </c>
      <c r="D2394">
        <v>26</v>
      </c>
      <c r="E2394" s="1">
        <v>43291</v>
      </c>
      <c r="F2394">
        <v>2018</v>
      </c>
      <c r="G2394" t="s">
        <v>5034</v>
      </c>
      <c r="H2394">
        <v>10</v>
      </c>
      <c r="I2394">
        <v>3.5</v>
      </c>
      <c r="J2394">
        <v>12</v>
      </c>
      <c r="K2394">
        <v>11375.11</v>
      </c>
      <c r="L2394">
        <v>7.3</v>
      </c>
    </row>
    <row r="2395" spans="1:12" x14ac:dyDescent="0.3">
      <c r="A2395" t="s">
        <v>2410</v>
      </c>
      <c r="B2395" t="s">
        <v>24</v>
      </c>
      <c r="C2395" t="s">
        <v>11</v>
      </c>
      <c r="D2395">
        <v>32</v>
      </c>
      <c r="E2395" s="1">
        <v>42939</v>
      </c>
      <c r="F2395">
        <v>2017</v>
      </c>
      <c r="G2395" t="s">
        <v>5034</v>
      </c>
      <c r="H2395">
        <v>23</v>
      </c>
      <c r="I2395">
        <v>2.76</v>
      </c>
      <c r="J2395">
        <v>15</v>
      </c>
      <c r="K2395">
        <v>6399.45</v>
      </c>
      <c r="L2395">
        <v>8.3000000000000007</v>
      </c>
    </row>
    <row r="2396" spans="1:12" x14ac:dyDescent="0.3">
      <c r="A2396" t="s">
        <v>2411</v>
      </c>
      <c r="B2396" t="s">
        <v>18</v>
      </c>
      <c r="C2396" t="s">
        <v>14</v>
      </c>
      <c r="D2396">
        <v>23</v>
      </c>
      <c r="E2396" s="1">
        <v>43517</v>
      </c>
      <c r="F2396">
        <v>2019</v>
      </c>
      <c r="G2396" t="s">
        <v>5042</v>
      </c>
      <c r="H2396">
        <v>21</v>
      </c>
      <c r="I2396">
        <v>4.08</v>
      </c>
      <c r="J2396">
        <v>1</v>
      </c>
      <c r="K2396">
        <v>12838.25</v>
      </c>
      <c r="L2396">
        <v>6.7</v>
      </c>
    </row>
    <row r="2397" spans="1:12" x14ac:dyDescent="0.3">
      <c r="A2397" t="s">
        <v>2412</v>
      </c>
      <c r="B2397" t="s">
        <v>18</v>
      </c>
      <c r="C2397" t="s">
        <v>11</v>
      </c>
      <c r="D2397">
        <v>28</v>
      </c>
      <c r="E2397" s="1">
        <v>42775</v>
      </c>
      <c r="F2397">
        <v>2017</v>
      </c>
      <c r="G2397" t="s">
        <v>5042</v>
      </c>
      <c r="H2397">
        <v>9</v>
      </c>
      <c r="I2397">
        <v>2.12</v>
      </c>
      <c r="J2397">
        <v>4</v>
      </c>
      <c r="K2397">
        <v>10204.75</v>
      </c>
      <c r="L2397">
        <v>8.6999999999999993</v>
      </c>
    </row>
    <row r="2398" spans="1:12" x14ac:dyDescent="0.3">
      <c r="A2398" t="s">
        <v>2413</v>
      </c>
      <c r="B2398" t="s">
        <v>34</v>
      </c>
      <c r="C2398" t="s">
        <v>11</v>
      </c>
      <c r="D2398">
        <v>57</v>
      </c>
      <c r="E2398" s="1">
        <v>43031</v>
      </c>
      <c r="F2398">
        <v>2017</v>
      </c>
      <c r="G2398" t="s">
        <v>5039</v>
      </c>
      <c r="H2398">
        <v>23</v>
      </c>
      <c r="I2398">
        <v>4.95</v>
      </c>
      <c r="J2398">
        <v>5</v>
      </c>
      <c r="K2398">
        <v>10401.92</v>
      </c>
      <c r="L2398">
        <v>8</v>
      </c>
    </row>
    <row r="2399" spans="1:12" x14ac:dyDescent="0.3">
      <c r="A2399" t="s">
        <v>2414</v>
      </c>
      <c r="B2399" t="s">
        <v>24</v>
      </c>
      <c r="C2399" t="s">
        <v>11</v>
      </c>
      <c r="D2399">
        <v>48</v>
      </c>
      <c r="E2399" s="1">
        <v>44886</v>
      </c>
      <c r="F2399">
        <v>2022</v>
      </c>
      <c r="G2399" t="s">
        <v>5038</v>
      </c>
      <c r="H2399">
        <v>21</v>
      </c>
      <c r="I2399">
        <v>2.1</v>
      </c>
      <c r="J2399">
        <v>4</v>
      </c>
      <c r="K2399">
        <v>7183.89</v>
      </c>
      <c r="L2399">
        <v>2.9</v>
      </c>
    </row>
    <row r="2400" spans="1:12" x14ac:dyDescent="0.3">
      <c r="A2400" t="s">
        <v>2415</v>
      </c>
      <c r="B2400" t="s">
        <v>18</v>
      </c>
      <c r="C2400" t="s">
        <v>11</v>
      </c>
      <c r="D2400">
        <v>31</v>
      </c>
      <c r="E2400" s="1">
        <v>44659</v>
      </c>
      <c r="F2400">
        <v>2022</v>
      </c>
      <c r="G2400" t="s">
        <v>5040</v>
      </c>
      <c r="H2400">
        <v>8</v>
      </c>
      <c r="I2400">
        <v>1.94</v>
      </c>
      <c r="J2400">
        <v>2</v>
      </c>
      <c r="K2400">
        <v>3314.6</v>
      </c>
      <c r="L2400">
        <v>3.6</v>
      </c>
    </row>
    <row r="2401" spans="1:12" x14ac:dyDescent="0.3">
      <c r="A2401" t="s">
        <v>2416</v>
      </c>
      <c r="B2401" t="s">
        <v>16</v>
      </c>
      <c r="C2401" t="s">
        <v>11</v>
      </c>
      <c r="D2401">
        <v>46</v>
      </c>
      <c r="E2401" s="1">
        <v>40552</v>
      </c>
      <c r="F2401">
        <v>2011</v>
      </c>
      <c r="G2401" t="s">
        <v>5037</v>
      </c>
      <c r="H2401">
        <v>9</v>
      </c>
      <c r="I2401">
        <v>1.54</v>
      </c>
      <c r="J2401">
        <v>13</v>
      </c>
      <c r="K2401">
        <v>9904.09</v>
      </c>
      <c r="L2401">
        <v>14.8</v>
      </c>
    </row>
    <row r="2402" spans="1:12" x14ac:dyDescent="0.3">
      <c r="A2402" t="s">
        <v>2417</v>
      </c>
      <c r="B2402" t="s">
        <v>16</v>
      </c>
      <c r="C2402" t="s">
        <v>11</v>
      </c>
      <c r="D2402">
        <v>47</v>
      </c>
      <c r="E2402" s="1">
        <v>45400</v>
      </c>
      <c r="F2402">
        <v>2024</v>
      </c>
      <c r="G2402" t="s">
        <v>5040</v>
      </c>
      <c r="H2402">
        <v>18</v>
      </c>
      <c r="I2402">
        <v>1.72</v>
      </c>
      <c r="J2402">
        <v>5</v>
      </c>
      <c r="K2402">
        <v>10888.05</v>
      </c>
      <c r="L2402">
        <v>1.5</v>
      </c>
    </row>
    <row r="2403" spans="1:12" x14ac:dyDescent="0.3">
      <c r="A2403" t="s">
        <v>2418</v>
      </c>
      <c r="B2403" t="s">
        <v>16</v>
      </c>
      <c r="C2403" t="s">
        <v>14</v>
      </c>
      <c r="D2403">
        <v>39</v>
      </c>
      <c r="E2403" s="1">
        <v>42154</v>
      </c>
      <c r="F2403">
        <v>2015</v>
      </c>
      <c r="G2403" t="s">
        <v>5036</v>
      </c>
      <c r="H2403">
        <v>30</v>
      </c>
      <c r="I2403">
        <v>2.66</v>
      </c>
      <c r="J2403">
        <v>8</v>
      </c>
      <c r="K2403">
        <v>12641.43</v>
      </c>
      <c r="L2403">
        <v>10.4</v>
      </c>
    </row>
    <row r="2404" spans="1:12" x14ac:dyDescent="0.3">
      <c r="A2404" t="s">
        <v>2419</v>
      </c>
      <c r="B2404" t="s">
        <v>18</v>
      </c>
      <c r="C2404" t="s">
        <v>14</v>
      </c>
      <c r="D2404">
        <v>23</v>
      </c>
      <c r="E2404" s="1">
        <v>43887</v>
      </c>
      <c r="F2404">
        <v>2020</v>
      </c>
      <c r="G2404" t="s">
        <v>5042</v>
      </c>
      <c r="H2404">
        <v>26</v>
      </c>
      <c r="I2404">
        <v>2.63</v>
      </c>
      <c r="J2404">
        <v>8</v>
      </c>
      <c r="K2404">
        <v>12643.07</v>
      </c>
      <c r="L2404">
        <v>5.7</v>
      </c>
    </row>
    <row r="2405" spans="1:12" x14ac:dyDescent="0.3">
      <c r="A2405" t="s">
        <v>2420</v>
      </c>
      <c r="B2405" t="s">
        <v>18</v>
      </c>
      <c r="C2405" t="s">
        <v>14</v>
      </c>
      <c r="D2405">
        <v>37</v>
      </c>
      <c r="E2405" s="1">
        <v>43903</v>
      </c>
      <c r="F2405">
        <v>2020</v>
      </c>
      <c r="G2405" t="s">
        <v>5035</v>
      </c>
      <c r="H2405">
        <v>13</v>
      </c>
      <c r="I2405">
        <v>4.92</v>
      </c>
      <c r="J2405">
        <v>9</v>
      </c>
      <c r="K2405">
        <v>4295.79</v>
      </c>
      <c r="L2405">
        <v>5.6</v>
      </c>
    </row>
    <row r="2406" spans="1:12" x14ac:dyDescent="0.3">
      <c r="A2406" t="s">
        <v>2421</v>
      </c>
      <c r="B2406" t="s">
        <v>34</v>
      </c>
      <c r="C2406" t="s">
        <v>11</v>
      </c>
      <c r="D2406">
        <v>22</v>
      </c>
      <c r="E2406" s="1">
        <v>44135</v>
      </c>
      <c r="F2406">
        <v>2020</v>
      </c>
      <c r="G2406" t="s">
        <v>5039</v>
      </c>
      <c r="H2406">
        <v>31</v>
      </c>
      <c r="I2406">
        <v>2.79</v>
      </c>
      <c r="J2406">
        <v>2</v>
      </c>
      <c r="K2406">
        <v>11856.44</v>
      </c>
      <c r="L2406">
        <v>5</v>
      </c>
    </row>
    <row r="2407" spans="1:12" x14ac:dyDescent="0.3">
      <c r="A2407" t="s">
        <v>2422</v>
      </c>
      <c r="B2407" t="s">
        <v>24</v>
      </c>
      <c r="C2407" t="s">
        <v>14</v>
      </c>
      <c r="D2407">
        <v>37</v>
      </c>
      <c r="E2407" s="1">
        <v>44400</v>
      </c>
      <c r="F2407">
        <v>2021</v>
      </c>
      <c r="G2407" t="s">
        <v>5034</v>
      </c>
      <c r="H2407">
        <v>23</v>
      </c>
      <c r="I2407">
        <v>4.9800000000000004</v>
      </c>
      <c r="J2407">
        <v>4</v>
      </c>
      <c r="K2407">
        <v>12853.09</v>
      </c>
      <c r="L2407">
        <v>4.3</v>
      </c>
    </row>
    <row r="2408" spans="1:12" x14ac:dyDescent="0.3">
      <c r="A2408" t="s">
        <v>2423</v>
      </c>
      <c r="B2408" t="s">
        <v>18</v>
      </c>
      <c r="C2408" t="s">
        <v>11</v>
      </c>
      <c r="D2408">
        <v>51</v>
      </c>
      <c r="E2408" s="1">
        <v>43131</v>
      </c>
      <c r="F2408">
        <v>2018</v>
      </c>
      <c r="G2408" t="s">
        <v>5037</v>
      </c>
      <c r="H2408">
        <v>31</v>
      </c>
      <c r="I2408">
        <v>4.33</v>
      </c>
      <c r="J2408">
        <v>1</v>
      </c>
      <c r="K2408">
        <v>11400.11</v>
      </c>
      <c r="L2408">
        <v>7.8</v>
      </c>
    </row>
    <row r="2409" spans="1:12" x14ac:dyDescent="0.3">
      <c r="A2409" t="s">
        <v>2424</v>
      </c>
      <c r="B2409" t="s">
        <v>13</v>
      </c>
      <c r="C2409" t="s">
        <v>11</v>
      </c>
      <c r="D2409">
        <v>44</v>
      </c>
      <c r="E2409" s="1">
        <v>45328</v>
      </c>
      <c r="F2409">
        <v>2024</v>
      </c>
      <c r="G2409" t="s">
        <v>5042</v>
      </c>
      <c r="H2409">
        <v>6</v>
      </c>
      <c r="I2409">
        <v>2.23</v>
      </c>
      <c r="J2409">
        <v>6</v>
      </c>
      <c r="K2409">
        <v>5388.61</v>
      </c>
      <c r="L2409">
        <v>1.7</v>
      </c>
    </row>
    <row r="2410" spans="1:12" x14ac:dyDescent="0.3">
      <c r="A2410" t="s">
        <v>2425</v>
      </c>
      <c r="B2410" t="s">
        <v>24</v>
      </c>
      <c r="C2410" t="s">
        <v>14</v>
      </c>
      <c r="D2410">
        <v>42</v>
      </c>
      <c r="E2410" s="1">
        <v>44385</v>
      </c>
      <c r="F2410">
        <v>2021</v>
      </c>
      <c r="G2410" t="s">
        <v>5034</v>
      </c>
      <c r="H2410">
        <v>8</v>
      </c>
      <c r="I2410">
        <v>4.24</v>
      </c>
      <c r="J2410">
        <v>7</v>
      </c>
      <c r="K2410">
        <v>10884.07</v>
      </c>
      <c r="L2410">
        <v>4.3</v>
      </c>
    </row>
    <row r="2411" spans="1:12" x14ac:dyDescent="0.3">
      <c r="A2411" t="s">
        <v>2426</v>
      </c>
      <c r="B2411" t="s">
        <v>13</v>
      </c>
      <c r="C2411" t="s">
        <v>14</v>
      </c>
      <c r="D2411">
        <v>37</v>
      </c>
      <c r="E2411" s="1">
        <v>41728</v>
      </c>
      <c r="F2411">
        <v>2014</v>
      </c>
      <c r="G2411" t="s">
        <v>5035</v>
      </c>
      <c r="H2411">
        <v>30</v>
      </c>
      <c r="I2411">
        <v>4.5</v>
      </c>
      <c r="J2411">
        <v>3</v>
      </c>
      <c r="K2411">
        <v>7095.2</v>
      </c>
      <c r="L2411">
        <v>11.6</v>
      </c>
    </row>
    <row r="2412" spans="1:12" x14ac:dyDescent="0.3">
      <c r="A2412" t="s">
        <v>2427</v>
      </c>
      <c r="B2412" t="s">
        <v>16</v>
      </c>
      <c r="C2412" t="s">
        <v>11</v>
      </c>
      <c r="D2412">
        <v>29</v>
      </c>
      <c r="E2412" s="1">
        <v>45570</v>
      </c>
      <c r="F2412">
        <v>2024</v>
      </c>
      <c r="G2412" t="s">
        <v>5039</v>
      </c>
      <c r="H2412">
        <v>5</v>
      </c>
      <c r="I2412">
        <v>2.42</v>
      </c>
      <c r="J2412">
        <v>3</v>
      </c>
      <c r="K2412">
        <v>6100.97</v>
      </c>
      <c r="L2412">
        <v>1.1000000000000001</v>
      </c>
    </row>
    <row r="2413" spans="1:12" x14ac:dyDescent="0.3">
      <c r="A2413" t="s">
        <v>2428</v>
      </c>
      <c r="B2413" t="s">
        <v>18</v>
      </c>
      <c r="C2413" t="s">
        <v>11</v>
      </c>
      <c r="D2413">
        <v>48</v>
      </c>
      <c r="E2413" s="1">
        <v>42488</v>
      </c>
      <c r="F2413">
        <v>2016</v>
      </c>
      <c r="G2413" t="s">
        <v>5040</v>
      </c>
      <c r="H2413">
        <v>28</v>
      </c>
      <c r="I2413">
        <v>2.84</v>
      </c>
      <c r="J2413">
        <v>13</v>
      </c>
      <c r="K2413">
        <v>12344.93</v>
      </c>
      <c r="L2413">
        <v>9.5</v>
      </c>
    </row>
    <row r="2414" spans="1:12" x14ac:dyDescent="0.3">
      <c r="A2414" t="s">
        <v>2429</v>
      </c>
      <c r="B2414" t="s">
        <v>24</v>
      </c>
      <c r="C2414" t="s">
        <v>11</v>
      </c>
      <c r="D2414">
        <v>30</v>
      </c>
      <c r="E2414" s="1">
        <v>42250</v>
      </c>
      <c r="F2414">
        <v>2015</v>
      </c>
      <c r="G2414" t="s">
        <v>5033</v>
      </c>
      <c r="H2414">
        <v>3</v>
      </c>
      <c r="I2414">
        <v>4.95</v>
      </c>
      <c r="J2414">
        <v>10</v>
      </c>
      <c r="K2414">
        <v>8309.25</v>
      </c>
      <c r="L2414">
        <v>10.199999999999999</v>
      </c>
    </row>
    <row r="2415" spans="1:12" x14ac:dyDescent="0.3">
      <c r="A2415" t="s">
        <v>2430</v>
      </c>
      <c r="B2415" t="s">
        <v>16</v>
      </c>
      <c r="C2415" t="s">
        <v>11</v>
      </c>
      <c r="D2415">
        <v>60</v>
      </c>
      <c r="E2415" s="1">
        <v>45418</v>
      </c>
      <c r="F2415">
        <v>2024</v>
      </c>
      <c r="G2415" t="s">
        <v>5036</v>
      </c>
      <c r="H2415">
        <v>6</v>
      </c>
      <c r="I2415">
        <v>3.46</v>
      </c>
      <c r="J2415">
        <v>6</v>
      </c>
      <c r="K2415">
        <v>7878.04</v>
      </c>
      <c r="L2415">
        <v>1.5</v>
      </c>
    </row>
    <row r="2416" spans="1:12" x14ac:dyDescent="0.3">
      <c r="A2416" t="s">
        <v>2431</v>
      </c>
      <c r="B2416" t="s">
        <v>34</v>
      </c>
      <c r="C2416" t="s">
        <v>11</v>
      </c>
      <c r="D2416">
        <v>28</v>
      </c>
      <c r="E2416" s="1">
        <v>41277</v>
      </c>
      <c r="F2416">
        <v>2013</v>
      </c>
      <c r="G2416" t="s">
        <v>5037</v>
      </c>
      <c r="H2416">
        <v>3</v>
      </c>
      <c r="I2416">
        <v>3.74</v>
      </c>
      <c r="J2416">
        <v>8</v>
      </c>
      <c r="K2416">
        <v>6605.11</v>
      </c>
      <c r="L2416">
        <v>12.8</v>
      </c>
    </row>
    <row r="2417" spans="1:12" x14ac:dyDescent="0.3">
      <c r="A2417" t="s">
        <v>2432</v>
      </c>
      <c r="B2417" t="s">
        <v>34</v>
      </c>
      <c r="C2417" t="s">
        <v>11</v>
      </c>
      <c r="D2417">
        <v>32</v>
      </c>
      <c r="E2417" s="1">
        <v>42594</v>
      </c>
      <c r="F2417">
        <v>2016</v>
      </c>
      <c r="G2417" t="s">
        <v>5031</v>
      </c>
      <c r="H2417">
        <v>12</v>
      </c>
      <c r="I2417">
        <v>3.08</v>
      </c>
      <c r="J2417">
        <v>10</v>
      </c>
      <c r="K2417">
        <v>4553.1400000000003</v>
      </c>
      <c r="L2417">
        <v>9.1999999999999993</v>
      </c>
    </row>
    <row r="2418" spans="1:12" x14ac:dyDescent="0.3">
      <c r="A2418" t="s">
        <v>2433</v>
      </c>
      <c r="B2418" t="s">
        <v>34</v>
      </c>
      <c r="C2418" t="s">
        <v>11</v>
      </c>
      <c r="D2418">
        <v>31</v>
      </c>
      <c r="E2418" s="1">
        <v>44308</v>
      </c>
      <c r="F2418">
        <v>2021</v>
      </c>
      <c r="G2418" t="s">
        <v>5040</v>
      </c>
      <c r="H2418">
        <v>22</v>
      </c>
      <c r="I2418">
        <v>4.96</v>
      </c>
      <c r="J2418">
        <v>13</v>
      </c>
      <c r="K2418">
        <v>7880.6</v>
      </c>
      <c r="L2418">
        <v>4.5</v>
      </c>
    </row>
    <row r="2419" spans="1:12" x14ac:dyDescent="0.3">
      <c r="A2419" t="s">
        <v>2434</v>
      </c>
      <c r="B2419" t="s">
        <v>10</v>
      </c>
      <c r="C2419" t="s">
        <v>14</v>
      </c>
      <c r="D2419">
        <v>53</v>
      </c>
      <c r="E2419" s="1">
        <v>43473</v>
      </c>
      <c r="F2419">
        <v>2019</v>
      </c>
      <c r="G2419" t="s">
        <v>5037</v>
      </c>
      <c r="H2419">
        <v>8</v>
      </c>
      <c r="I2419">
        <v>3.94</v>
      </c>
      <c r="J2419">
        <v>11</v>
      </c>
      <c r="K2419">
        <v>14661.66</v>
      </c>
      <c r="L2419">
        <v>6.8</v>
      </c>
    </row>
    <row r="2420" spans="1:12" x14ac:dyDescent="0.3">
      <c r="A2420" t="s">
        <v>2435</v>
      </c>
      <c r="B2420" t="s">
        <v>13</v>
      </c>
      <c r="C2420" t="s">
        <v>11</v>
      </c>
      <c r="D2420">
        <v>53</v>
      </c>
      <c r="E2420" s="1">
        <v>42461</v>
      </c>
      <c r="F2420">
        <v>2016</v>
      </c>
      <c r="G2420" t="s">
        <v>5040</v>
      </c>
      <c r="H2420">
        <v>1</v>
      </c>
      <c r="I2420">
        <v>4.24</v>
      </c>
      <c r="J2420">
        <v>7</v>
      </c>
      <c r="K2420">
        <v>3713.38</v>
      </c>
      <c r="L2420">
        <v>9.6</v>
      </c>
    </row>
    <row r="2421" spans="1:12" x14ac:dyDescent="0.3">
      <c r="A2421" t="s">
        <v>2436</v>
      </c>
      <c r="B2421" t="s">
        <v>18</v>
      </c>
      <c r="C2421" t="s">
        <v>11</v>
      </c>
      <c r="D2421">
        <v>27</v>
      </c>
      <c r="E2421" s="1">
        <v>44940</v>
      </c>
      <c r="F2421">
        <v>2023</v>
      </c>
      <c r="G2421" t="s">
        <v>5037</v>
      </c>
      <c r="H2421">
        <v>14</v>
      </c>
      <c r="I2421">
        <v>2.5</v>
      </c>
      <c r="J2421">
        <v>3</v>
      </c>
      <c r="K2421">
        <v>4831.68</v>
      </c>
      <c r="L2421">
        <v>2.8</v>
      </c>
    </row>
    <row r="2422" spans="1:12" x14ac:dyDescent="0.3">
      <c r="A2422" t="s">
        <v>2437</v>
      </c>
      <c r="B2422" t="s">
        <v>34</v>
      </c>
      <c r="C2422" t="s">
        <v>11</v>
      </c>
      <c r="D2422">
        <v>55</v>
      </c>
      <c r="E2422" s="1">
        <v>41376</v>
      </c>
      <c r="F2422">
        <v>2013</v>
      </c>
      <c r="G2422" t="s">
        <v>5040</v>
      </c>
      <c r="H2422">
        <v>12</v>
      </c>
      <c r="I2422">
        <v>4.4000000000000004</v>
      </c>
      <c r="J2422">
        <v>3</v>
      </c>
      <c r="K2422">
        <v>12559.8</v>
      </c>
      <c r="L2422">
        <v>12.6</v>
      </c>
    </row>
    <row r="2423" spans="1:12" x14ac:dyDescent="0.3">
      <c r="A2423" t="s">
        <v>2438</v>
      </c>
      <c r="B2423" t="s">
        <v>13</v>
      </c>
      <c r="C2423" t="s">
        <v>11</v>
      </c>
      <c r="D2423">
        <v>22</v>
      </c>
      <c r="E2423" s="1">
        <v>45851</v>
      </c>
      <c r="F2423">
        <v>2025</v>
      </c>
      <c r="G2423" t="s">
        <v>5034</v>
      </c>
      <c r="H2423">
        <v>13</v>
      </c>
      <c r="I2423">
        <v>3.3</v>
      </c>
      <c r="J2423">
        <v>15</v>
      </c>
      <c r="K2423">
        <v>14853.44</v>
      </c>
      <c r="L2423">
        <v>0.3</v>
      </c>
    </row>
    <row r="2424" spans="1:12" x14ac:dyDescent="0.3">
      <c r="A2424" t="s">
        <v>2439</v>
      </c>
      <c r="B2424" t="s">
        <v>24</v>
      </c>
      <c r="C2424" t="s">
        <v>11</v>
      </c>
      <c r="D2424">
        <v>49</v>
      </c>
      <c r="E2424" s="1">
        <v>40962</v>
      </c>
      <c r="F2424">
        <v>2012</v>
      </c>
      <c r="G2424" t="s">
        <v>5042</v>
      </c>
      <c r="H2424">
        <v>23</v>
      </c>
      <c r="I2424">
        <v>4</v>
      </c>
      <c r="J2424">
        <v>13</v>
      </c>
      <c r="K2424">
        <v>8565.49</v>
      </c>
      <c r="L2424">
        <v>13.7</v>
      </c>
    </row>
    <row r="2425" spans="1:12" x14ac:dyDescent="0.3">
      <c r="A2425" t="s">
        <v>2440</v>
      </c>
      <c r="B2425" t="s">
        <v>10</v>
      </c>
      <c r="C2425" t="s">
        <v>14</v>
      </c>
      <c r="D2425">
        <v>41</v>
      </c>
      <c r="E2425" s="1">
        <v>41573</v>
      </c>
      <c r="F2425">
        <v>2013</v>
      </c>
      <c r="G2425" t="s">
        <v>5039</v>
      </c>
      <c r="H2425">
        <v>26</v>
      </c>
      <c r="I2425">
        <v>2.0299999999999998</v>
      </c>
      <c r="J2425">
        <v>7</v>
      </c>
      <c r="K2425">
        <v>13269.02</v>
      </c>
      <c r="L2425">
        <v>12</v>
      </c>
    </row>
    <row r="2426" spans="1:12" x14ac:dyDescent="0.3">
      <c r="A2426" t="s">
        <v>2441</v>
      </c>
      <c r="B2426" t="s">
        <v>24</v>
      </c>
      <c r="C2426" t="s">
        <v>14</v>
      </c>
      <c r="D2426">
        <v>33</v>
      </c>
      <c r="E2426" s="1">
        <v>43032</v>
      </c>
      <c r="F2426">
        <v>2017</v>
      </c>
      <c r="G2426" t="s">
        <v>5039</v>
      </c>
      <c r="H2426">
        <v>24</v>
      </c>
      <c r="I2426">
        <v>4.58</v>
      </c>
      <c r="J2426">
        <v>4</v>
      </c>
      <c r="K2426">
        <v>9169.3799999999992</v>
      </c>
      <c r="L2426">
        <v>8</v>
      </c>
    </row>
    <row r="2427" spans="1:12" x14ac:dyDescent="0.3">
      <c r="A2427" t="s">
        <v>2442</v>
      </c>
      <c r="B2427" t="s">
        <v>10</v>
      </c>
      <c r="C2427" t="s">
        <v>11</v>
      </c>
      <c r="D2427">
        <v>35</v>
      </c>
      <c r="E2427" s="1">
        <v>40970</v>
      </c>
      <c r="F2427">
        <v>2012</v>
      </c>
      <c r="G2427" t="s">
        <v>5035</v>
      </c>
      <c r="H2427">
        <v>2</v>
      </c>
      <c r="I2427">
        <v>3.02</v>
      </c>
      <c r="J2427">
        <v>12</v>
      </c>
      <c r="K2427">
        <v>3107.21</v>
      </c>
      <c r="L2427">
        <v>13.7</v>
      </c>
    </row>
    <row r="2428" spans="1:12" x14ac:dyDescent="0.3">
      <c r="A2428" t="s">
        <v>2443</v>
      </c>
      <c r="B2428" t="s">
        <v>16</v>
      </c>
      <c r="C2428" t="s">
        <v>14</v>
      </c>
      <c r="D2428">
        <v>43</v>
      </c>
      <c r="E2428" s="1">
        <v>43462</v>
      </c>
      <c r="F2428">
        <v>2018</v>
      </c>
      <c r="G2428" t="s">
        <v>5041</v>
      </c>
      <c r="H2428">
        <v>28</v>
      </c>
      <c r="I2428">
        <v>4.82</v>
      </c>
      <c r="J2428">
        <v>9</v>
      </c>
      <c r="K2428">
        <v>6127.74</v>
      </c>
      <c r="L2428">
        <v>6.8</v>
      </c>
    </row>
    <row r="2429" spans="1:12" x14ac:dyDescent="0.3">
      <c r="A2429" t="s">
        <v>2444</v>
      </c>
      <c r="B2429" t="s">
        <v>34</v>
      </c>
      <c r="C2429" t="s">
        <v>14</v>
      </c>
      <c r="D2429">
        <v>35</v>
      </c>
      <c r="E2429" s="1">
        <v>44243</v>
      </c>
      <c r="F2429">
        <v>2021</v>
      </c>
      <c r="G2429" t="s">
        <v>5042</v>
      </c>
      <c r="H2429">
        <v>16</v>
      </c>
      <c r="I2429">
        <v>3.78</v>
      </c>
      <c r="J2429">
        <v>8</v>
      </c>
      <c r="K2429">
        <v>4448</v>
      </c>
      <c r="L2429">
        <v>4.7</v>
      </c>
    </row>
    <row r="2430" spans="1:12" x14ac:dyDescent="0.3">
      <c r="A2430" t="s">
        <v>2445</v>
      </c>
      <c r="B2430" t="s">
        <v>13</v>
      </c>
      <c r="C2430" t="s">
        <v>11</v>
      </c>
      <c r="D2430">
        <v>49</v>
      </c>
      <c r="E2430" s="1">
        <v>42218</v>
      </c>
      <c r="F2430">
        <v>2015</v>
      </c>
      <c r="G2430" t="s">
        <v>5031</v>
      </c>
      <c r="H2430">
        <v>2</v>
      </c>
      <c r="I2430">
        <v>4.12</v>
      </c>
      <c r="J2430">
        <v>14</v>
      </c>
      <c r="K2430">
        <v>7474.69</v>
      </c>
      <c r="L2430">
        <v>10.3</v>
      </c>
    </row>
    <row r="2431" spans="1:12" x14ac:dyDescent="0.3">
      <c r="A2431" t="s">
        <v>2446</v>
      </c>
      <c r="B2431" t="s">
        <v>10</v>
      </c>
      <c r="C2431" t="s">
        <v>11</v>
      </c>
      <c r="D2431">
        <v>40</v>
      </c>
      <c r="E2431" s="1">
        <v>44754</v>
      </c>
      <c r="F2431">
        <v>2022</v>
      </c>
      <c r="G2431" t="s">
        <v>5034</v>
      </c>
      <c r="H2431">
        <v>12</v>
      </c>
      <c r="I2431">
        <v>3.92</v>
      </c>
      <c r="J2431">
        <v>1</v>
      </c>
      <c r="K2431">
        <v>6270.49</v>
      </c>
      <c r="L2431">
        <v>3.3</v>
      </c>
    </row>
    <row r="2432" spans="1:12" x14ac:dyDescent="0.3">
      <c r="A2432" t="s">
        <v>2447</v>
      </c>
      <c r="B2432" t="s">
        <v>24</v>
      </c>
      <c r="C2432" t="s">
        <v>11</v>
      </c>
      <c r="D2432">
        <v>26</v>
      </c>
      <c r="E2432" s="1">
        <v>45078</v>
      </c>
      <c r="F2432">
        <v>2023</v>
      </c>
      <c r="G2432" t="s">
        <v>5032</v>
      </c>
      <c r="H2432">
        <v>1</v>
      </c>
      <c r="I2432">
        <v>4.93</v>
      </c>
      <c r="J2432">
        <v>11</v>
      </c>
      <c r="K2432">
        <v>9833.98</v>
      </c>
      <c r="L2432">
        <v>2.4</v>
      </c>
    </row>
    <row r="2433" spans="1:12" x14ac:dyDescent="0.3">
      <c r="A2433" t="s">
        <v>2448</v>
      </c>
      <c r="B2433" t="s">
        <v>10</v>
      </c>
      <c r="C2433" t="s">
        <v>11</v>
      </c>
      <c r="D2433">
        <v>34</v>
      </c>
      <c r="E2433" s="1">
        <v>45099</v>
      </c>
      <c r="F2433">
        <v>2023</v>
      </c>
      <c r="G2433" t="s">
        <v>5032</v>
      </c>
      <c r="H2433">
        <v>22</v>
      </c>
      <c r="I2433">
        <v>2.2799999999999998</v>
      </c>
      <c r="J2433">
        <v>3</v>
      </c>
      <c r="K2433">
        <v>10785.11</v>
      </c>
      <c r="L2433">
        <v>2.4</v>
      </c>
    </row>
    <row r="2434" spans="1:12" x14ac:dyDescent="0.3">
      <c r="A2434" t="s">
        <v>2449</v>
      </c>
      <c r="B2434" t="s">
        <v>34</v>
      </c>
      <c r="C2434" t="s">
        <v>11</v>
      </c>
      <c r="D2434">
        <v>31</v>
      </c>
      <c r="E2434" s="1">
        <v>45912</v>
      </c>
      <c r="F2434">
        <v>2025</v>
      </c>
      <c r="G2434" t="s">
        <v>5033</v>
      </c>
      <c r="H2434">
        <v>12</v>
      </c>
      <c r="I2434">
        <v>2.06</v>
      </c>
      <c r="J2434">
        <v>3</v>
      </c>
      <c r="K2434">
        <v>9720.24</v>
      </c>
      <c r="L2434">
        <v>0.1</v>
      </c>
    </row>
    <row r="2435" spans="1:12" x14ac:dyDescent="0.3">
      <c r="A2435" t="s">
        <v>2450</v>
      </c>
      <c r="B2435" t="s">
        <v>34</v>
      </c>
      <c r="C2435" t="s">
        <v>11</v>
      </c>
      <c r="D2435">
        <v>60</v>
      </c>
      <c r="E2435" s="1">
        <v>45351</v>
      </c>
      <c r="F2435">
        <v>2024</v>
      </c>
      <c r="G2435" t="s">
        <v>5042</v>
      </c>
      <c r="H2435">
        <v>29</v>
      </c>
      <c r="I2435">
        <v>3.85</v>
      </c>
      <c r="J2435">
        <v>6</v>
      </c>
      <c r="K2435">
        <v>11527.25</v>
      </c>
      <c r="L2435">
        <v>1.7</v>
      </c>
    </row>
    <row r="2436" spans="1:12" x14ac:dyDescent="0.3">
      <c r="A2436" t="s">
        <v>2451</v>
      </c>
      <c r="B2436" t="s">
        <v>24</v>
      </c>
      <c r="C2436" t="s">
        <v>11</v>
      </c>
      <c r="D2436">
        <v>52</v>
      </c>
      <c r="E2436" s="1">
        <v>44093</v>
      </c>
      <c r="F2436">
        <v>2020</v>
      </c>
      <c r="G2436" t="s">
        <v>5033</v>
      </c>
      <c r="H2436">
        <v>19</v>
      </c>
      <c r="I2436">
        <v>2.82</v>
      </c>
      <c r="J2436">
        <v>8</v>
      </c>
      <c r="K2436">
        <v>10980.04</v>
      </c>
      <c r="L2436">
        <v>5.0999999999999996</v>
      </c>
    </row>
    <row r="2437" spans="1:12" x14ac:dyDescent="0.3">
      <c r="A2437" t="s">
        <v>2452</v>
      </c>
      <c r="B2437" t="s">
        <v>18</v>
      </c>
      <c r="C2437" t="s">
        <v>14</v>
      </c>
      <c r="D2437">
        <v>22</v>
      </c>
      <c r="E2437" s="1">
        <v>41723</v>
      </c>
      <c r="F2437">
        <v>2014</v>
      </c>
      <c r="G2437" t="s">
        <v>5035</v>
      </c>
      <c r="H2437">
        <v>25</v>
      </c>
      <c r="I2437">
        <v>3.71</v>
      </c>
      <c r="J2437">
        <v>8</v>
      </c>
      <c r="K2437">
        <v>6933.18</v>
      </c>
      <c r="L2437">
        <v>11.6</v>
      </c>
    </row>
    <row r="2438" spans="1:12" x14ac:dyDescent="0.3">
      <c r="A2438" t="s">
        <v>2453</v>
      </c>
      <c r="B2438" t="s">
        <v>24</v>
      </c>
      <c r="C2438" t="s">
        <v>14</v>
      </c>
      <c r="D2438">
        <v>42</v>
      </c>
      <c r="E2438" s="1">
        <v>43854</v>
      </c>
      <c r="F2438">
        <v>2020</v>
      </c>
      <c r="G2438" t="s">
        <v>5037</v>
      </c>
      <c r="H2438">
        <v>24</v>
      </c>
      <c r="I2438">
        <v>3.84</v>
      </c>
      <c r="J2438">
        <v>12</v>
      </c>
      <c r="K2438">
        <v>11504.65</v>
      </c>
      <c r="L2438">
        <v>5.8</v>
      </c>
    </row>
    <row r="2439" spans="1:12" x14ac:dyDescent="0.3">
      <c r="A2439" t="s">
        <v>2454</v>
      </c>
      <c r="B2439" t="s">
        <v>18</v>
      </c>
      <c r="C2439" t="s">
        <v>14</v>
      </c>
      <c r="D2439">
        <v>49</v>
      </c>
      <c r="E2439" s="1">
        <v>42727</v>
      </c>
      <c r="F2439">
        <v>2016</v>
      </c>
      <c r="G2439" t="s">
        <v>5041</v>
      </c>
      <c r="H2439">
        <v>23</v>
      </c>
      <c r="I2439">
        <v>1.81</v>
      </c>
      <c r="J2439">
        <v>6</v>
      </c>
      <c r="K2439">
        <v>9295</v>
      </c>
      <c r="L2439">
        <v>8.9</v>
      </c>
    </row>
    <row r="2440" spans="1:12" x14ac:dyDescent="0.3">
      <c r="A2440" t="s">
        <v>2455</v>
      </c>
      <c r="B2440" t="s">
        <v>10</v>
      </c>
      <c r="C2440" t="s">
        <v>11</v>
      </c>
      <c r="D2440">
        <v>55</v>
      </c>
      <c r="E2440" s="1">
        <v>43849</v>
      </c>
      <c r="F2440">
        <v>2020</v>
      </c>
      <c r="G2440" t="s">
        <v>5037</v>
      </c>
      <c r="H2440">
        <v>19</v>
      </c>
      <c r="I2440">
        <v>3.54</v>
      </c>
      <c r="J2440">
        <v>13</v>
      </c>
      <c r="K2440">
        <v>10990.58</v>
      </c>
      <c r="L2440">
        <v>5.8</v>
      </c>
    </row>
    <row r="2441" spans="1:12" x14ac:dyDescent="0.3">
      <c r="A2441" t="s">
        <v>2456</v>
      </c>
      <c r="B2441" t="s">
        <v>10</v>
      </c>
      <c r="C2441" t="s">
        <v>14</v>
      </c>
      <c r="D2441">
        <v>29</v>
      </c>
      <c r="E2441" s="1">
        <v>44062</v>
      </c>
      <c r="F2441">
        <v>2020</v>
      </c>
      <c r="G2441" t="s">
        <v>5031</v>
      </c>
      <c r="H2441">
        <v>19</v>
      </c>
      <c r="I2441">
        <v>2.84</v>
      </c>
      <c r="J2441">
        <v>4</v>
      </c>
      <c r="K2441">
        <v>11999.88</v>
      </c>
      <c r="L2441">
        <v>5.2</v>
      </c>
    </row>
    <row r="2442" spans="1:12" x14ac:dyDescent="0.3">
      <c r="A2442" t="s">
        <v>2457</v>
      </c>
      <c r="B2442" t="s">
        <v>10</v>
      </c>
      <c r="C2442" t="s">
        <v>14</v>
      </c>
      <c r="D2442">
        <v>22</v>
      </c>
      <c r="E2442" s="1">
        <v>41909</v>
      </c>
      <c r="F2442">
        <v>2014</v>
      </c>
      <c r="G2442" t="s">
        <v>5033</v>
      </c>
      <c r="H2442">
        <v>27</v>
      </c>
      <c r="I2442">
        <v>3.51</v>
      </c>
      <c r="J2442">
        <v>13</v>
      </c>
      <c r="K2442">
        <v>14010.44</v>
      </c>
      <c r="L2442">
        <v>11.1</v>
      </c>
    </row>
    <row r="2443" spans="1:12" x14ac:dyDescent="0.3">
      <c r="A2443" t="s">
        <v>2458</v>
      </c>
      <c r="B2443" t="s">
        <v>16</v>
      </c>
      <c r="C2443" t="s">
        <v>14</v>
      </c>
      <c r="D2443">
        <v>52</v>
      </c>
      <c r="E2443" s="1">
        <v>42881</v>
      </c>
      <c r="F2443">
        <v>2017</v>
      </c>
      <c r="G2443" t="s">
        <v>5036</v>
      </c>
      <c r="H2443">
        <v>26</v>
      </c>
      <c r="I2443">
        <v>4.47</v>
      </c>
      <c r="J2443">
        <v>10</v>
      </c>
      <c r="K2443">
        <v>9741.98</v>
      </c>
      <c r="L2443">
        <v>8.4</v>
      </c>
    </row>
    <row r="2444" spans="1:12" x14ac:dyDescent="0.3">
      <c r="A2444" t="s">
        <v>2459</v>
      </c>
      <c r="B2444" t="s">
        <v>24</v>
      </c>
      <c r="C2444" t="s">
        <v>11</v>
      </c>
      <c r="D2444">
        <v>34</v>
      </c>
      <c r="E2444" s="1">
        <v>40594</v>
      </c>
      <c r="F2444">
        <v>2011</v>
      </c>
      <c r="G2444" t="s">
        <v>5042</v>
      </c>
      <c r="H2444">
        <v>20</v>
      </c>
      <c r="I2444">
        <v>4.7699999999999996</v>
      </c>
      <c r="J2444">
        <v>4</v>
      </c>
      <c r="K2444">
        <v>3904.14</v>
      </c>
      <c r="L2444">
        <v>14.7</v>
      </c>
    </row>
    <row r="2445" spans="1:12" x14ac:dyDescent="0.3">
      <c r="A2445" t="s">
        <v>2460</v>
      </c>
      <c r="B2445" t="s">
        <v>24</v>
      </c>
      <c r="C2445" t="s">
        <v>11</v>
      </c>
      <c r="D2445">
        <v>27</v>
      </c>
      <c r="E2445" s="1">
        <v>40739</v>
      </c>
      <c r="F2445">
        <v>2011</v>
      </c>
      <c r="G2445" t="s">
        <v>5034</v>
      </c>
      <c r="H2445">
        <v>15</v>
      </c>
      <c r="I2445">
        <v>4.1399999999999997</v>
      </c>
      <c r="J2445">
        <v>9</v>
      </c>
      <c r="K2445">
        <v>12562.57</v>
      </c>
      <c r="L2445">
        <v>14.3</v>
      </c>
    </row>
    <row r="2446" spans="1:12" x14ac:dyDescent="0.3">
      <c r="A2446" t="s">
        <v>2461</v>
      </c>
      <c r="B2446" t="s">
        <v>18</v>
      </c>
      <c r="C2446" t="s">
        <v>14</v>
      </c>
      <c r="D2446">
        <v>56</v>
      </c>
      <c r="E2446" s="1">
        <v>45425</v>
      </c>
      <c r="F2446">
        <v>2024</v>
      </c>
      <c r="G2446" t="s">
        <v>5036</v>
      </c>
      <c r="H2446">
        <v>13</v>
      </c>
      <c r="I2446">
        <v>1.54</v>
      </c>
      <c r="J2446">
        <v>2</v>
      </c>
      <c r="K2446">
        <v>14588.43</v>
      </c>
      <c r="L2446">
        <v>1.5</v>
      </c>
    </row>
    <row r="2447" spans="1:12" x14ac:dyDescent="0.3">
      <c r="A2447" t="s">
        <v>2462</v>
      </c>
      <c r="B2447" t="s">
        <v>24</v>
      </c>
      <c r="C2447" t="s">
        <v>14</v>
      </c>
      <c r="D2447">
        <v>34</v>
      </c>
      <c r="E2447" s="1">
        <v>41121</v>
      </c>
      <c r="F2447">
        <v>2012</v>
      </c>
      <c r="G2447" t="s">
        <v>5034</v>
      </c>
      <c r="H2447">
        <v>31</v>
      </c>
      <c r="I2447">
        <v>4.2699999999999996</v>
      </c>
      <c r="J2447">
        <v>13</v>
      </c>
      <c r="K2447">
        <v>7498.47</v>
      </c>
      <c r="L2447">
        <v>13.3</v>
      </c>
    </row>
    <row r="2448" spans="1:12" x14ac:dyDescent="0.3">
      <c r="A2448" t="s">
        <v>2463</v>
      </c>
      <c r="B2448" t="s">
        <v>13</v>
      </c>
      <c r="C2448" t="s">
        <v>14</v>
      </c>
      <c r="D2448">
        <v>60</v>
      </c>
      <c r="E2448" s="1">
        <v>42990</v>
      </c>
      <c r="F2448">
        <v>2017</v>
      </c>
      <c r="G2448" t="s">
        <v>5033</v>
      </c>
      <c r="H2448">
        <v>12</v>
      </c>
      <c r="I2448">
        <v>1.85</v>
      </c>
      <c r="J2448">
        <v>14</v>
      </c>
      <c r="K2448">
        <v>7250.71</v>
      </c>
      <c r="L2448">
        <v>8.1</v>
      </c>
    </row>
    <row r="2449" spans="1:12" x14ac:dyDescent="0.3">
      <c r="A2449" t="s">
        <v>2464</v>
      </c>
      <c r="B2449" t="s">
        <v>18</v>
      </c>
      <c r="C2449" t="s">
        <v>14</v>
      </c>
      <c r="D2449">
        <v>52</v>
      </c>
      <c r="E2449" s="1">
        <v>40615</v>
      </c>
      <c r="F2449">
        <v>2011</v>
      </c>
      <c r="G2449" t="s">
        <v>5035</v>
      </c>
      <c r="H2449">
        <v>13</v>
      </c>
      <c r="I2449">
        <v>2.1800000000000002</v>
      </c>
      <c r="J2449">
        <v>4</v>
      </c>
      <c r="K2449">
        <v>7046.68</v>
      </c>
      <c r="L2449">
        <v>14.6</v>
      </c>
    </row>
    <row r="2450" spans="1:12" x14ac:dyDescent="0.3">
      <c r="A2450" t="s">
        <v>2465</v>
      </c>
      <c r="B2450" t="s">
        <v>16</v>
      </c>
      <c r="C2450" t="s">
        <v>14</v>
      </c>
      <c r="D2450">
        <v>50</v>
      </c>
      <c r="E2450" s="1">
        <v>45799</v>
      </c>
      <c r="F2450">
        <v>2025</v>
      </c>
      <c r="G2450" t="s">
        <v>5036</v>
      </c>
      <c r="H2450">
        <v>22</v>
      </c>
      <c r="I2450">
        <v>4.8899999999999997</v>
      </c>
      <c r="J2450">
        <v>6</v>
      </c>
      <c r="K2450">
        <v>10266.85</v>
      </c>
      <c r="L2450">
        <v>0.4</v>
      </c>
    </row>
    <row r="2451" spans="1:12" x14ac:dyDescent="0.3">
      <c r="A2451" t="s">
        <v>2466</v>
      </c>
      <c r="B2451" t="s">
        <v>13</v>
      </c>
      <c r="C2451" t="s">
        <v>14</v>
      </c>
      <c r="D2451">
        <v>53</v>
      </c>
      <c r="E2451" s="1">
        <v>44064</v>
      </c>
      <c r="F2451">
        <v>2020</v>
      </c>
      <c r="G2451" t="s">
        <v>5031</v>
      </c>
      <c r="H2451">
        <v>21</v>
      </c>
      <c r="I2451">
        <v>4.4400000000000004</v>
      </c>
      <c r="J2451">
        <v>0</v>
      </c>
      <c r="K2451">
        <v>11167.52</v>
      </c>
      <c r="L2451">
        <v>5.2</v>
      </c>
    </row>
    <row r="2452" spans="1:12" x14ac:dyDescent="0.3">
      <c r="A2452" t="s">
        <v>2467</v>
      </c>
      <c r="B2452" t="s">
        <v>18</v>
      </c>
      <c r="C2452" t="s">
        <v>11</v>
      </c>
      <c r="D2452">
        <v>48</v>
      </c>
      <c r="E2452" s="1">
        <v>43948</v>
      </c>
      <c r="F2452">
        <v>2020</v>
      </c>
      <c r="G2452" t="s">
        <v>5040</v>
      </c>
      <c r="H2452">
        <v>27</v>
      </c>
      <c r="I2452">
        <v>2.39</v>
      </c>
      <c r="J2452">
        <v>3</v>
      </c>
      <c r="K2452">
        <v>4250.3500000000004</v>
      </c>
      <c r="L2452">
        <v>5.5</v>
      </c>
    </row>
    <row r="2453" spans="1:12" x14ac:dyDescent="0.3">
      <c r="A2453" t="s">
        <v>2468</v>
      </c>
      <c r="B2453" t="s">
        <v>13</v>
      </c>
      <c r="C2453" t="s">
        <v>11</v>
      </c>
      <c r="D2453">
        <v>43</v>
      </c>
      <c r="E2453" s="1">
        <v>41035</v>
      </c>
      <c r="F2453">
        <v>2012</v>
      </c>
      <c r="G2453" t="s">
        <v>5036</v>
      </c>
      <c r="H2453">
        <v>6</v>
      </c>
      <c r="I2453">
        <v>1.77</v>
      </c>
      <c r="J2453">
        <v>11</v>
      </c>
      <c r="K2453">
        <v>8015.26</v>
      </c>
      <c r="L2453">
        <v>13.5</v>
      </c>
    </row>
    <row r="2454" spans="1:12" x14ac:dyDescent="0.3">
      <c r="A2454" t="s">
        <v>2469</v>
      </c>
      <c r="B2454" t="s">
        <v>18</v>
      </c>
      <c r="C2454" t="s">
        <v>11</v>
      </c>
      <c r="D2454">
        <v>47</v>
      </c>
      <c r="E2454" s="1">
        <v>44587</v>
      </c>
      <c r="F2454">
        <v>2022</v>
      </c>
      <c r="G2454" t="s">
        <v>5037</v>
      </c>
      <c r="H2454">
        <v>26</v>
      </c>
      <c r="I2454">
        <v>1.79</v>
      </c>
      <c r="J2454">
        <v>3</v>
      </c>
      <c r="K2454">
        <v>4091.91</v>
      </c>
      <c r="L2454">
        <v>3.8</v>
      </c>
    </row>
    <row r="2455" spans="1:12" x14ac:dyDescent="0.3">
      <c r="A2455" t="s">
        <v>2470</v>
      </c>
      <c r="B2455" t="s">
        <v>24</v>
      </c>
      <c r="C2455" t="s">
        <v>14</v>
      </c>
      <c r="D2455">
        <v>37</v>
      </c>
      <c r="E2455" s="1">
        <v>40710</v>
      </c>
      <c r="F2455">
        <v>2011</v>
      </c>
      <c r="G2455" t="s">
        <v>5032</v>
      </c>
      <c r="H2455">
        <v>16</v>
      </c>
      <c r="I2455">
        <v>1.72</v>
      </c>
      <c r="J2455">
        <v>5</v>
      </c>
      <c r="K2455">
        <v>4643.6000000000004</v>
      </c>
      <c r="L2455">
        <v>14.4</v>
      </c>
    </row>
    <row r="2456" spans="1:12" x14ac:dyDescent="0.3">
      <c r="A2456" t="s">
        <v>2471</v>
      </c>
      <c r="B2456" t="s">
        <v>24</v>
      </c>
      <c r="C2456" t="s">
        <v>14</v>
      </c>
      <c r="D2456">
        <v>27</v>
      </c>
      <c r="E2456" s="1">
        <v>43176</v>
      </c>
      <c r="F2456">
        <v>2018</v>
      </c>
      <c r="G2456" t="s">
        <v>5035</v>
      </c>
      <c r="H2456">
        <v>17</v>
      </c>
      <c r="I2456">
        <v>1.76</v>
      </c>
      <c r="J2456">
        <v>15</v>
      </c>
      <c r="K2456">
        <v>7947.1</v>
      </c>
      <c r="L2456">
        <v>7.6</v>
      </c>
    </row>
    <row r="2457" spans="1:12" x14ac:dyDescent="0.3">
      <c r="A2457" t="s">
        <v>2472</v>
      </c>
      <c r="B2457" t="s">
        <v>18</v>
      </c>
      <c r="C2457" t="s">
        <v>14</v>
      </c>
      <c r="D2457">
        <v>43</v>
      </c>
      <c r="E2457" s="1">
        <v>45252</v>
      </c>
      <c r="F2457">
        <v>2023</v>
      </c>
      <c r="G2457" t="s">
        <v>5038</v>
      </c>
      <c r="H2457">
        <v>22</v>
      </c>
      <c r="I2457">
        <v>2.08</v>
      </c>
      <c r="J2457">
        <v>12</v>
      </c>
      <c r="K2457">
        <v>12379.18</v>
      </c>
      <c r="L2457">
        <v>1.9</v>
      </c>
    </row>
    <row r="2458" spans="1:12" x14ac:dyDescent="0.3">
      <c r="A2458" t="s">
        <v>2473</v>
      </c>
      <c r="B2458" t="s">
        <v>10</v>
      </c>
      <c r="C2458" t="s">
        <v>11</v>
      </c>
      <c r="D2458">
        <v>53</v>
      </c>
      <c r="E2458" s="1">
        <v>44143</v>
      </c>
      <c r="F2458">
        <v>2020</v>
      </c>
      <c r="G2458" t="s">
        <v>5038</v>
      </c>
      <c r="H2458">
        <v>8</v>
      </c>
      <c r="I2458">
        <v>3.22</v>
      </c>
      <c r="J2458">
        <v>14</v>
      </c>
      <c r="K2458">
        <v>8073.02</v>
      </c>
      <c r="L2458">
        <v>5</v>
      </c>
    </row>
    <row r="2459" spans="1:12" x14ac:dyDescent="0.3">
      <c r="A2459" t="s">
        <v>2474</v>
      </c>
      <c r="B2459" t="s">
        <v>16</v>
      </c>
      <c r="C2459" t="s">
        <v>11</v>
      </c>
      <c r="D2459">
        <v>33</v>
      </c>
      <c r="E2459" s="1">
        <v>43742</v>
      </c>
      <c r="F2459">
        <v>2019</v>
      </c>
      <c r="G2459" t="s">
        <v>5039</v>
      </c>
      <c r="H2459">
        <v>4</v>
      </c>
      <c r="I2459">
        <v>4.67</v>
      </c>
      <c r="J2459">
        <v>7</v>
      </c>
      <c r="K2459">
        <v>3703.17</v>
      </c>
      <c r="L2459">
        <v>6.1</v>
      </c>
    </row>
    <row r="2460" spans="1:12" x14ac:dyDescent="0.3">
      <c r="A2460" t="s">
        <v>2475</v>
      </c>
      <c r="B2460" t="s">
        <v>13</v>
      </c>
      <c r="C2460" t="s">
        <v>14</v>
      </c>
      <c r="D2460">
        <v>44</v>
      </c>
      <c r="E2460" s="1">
        <v>41151</v>
      </c>
      <c r="F2460">
        <v>2012</v>
      </c>
      <c r="G2460" t="s">
        <v>5031</v>
      </c>
      <c r="H2460">
        <v>30</v>
      </c>
      <c r="I2460">
        <v>2.59</v>
      </c>
      <c r="J2460">
        <v>6</v>
      </c>
      <c r="K2460">
        <v>13496.08</v>
      </c>
      <c r="L2460">
        <v>13.2</v>
      </c>
    </row>
    <row r="2461" spans="1:12" x14ac:dyDescent="0.3">
      <c r="A2461" t="s">
        <v>2476</v>
      </c>
      <c r="B2461" t="s">
        <v>34</v>
      </c>
      <c r="C2461" t="s">
        <v>14</v>
      </c>
      <c r="D2461">
        <v>47</v>
      </c>
      <c r="E2461" s="1">
        <v>42419</v>
      </c>
      <c r="F2461">
        <v>2016</v>
      </c>
      <c r="G2461" t="s">
        <v>5042</v>
      </c>
      <c r="H2461">
        <v>19</v>
      </c>
      <c r="I2461">
        <v>4.54</v>
      </c>
      <c r="J2461">
        <v>3</v>
      </c>
      <c r="K2461">
        <v>10346.83</v>
      </c>
      <c r="L2461">
        <v>9.6999999999999993</v>
      </c>
    </row>
    <row r="2462" spans="1:12" x14ac:dyDescent="0.3">
      <c r="A2462" t="s">
        <v>2477</v>
      </c>
      <c r="B2462" t="s">
        <v>16</v>
      </c>
      <c r="C2462" t="s">
        <v>14</v>
      </c>
      <c r="D2462">
        <v>45</v>
      </c>
      <c r="E2462" s="1">
        <v>41241</v>
      </c>
      <c r="F2462">
        <v>2012</v>
      </c>
      <c r="G2462" t="s">
        <v>5038</v>
      </c>
      <c r="H2462">
        <v>28</v>
      </c>
      <c r="I2462">
        <v>1.97</v>
      </c>
      <c r="J2462">
        <v>11</v>
      </c>
      <c r="K2462">
        <v>12337.27</v>
      </c>
      <c r="L2462">
        <v>12.9</v>
      </c>
    </row>
    <row r="2463" spans="1:12" x14ac:dyDescent="0.3">
      <c r="A2463" t="s">
        <v>2478</v>
      </c>
      <c r="B2463" t="s">
        <v>34</v>
      </c>
      <c r="C2463" t="s">
        <v>11</v>
      </c>
      <c r="D2463">
        <v>24</v>
      </c>
      <c r="E2463" s="1">
        <v>41583</v>
      </c>
      <c r="F2463">
        <v>2013</v>
      </c>
      <c r="G2463" t="s">
        <v>5038</v>
      </c>
      <c r="H2463">
        <v>5</v>
      </c>
      <c r="I2463">
        <v>3.92</v>
      </c>
      <c r="J2463">
        <v>6</v>
      </c>
      <c r="K2463">
        <v>5101.71</v>
      </c>
      <c r="L2463">
        <v>12</v>
      </c>
    </row>
    <row r="2464" spans="1:12" x14ac:dyDescent="0.3">
      <c r="A2464" t="s">
        <v>2479</v>
      </c>
      <c r="B2464" t="s">
        <v>34</v>
      </c>
      <c r="C2464" t="s">
        <v>14</v>
      </c>
      <c r="D2464">
        <v>36</v>
      </c>
      <c r="E2464" s="1">
        <v>41837</v>
      </c>
      <c r="F2464">
        <v>2014</v>
      </c>
      <c r="G2464" t="s">
        <v>5034</v>
      </c>
      <c r="H2464">
        <v>17</v>
      </c>
      <c r="I2464">
        <v>2.09</v>
      </c>
      <c r="J2464">
        <v>4</v>
      </c>
      <c r="K2464">
        <v>3782.93</v>
      </c>
      <c r="L2464">
        <v>11.3</v>
      </c>
    </row>
    <row r="2465" spans="1:12" x14ac:dyDescent="0.3">
      <c r="A2465" t="s">
        <v>2480</v>
      </c>
      <c r="B2465" t="s">
        <v>16</v>
      </c>
      <c r="C2465" t="s">
        <v>14</v>
      </c>
      <c r="D2465">
        <v>60</v>
      </c>
      <c r="E2465" s="1">
        <v>41647</v>
      </c>
      <c r="F2465">
        <v>2014</v>
      </c>
      <c r="G2465" t="s">
        <v>5037</v>
      </c>
      <c r="H2465">
        <v>8</v>
      </c>
      <c r="I2465">
        <v>3.6</v>
      </c>
      <c r="J2465">
        <v>2</v>
      </c>
      <c r="K2465">
        <v>14372.58</v>
      </c>
      <c r="L2465">
        <v>11.8</v>
      </c>
    </row>
    <row r="2466" spans="1:12" x14ac:dyDescent="0.3">
      <c r="A2466" t="s">
        <v>2481</v>
      </c>
      <c r="B2466" t="s">
        <v>16</v>
      </c>
      <c r="C2466" t="s">
        <v>14</v>
      </c>
      <c r="D2466">
        <v>45</v>
      </c>
      <c r="E2466" s="1">
        <v>44540</v>
      </c>
      <c r="F2466">
        <v>2021</v>
      </c>
      <c r="G2466" t="s">
        <v>5041</v>
      </c>
      <c r="H2466">
        <v>10</v>
      </c>
      <c r="I2466">
        <v>4.6100000000000003</v>
      </c>
      <c r="J2466">
        <v>8</v>
      </c>
      <c r="K2466">
        <v>5681.76</v>
      </c>
      <c r="L2466">
        <v>3.9</v>
      </c>
    </row>
    <row r="2467" spans="1:12" x14ac:dyDescent="0.3">
      <c r="A2467" t="s">
        <v>2482</v>
      </c>
      <c r="B2467" t="s">
        <v>10</v>
      </c>
      <c r="C2467" t="s">
        <v>14</v>
      </c>
      <c r="D2467">
        <v>50</v>
      </c>
      <c r="E2467" s="1">
        <v>44669</v>
      </c>
      <c r="F2467">
        <v>2022</v>
      </c>
      <c r="G2467" t="s">
        <v>5040</v>
      </c>
      <c r="H2467">
        <v>18</v>
      </c>
      <c r="I2467">
        <v>4.97</v>
      </c>
      <c r="J2467">
        <v>0</v>
      </c>
      <c r="K2467">
        <v>7260.18</v>
      </c>
      <c r="L2467">
        <v>3.5</v>
      </c>
    </row>
    <row r="2468" spans="1:12" x14ac:dyDescent="0.3">
      <c r="A2468" t="s">
        <v>2483</v>
      </c>
      <c r="B2468" t="s">
        <v>16</v>
      </c>
      <c r="C2468" t="s">
        <v>11</v>
      </c>
      <c r="D2468">
        <v>38</v>
      </c>
      <c r="E2468" s="1">
        <v>43388</v>
      </c>
      <c r="F2468">
        <v>2018</v>
      </c>
      <c r="G2468" t="s">
        <v>5039</v>
      </c>
      <c r="H2468">
        <v>15</v>
      </c>
      <c r="I2468">
        <v>1.85</v>
      </c>
      <c r="J2468">
        <v>0</v>
      </c>
      <c r="K2468">
        <v>12631.69</v>
      </c>
      <c r="L2468">
        <v>7.1</v>
      </c>
    </row>
    <row r="2469" spans="1:12" x14ac:dyDescent="0.3">
      <c r="A2469" t="s">
        <v>2484</v>
      </c>
      <c r="B2469" t="s">
        <v>10</v>
      </c>
      <c r="C2469" t="s">
        <v>14</v>
      </c>
      <c r="D2469">
        <v>36</v>
      </c>
      <c r="E2469" s="1">
        <v>41148</v>
      </c>
      <c r="F2469">
        <v>2012</v>
      </c>
      <c r="G2469" t="s">
        <v>5031</v>
      </c>
      <c r="H2469">
        <v>27</v>
      </c>
      <c r="I2469">
        <v>2.8</v>
      </c>
      <c r="J2469">
        <v>2</v>
      </c>
      <c r="K2469">
        <v>13277.99</v>
      </c>
      <c r="L2469">
        <v>13.2</v>
      </c>
    </row>
    <row r="2470" spans="1:12" x14ac:dyDescent="0.3">
      <c r="A2470" t="s">
        <v>2485</v>
      </c>
      <c r="B2470" t="s">
        <v>10</v>
      </c>
      <c r="C2470" t="s">
        <v>14</v>
      </c>
      <c r="D2470">
        <v>50</v>
      </c>
      <c r="E2470" s="1">
        <v>44558</v>
      </c>
      <c r="F2470">
        <v>2021</v>
      </c>
      <c r="G2470" t="s">
        <v>5041</v>
      </c>
      <c r="H2470">
        <v>28</v>
      </c>
      <c r="I2470">
        <v>2.2400000000000002</v>
      </c>
      <c r="J2470">
        <v>13</v>
      </c>
      <c r="K2470">
        <v>9383.58</v>
      </c>
      <c r="L2470">
        <v>3.8</v>
      </c>
    </row>
    <row r="2471" spans="1:12" x14ac:dyDescent="0.3">
      <c r="A2471" t="s">
        <v>2486</v>
      </c>
      <c r="B2471" t="s">
        <v>34</v>
      </c>
      <c r="C2471" t="s">
        <v>11</v>
      </c>
      <c r="D2471">
        <v>30</v>
      </c>
      <c r="E2471" s="1">
        <v>40441</v>
      </c>
      <c r="F2471">
        <v>2010</v>
      </c>
      <c r="G2471" t="s">
        <v>5033</v>
      </c>
      <c r="H2471">
        <v>20</v>
      </c>
      <c r="I2471">
        <v>2.96</v>
      </c>
      <c r="J2471">
        <v>0</v>
      </c>
      <c r="K2471">
        <v>12237.29</v>
      </c>
      <c r="L2471">
        <v>15.1</v>
      </c>
    </row>
    <row r="2472" spans="1:12" x14ac:dyDescent="0.3">
      <c r="A2472" t="s">
        <v>2487</v>
      </c>
      <c r="B2472" t="s">
        <v>13</v>
      </c>
      <c r="C2472" t="s">
        <v>11</v>
      </c>
      <c r="D2472">
        <v>57</v>
      </c>
      <c r="E2472" s="1">
        <v>41035</v>
      </c>
      <c r="F2472">
        <v>2012</v>
      </c>
      <c r="G2472" t="s">
        <v>5036</v>
      </c>
      <c r="H2472">
        <v>6</v>
      </c>
      <c r="I2472">
        <v>3.62</v>
      </c>
      <c r="J2472">
        <v>8</v>
      </c>
      <c r="K2472">
        <v>14559.99</v>
      </c>
      <c r="L2472">
        <v>13.5</v>
      </c>
    </row>
    <row r="2473" spans="1:12" x14ac:dyDescent="0.3">
      <c r="A2473" t="s">
        <v>2488</v>
      </c>
      <c r="B2473" t="s">
        <v>16</v>
      </c>
      <c r="C2473" t="s">
        <v>14</v>
      </c>
      <c r="D2473">
        <v>26</v>
      </c>
      <c r="E2473" s="1">
        <v>42997</v>
      </c>
      <c r="F2473">
        <v>2017</v>
      </c>
      <c r="G2473" t="s">
        <v>5033</v>
      </c>
      <c r="H2473">
        <v>19</v>
      </c>
      <c r="I2473">
        <v>4.07</v>
      </c>
      <c r="J2473">
        <v>11</v>
      </c>
      <c r="K2473">
        <v>7972</v>
      </c>
      <c r="L2473">
        <v>8.1</v>
      </c>
    </row>
    <row r="2474" spans="1:12" x14ac:dyDescent="0.3">
      <c r="A2474" t="s">
        <v>2489</v>
      </c>
      <c r="B2474" t="s">
        <v>18</v>
      </c>
      <c r="C2474" t="s">
        <v>11</v>
      </c>
      <c r="D2474">
        <v>57</v>
      </c>
      <c r="E2474" s="1">
        <v>40272</v>
      </c>
      <c r="F2474">
        <v>2010</v>
      </c>
      <c r="G2474" t="s">
        <v>5040</v>
      </c>
      <c r="H2474">
        <v>4</v>
      </c>
      <c r="I2474">
        <v>4.97</v>
      </c>
      <c r="J2474">
        <v>12</v>
      </c>
      <c r="K2474">
        <v>12522.99</v>
      </c>
      <c r="L2474">
        <v>15.6</v>
      </c>
    </row>
    <row r="2475" spans="1:12" x14ac:dyDescent="0.3">
      <c r="A2475" t="s">
        <v>2490</v>
      </c>
      <c r="B2475" t="s">
        <v>16</v>
      </c>
      <c r="C2475" t="s">
        <v>11</v>
      </c>
      <c r="D2475">
        <v>37</v>
      </c>
      <c r="E2475" s="1">
        <v>40656</v>
      </c>
      <c r="F2475">
        <v>2011</v>
      </c>
      <c r="G2475" t="s">
        <v>5040</v>
      </c>
      <c r="H2475">
        <v>23</v>
      </c>
      <c r="I2475">
        <v>2.58</v>
      </c>
      <c r="J2475">
        <v>11</v>
      </c>
      <c r="K2475">
        <v>3532.86</v>
      </c>
      <c r="L2475">
        <v>14.5</v>
      </c>
    </row>
    <row r="2476" spans="1:12" x14ac:dyDescent="0.3">
      <c r="A2476" t="s">
        <v>2491</v>
      </c>
      <c r="B2476" t="s">
        <v>24</v>
      </c>
      <c r="C2476" t="s">
        <v>14</v>
      </c>
      <c r="D2476">
        <v>33</v>
      </c>
      <c r="E2476" s="1">
        <v>44189</v>
      </c>
      <c r="F2476">
        <v>2020</v>
      </c>
      <c r="G2476" t="s">
        <v>5041</v>
      </c>
      <c r="H2476">
        <v>24</v>
      </c>
      <c r="I2476">
        <v>3.36</v>
      </c>
      <c r="J2476">
        <v>7</v>
      </c>
      <c r="K2476">
        <v>11699.23</v>
      </c>
      <c r="L2476">
        <v>4.9000000000000004</v>
      </c>
    </row>
    <row r="2477" spans="1:12" x14ac:dyDescent="0.3">
      <c r="A2477" t="s">
        <v>2492</v>
      </c>
      <c r="B2477" t="s">
        <v>13</v>
      </c>
      <c r="C2477" t="s">
        <v>14</v>
      </c>
      <c r="D2477">
        <v>52</v>
      </c>
      <c r="E2477" s="1">
        <v>42407</v>
      </c>
      <c r="F2477">
        <v>2016</v>
      </c>
      <c r="G2477" t="s">
        <v>5042</v>
      </c>
      <c r="H2477">
        <v>7</v>
      </c>
      <c r="I2477">
        <v>4.91</v>
      </c>
      <c r="J2477">
        <v>2</v>
      </c>
      <c r="K2477">
        <v>9010.68</v>
      </c>
      <c r="L2477">
        <v>9.6999999999999993</v>
      </c>
    </row>
    <row r="2478" spans="1:12" x14ac:dyDescent="0.3">
      <c r="A2478" t="s">
        <v>2493</v>
      </c>
      <c r="B2478" t="s">
        <v>34</v>
      </c>
      <c r="C2478" t="s">
        <v>11</v>
      </c>
      <c r="D2478">
        <v>22</v>
      </c>
      <c r="E2478" s="1">
        <v>45760</v>
      </c>
      <c r="F2478">
        <v>2025</v>
      </c>
      <c r="G2478" t="s">
        <v>5040</v>
      </c>
      <c r="H2478">
        <v>13</v>
      </c>
      <c r="I2478">
        <v>4.38</v>
      </c>
      <c r="J2478">
        <v>10</v>
      </c>
      <c r="K2478">
        <v>13094.84</v>
      </c>
      <c r="L2478">
        <v>0.6</v>
      </c>
    </row>
    <row r="2479" spans="1:12" x14ac:dyDescent="0.3">
      <c r="A2479" t="s">
        <v>2494</v>
      </c>
      <c r="B2479" t="s">
        <v>34</v>
      </c>
      <c r="C2479" t="s">
        <v>14</v>
      </c>
      <c r="D2479">
        <v>22</v>
      </c>
      <c r="E2479" s="1">
        <v>40286</v>
      </c>
      <c r="F2479">
        <v>2010</v>
      </c>
      <c r="G2479" t="s">
        <v>5040</v>
      </c>
      <c r="H2479">
        <v>18</v>
      </c>
      <c r="I2479">
        <v>4.12</v>
      </c>
      <c r="J2479">
        <v>8</v>
      </c>
      <c r="K2479">
        <v>4369.67</v>
      </c>
      <c r="L2479">
        <v>15.6</v>
      </c>
    </row>
    <row r="2480" spans="1:12" x14ac:dyDescent="0.3">
      <c r="A2480" t="s">
        <v>2495</v>
      </c>
      <c r="B2480" t="s">
        <v>13</v>
      </c>
      <c r="C2480" t="s">
        <v>14</v>
      </c>
      <c r="D2480">
        <v>56</v>
      </c>
      <c r="E2480" s="1">
        <v>44028</v>
      </c>
      <c r="F2480">
        <v>2020</v>
      </c>
      <c r="G2480" t="s">
        <v>5034</v>
      </c>
      <c r="H2480">
        <v>16</v>
      </c>
      <c r="I2480">
        <v>3.01</v>
      </c>
      <c r="J2480">
        <v>3</v>
      </c>
      <c r="K2480">
        <v>5011.66</v>
      </c>
      <c r="L2480">
        <v>5.3</v>
      </c>
    </row>
    <row r="2481" spans="1:12" x14ac:dyDescent="0.3">
      <c r="A2481" t="s">
        <v>2496</v>
      </c>
      <c r="B2481" t="s">
        <v>34</v>
      </c>
      <c r="C2481" t="s">
        <v>11</v>
      </c>
      <c r="D2481">
        <v>46</v>
      </c>
      <c r="E2481" s="1">
        <v>45537</v>
      </c>
      <c r="F2481">
        <v>2024</v>
      </c>
      <c r="G2481" t="s">
        <v>5033</v>
      </c>
      <c r="H2481">
        <v>2</v>
      </c>
      <c r="I2481">
        <v>4.16</v>
      </c>
      <c r="J2481">
        <v>5</v>
      </c>
      <c r="K2481">
        <v>12390.5</v>
      </c>
      <c r="L2481">
        <v>1.2</v>
      </c>
    </row>
    <row r="2482" spans="1:12" x14ac:dyDescent="0.3">
      <c r="A2482" t="s">
        <v>2497</v>
      </c>
      <c r="B2482" t="s">
        <v>16</v>
      </c>
      <c r="C2482" t="s">
        <v>14</v>
      </c>
      <c r="D2482">
        <v>42</v>
      </c>
      <c r="E2482" s="1">
        <v>42835</v>
      </c>
      <c r="F2482">
        <v>2017</v>
      </c>
      <c r="G2482" t="s">
        <v>5040</v>
      </c>
      <c r="H2482">
        <v>10</v>
      </c>
      <c r="I2482">
        <v>4.17</v>
      </c>
      <c r="J2482">
        <v>9</v>
      </c>
      <c r="K2482">
        <v>6423.36</v>
      </c>
      <c r="L2482">
        <v>8.6</v>
      </c>
    </row>
    <row r="2483" spans="1:12" x14ac:dyDescent="0.3">
      <c r="A2483" t="s">
        <v>2498</v>
      </c>
      <c r="B2483" t="s">
        <v>18</v>
      </c>
      <c r="C2483" t="s">
        <v>14</v>
      </c>
      <c r="D2483">
        <v>46</v>
      </c>
      <c r="E2483" s="1">
        <v>45100</v>
      </c>
      <c r="F2483">
        <v>2023</v>
      </c>
      <c r="G2483" t="s">
        <v>5032</v>
      </c>
      <c r="H2483">
        <v>23</v>
      </c>
      <c r="I2483">
        <v>3.67</v>
      </c>
      <c r="J2483">
        <v>7</v>
      </c>
      <c r="K2483">
        <v>14180.64</v>
      </c>
      <c r="L2483">
        <v>2.4</v>
      </c>
    </row>
    <row r="2484" spans="1:12" x14ac:dyDescent="0.3">
      <c r="A2484" t="s">
        <v>2499</v>
      </c>
      <c r="B2484" t="s">
        <v>18</v>
      </c>
      <c r="C2484" t="s">
        <v>11</v>
      </c>
      <c r="D2484">
        <v>59</v>
      </c>
      <c r="E2484" s="1">
        <v>43091</v>
      </c>
      <c r="F2484">
        <v>2017</v>
      </c>
      <c r="G2484" t="s">
        <v>5041</v>
      </c>
      <c r="H2484">
        <v>22</v>
      </c>
      <c r="I2484">
        <v>4.08</v>
      </c>
      <c r="J2484">
        <v>9</v>
      </c>
      <c r="K2484">
        <v>7507.35</v>
      </c>
      <c r="L2484">
        <v>7.9</v>
      </c>
    </row>
    <row r="2485" spans="1:12" x14ac:dyDescent="0.3">
      <c r="A2485" t="s">
        <v>2500</v>
      </c>
      <c r="B2485" t="s">
        <v>24</v>
      </c>
      <c r="C2485" t="s">
        <v>11</v>
      </c>
      <c r="D2485">
        <v>46</v>
      </c>
      <c r="E2485" s="1">
        <v>41981</v>
      </c>
      <c r="F2485">
        <v>2014</v>
      </c>
      <c r="G2485" t="s">
        <v>5041</v>
      </c>
      <c r="H2485">
        <v>8</v>
      </c>
      <c r="I2485">
        <v>3.43</v>
      </c>
      <c r="J2485">
        <v>5</v>
      </c>
      <c r="K2485">
        <v>4025.87</v>
      </c>
      <c r="L2485">
        <v>10.9</v>
      </c>
    </row>
    <row r="2486" spans="1:12" x14ac:dyDescent="0.3">
      <c r="A2486" t="s">
        <v>2501</v>
      </c>
      <c r="B2486" t="s">
        <v>13</v>
      </c>
      <c r="C2486" t="s">
        <v>14</v>
      </c>
      <c r="D2486">
        <v>26</v>
      </c>
      <c r="E2486" s="1">
        <v>45532</v>
      </c>
      <c r="F2486">
        <v>2024</v>
      </c>
      <c r="G2486" t="s">
        <v>5031</v>
      </c>
      <c r="H2486">
        <v>28</v>
      </c>
      <c r="I2486">
        <v>1.8</v>
      </c>
      <c r="J2486">
        <v>10</v>
      </c>
      <c r="K2486">
        <v>11066.47</v>
      </c>
      <c r="L2486">
        <v>1.2</v>
      </c>
    </row>
    <row r="2487" spans="1:12" x14ac:dyDescent="0.3">
      <c r="A2487" t="s">
        <v>2502</v>
      </c>
      <c r="B2487" t="s">
        <v>16</v>
      </c>
      <c r="C2487" t="s">
        <v>11</v>
      </c>
      <c r="D2487">
        <v>43</v>
      </c>
      <c r="E2487" s="1">
        <v>44001</v>
      </c>
      <c r="F2487">
        <v>2020</v>
      </c>
      <c r="G2487" t="s">
        <v>5032</v>
      </c>
      <c r="H2487">
        <v>19</v>
      </c>
      <c r="I2487">
        <v>4.46</v>
      </c>
      <c r="J2487">
        <v>15</v>
      </c>
      <c r="K2487">
        <v>12032.13</v>
      </c>
      <c r="L2487">
        <v>5.4</v>
      </c>
    </row>
    <row r="2488" spans="1:12" x14ac:dyDescent="0.3">
      <c r="A2488" t="s">
        <v>2503</v>
      </c>
      <c r="B2488" t="s">
        <v>13</v>
      </c>
      <c r="C2488" t="s">
        <v>14</v>
      </c>
      <c r="D2488">
        <v>47</v>
      </c>
      <c r="E2488" s="1">
        <v>42717</v>
      </c>
      <c r="F2488">
        <v>2016</v>
      </c>
      <c r="G2488" t="s">
        <v>5041</v>
      </c>
      <c r="H2488">
        <v>13</v>
      </c>
      <c r="I2488">
        <v>1.91</v>
      </c>
      <c r="J2488">
        <v>5</v>
      </c>
      <c r="K2488">
        <v>7808.62</v>
      </c>
      <c r="L2488">
        <v>8.9</v>
      </c>
    </row>
    <row r="2489" spans="1:12" x14ac:dyDescent="0.3">
      <c r="A2489" t="s">
        <v>2504</v>
      </c>
      <c r="B2489" t="s">
        <v>16</v>
      </c>
      <c r="C2489" t="s">
        <v>14</v>
      </c>
      <c r="D2489">
        <v>58</v>
      </c>
      <c r="E2489" s="1">
        <v>42677</v>
      </c>
      <c r="F2489">
        <v>2016</v>
      </c>
      <c r="G2489" t="s">
        <v>5038</v>
      </c>
      <c r="H2489">
        <v>3</v>
      </c>
      <c r="I2489">
        <v>2.84</v>
      </c>
      <c r="J2489">
        <v>15</v>
      </c>
      <c r="K2489">
        <v>4135.04</v>
      </c>
      <c r="L2489">
        <v>9</v>
      </c>
    </row>
    <row r="2490" spans="1:12" x14ac:dyDescent="0.3">
      <c r="A2490" t="s">
        <v>2505</v>
      </c>
      <c r="B2490" t="s">
        <v>34</v>
      </c>
      <c r="C2490" t="s">
        <v>14</v>
      </c>
      <c r="D2490">
        <v>42</v>
      </c>
      <c r="E2490" s="1">
        <v>45050</v>
      </c>
      <c r="F2490">
        <v>2023</v>
      </c>
      <c r="G2490" t="s">
        <v>5036</v>
      </c>
      <c r="H2490">
        <v>4</v>
      </c>
      <c r="I2490">
        <v>3.12</v>
      </c>
      <c r="J2490">
        <v>7</v>
      </c>
      <c r="K2490">
        <v>10996.37</v>
      </c>
      <c r="L2490">
        <v>2.5</v>
      </c>
    </row>
    <row r="2491" spans="1:12" x14ac:dyDescent="0.3">
      <c r="A2491" t="s">
        <v>2506</v>
      </c>
      <c r="B2491" t="s">
        <v>13</v>
      </c>
      <c r="C2491" t="s">
        <v>11</v>
      </c>
      <c r="D2491">
        <v>25</v>
      </c>
      <c r="E2491" s="1">
        <v>44299</v>
      </c>
      <c r="F2491">
        <v>2021</v>
      </c>
      <c r="G2491" t="s">
        <v>5040</v>
      </c>
      <c r="H2491">
        <v>13</v>
      </c>
      <c r="I2491">
        <v>2.37</v>
      </c>
      <c r="J2491">
        <v>14</v>
      </c>
      <c r="K2491">
        <v>9834.08</v>
      </c>
      <c r="L2491">
        <v>4.5999999999999996</v>
      </c>
    </row>
    <row r="2492" spans="1:12" x14ac:dyDescent="0.3">
      <c r="A2492" t="s">
        <v>2507</v>
      </c>
      <c r="B2492" t="s">
        <v>16</v>
      </c>
      <c r="C2492" t="s">
        <v>11</v>
      </c>
      <c r="D2492">
        <v>38</v>
      </c>
      <c r="E2492" s="1">
        <v>43279</v>
      </c>
      <c r="F2492">
        <v>2018</v>
      </c>
      <c r="G2492" t="s">
        <v>5032</v>
      </c>
      <c r="H2492">
        <v>28</v>
      </c>
      <c r="I2492">
        <v>4.91</v>
      </c>
      <c r="J2492">
        <v>0</v>
      </c>
      <c r="K2492">
        <v>14430.15</v>
      </c>
      <c r="L2492">
        <v>7.4</v>
      </c>
    </row>
    <row r="2493" spans="1:12" x14ac:dyDescent="0.3">
      <c r="A2493" t="s">
        <v>2508</v>
      </c>
      <c r="B2493" t="s">
        <v>10</v>
      </c>
      <c r="C2493" t="s">
        <v>11</v>
      </c>
      <c r="D2493">
        <v>33</v>
      </c>
      <c r="E2493" s="1">
        <v>43276</v>
      </c>
      <c r="F2493">
        <v>2018</v>
      </c>
      <c r="G2493" t="s">
        <v>5032</v>
      </c>
      <c r="H2493">
        <v>25</v>
      </c>
      <c r="I2493">
        <v>2.97</v>
      </c>
      <c r="J2493">
        <v>0</v>
      </c>
      <c r="K2493">
        <v>13805.56</v>
      </c>
      <c r="L2493">
        <v>7.4</v>
      </c>
    </row>
    <row r="2494" spans="1:12" x14ac:dyDescent="0.3">
      <c r="A2494" t="s">
        <v>2509</v>
      </c>
      <c r="B2494" t="s">
        <v>13</v>
      </c>
      <c r="C2494" t="s">
        <v>14</v>
      </c>
      <c r="D2494">
        <v>22</v>
      </c>
      <c r="E2494" s="1">
        <v>44034</v>
      </c>
      <c r="F2494">
        <v>2020</v>
      </c>
      <c r="G2494" t="s">
        <v>5034</v>
      </c>
      <c r="H2494">
        <v>22</v>
      </c>
      <c r="I2494">
        <v>4.05</v>
      </c>
      <c r="J2494">
        <v>5</v>
      </c>
      <c r="K2494">
        <v>10774.95</v>
      </c>
      <c r="L2494">
        <v>5.3</v>
      </c>
    </row>
    <row r="2495" spans="1:12" x14ac:dyDescent="0.3">
      <c r="A2495" t="s">
        <v>2510</v>
      </c>
      <c r="B2495" t="s">
        <v>24</v>
      </c>
      <c r="C2495" t="s">
        <v>11</v>
      </c>
      <c r="D2495">
        <v>31</v>
      </c>
      <c r="E2495" s="1">
        <v>40604</v>
      </c>
      <c r="F2495">
        <v>2011</v>
      </c>
      <c r="G2495" t="s">
        <v>5035</v>
      </c>
      <c r="H2495">
        <v>2</v>
      </c>
      <c r="I2495">
        <v>3.84</v>
      </c>
      <c r="J2495">
        <v>2</v>
      </c>
      <c r="K2495">
        <v>10635.62</v>
      </c>
      <c r="L2495">
        <v>14.7</v>
      </c>
    </row>
    <row r="2496" spans="1:12" x14ac:dyDescent="0.3">
      <c r="A2496" t="s">
        <v>2511</v>
      </c>
      <c r="B2496" t="s">
        <v>34</v>
      </c>
      <c r="C2496" t="s">
        <v>11</v>
      </c>
      <c r="D2496">
        <v>53</v>
      </c>
      <c r="E2496" s="1">
        <v>45758</v>
      </c>
      <c r="F2496">
        <v>2025</v>
      </c>
      <c r="G2496" t="s">
        <v>5040</v>
      </c>
      <c r="H2496">
        <v>11</v>
      </c>
      <c r="I2496">
        <v>1.59</v>
      </c>
      <c r="J2496">
        <v>13</v>
      </c>
      <c r="K2496">
        <v>12590.19</v>
      </c>
      <c r="L2496">
        <v>0.6</v>
      </c>
    </row>
    <row r="2497" spans="1:12" x14ac:dyDescent="0.3">
      <c r="A2497" t="s">
        <v>2512</v>
      </c>
      <c r="B2497" t="s">
        <v>16</v>
      </c>
      <c r="C2497" t="s">
        <v>11</v>
      </c>
      <c r="D2497">
        <v>42</v>
      </c>
      <c r="E2497" s="1">
        <v>43942</v>
      </c>
      <c r="F2497">
        <v>2020</v>
      </c>
      <c r="G2497" t="s">
        <v>5040</v>
      </c>
      <c r="H2497">
        <v>21</v>
      </c>
      <c r="I2497">
        <v>2</v>
      </c>
      <c r="J2497">
        <v>0</v>
      </c>
      <c r="K2497">
        <v>10584.24</v>
      </c>
      <c r="L2497">
        <v>5.5</v>
      </c>
    </row>
    <row r="2498" spans="1:12" x14ac:dyDescent="0.3">
      <c r="A2498" t="s">
        <v>2513</v>
      </c>
      <c r="B2498" t="s">
        <v>24</v>
      </c>
      <c r="C2498" t="s">
        <v>14</v>
      </c>
      <c r="D2498">
        <v>29</v>
      </c>
      <c r="E2498" s="1">
        <v>42700</v>
      </c>
      <c r="F2498">
        <v>2016</v>
      </c>
      <c r="G2498" t="s">
        <v>5038</v>
      </c>
      <c r="H2498">
        <v>26</v>
      </c>
      <c r="I2498">
        <v>4.13</v>
      </c>
      <c r="J2498">
        <v>13</v>
      </c>
      <c r="K2498">
        <v>10614.61</v>
      </c>
      <c r="L2498">
        <v>8.9</v>
      </c>
    </row>
    <row r="2499" spans="1:12" x14ac:dyDescent="0.3">
      <c r="A2499" t="s">
        <v>2514</v>
      </c>
      <c r="B2499" t="s">
        <v>16</v>
      </c>
      <c r="C2499" t="s">
        <v>14</v>
      </c>
      <c r="D2499">
        <v>38</v>
      </c>
      <c r="E2499" s="1">
        <v>41407</v>
      </c>
      <c r="F2499">
        <v>2013</v>
      </c>
      <c r="G2499" t="s">
        <v>5036</v>
      </c>
      <c r="H2499">
        <v>13</v>
      </c>
      <c r="I2499">
        <v>4.04</v>
      </c>
      <c r="J2499">
        <v>15</v>
      </c>
      <c r="K2499">
        <v>6919.39</v>
      </c>
      <c r="L2499">
        <v>12.5</v>
      </c>
    </row>
    <row r="2500" spans="1:12" x14ac:dyDescent="0.3">
      <c r="A2500" t="s">
        <v>2515</v>
      </c>
      <c r="B2500" t="s">
        <v>10</v>
      </c>
      <c r="C2500" t="s">
        <v>11</v>
      </c>
      <c r="D2500">
        <v>26</v>
      </c>
      <c r="E2500" s="1">
        <v>45961</v>
      </c>
      <c r="F2500">
        <v>2025</v>
      </c>
      <c r="G2500" t="s">
        <v>5039</v>
      </c>
      <c r="H2500">
        <v>31</v>
      </c>
      <c r="I2500">
        <v>2.4300000000000002</v>
      </c>
      <c r="J2500">
        <v>10</v>
      </c>
      <c r="K2500">
        <v>8035.46</v>
      </c>
      <c r="L2500">
        <v>0</v>
      </c>
    </row>
    <row r="2501" spans="1:12" x14ac:dyDescent="0.3">
      <c r="A2501" t="s">
        <v>2516</v>
      </c>
      <c r="B2501" t="s">
        <v>16</v>
      </c>
      <c r="C2501" t="s">
        <v>11</v>
      </c>
      <c r="D2501">
        <v>31</v>
      </c>
      <c r="E2501" s="1">
        <v>40193</v>
      </c>
      <c r="F2501">
        <v>2010</v>
      </c>
      <c r="G2501" t="s">
        <v>5037</v>
      </c>
      <c r="H2501">
        <v>15</v>
      </c>
      <c r="I2501">
        <v>1.59</v>
      </c>
      <c r="J2501">
        <v>9</v>
      </c>
      <c r="K2501">
        <v>4553.21</v>
      </c>
      <c r="L2501">
        <v>15.8</v>
      </c>
    </row>
    <row r="2502" spans="1:12" x14ac:dyDescent="0.3">
      <c r="A2502" t="s">
        <v>2517</v>
      </c>
      <c r="B2502" t="s">
        <v>16</v>
      </c>
      <c r="C2502" t="s">
        <v>11</v>
      </c>
      <c r="D2502">
        <v>33</v>
      </c>
      <c r="E2502" s="1">
        <v>44487</v>
      </c>
      <c r="F2502">
        <v>2021</v>
      </c>
      <c r="G2502" t="s">
        <v>5039</v>
      </c>
      <c r="H2502">
        <v>18</v>
      </c>
      <c r="I2502">
        <v>2.58</v>
      </c>
      <c r="J2502">
        <v>13</v>
      </c>
      <c r="K2502">
        <v>14575.49</v>
      </c>
      <c r="L2502">
        <v>4</v>
      </c>
    </row>
    <row r="2503" spans="1:12" x14ac:dyDescent="0.3">
      <c r="A2503" t="s">
        <v>2518</v>
      </c>
      <c r="B2503" t="s">
        <v>34</v>
      </c>
      <c r="C2503" t="s">
        <v>14</v>
      </c>
      <c r="D2503">
        <v>46</v>
      </c>
      <c r="E2503" s="1">
        <v>43537</v>
      </c>
      <c r="F2503">
        <v>2019</v>
      </c>
      <c r="G2503" t="s">
        <v>5035</v>
      </c>
      <c r="H2503">
        <v>13</v>
      </c>
      <c r="I2503">
        <v>4.97</v>
      </c>
      <c r="J2503">
        <v>3</v>
      </c>
      <c r="K2503">
        <v>7491.53</v>
      </c>
      <c r="L2503">
        <v>6.6</v>
      </c>
    </row>
    <row r="2504" spans="1:12" x14ac:dyDescent="0.3">
      <c r="A2504" t="s">
        <v>2519</v>
      </c>
      <c r="B2504" t="s">
        <v>13</v>
      </c>
      <c r="C2504" t="s">
        <v>14</v>
      </c>
      <c r="D2504">
        <v>44</v>
      </c>
      <c r="E2504" s="1">
        <v>45560</v>
      </c>
      <c r="F2504">
        <v>2024</v>
      </c>
      <c r="G2504" t="s">
        <v>5033</v>
      </c>
      <c r="H2504">
        <v>25</v>
      </c>
      <c r="I2504">
        <v>2.97</v>
      </c>
      <c r="J2504">
        <v>9</v>
      </c>
      <c r="K2504">
        <v>5990.01</v>
      </c>
      <c r="L2504">
        <v>1.1000000000000001</v>
      </c>
    </row>
    <row r="2505" spans="1:12" x14ac:dyDescent="0.3">
      <c r="A2505" t="s">
        <v>2520</v>
      </c>
      <c r="B2505" t="s">
        <v>18</v>
      </c>
      <c r="C2505" t="s">
        <v>11</v>
      </c>
      <c r="D2505">
        <v>23</v>
      </c>
      <c r="E2505" s="1">
        <v>42784</v>
      </c>
      <c r="F2505">
        <v>2017</v>
      </c>
      <c r="G2505" t="s">
        <v>5042</v>
      </c>
      <c r="H2505">
        <v>18</v>
      </c>
      <c r="I2505">
        <v>1.59</v>
      </c>
      <c r="J2505">
        <v>10</v>
      </c>
      <c r="K2505">
        <v>5981.41</v>
      </c>
      <c r="L2505">
        <v>8.6999999999999993</v>
      </c>
    </row>
    <row r="2506" spans="1:12" x14ac:dyDescent="0.3">
      <c r="A2506" t="s">
        <v>2521</v>
      </c>
      <c r="B2506" t="s">
        <v>13</v>
      </c>
      <c r="C2506" t="s">
        <v>14</v>
      </c>
      <c r="D2506">
        <v>46</v>
      </c>
      <c r="E2506" s="1">
        <v>45536</v>
      </c>
      <c r="F2506">
        <v>2024</v>
      </c>
      <c r="G2506" t="s">
        <v>5033</v>
      </c>
      <c r="H2506">
        <v>1</v>
      </c>
      <c r="I2506">
        <v>4.93</v>
      </c>
      <c r="J2506">
        <v>9</v>
      </c>
      <c r="K2506">
        <v>4870.3599999999997</v>
      </c>
      <c r="L2506">
        <v>1.2</v>
      </c>
    </row>
    <row r="2507" spans="1:12" x14ac:dyDescent="0.3">
      <c r="A2507" t="s">
        <v>2522</v>
      </c>
      <c r="B2507" t="s">
        <v>16</v>
      </c>
      <c r="C2507" t="s">
        <v>14</v>
      </c>
      <c r="D2507">
        <v>60</v>
      </c>
      <c r="E2507" s="1">
        <v>45119</v>
      </c>
      <c r="F2507">
        <v>2023</v>
      </c>
      <c r="G2507" t="s">
        <v>5034</v>
      </c>
      <c r="H2507">
        <v>12</v>
      </c>
      <c r="I2507">
        <v>4.2699999999999996</v>
      </c>
      <c r="J2507">
        <v>5</v>
      </c>
      <c r="K2507">
        <v>11041.85</v>
      </c>
      <c r="L2507">
        <v>2.2999999999999998</v>
      </c>
    </row>
    <row r="2508" spans="1:12" x14ac:dyDescent="0.3">
      <c r="A2508" t="s">
        <v>2523</v>
      </c>
      <c r="B2508" t="s">
        <v>10</v>
      </c>
      <c r="C2508" t="s">
        <v>14</v>
      </c>
      <c r="D2508">
        <v>46</v>
      </c>
      <c r="E2508" s="1">
        <v>44487</v>
      </c>
      <c r="F2508">
        <v>2021</v>
      </c>
      <c r="G2508" t="s">
        <v>5039</v>
      </c>
      <c r="H2508">
        <v>18</v>
      </c>
      <c r="I2508">
        <v>4.87</v>
      </c>
      <c r="J2508">
        <v>5</v>
      </c>
      <c r="K2508">
        <v>12939.99</v>
      </c>
      <c r="L2508">
        <v>4</v>
      </c>
    </row>
    <row r="2509" spans="1:12" x14ac:dyDescent="0.3">
      <c r="A2509" t="s">
        <v>2524</v>
      </c>
      <c r="B2509" t="s">
        <v>16</v>
      </c>
      <c r="C2509" t="s">
        <v>11</v>
      </c>
      <c r="D2509">
        <v>22</v>
      </c>
      <c r="E2509" s="1">
        <v>40994</v>
      </c>
      <c r="F2509">
        <v>2012</v>
      </c>
      <c r="G2509" t="s">
        <v>5035</v>
      </c>
      <c r="H2509">
        <v>26</v>
      </c>
      <c r="I2509">
        <v>2.95</v>
      </c>
      <c r="J2509">
        <v>3</v>
      </c>
      <c r="K2509">
        <v>7997.87</v>
      </c>
      <c r="L2509">
        <v>13.6</v>
      </c>
    </row>
    <row r="2510" spans="1:12" x14ac:dyDescent="0.3">
      <c r="A2510" t="s">
        <v>2525</v>
      </c>
      <c r="B2510" t="s">
        <v>10</v>
      </c>
      <c r="C2510" t="s">
        <v>11</v>
      </c>
      <c r="D2510">
        <v>31</v>
      </c>
      <c r="E2510" s="1">
        <v>45524</v>
      </c>
      <c r="F2510">
        <v>2024</v>
      </c>
      <c r="G2510" t="s">
        <v>5031</v>
      </c>
      <c r="H2510">
        <v>20</v>
      </c>
      <c r="I2510">
        <v>3.46</v>
      </c>
      <c r="J2510">
        <v>5</v>
      </c>
      <c r="K2510">
        <v>6907.05</v>
      </c>
      <c r="L2510">
        <v>1.2</v>
      </c>
    </row>
    <row r="2511" spans="1:12" x14ac:dyDescent="0.3">
      <c r="A2511" t="s">
        <v>2526</v>
      </c>
      <c r="B2511" t="s">
        <v>16</v>
      </c>
      <c r="C2511" t="s">
        <v>11</v>
      </c>
      <c r="D2511">
        <v>55</v>
      </c>
      <c r="E2511" s="1">
        <v>43048</v>
      </c>
      <c r="F2511">
        <v>2017</v>
      </c>
      <c r="G2511" t="s">
        <v>5038</v>
      </c>
      <c r="H2511">
        <v>9</v>
      </c>
      <c r="I2511">
        <v>2.95</v>
      </c>
      <c r="J2511">
        <v>9</v>
      </c>
      <c r="K2511">
        <v>10722.68</v>
      </c>
      <c r="L2511">
        <v>8</v>
      </c>
    </row>
    <row r="2512" spans="1:12" x14ac:dyDescent="0.3">
      <c r="A2512" t="s">
        <v>2527</v>
      </c>
      <c r="B2512" t="s">
        <v>13</v>
      </c>
      <c r="C2512" t="s">
        <v>11</v>
      </c>
      <c r="D2512">
        <v>37</v>
      </c>
      <c r="E2512" s="1">
        <v>45822</v>
      </c>
      <c r="F2512">
        <v>2025</v>
      </c>
      <c r="G2512" t="s">
        <v>5032</v>
      </c>
      <c r="H2512">
        <v>14</v>
      </c>
      <c r="I2512">
        <v>3.35</v>
      </c>
      <c r="J2512">
        <v>14</v>
      </c>
      <c r="K2512">
        <v>14833.85</v>
      </c>
      <c r="L2512">
        <v>0.4</v>
      </c>
    </row>
    <row r="2513" spans="1:12" x14ac:dyDescent="0.3">
      <c r="A2513" t="s">
        <v>2528</v>
      </c>
      <c r="B2513" t="s">
        <v>10</v>
      </c>
      <c r="C2513" t="s">
        <v>14</v>
      </c>
      <c r="D2513">
        <v>37</v>
      </c>
      <c r="E2513" s="1">
        <v>43986</v>
      </c>
      <c r="F2513">
        <v>2020</v>
      </c>
      <c r="G2513" t="s">
        <v>5032</v>
      </c>
      <c r="H2513">
        <v>4</v>
      </c>
      <c r="I2513">
        <v>3.8</v>
      </c>
      <c r="J2513">
        <v>3</v>
      </c>
      <c r="K2513">
        <v>3859.83</v>
      </c>
      <c r="L2513">
        <v>5.4</v>
      </c>
    </row>
    <row r="2514" spans="1:12" x14ac:dyDescent="0.3">
      <c r="A2514" t="s">
        <v>2529</v>
      </c>
      <c r="B2514" t="s">
        <v>18</v>
      </c>
      <c r="C2514" t="s">
        <v>14</v>
      </c>
      <c r="D2514">
        <v>35</v>
      </c>
      <c r="E2514" s="1">
        <v>42958</v>
      </c>
      <c r="F2514">
        <v>2017</v>
      </c>
      <c r="G2514" t="s">
        <v>5031</v>
      </c>
      <c r="H2514">
        <v>11</v>
      </c>
      <c r="I2514">
        <v>3.85</v>
      </c>
      <c r="J2514">
        <v>1</v>
      </c>
      <c r="K2514">
        <v>12604.82</v>
      </c>
      <c r="L2514">
        <v>8.1999999999999993</v>
      </c>
    </row>
    <row r="2515" spans="1:12" x14ac:dyDescent="0.3">
      <c r="A2515" t="s">
        <v>2530</v>
      </c>
      <c r="B2515" t="s">
        <v>34</v>
      </c>
      <c r="C2515" t="s">
        <v>14</v>
      </c>
      <c r="D2515">
        <v>40</v>
      </c>
      <c r="E2515" s="1">
        <v>45045</v>
      </c>
      <c r="F2515">
        <v>2023</v>
      </c>
      <c r="G2515" t="s">
        <v>5040</v>
      </c>
      <c r="H2515">
        <v>29</v>
      </c>
      <c r="I2515">
        <v>3.21</v>
      </c>
      <c r="J2515">
        <v>7</v>
      </c>
      <c r="K2515">
        <v>7743.74</v>
      </c>
      <c r="L2515">
        <v>2.5</v>
      </c>
    </row>
    <row r="2516" spans="1:12" x14ac:dyDescent="0.3">
      <c r="A2516" t="s">
        <v>2531</v>
      </c>
      <c r="B2516" t="s">
        <v>10</v>
      </c>
      <c r="C2516" t="s">
        <v>11</v>
      </c>
      <c r="D2516">
        <v>23</v>
      </c>
      <c r="E2516" s="1">
        <v>40380</v>
      </c>
      <c r="F2516">
        <v>2010</v>
      </c>
      <c r="G2516" t="s">
        <v>5034</v>
      </c>
      <c r="H2516">
        <v>21</v>
      </c>
      <c r="I2516">
        <v>3.47</v>
      </c>
      <c r="J2516">
        <v>2</v>
      </c>
      <c r="K2516">
        <v>14742.56</v>
      </c>
      <c r="L2516">
        <v>15.3</v>
      </c>
    </row>
    <row r="2517" spans="1:12" x14ac:dyDescent="0.3">
      <c r="A2517" t="s">
        <v>2532</v>
      </c>
      <c r="B2517" t="s">
        <v>16</v>
      </c>
      <c r="C2517" t="s">
        <v>14</v>
      </c>
      <c r="D2517">
        <v>54</v>
      </c>
      <c r="E2517" s="1">
        <v>41449</v>
      </c>
      <c r="F2517">
        <v>2013</v>
      </c>
      <c r="G2517" t="s">
        <v>5032</v>
      </c>
      <c r="H2517">
        <v>24</v>
      </c>
      <c r="I2517">
        <v>2.57</v>
      </c>
      <c r="J2517">
        <v>6</v>
      </c>
      <c r="K2517">
        <v>13192.52</v>
      </c>
      <c r="L2517">
        <v>12.4</v>
      </c>
    </row>
    <row r="2518" spans="1:12" x14ac:dyDescent="0.3">
      <c r="A2518" t="s">
        <v>2533</v>
      </c>
      <c r="B2518" t="s">
        <v>16</v>
      </c>
      <c r="C2518" t="s">
        <v>11</v>
      </c>
      <c r="D2518">
        <v>58</v>
      </c>
      <c r="E2518" s="1">
        <v>40460</v>
      </c>
      <c r="F2518">
        <v>2010</v>
      </c>
      <c r="G2518" t="s">
        <v>5039</v>
      </c>
      <c r="H2518">
        <v>9</v>
      </c>
      <c r="I2518">
        <v>1.52</v>
      </c>
      <c r="J2518">
        <v>10</v>
      </c>
      <c r="K2518">
        <v>12465.74</v>
      </c>
      <c r="L2518">
        <v>15.1</v>
      </c>
    </row>
    <row r="2519" spans="1:12" x14ac:dyDescent="0.3">
      <c r="A2519" t="s">
        <v>2534</v>
      </c>
      <c r="B2519" t="s">
        <v>24</v>
      </c>
      <c r="C2519" t="s">
        <v>11</v>
      </c>
      <c r="D2519">
        <v>26</v>
      </c>
      <c r="E2519" s="1">
        <v>42154</v>
      </c>
      <c r="F2519">
        <v>2015</v>
      </c>
      <c r="G2519" t="s">
        <v>5036</v>
      </c>
      <c r="H2519">
        <v>30</v>
      </c>
      <c r="I2519">
        <v>3.03</v>
      </c>
      <c r="J2519">
        <v>15</v>
      </c>
      <c r="K2519">
        <v>11285.47</v>
      </c>
      <c r="L2519">
        <v>10.4</v>
      </c>
    </row>
    <row r="2520" spans="1:12" x14ac:dyDescent="0.3">
      <c r="A2520" t="s">
        <v>2535</v>
      </c>
      <c r="B2520" t="s">
        <v>10</v>
      </c>
      <c r="C2520" t="s">
        <v>11</v>
      </c>
      <c r="D2520">
        <v>32</v>
      </c>
      <c r="E2520" s="1">
        <v>40764</v>
      </c>
      <c r="F2520">
        <v>2011</v>
      </c>
      <c r="G2520" t="s">
        <v>5031</v>
      </c>
      <c r="H2520">
        <v>9</v>
      </c>
      <c r="I2520">
        <v>4.4000000000000004</v>
      </c>
      <c r="J2520">
        <v>3</v>
      </c>
      <c r="K2520">
        <v>7235.72</v>
      </c>
      <c r="L2520">
        <v>14.2</v>
      </c>
    </row>
    <row r="2521" spans="1:12" x14ac:dyDescent="0.3">
      <c r="A2521" t="s">
        <v>2536</v>
      </c>
      <c r="B2521" t="s">
        <v>10</v>
      </c>
      <c r="C2521" t="s">
        <v>11</v>
      </c>
      <c r="D2521">
        <v>40</v>
      </c>
      <c r="E2521" s="1">
        <v>43452</v>
      </c>
      <c r="F2521">
        <v>2018</v>
      </c>
      <c r="G2521" t="s">
        <v>5041</v>
      </c>
      <c r="H2521">
        <v>18</v>
      </c>
      <c r="I2521">
        <v>4.5999999999999996</v>
      </c>
      <c r="J2521">
        <v>13</v>
      </c>
      <c r="K2521">
        <v>11128.53</v>
      </c>
      <c r="L2521">
        <v>6.9</v>
      </c>
    </row>
    <row r="2522" spans="1:12" x14ac:dyDescent="0.3">
      <c r="A2522" t="s">
        <v>2537</v>
      </c>
      <c r="B2522" t="s">
        <v>13</v>
      </c>
      <c r="C2522" t="s">
        <v>14</v>
      </c>
      <c r="D2522">
        <v>59</v>
      </c>
      <c r="E2522" s="1">
        <v>44096</v>
      </c>
      <c r="F2522">
        <v>2020</v>
      </c>
      <c r="G2522" t="s">
        <v>5033</v>
      </c>
      <c r="H2522">
        <v>22</v>
      </c>
      <c r="I2522">
        <v>2.2599999999999998</v>
      </c>
      <c r="J2522">
        <v>5</v>
      </c>
      <c r="K2522">
        <v>7393.8</v>
      </c>
      <c r="L2522">
        <v>5.0999999999999996</v>
      </c>
    </row>
    <row r="2523" spans="1:12" x14ac:dyDescent="0.3">
      <c r="A2523" t="s">
        <v>2538</v>
      </c>
      <c r="B2523" t="s">
        <v>16</v>
      </c>
      <c r="C2523" t="s">
        <v>11</v>
      </c>
      <c r="D2523">
        <v>42</v>
      </c>
      <c r="E2523" s="1">
        <v>45021</v>
      </c>
      <c r="F2523">
        <v>2023</v>
      </c>
      <c r="G2523" t="s">
        <v>5040</v>
      </c>
      <c r="H2523">
        <v>5</v>
      </c>
      <c r="I2523">
        <v>4.21</v>
      </c>
      <c r="J2523">
        <v>7</v>
      </c>
      <c r="K2523">
        <v>4292.62</v>
      </c>
      <c r="L2523">
        <v>2.6</v>
      </c>
    </row>
    <row r="2524" spans="1:12" x14ac:dyDescent="0.3">
      <c r="A2524" t="s">
        <v>2539</v>
      </c>
      <c r="B2524" t="s">
        <v>24</v>
      </c>
      <c r="C2524" t="s">
        <v>11</v>
      </c>
      <c r="D2524">
        <v>42</v>
      </c>
      <c r="E2524" s="1">
        <v>41986</v>
      </c>
      <c r="F2524">
        <v>2014</v>
      </c>
      <c r="G2524" t="s">
        <v>5041</v>
      </c>
      <c r="H2524">
        <v>13</v>
      </c>
      <c r="I2524">
        <v>4.54</v>
      </c>
      <c r="J2524">
        <v>12</v>
      </c>
      <c r="K2524">
        <v>10896.96</v>
      </c>
      <c r="L2524">
        <v>10.9</v>
      </c>
    </row>
    <row r="2525" spans="1:12" x14ac:dyDescent="0.3">
      <c r="A2525" t="s">
        <v>2540</v>
      </c>
      <c r="B2525" t="s">
        <v>34</v>
      </c>
      <c r="C2525" t="s">
        <v>11</v>
      </c>
      <c r="D2525">
        <v>59</v>
      </c>
      <c r="E2525" s="1">
        <v>42263</v>
      </c>
      <c r="F2525">
        <v>2015</v>
      </c>
      <c r="G2525" t="s">
        <v>5033</v>
      </c>
      <c r="H2525">
        <v>16</v>
      </c>
      <c r="I2525">
        <v>3.33</v>
      </c>
      <c r="J2525">
        <v>4</v>
      </c>
      <c r="K2525">
        <v>4383.74</v>
      </c>
      <c r="L2525">
        <v>10.1</v>
      </c>
    </row>
    <row r="2526" spans="1:12" x14ac:dyDescent="0.3">
      <c r="A2526" t="s">
        <v>2541</v>
      </c>
      <c r="B2526" t="s">
        <v>34</v>
      </c>
      <c r="C2526" t="s">
        <v>11</v>
      </c>
      <c r="D2526">
        <v>36</v>
      </c>
      <c r="E2526" s="1">
        <v>44172</v>
      </c>
      <c r="F2526">
        <v>2020</v>
      </c>
      <c r="G2526" t="s">
        <v>5041</v>
      </c>
      <c r="H2526">
        <v>7</v>
      </c>
      <c r="I2526">
        <v>2.35</v>
      </c>
      <c r="J2526">
        <v>13</v>
      </c>
      <c r="K2526">
        <v>10023.540000000001</v>
      </c>
      <c r="L2526">
        <v>4.9000000000000004</v>
      </c>
    </row>
    <row r="2527" spans="1:12" x14ac:dyDescent="0.3">
      <c r="A2527" t="s">
        <v>2542</v>
      </c>
      <c r="B2527" t="s">
        <v>16</v>
      </c>
      <c r="C2527" t="s">
        <v>11</v>
      </c>
      <c r="D2527">
        <v>29</v>
      </c>
      <c r="E2527" s="1">
        <v>43053</v>
      </c>
      <c r="F2527">
        <v>2017</v>
      </c>
      <c r="G2527" t="s">
        <v>5038</v>
      </c>
      <c r="H2527">
        <v>14</v>
      </c>
      <c r="I2527">
        <v>2.2200000000000002</v>
      </c>
      <c r="J2527">
        <v>7</v>
      </c>
      <c r="K2527">
        <v>11777.97</v>
      </c>
      <c r="L2527">
        <v>8</v>
      </c>
    </row>
    <row r="2528" spans="1:12" x14ac:dyDescent="0.3">
      <c r="A2528" t="s">
        <v>2543</v>
      </c>
      <c r="B2528" t="s">
        <v>18</v>
      </c>
      <c r="C2528" t="s">
        <v>11</v>
      </c>
      <c r="D2528">
        <v>25</v>
      </c>
      <c r="E2528" s="1">
        <v>42824</v>
      </c>
      <c r="F2528">
        <v>2017</v>
      </c>
      <c r="G2528" t="s">
        <v>5035</v>
      </c>
      <c r="H2528">
        <v>30</v>
      </c>
      <c r="I2528">
        <v>2.5499999999999998</v>
      </c>
      <c r="J2528">
        <v>8</v>
      </c>
      <c r="K2528">
        <v>3011.25</v>
      </c>
      <c r="L2528">
        <v>8.6</v>
      </c>
    </row>
    <row r="2529" spans="1:12" x14ac:dyDescent="0.3">
      <c r="A2529" t="s">
        <v>2544</v>
      </c>
      <c r="B2529" t="s">
        <v>16</v>
      </c>
      <c r="C2529" t="s">
        <v>14</v>
      </c>
      <c r="D2529">
        <v>55</v>
      </c>
      <c r="E2529" s="1">
        <v>41592</v>
      </c>
      <c r="F2529">
        <v>2013</v>
      </c>
      <c r="G2529" t="s">
        <v>5038</v>
      </c>
      <c r="H2529">
        <v>14</v>
      </c>
      <c r="I2529">
        <v>2.17</v>
      </c>
      <c r="J2529">
        <v>4</v>
      </c>
      <c r="K2529">
        <v>10344.049999999999</v>
      </c>
      <c r="L2529">
        <v>12</v>
      </c>
    </row>
    <row r="2530" spans="1:12" x14ac:dyDescent="0.3">
      <c r="A2530" t="s">
        <v>2545</v>
      </c>
      <c r="B2530" t="s">
        <v>10</v>
      </c>
      <c r="C2530" t="s">
        <v>11</v>
      </c>
      <c r="D2530">
        <v>31</v>
      </c>
      <c r="E2530" s="1">
        <v>42324</v>
      </c>
      <c r="F2530">
        <v>2015</v>
      </c>
      <c r="G2530" t="s">
        <v>5038</v>
      </c>
      <c r="H2530">
        <v>16</v>
      </c>
      <c r="I2530">
        <v>3.95</v>
      </c>
      <c r="J2530">
        <v>0</v>
      </c>
      <c r="K2530">
        <v>7233.26</v>
      </c>
      <c r="L2530">
        <v>10</v>
      </c>
    </row>
    <row r="2531" spans="1:12" x14ac:dyDescent="0.3">
      <c r="A2531" t="s">
        <v>2546</v>
      </c>
      <c r="B2531" t="s">
        <v>24</v>
      </c>
      <c r="C2531" t="s">
        <v>11</v>
      </c>
      <c r="D2531">
        <v>42</v>
      </c>
      <c r="E2531" s="1">
        <v>45378</v>
      </c>
      <c r="F2531">
        <v>2024</v>
      </c>
      <c r="G2531" t="s">
        <v>5035</v>
      </c>
      <c r="H2531">
        <v>27</v>
      </c>
      <c r="I2531">
        <v>2.2999999999999998</v>
      </c>
      <c r="J2531">
        <v>8</v>
      </c>
      <c r="K2531">
        <v>12611.45</v>
      </c>
      <c r="L2531">
        <v>1.6</v>
      </c>
    </row>
    <row r="2532" spans="1:12" x14ac:dyDescent="0.3">
      <c r="A2532" t="s">
        <v>2547</v>
      </c>
      <c r="B2532" t="s">
        <v>18</v>
      </c>
      <c r="C2532" t="s">
        <v>11</v>
      </c>
      <c r="D2532">
        <v>28</v>
      </c>
      <c r="E2532" s="1">
        <v>42909</v>
      </c>
      <c r="F2532">
        <v>2017</v>
      </c>
      <c r="G2532" t="s">
        <v>5032</v>
      </c>
      <c r="H2532">
        <v>23</v>
      </c>
      <c r="I2532">
        <v>2.37</v>
      </c>
      <c r="J2532">
        <v>13</v>
      </c>
      <c r="K2532">
        <v>12205.91</v>
      </c>
      <c r="L2532">
        <v>8.4</v>
      </c>
    </row>
    <row r="2533" spans="1:12" x14ac:dyDescent="0.3">
      <c r="A2533" t="s">
        <v>2548</v>
      </c>
      <c r="B2533" t="s">
        <v>16</v>
      </c>
      <c r="C2533" t="s">
        <v>11</v>
      </c>
      <c r="D2533">
        <v>31</v>
      </c>
      <c r="E2533" s="1">
        <v>41196</v>
      </c>
      <c r="F2533">
        <v>2012</v>
      </c>
      <c r="G2533" t="s">
        <v>5039</v>
      </c>
      <c r="H2533">
        <v>14</v>
      </c>
      <c r="I2533">
        <v>2.77</v>
      </c>
      <c r="J2533">
        <v>15</v>
      </c>
      <c r="K2533">
        <v>4248.72</v>
      </c>
      <c r="L2533">
        <v>13.1</v>
      </c>
    </row>
    <row r="2534" spans="1:12" x14ac:dyDescent="0.3">
      <c r="A2534" t="s">
        <v>2549</v>
      </c>
      <c r="B2534" t="s">
        <v>34</v>
      </c>
      <c r="C2534" t="s">
        <v>14</v>
      </c>
      <c r="D2534">
        <v>55</v>
      </c>
      <c r="E2534" s="1">
        <v>43484</v>
      </c>
      <c r="F2534">
        <v>2019</v>
      </c>
      <c r="G2534" t="s">
        <v>5037</v>
      </c>
      <c r="H2534">
        <v>19</v>
      </c>
      <c r="I2534">
        <v>3.64</v>
      </c>
      <c r="J2534">
        <v>12</v>
      </c>
      <c r="K2534">
        <v>12873.87</v>
      </c>
      <c r="L2534">
        <v>6.8</v>
      </c>
    </row>
    <row r="2535" spans="1:12" x14ac:dyDescent="0.3">
      <c r="A2535" t="s">
        <v>2550</v>
      </c>
      <c r="B2535" t="s">
        <v>34</v>
      </c>
      <c r="C2535" t="s">
        <v>11</v>
      </c>
      <c r="D2535">
        <v>57</v>
      </c>
      <c r="E2535" s="1">
        <v>44874</v>
      </c>
      <c r="F2535">
        <v>2022</v>
      </c>
      <c r="G2535" t="s">
        <v>5038</v>
      </c>
      <c r="H2535">
        <v>9</v>
      </c>
      <c r="I2535">
        <v>4.71</v>
      </c>
      <c r="J2535">
        <v>4</v>
      </c>
      <c r="K2535">
        <v>11537.44</v>
      </c>
      <c r="L2535">
        <v>3</v>
      </c>
    </row>
    <row r="2536" spans="1:12" x14ac:dyDescent="0.3">
      <c r="A2536" t="s">
        <v>2551</v>
      </c>
      <c r="B2536" t="s">
        <v>10</v>
      </c>
      <c r="C2536" t="s">
        <v>14</v>
      </c>
      <c r="D2536">
        <v>33</v>
      </c>
      <c r="E2536" s="1">
        <v>41836</v>
      </c>
      <c r="F2536">
        <v>2014</v>
      </c>
      <c r="G2536" t="s">
        <v>5034</v>
      </c>
      <c r="H2536">
        <v>16</v>
      </c>
      <c r="I2536">
        <v>1.68</v>
      </c>
      <c r="J2536">
        <v>13</v>
      </c>
      <c r="K2536">
        <v>14967.34</v>
      </c>
      <c r="L2536">
        <v>11.3</v>
      </c>
    </row>
    <row r="2537" spans="1:12" x14ac:dyDescent="0.3">
      <c r="A2537" t="s">
        <v>2552</v>
      </c>
      <c r="B2537" t="s">
        <v>10</v>
      </c>
      <c r="C2537" t="s">
        <v>11</v>
      </c>
      <c r="D2537">
        <v>55</v>
      </c>
      <c r="E2537" s="1">
        <v>41454</v>
      </c>
      <c r="F2537">
        <v>2013</v>
      </c>
      <c r="G2537" t="s">
        <v>5032</v>
      </c>
      <c r="H2537">
        <v>29</v>
      </c>
      <c r="I2537">
        <v>3.8</v>
      </c>
      <c r="J2537">
        <v>4</v>
      </c>
      <c r="K2537">
        <v>4507.42</v>
      </c>
      <c r="L2537">
        <v>12.4</v>
      </c>
    </row>
    <row r="2538" spans="1:12" x14ac:dyDescent="0.3">
      <c r="A2538" t="s">
        <v>2553</v>
      </c>
      <c r="B2538" t="s">
        <v>18</v>
      </c>
      <c r="C2538" t="s">
        <v>14</v>
      </c>
      <c r="D2538">
        <v>36</v>
      </c>
      <c r="E2538" s="1">
        <v>45437</v>
      </c>
      <c r="F2538">
        <v>2024</v>
      </c>
      <c r="G2538" t="s">
        <v>5036</v>
      </c>
      <c r="H2538">
        <v>25</v>
      </c>
      <c r="I2538">
        <v>4.18</v>
      </c>
      <c r="J2538">
        <v>14</v>
      </c>
      <c r="K2538">
        <v>9141.2000000000007</v>
      </c>
      <c r="L2538">
        <v>1.4</v>
      </c>
    </row>
    <row r="2539" spans="1:12" x14ac:dyDescent="0.3">
      <c r="A2539" t="s">
        <v>2554</v>
      </c>
      <c r="B2539" t="s">
        <v>16</v>
      </c>
      <c r="C2539" t="s">
        <v>11</v>
      </c>
      <c r="D2539">
        <v>27</v>
      </c>
      <c r="E2539" s="1">
        <v>43476</v>
      </c>
      <c r="F2539">
        <v>2019</v>
      </c>
      <c r="G2539" t="s">
        <v>5037</v>
      </c>
      <c r="H2539">
        <v>11</v>
      </c>
      <c r="I2539">
        <v>3.56</v>
      </c>
      <c r="J2539">
        <v>1</v>
      </c>
      <c r="K2539">
        <v>9456.1299999999992</v>
      </c>
      <c r="L2539">
        <v>6.8</v>
      </c>
    </row>
    <row r="2540" spans="1:12" x14ac:dyDescent="0.3">
      <c r="A2540" t="s">
        <v>2555</v>
      </c>
      <c r="B2540" t="s">
        <v>34</v>
      </c>
      <c r="C2540" t="s">
        <v>11</v>
      </c>
      <c r="D2540">
        <v>39</v>
      </c>
      <c r="E2540" s="1">
        <v>43915</v>
      </c>
      <c r="F2540">
        <v>2020</v>
      </c>
      <c r="G2540" t="s">
        <v>5035</v>
      </c>
      <c r="H2540">
        <v>25</v>
      </c>
      <c r="I2540">
        <v>3.77</v>
      </c>
      <c r="J2540">
        <v>5</v>
      </c>
      <c r="K2540">
        <v>10898.44</v>
      </c>
      <c r="L2540">
        <v>5.6</v>
      </c>
    </row>
    <row r="2541" spans="1:12" x14ac:dyDescent="0.3">
      <c r="A2541" t="s">
        <v>2556</v>
      </c>
      <c r="B2541" t="s">
        <v>24</v>
      </c>
      <c r="C2541" t="s">
        <v>14</v>
      </c>
      <c r="D2541">
        <v>40</v>
      </c>
      <c r="E2541" s="1">
        <v>45887</v>
      </c>
      <c r="F2541">
        <v>2025</v>
      </c>
      <c r="G2541" t="s">
        <v>5031</v>
      </c>
      <c r="H2541">
        <v>18</v>
      </c>
      <c r="I2541">
        <v>2.97</v>
      </c>
      <c r="J2541">
        <v>5</v>
      </c>
      <c r="K2541">
        <v>7421.5</v>
      </c>
      <c r="L2541">
        <v>0.2</v>
      </c>
    </row>
    <row r="2542" spans="1:12" x14ac:dyDescent="0.3">
      <c r="A2542" t="s">
        <v>2557</v>
      </c>
      <c r="B2542" t="s">
        <v>18</v>
      </c>
      <c r="C2542" t="s">
        <v>11</v>
      </c>
      <c r="D2542">
        <v>45</v>
      </c>
      <c r="E2542" s="1">
        <v>40203</v>
      </c>
      <c r="F2542">
        <v>2010</v>
      </c>
      <c r="G2542" t="s">
        <v>5037</v>
      </c>
      <c r="H2542">
        <v>25</v>
      </c>
      <c r="I2542">
        <v>3.5</v>
      </c>
      <c r="J2542">
        <v>14</v>
      </c>
      <c r="K2542">
        <v>8094.48</v>
      </c>
      <c r="L2542">
        <v>15.8</v>
      </c>
    </row>
    <row r="2543" spans="1:12" x14ac:dyDescent="0.3">
      <c r="A2543" t="s">
        <v>2558</v>
      </c>
      <c r="B2543" t="s">
        <v>16</v>
      </c>
      <c r="C2543" t="s">
        <v>11</v>
      </c>
      <c r="D2543">
        <v>47</v>
      </c>
      <c r="E2543" s="1">
        <v>40840</v>
      </c>
      <c r="F2543">
        <v>2011</v>
      </c>
      <c r="G2543" t="s">
        <v>5039</v>
      </c>
      <c r="H2543">
        <v>24</v>
      </c>
      <c r="I2543">
        <v>4.53</v>
      </c>
      <c r="J2543">
        <v>7</v>
      </c>
      <c r="K2543">
        <v>6036.29</v>
      </c>
      <c r="L2543">
        <v>14</v>
      </c>
    </row>
    <row r="2544" spans="1:12" x14ac:dyDescent="0.3">
      <c r="A2544" t="s">
        <v>2559</v>
      </c>
      <c r="B2544" t="s">
        <v>10</v>
      </c>
      <c r="C2544" t="s">
        <v>14</v>
      </c>
      <c r="D2544">
        <v>48</v>
      </c>
      <c r="E2544" s="1">
        <v>44114</v>
      </c>
      <c r="F2544">
        <v>2020</v>
      </c>
      <c r="G2544" t="s">
        <v>5039</v>
      </c>
      <c r="H2544">
        <v>10</v>
      </c>
      <c r="I2544">
        <v>3.73</v>
      </c>
      <c r="J2544">
        <v>1</v>
      </c>
      <c r="K2544">
        <v>12827.73</v>
      </c>
      <c r="L2544">
        <v>5.0999999999999996</v>
      </c>
    </row>
    <row r="2545" spans="1:12" x14ac:dyDescent="0.3">
      <c r="A2545" t="s">
        <v>2560</v>
      </c>
      <c r="B2545" t="s">
        <v>34</v>
      </c>
      <c r="C2545" t="s">
        <v>11</v>
      </c>
      <c r="D2545">
        <v>35</v>
      </c>
      <c r="E2545" s="1">
        <v>41341</v>
      </c>
      <c r="F2545">
        <v>2013</v>
      </c>
      <c r="G2545" t="s">
        <v>5035</v>
      </c>
      <c r="H2545">
        <v>8</v>
      </c>
      <c r="I2545">
        <v>2.06</v>
      </c>
      <c r="J2545">
        <v>9</v>
      </c>
      <c r="K2545">
        <v>9655.4599999999991</v>
      </c>
      <c r="L2545">
        <v>12.7</v>
      </c>
    </row>
    <row r="2546" spans="1:12" x14ac:dyDescent="0.3">
      <c r="A2546" t="s">
        <v>2561</v>
      </c>
      <c r="B2546" t="s">
        <v>24</v>
      </c>
      <c r="C2546" t="s">
        <v>11</v>
      </c>
      <c r="D2546">
        <v>43</v>
      </c>
      <c r="E2546" s="1">
        <v>41825</v>
      </c>
      <c r="F2546">
        <v>2014</v>
      </c>
      <c r="G2546" t="s">
        <v>5034</v>
      </c>
      <c r="H2546">
        <v>5</v>
      </c>
      <c r="I2546">
        <v>2.71</v>
      </c>
      <c r="J2546">
        <v>10</v>
      </c>
      <c r="K2546">
        <v>13167.48</v>
      </c>
      <c r="L2546">
        <v>11.3</v>
      </c>
    </row>
    <row r="2547" spans="1:12" x14ac:dyDescent="0.3">
      <c r="A2547" t="s">
        <v>2562</v>
      </c>
      <c r="B2547" t="s">
        <v>34</v>
      </c>
      <c r="C2547" t="s">
        <v>11</v>
      </c>
      <c r="D2547">
        <v>39</v>
      </c>
      <c r="E2547" s="1">
        <v>43402</v>
      </c>
      <c r="F2547">
        <v>2018</v>
      </c>
      <c r="G2547" t="s">
        <v>5039</v>
      </c>
      <c r="H2547">
        <v>29</v>
      </c>
      <c r="I2547">
        <v>4.6500000000000004</v>
      </c>
      <c r="J2547">
        <v>2</v>
      </c>
      <c r="K2547">
        <v>3576.42</v>
      </c>
      <c r="L2547">
        <v>7</v>
      </c>
    </row>
    <row r="2548" spans="1:12" x14ac:dyDescent="0.3">
      <c r="A2548" t="s">
        <v>2563</v>
      </c>
      <c r="B2548" t="s">
        <v>24</v>
      </c>
      <c r="C2548" t="s">
        <v>11</v>
      </c>
      <c r="D2548">
        <v>26</v>
      </c>
      <c r="E2548" s="1">
        <v>43046</v>
      </c>
      <c r="F2548">
        <v>2017</v>
      </c>
      <c r="G2548" t="s">
        <v>5038</v>
      </c>
      <c r="H2548">
        <v>7</v>
      </c>
      <c r="I2548">
        <v>2.85</v>
      </c>
      <c r="J2548">
        <v>1</v>
      </c>
      <c r="K2548">
        <v>11433.45</v>
      </c>
      <c r="L2548">
        <v>8</v>
      </c>
    </row>
    <row r="2549" spans="1:12" x14ac:dyDescent="0.3">
      <c r="A2549" t="s">
        <v>2564</v>
      </c>
      <c r="B2549" t="s">
        <v>10</v>
      </c>
      <c r="C2549" t="s">
        <v>11</v>
      </c>
      <c r="D2549">
        <v>56</v>
      </c>
      <c r="E2549" s="1">
        <v>41879</v>
      </c>
      <c r="F2549">
        <v>2014</v>
      </c>
      <c r="G2549" t="s">
        <v>5031</v>
      </c>
      <c r="H2549">
        <v>28</v>
      </c>
      <c r="I2549">
        <v>2.48</v>
      </c>
      <c r="J2549">
        <v>2</v>
      </c>
      <c r="K2549">
        <v>3441.66</v>
      </c>
      <c r="L2549">
        <v>11.2</v>
      </c>
    </row>
    <row r="2550" spans="1:12" x14ac:dyDescent="0.3">
      <c r="A2550" t="s">
        <v>2565</v>
      </c>
      <c r="B2550" t="s">
        <v>34</v>
      </c>
      <c r="C2550" t="s">
        <v>14</v>
      </c>
      <c r="D2550">
        <v>38</v>
      </c>
      <c r="E2550" s="1">
        <v>42847</v>
      </c>
      <c r="F2550">
        <v>2017</v>
      </c>
      <c r="G2550" t="s">
        <v>5040</v>
      </c>
      <c r="H2550">
        <v>22</v>
      </c>
      <c r="I2550">
        <v>4.07</v>
      </c>
      <c r="J2550">
        <v>7</v>
      </c>
      <c r="K2550">
        <v>5112.8999999999996</v>
      </c>
      <c r="L2550">
        <v>8.5</v>
      </c>
    </row>
    <row r="2551" spans="1:12" x14ac:dyDescent="0.3">
      <c r="A2551" t="s">
        <v>2566</v>
      </c>
      <c r="B2551" t="s">
        <v>24</v>
      </c>
      <c r="C2551" t="s">
        <v>14</v>
      </c>
      <c r="D2551">
        <v>44</v>
      </c>
      <c r="E2551" s="1">
        <v>44223</v>
      </c>
      <c r="F2551">
        <v>2021</v>
      </c>
      <c r="G2551" t="s">
        <v>5037</v>
      </c>
      <c r="H2551">
        <v>27</v>
      </c>
      <c r="I2551">
        <v>4.17</v>
      </c>
      <c r="J2551">
        <v>0</v>
      </c>
      <c r="K2551">
        <v>3258.32</v>
      </c>
      <c r="L2551">
        <v>4.8</v>
      </c>
    </row>
    <row r="2552" spans="1:12" x14ac:dyDescent="0.3">
      <c r="A2552" t="s">
        <v>2567</v>
      </c>
      <c r="B2552" t="s">
        <v>34</v>
      </c>
      <c r="C2552" t="s">
        <v>14</v>
      </c>
      <c r="D2552">
        <v>39</v>
      </c>
      <c r="E2552" s="1">
        <v>42170</v>
      </c>
      <c r="F2552">
        <v>2015</v>
      </c>
      <c r="G2552" t="s">
        <v>5032</v>
      </c>
      <c r="H2552">
        <v>15</v>
      </c>
      <c r="I2552">
        <v>3.66</v>
      </c>
      <c r="J2552">
        <v>0</v>
      </c>
      <c r="K2552">
        <v>12295.47</v>
      </c>
      <c r="L2552">
        <v>10.4</v>
      </c>
    </row>
    <row r="2553" spans="1:12" x14ac:dyDescent="0.3">
      <c r="A2553" t="s">
        <v>2568</v>
      </c>
      <c r="B2553" t="s">
        <v>16</v>
      </c>
      <c r="C2553" t="s">
        <v>14</v>
      </c>
      <c r="D2553">
        <v>29</v>
      </c>
      <c r="E2553" s="1">
        <v>44180</v>
      </c>
      <c r="F2553">
        <v>2020</v>
      </c>
      <c r="G2553" t="s">
        <v>5041</v>
      </c>
      <c r="H2553">
        <v>15</v>
      </c>
      <c r="I2553">
        <v>3.42</v>
      </c>
      <c r="J2553">
        <v>13</v>
      </c>
      <c r="K2553">
        <v>10394.81</v>
      </c>
      <c r="L2553">
        <v>4.9000000000000004</v>
      </c>
    </row>
    <row r="2554" spans="1:12" x14ac:dyDescent="0.3">
      <c r="A2554" t="s">
        <v>2569</v>
      </c>
      <c r="B2554" t="s">
        <v>13</v>
      </c>
      <c r="C2554" t="s">
        <v>14</v>
      </c>
      <c r="D2554">
        <v>42</v>
      </c>
      <c r="E2554" s="1">
        <v>40845</v>
      </c>
      <c r="F2554">
        <v>2011</v>
      </c>
      <c r="G2554" t="s">
        <v>5039</v>
      </c>
      <c r="H2554">
        <v>29</v>
      </c>
      <c r="I2554">
        <v>2.17</v>
      </c>
      <c r="J2554">
        <v>14</v>
      </c>
      <c r="K2554">
        <v>9359.6</v>
      </c>
      <c r="L2554">
        <v>14</v>
      </c>
    </row>
    <row r="2555" spans="1:12" x14ac:dyDescent="0.3">
      <c r="A2555" t="s">
        <v>2570</v>
      </c>
      <c r="B2555" t="s">
        <v>13</v>
      </c>
      <c r="C2555" t="s">
        <v>11</v>
      </c>
      <c r="D2555">
        <v>39</v>
      </c>
      <c r="E2555" s="1">
        <v>41984</v>
      </c>
      <c r="F2555">
        <v>2014</v>
      </c>
      <c r="G2555" t="s">
        <v>5041</v>
      </c>
      <c r="H2555">
        <v>11</v>
      </c>
      <c r="I2555">
        <v>2.98</v>
      </c>
      <c r="J2555">
        <v>7</v>
      </c>
      <c r="K2555">
        <v>10153.68</v>
      </c>
      <c r="L2555">
        <v>10.9</v>
      </c>
    </row>
    <row r="2556" spans="1:12" x14ac:dyDescent="0.3">
      <c r="A2556" t="s">
        <v>2571</v>
      </c>
      <c r="B2556" t="s">
        <v>13</v>
      </c>
      <c r="C2556" t="s">
        <v>11</v>
      </c>
      <c r="D2556">
        <v>36</v>
      </c>
      <c r="E2556" s="1">
        <v>41062</v>
      </c>
      <c r="F2556">
        <v>2012</v>
      </c>
      <c r="G2556" t="s">
        <v>5032</v>
      </c>
      <c r="H2556">
        <v>2</v>
      </c>
      <c r="I2556">
        <v>4.13</v>
      </c>
      <c r="J2556">
        <v>14</v>
      </c>
      <c r="K2556">
        <v>10321.74</v>
      </c>
      <c r="L2556">
        <v>13.4</v>
      </c>
    </row>
    <row r="2557" spans="1:12" x14ac:dyDescent="0.3">
      <c r="A2557" t="s">
        <v>2572</v>
      </c>
      <c r="B2557" t="s">
        <v>10</v>
      </c>
      <c r="C2557" t="s">
        <v>14</v>
      </c>
      <c r="D2557">
        <v>27</v>
      </c>
      <c r="E2557" s="1">
        <v>42024</v>
      </c>
      <c r="F2557">
        <v>2015</v>
      </c>
      <c r="G2557" t="s">
        <v>5037</v>
      </c>
      <c r="H2557">
        <v>20</v>
      </c>
      <c r="I2557">
        <v>4.32</v>
      </c>
      <c r="J2557">
        <v>12</v>
      </c>
      <c r="K2557">
        <v>13365.55</v>
      </c>
      <c r="L2557">
        <v>10.8</v>
      </c>
    </row>
    <row r="2558" spans="1:12" x14ac:dyDescent="0.3">
      <c r="A2558" t="s">
        <v>2573</v>
      </c>
      <c r="B2558" t="s">
        <v>24</v>
      </c>
      <c r="C2558" t="s">
        <v>11</v>
      </c>
      <c r="D2558">
        <v>37</v>
      </c>
      <c r="E2558" s="1">
        <v>42368</v>
      </c>
      <c r="F2558">
        <v>2015</v>
      </c>
      <c r="G2558" t="s">
        <v>5041</v>
      </c>
      <c r="H2558">
        <v>30</v>
      </c>
      <c r="I2558">
        <v>4.1900000000000004</v>
      </c>
      <c r="J2558">
        <v>8</v>
      </c>
      <c r="K2558">
        <v>4408.9399999999996</v>
      </c>
      <c r="L2558">
        <v>9.8000000000000007</v>
      </c>
    </row>
    <row r="2559" spans="1:12" x14ac:dyDescent="0.3">
      <c r="A2559" t="s">
        <v>2574</v>
      </c>
      <c r="B2559" t="s">
        <v>16</v>
      </c>
      <c r="C2559" t="s">
        <v>11</v>
      </c>
      <c r="D2559">
        <v>49</v>
      </c>
      <c r="E2559" s="1">
        <v>40518</v>
      </c>
      <c r="F2559">
        <v>2010</v>
      </c>
      <c r="G2559" t="s">
        <v>5041</v>
      </c>
      <c r="H2559">
        <v>6</v>
      </c>
      <c r="I2559">
        <v>1.66</v>
      </c>
      <c r="J2559">
        <v>1</v>
      </c>
      <c r="K2559">
        <v>5874.02</v>
      </c>
      <c r="L2559">
        <v>14.9</v>
      </c>
    </row>
    <row r="2560" spans="1:12" x14ac:dyDescent="0.3">
      <c r="A2560" t="s">
        <v>2575</v>
      </c>
      <c r="B2560" t="s">
        <v>10</v>
      </c>
      <c r="C2560" t="s">
        <v>14</v>
      </c>
      <c r="D2560">
        <v>22</v>
      </c>
      <c r="E2560" s="1">
        <v>41494</v>
      </c>
      <c r="F2560">
        <v>2013</v>
      </c>
      <c r="G2560" t="s">
        <v>5031</v>
      </c>
      <c r="H2560">
        <v>8</v>
      </c>
      <c r="I2560">
        <v>3.38</v>
      </c>
      <c r="J2560">
        <v>5</v>
      </c>
      <c r="K2560">
        <v>8412.09</v>
      </c>
      <c r="L2560">
        <v>12.2</v>
      </c>
    </row>
    <row r="2561" spans="1:12" x14ac:dyDescent="0.3">
      <c r="A2561" t="s">
        <v>2576</v>
      </c>
      <c r="B2561" t="s">
        <v>18</v>
      </c>
      <c r="C2561" t="s">
        <v>14</v>
      </c>
      <c r="D2561">
        <v>42</v>
      </c>
      <c r="E2561" s="1">
        <v>43910</v>
      </c>
      <c r="F2561">
        <v>2020</v>
      </c>
      <c r="G2561" t="s">
        <v>5035</v>
      </c>
      <c r="H2561">
        <v>20</v>
      </c>
      <c r="I2561">
        <v>3.96</v>
      </c>
      <c r="J2561">
        <v>12</v>
      </c>
      <c r="K2561">
        <v>13817.24</v>
      </c>
      <c r="L2561">
        <v>5.6</v>
      </c>
    </row>
    <row r="2562" spans="1:12" x14ac:dyDescent="0.3">
      <c r="A2562" t="s">
        <v>2577</v>
      </c>
      <c r="B2562" t="s">
        <v>24</v>
      </c>
      <c r="C2562" t="s">
        <v>11</v>
      </c>
      <c r="D2562">
        <v>23</v>
      </c>
      <c r="E2562" s="1">
        <v>44309</v>
      </c>
      <c r="F2562">
        <v>2021</v>
      </c>
      <c r="G2562" t="s">
        <v>5040</v>
      </c>
      <c r="H2562">
        <v>23</v>
      </c>
      <c r="I2562">
        <v>1.76</v>
      </c>
      <c r="J2562">
        <v>5</v>
      </c>
      <c r="K2562">
        <v>6640.08</v>
      </c>
      <c r="L2562">
        <v>4.5</v>
      </c>
    </row>
    <row r="2563" spans="1:12" x14ac:dyDescent="0.3">
      <c r="A2563" t="s">
        <v>2578</v>
      </c>
      <c r="B2563" t="s">
        <v>13</v>
      </c>
      <c r="C2563" t="s">
        <v>14</v>
      </c>
      <c r="D2563">
        <v>39</v>
      </c>
      <c r="E2563" s="1">
        <v>43885</v>
      </c>
      <c r="F2563">
        <v>2020</v>
      </c>
      <c r="G2563" t="s">
        <v>5042</v>
      </c>
      <c r="H2563">
        <v>24</v>
      </c>
      <c r="I2563">
        <v>1.58</v>
      </c>
      <c r="J2563">
        <v>12</v>
      </c>
      <c r="K2563">
        <v>10212.56</v>
      </c>
      <c r="L2563">
        <v>5.7</v>
      </c>
    </row>
    <row r="2564" spans="1:12" x14ac:dyDescent="0.3">
      <c r="A2564" t="s">
        <v>2579</v>
      </c>
      <c r="B2564" t="s">
        <v>18</v>
      </c>
      <c r="C2564" t="s">
        <v>11</v>
      </c>
      <c r="D2564">
        <v>22</v>
      </c>
      <c r="E2564" s="1">
        <v>43341</v>
      </c>
      <c r="F2564">
        <v>2018</v>
      </c>
      <c r="G2564" t="s">
        <v>5031</v>
      </c>
      <c r="H2564">
        <v>29</v>
      </c>
      <c r="I2564">
        <v>3.02</v>
      </c>
      <c r="J2564">
        <v>5</v>
      </c>
      <c r="K2564">
        <v>4802.07</v>
      </c>
      <c r="L2564">
        <v>7.2</v>
      </c>
    </row>
    <row r="2565" spans="1:12" x14ac:dyDescent="0.3">
      <c r="A2565" t="s">
        <v>2580</v>
      </c>
      <c r="B2565" t="s">
        <v>10</v>
      </c>
      <c r="C2565" t="s">
        <v>11</v>
      </c>
      <c r="D2565">
        <v>44</v>
      </c>
      <c r="E2565" s="1">
        <v>40847</v>
      </c>
      <c r="F2565">
        <v>2011</v>
      </c>
      <c r="G2565" t="s">
        <v>5039</v>
      </c>
      <c r="H2565">
        <v>31</v>
      </c>
      <c r="I2565">
        <v>1.87</v>
      </c>
      <c r="J2565">
        <v>13</v>
      </c>
      <c r="K2565">
        <v>8487.27</v>
      </c>
      <c r="L2565">
        <v>14</v>
      </c>
    </row>
    <row r="2566" spans="1:12" x14ac:dyDescent="0.3">
      <c r="A2566" t="s">
        <v>2581</v>
      </c>
      <c r="B2566" t="s">
        <v>34</v>
      </c>
      <c r="C2566" t="s">
        <v>11</v>
      </c>
      <c r="D2566">
        <v>47</v>
      </c>
      <c r="E2566" s="1">
        <v>41797</v>
      </c>
      <c r="F2566">
        <v>2014</v>
      </c>
      <c r="G2566" t="s">
        <v>5032</v>
      </c>
      <c r="H2566">
        <v>7</v>
      </c>
      <c r="I2566">
        <v>2.7</v>
      </c>
      <c r="J2566">
        <v>1</v>
      </c>
      <c r="K2566">
        <v>9154.5499999999993</v>
      </c>
      <c r="L2566">
        <v>11.4</v>
      </c>
    </row>
    <row r="2567" spans="1:12" x14ac:dyDescent="0.3">
      <c r="A2567" t="s">
        <v>2582</v>
      </c>
      <c r="B2567" t="s">
        <v>24</v>
      </c>
      <c r="C2567" t="s">
        <v>11</v>
      </c>
      <c r="D2567">
        <v>32</v>
      </c>
      <c r="E2567" s="1">
        <v>43013</v>
      </c>
      <c r="F2567">
        <v>2017</v>
      </c>
      <c r="G2567" t="s">
        <v>5039</v>
      </c>
      <c r="H2567">
        <v>5</v>
      </c>
      <c r="I2567">
        <v>2.29</v>
      </c>
      <c r="J2567">
        <v>5</v>
      </c>
      <c r="K2567">
        <v>9664.92</v>
      </c>
      <c r="L2567">
        <v>8.1</v>
      </c>
    </row>
    <row r="2568" spans="1:12" x14ac:dyDescent="0.3">
      <c r="A2568" t="s">
        <v>2583</v>
      </c>
      <c r="B2568" t="s">
        <v>18</v>
      </c>
      <c r="C2568" t="s">
        <v>11</v>
      </c>
      <c r="D2568">
        <v>44</v>
      </c>
      <c r="E2568" s="1">
        <v>45715</v>
      </c>
      <c r="F2568">
        <v>2025</v>
      </c>
      <c r="G2568" t="s">
        <v>5042</v>
      </c>
      <c r="H2568">
        <v>27</v>
      </c>
      <c r="I2568">
        <v>2.4900000000000002</v>
      </c>
      <c r="J2568">
        <v>12</v>
      </c>
      <c r="K2568">
        <v>4865.3100000000004</v>
      </c>
      <c r="L2568">
        <v>0.7</v>
      </c>
    </row>
    <row r="2569" spans="1:12" x14ac:dyDescent="0.3">
      <c r="A2569" t="s">
        <v>2584</v>
      </c>
      <c r="B2569" t="s">
        <v>10</v>
      </c>
      <c r="C2569" t="s">
        <v>11</v>
      </c>
      <c r="D2569">
        <v>38</v>
      </c>
      <c r="E2569" s="1">
        <v>41053</v>
      </c>
      <c r="F2569">
        <v>2012</v>
      </c>
      <c r="G2569" t="s">
        <v>5036</v>
      </c>
      <c r="H2569">
        <v>24</v>
      </c>
      <c r="I2569">
        <v>4.32</v>
      </c>
      <c r="J2569">
        <v>2</v>
      </c>
      <c r="K2569">
        <v>11598.17</v>
      </c>
      <c r="L2569">
        <v>13.4</v>
      </c>
    </row>
    <row r="2570" spans="1:12" x14ac:dyDescent="0.3">
      <c r="A2570" t="s">
        <v>2585</v>
      </c>
      <c r="B2570" t="s">
        <v>24</v>
      </c>
      <c r="C2570" t="s">
        <v>14</v>
      </c>
      <c r="D2570">
        <v>58</v>
      </c>
      <c r="E2570" s="1">
        <v>41373</v>
      </c>
      <c r="F2570">
        <v>2013</v>
      </c>
      <c r="G2570" t="s">
        <v>5040</v>
      </c>
      <c r="H2570">
        <v>9</v>
      </c>
      <c r="I2570">
        <v>4.93</v>
      </c>
      <c r="J2570">
        <v>4</v>
      </c>
      <c r="K2570">
        <v>7845.83</v>
      </c>
      <c r="L2570">
        <v>12.6</v>
      </c>
    </row>
    <row r="2571" spans="1:12" x14ac:dyDescent="0.3">
      <c r="A2571" t="s">
        <v>2586</v>
      </c>
      <c r="B2571" t="s">
        <v>16</v>
      </c>
      <c r="C2571" t="s">
        <v>14</v>
      </c>
      <c r="D2571">
        <v>47</v>
      </c>
      <c r="E2571" s="1">
        <v>45047</v>
      </c>
      <c r="F2571">
        <v>2023</v>
      </c>
      <c r="G2571" t="s">
        <v>5036</v>
      </c>
      <c r="H2571">
        <v>1</v>
      </c>
      <c r="I2571">
        <v>3.62</v>
      </c>
      <c r="J2571">
        <v>7</v>
      </c>
      <c r="K2571">
        <v>4619.8100000000004</v>
      </c>
      <c r="L2571">
        <v>2.5</v>
      </c>
    </row>
    <row r="2572" spans="1:12" x14ac:dyDescent="0.3">
      <c r="A2572" t="s">
        <v>2587</v>
      </c>
      <c r="B2572" t="s">
        <v>10</v>
      </c>
      <c r="C2572" t="s">
        <v>11</v>
      </c>
      <c r="D2572">
        <v>33</v>
      </c>
      <c r="E2572" s="1">
        <v>40943</v>
      </c>
      <c r="F2572">
        <v>2012</v>
      </c>
      <c r="G2572" t="s">
        <v>5042</v>
      </c>
      <c r="H2572">
        <v>4</v>
      </c>
      <c r="I2572">
        <v>2.56</v>
      </c>
      <c r="J2572">
        <v>7</v>
      </c>
      <c r="K2572">
        <v>10103.700000000001</v>
      </c>
      <c r="L2572">
        <v>13.8</v>
      </c>
    </row>
    <row r="2573" spans="1:12" x14ac:dyDescent="0.3">
      <c r="A2573" t="s">
        <v>2588</v>
      </c>
      <c r="B2573" t="s">
        <v>24</v>
      </c>
      <c r="C2573" t="s">
        <v>11</v>
      </c>
      <c r="D2573">
        <v>37</v>
      </c>
      <c r="E2573" s="1">
        <v>42096</v>
      </c>
      <c r="F2573">
        <v>2015</v>
      </c>
      <c r="G2573" t="s">
        <v>5040</v>
      </c>
      <c r="H2573">
        <v>2</v>
      </c>
      <c r="I2573">
        <v>3.09</v>
      </c>
      <c r="J2573">
        <v>12</v>
      </c>
      <c r="K2573">
        <v>6698.15</v>
      </c>
      <c r="L2573">
        <v>10.6</v>
      </c>
    </row>
    <row r="2574" spans="1:12" x14ac:dyDescent="0.3">
      <c r="A2574" t="s">
        <v>2589</v>
      </c>
      <c r="B2574" t="s">
        <v>34</v>
      </c>
      <c r="C2574" t="s">
        <v>11</v>
      </c>
      <c r="D2574">
        <v>41</v>
      </c>
      <c r="E2574" s="1">
        <v>40334</v>
      </c>
      <c r="F2574">
        <v>2010</v>
      </c>
      <c r="G2574" t="s">
        <v>5032</v>
      </c>
      <c r="H2574">
        <v>5</v>
      </c>
      <c r="I2574">
        <v>2.4700000000000002</v>
      </c>
      <c r="J2574">
        <v>0</v>
      </c>
      <c r="K2574">
        <v>10058.34</v>
      </c>
      <c r="L2574">
        <v>15.4</v>
      </c>
    </row>
    <row r="2575" spans="1:12" x14ac:dyDescent="0.3">
      <c r="A2575" t="s">
        <v>2590</v>
      </c>
      <c r="B2575" t="s">
        <v>13</v>
      </c>
      <c r="C2575" t="s">
        <v>14</v>
      </c>
      <c r="D2575">
        <v>50</v>
      </c>
      <c r="E2575" s="1">
        <v>45867</v>
      </c>
      <c r="F2575">
        <v>2025</v>
      </c>
      <c r="G2575" t="s">
        <v>5034</v>
      </c>
      <c r="H2575">
        <v>29</v>
      </c>
      <c r="I2575">
        <v>4.37</v>
      </c>
      <c r="J2575">
        <v>12</v>
      </c>
      <c r="K2575">
        <v>5018.1000000000004</v>
      </c>
      <c r="L2575">
        <v>0.3</v>
      </c>
    </row>
    <row r="2576" spans="1:12" x14ac:dyDescent="0.3">
      <c r="A2576" t="s">
        <v>2591</v>
      </c>
      <c r="B2576" t="s">
        <v>18</v>
      </c>
      <c r="C2576" t="s">
        <v>14</v>
      </c>
      <c r="D2576">
        <v>48</v>
      </c>
      <c r="E2576" s="1">
        <v>45342</v>
      </c>
      <c r="F2576">
        <v>2024</v>
      </c>
      <c r="G2576" t="s">
        <v>5042</v>
      </c>
      <c r="H2576">
        <v>20</v>
      </c>
      <c r="I2576">
        <v>4.7</v>
      </c>
      <c r="J2576">
        <v>9</v>
      </c>
      <c r="K2576">
        <v>4162.6099999999997</v>
      </c>
      <c r="L2576">
        <v>1.7</v>
      </c>
    </row>
    <row r="2577" spans="1:12" x14ac:dyDescent="0.3">
      <c r="A2577" t="s">
        <v>2592</v>
      </c>
      <c r="B2577" t="s">
        <v>16</v>
      </c>
      <c r="C2577" t="s">
        <v>11</v>
      </c>
      <c r="D2577">
        <v>46</v>
      </c>
      <c r="E2577" s="1">
        <v>45116</v>
      </c>
      <c r="F2577">
        <v>2023</v>
      </c>
      <c r="G2577" t="s">
        <v>5034</v>
      </c>
      <c r="H2577">
        <v>9</v>
      </c>
      <c r="I2577">
        <v>4.46</v>
      </c>
      <c r="J2577">
        <v>13</v>
      </c>
      <c r="K2577">
        <v>9706.0400000000009</v>
      </c>
      <c r="L2577">
        <v>2.2999999999999998</v>
      </c>
    </row>
    <row r="2578" spans="1:12" x14ac:dyDescent="0.3">
      <c r="A2578" t="s">
        <v>2593</v>
      </c>
      <c r="B2578" t="s">
        <v>16</v>
      </c>
      <c r="C2578" t="s">
        <v>14</v>
      </c>
      <c r="D2578">
        <v>39</v>
      </c>
      <c r="E2578" s="1">
        <v>45214</v>
      </c>
      <c r="F2578">
        <v>2023</v>
      </c>
      <c r="G2578" t="s">
        <v>5039</v>
      </c>
      <c r="H2578">
        <v>15</v>
      </c>
      <c r="I2578">
        <v>2.92</v>
      </c>
      <c r="J2578">
        <v>5</v>
      </c>
      <c r="K2578">
        <v>4959.8999999999996</v>
      </c>
      <c r="L2578">
        <v>2</v>
      </c>
    </row>
    <row r="2579" spans="1:12" x14ac:dyDescent="0.3">
      <c r="A2579" t="s">
        <v>2594</v>
      </c>
      <c r="B2579" t="s">
        <v>24</v>
      </c>
      <c r="C2579" t="s">
        <v>14</v>
      </c>
      <c r="D2579">
        <v>32</v>
      </c>
      <c r="E2579" s="1">
        <v>45898</v>
      </c>
      <c r="F2579">
        <v>2025</v>
      </c>
      <c r="G2579" t="s">
        <v>5031</v>
      </c>
      <c r="H2579">
        <v>29</v>
      </c>
      <c r="I2579">
        <v>2.38</v>
      </c>
      <c r="J2579">
        <v>1</v>
      </c>
      <c r="K2579">
        <v>8903.8799999999992</v>
      </c>
      <c r="L2579">
        <v>0.2</v>
      </c>
    </row>
    <row r="2580" spans="1:12" x14ac:dyDescent="0.3">
      <c r="A2580" t="s">
        <v>2595</v>
      </c>
      <c r="B2580" t="s">
        <v>34</v>
      </c>
      <c r="C2580" t="s">
        <v>14</v>
      </c>
      <c r="D2580">
        <v>59</v>
      </c>
      <c r="E2580" s="1">
        <v>45732</v>
      </c>
      <c r="F2580">
        <v>2025</v>
      </c>
      <c r="G2580" t="s">
        <v>5035</v>
      </c>
      <c r="H2580">
        <v>16</v>
      </c>
      <c r="I2580">
        <v>4.8600000000000003</v>
      </c>
      <c r="J2580">
        <v>9</v>
      </c>
      <c r="K2580">
        <v>9076.4500000000007</v>
      </c>
      <c r="L2580">
        <v>0.6</v>
      </c>
    </row>
    <row r="2581" spans="1:12" x14ac:dyDescent="0.3">
      <c r="A2581" t="s">
        <v>2596</v>
      </c>
      <c r="B2581" t="s">
        <v>34</v>
      </c>
      <c r="C2581" t="s">
        <v>14</v>
      </c>
      <c r="D2581">
        <v>56</v>
      </c>
      <c r="E2581" s="1">
        <v>40353</v>
      </c>
      <c r="F2581">
        <v>2010</v>
      </c>
      <c r="G2581" t="s">
        <v>5032</v>
      </c>
      <c r="H2581">
        <v>24</v>
      </c>
      <c r="I2581">
        <v>2.12</v>
      </c>
      <c r="J2581">
        <v>1</v>
      </c>
      <c r="K2581">
        <v>12201.28</v>
      </c>
      <c r="L2581">
        <v>15.4</v>
      </c>
    </row>
    <row r="2582" spans="1:12" x14ac:dyDescent="0.3">
      <c r="A2582" t="s">
        <v>2597</v>
      </c>
      <c r="B2582" t="s">
        <v>16</v>
      </c>
      <c r="C2582" t="s">
        <v>11</v>
      </c>
      <c r="D2582">
        <v>36</v>
      </c>
      <c r="E2582" s="1">
        <v>42345</v>
      </c>
      <c r="F2582">
        <v>2015</v>
      </c>
      <c r="G2582" t="s">
        <v>5041</v>
      </c>
      <c r="H2582">
        <v>7</v>
      </c>
      <c r="I2582">
        <v>4.8</v>
      </c>
      <c r="J2582">
        <v>3</v>
      </c>
      <c r="K2582">
        <v>10115.209999999999</v>
      </c>
      <c r="L2582">
        <v>9.9</v>
      </c>
    </row>
    <row r="2583" spans="1:12" x14ac:dyDescent="0.3">
      <c r="A2583" t="s">
        <v>2598</v>
      </c>
      <c r="B2583" t="s">
        <v>10</v>
      </c>
      <c r="C2583" t="s">
        <v>14</v>
      </c>
      <c r="D2583">
        <v>60</v>
      </c>
      <c r="E2583" s="1">
        <v>41249</v>
      </c>
      <c r="F2583">
        <v>2012</v>
      </c>
      <c r="G2583" t="s">
        <v>5041</v>
      </c>
      <c r="H2583">
        <v>6</v>
      </c>
      <c r="I2583">
        <v>2.15</v>
      </c>
      <c r="J2583">
        <v>12</v>
      </c>
      <c r="K2583">
        <v>5504.54</v>
      </c>
      <c r="L2583">
        <v>12.9</v>
      </c>
    </row>
    <row r="2584" spans="1:12" x14ac:dyDescent="0.3">
      <c r="A2584" t="s">
        <v>2599</v>
      </c>
      <c r="B2584" t="s">
        <v>10</v>
      </c>
      <c r="C2584" t="s">
        <v>14</v>
      </c>
      <c r="D2584">
        <v>59</v>
      </c>
      <c r="E2584" s="1">
        <v>44626</v>
      </c>
      <c r="F2584">
        <v>2022</v>
      </c>
      <c r="G2584" t="s">
        <v>5035</v>
      </c>
      <c r="H2584">
        <v>6</v>
      </c>
      <c r="I2584">
        <v>3.79</v>
      </c>
      <c r="J2584">
        <v>8</v>
      </c>
      <c r="K2584">
        <v>12378.36</v>
      </c>
      <c r="L2584">
        <v>3.7</v>
      </c>
    </row>
    <row r="2585" spans="1:12" x14ac:dyDescent="0.3">
      <c r="A2585" t="s">
        <v>2600</v>
      </c>
      <c r="B2585" t="s">
        <v>24</v>
      </c>
      <c r="C2585" t="s">
        <v>11</v>
      </c>
      <c r="D2585">
        <v>33</v>
      </c>
      <c r="E2585" s="1">
        <v>44846</v>
      </c>
      <c r="F2585">
        <v>2022</v>
      </c>
      <c r="G2585" t="s">
        <v>5039</v>
      </c>
      <c r="H2585">
        <v>12</v>
      </c>
      <c r="I2585">
        <v>3.09</v>
      </c>
      <c r="J2585">
        <v>12</v>
      </c>
      <c r="K2585">
        <v>3068.67</v>
      </c>
      <c r="L2585">
        <v>3.1</v>
      </c>
    </row>
    <row r="2586" spans="1:12" x14ac:dyDescent="0.3">
      <c r="A2586" t="s">
        <v>2601</v>
      </c>
      <c r="B2586" t="s">
        <v>24</v>
      </c>
      <c r="C2586" t="s">
        <v>11</v>
      </c>
      <c r="D2586">
        <v>26</v>
      </c>
      <c r="E2586" s="1">
        <v>45545</v>
      </c>
      <c r="F2586">
        <v>2024</v>
      </c>
      <c r="G2586" t="s">
        <v>5033</v>
      </c>
      <c r="H2586">
        <v>10</v>
      </c>
      <c r="I2586">
        <v>4.03</v>
      </c>
      <c r="J2586">
        <v>8</v>
      </c>
      <c r="K2586">
        <v>3039.42</v>
      </c>
      <c r="L2586">
        <v>1.1000000000000001</v>
      </c>
    </row>
    <row r="2587" spans="1:12" x14ac:dyDescent="0.3">
      <c r="A2587" t="s">
        <v>2602</v>
      </c>
      <c r="B2587" t="s">
        <v>16</v>
      </c>
      <c r="C2587" t="s">
        <v>11</v>
      </c>
      <c r="D2587">
        <v>52</v>
      </c>
      <c r="E2587" s="1">
        <v>42828</v>
      </c>
      <c r="F2587">
        <v>2017</v>
      </c>
      <c r="G2587" t="s">
        <v>5040</v>
      </c>
      <c r="H2587">
        <v>3</v>
      </c>
      <c r="I2587">
        <v>3.09</v>
      </c>
      <c r="J2587">
        <v>6</v>
      </c>
      <c r="K2587">
        <v>3635.61</v>
      </c>
      <c r="L2587">
        <v>8.6</v>
      </c>
    </row>
    <row r="2588" spans="1:12" x14ac:dyDescent="0.3">
      <c r="A2588" t="s">
        <v>2603</v>
      </c>
      <c r="B2588" t="s">
        <v>16</v>
      </c>
      <c r="C2588" t="s">
        <v>14</v>
      </c>
      <c r="D2588">
        <v>22</v>
      </c>
      <c r="E2588" s="1">
        <v>44389</v>
      </c>
      <c r="F2588">
        <v>2021</v>
      </c>
      <c r="G2588" t="s">
        <v>5034</v>
      </c>
      <c r="H2588">
        <v>12</v>
      </c>
      <c r="I2588">
        <v>4.43</v>
      </c>
      <c r="J2588">
        <v>11</v>
      </c>
      <c r="K2588">
        <v>8382.9500000000007</v>
      </c>
      <c r="L2588">
        <v>4.3</v>
      </c>
    </row>
    <row r="2589" spans="1:12" x14ac:dyDescent="0.3">
      <c r="A2589" t="s">
        <v>2604</v>
      </c>
      <c r="B2589" t="s">
        <v>34</v>
      </c>
      <c r="C2589" t="s">
        <v>11</v>
      </c>
      <c r="D2589">
        <v>47</v>
      </c>
      <c r="E2589" s="1">
        <v>40217</v>
      </c>
      <c r="F2589">
        <v>2010</v>
      </c>
      <c r="G2589" t="s">
        <v>5042</v>
      </c>
      <c r="H2589">
        <v>8</v>
      </c>
      <c r="I2589">
        <v>2.33</v>
      </c>
      <c r="J2589">
        <v>6</v>
      </c>
      <c r="K2589">
        <v>8536.99</v>
      </c>
      <c r="L2589">
        <v>15.7</v>
      </c>
    </row>
    <row r="2590" spans="1:12" x14ac:dyDescent="0.3">
      <c r="A2590" t="s">
        <v>2605</v>
      </c>
      <c r="B2590" t="s">
        <v>18</v>
      </c>
      <c r="C2590" t="s">
        <v>14</v>
      </c>
      <c r="D2590">
        <v>26</v>
      </c>
      <c r="E2590" s="1">
        <v>45428</v>
      </c>
      <c r="F2590">
        <v>2024</v>
      </c>
      <c r="G2590" t="s">
        <v>5036</v>
      </c>
      <c r="H2590">
        <v>16</v>
      </c>
      <c r="I2590">
        <v>4.66</v>
      </c>
      <c r="J2590">
        <v>6</v>
      </c>
      <c r="K2590">
        <v>11159.15</v>
      </c>
      <c r="L2590">
        <v>1.5</v>
      </c>
    </row>
    <row r="2591" spans="1:12" x14ac:dyDescent="0.3">
      <c r="A2591" t="s">
        <v>2606</v>
      </c>
      <c r="B2591" t="s">
        <v>16</v>
      </c>
      <c r="C2591" t="s">
        <v>11</v>
      </c>
      <c r="D2591">
        <v>45</v>
      </c>
      <c r="E2591" s="1">
        <v>40758</v>
      </c>
      <c r="F2591">
        <v>2011</v>
      </c>
      <c r="G2591" t="s">
        <v>5031</v>
      </c>
      <c r="H2591">
        <v>3</v>
      </c>
      <c r="I2591">
        <v>2.02</v>
      </c>
      <c r="J2591">
        <v>5</v>
      </c>
      <c r="K2591">
        <v>7559.41</v>
      </c>
      <c r="L2591">
        <v>14.3</v>
      </c>
    </row>
    <row r="2592" spans="1:12" x14ac:dyDescent="0.3">
      <c r="A2592" t="s">
        <v>2607</v>
      </c>
      <c r="B2592" t="s">
        <v>18</v>
      </c>
      <c r="C2592" t="s">
        <v>14</v>
      </c>
      <c r="D2592">
        <v>40</v>
      </c>
      <c r="E2592" s="1">
        <v>43430</v>
      </c>
      <c r="F2592">
        <v>2018</v>
      </c>
      <c r="G2592" t="s">
        <v>5038</v>
      </c>
      <c r="H2592">
        <v>26</v>
      </c>
      <c r="I2592">
        <v>1.8</v>
      </c>
      <c r="J2592">
        <v>7</v>
      </c>
      <c r="K2592">
        <v>6720.08</v>
      </c>
      <c r="L2592">
        <v>6.9</v>
      </c>
    </row>
    <row r="2593" spans="1:12" x14ac:dyDescent="0.3">
      <c r="A2593" t="s">
        <v>2608</v>
      </c>
      <c r="B2593" t="s">
        <v>10</v>
      </c>
      <c r="C2593" t="s">
        <v>14</v>
      </c>
      <c r="D2593">
        <v>24</v>
      </c>
      <c r="E2593" s="1">
        <v>42709</v>
      </c>
      <c r="F2593">
        <v>2016</v>
      </c>
      <c r="G2593" t="s">
        <v>5041</v>
      </c>
      <c r="H2593">
        <v>5</v>
      </c>
      <c r="I2593">
        <v>1.74</v>
      </c>
      <c r="J2593">
        <v>0</v>
      </c>
      <c r="K2593">
        <v>11201.51</v>
      </c>
      <c r="L2593">
        <v>8.9</v>
      </c>
    </row>
    <row r="2594" spans="1:12" x14ac:dyDescent="0.3">
      <c r="A2594" t="s">
        <v>2609</v>
      </c>
      <c r="B2594" t="s">
        <v>18</v>
      </c>
      <c r="C2594" t="s">
        <v>14</v>
      </c>
      <c r="D2594">
        <v>53</v>
      </c>
      <c r="E2594" s="1">
        <v>44244</v>
      </c>
      <c r="F2594">
        <v>2021</v>
      </c>
      <c r="G2594" t="s">
        <v>5042</v>
      </c>
      <c r="H2594">
        <v>17</v>
      </c>
      <c r="I2594">
        <v>2.4</v>
      </c>
      <c r="J2594">
        <v>8</v>
      </c>
      <c r="K2594">
        <v>4140.3</v>
      </c>
      <c r="L2594">
        <v>4.7</v>
      </c>
    </row>
    <row r="2595" spans="1:12" x14ac:dyDescent="0.3">
      <c r="A2595" t="s">
        <v>2610</v>
      </c>
      <c r="B2595" t="s">
        <v>18</v>
      </c>
      <c r="C2595" t="s">
        <v>11</v>
      </c>
      <c r="D2595">
        <v>45</v>
      </c>
      <c r="E2595" s="1">
        <v>41261</v>
      </c>
      <c r="F2595">
        <v>2012</v>
      </c>
      <c r="G2595" t="s">
        <v>5041</v>
      </c>
      <c r="H2595">
        <v>18</v>
      </c>
      <c r="I2595">
        <v>4.33</v>
      </c>
      <c r="J2595">
        <v>13</v>
      </c>
      <c r="K2595">
        <v>11971.97</v>
      </c>
      <c r="L2595">
        <v>12.9</v>
      </c>
    </row>
    <row r="2596" spans="1:12" x14ac:dyDescent="0.3">
      <c r="A2596" t="s">
        <v>2611</v>
      </c>
      <c r="B2596" t="s">
        <v>24</v>
      </c>
      <c r="C2596" t="s">
        <v>14</v>
      </c>
      <c r="D2596">
        <v>26</v>
      </c>
      <c r="E2596" s="1">
        <v>44062</v>
      </c>
      <c r="F2596">
        <v>2020</v>
      </c>
      <c r="G2596" t="s">
        <v>5031</v>
      </c>
      <c r="H2596">
        <v>19</v>
      </c>
      <c r="I2596">
        <v>3.83</v>
      </c>
      <c r="J2596">
        <v>3</v>
      </c>
      <c r="K2596">
        <v>4524.96</v>
      </c>
      <c r="L2596">
        <v>5.2</v>
      </c>
    </row>
    <row r="2597" spans="1:12" x14ac:dyDescent="0.3">
      <c r="A2597" t="s">
        <v>2612</v>
      </c>
      <c r="B2597" t="s">
        <v>16</v>
      </c>
      <c r="C2597" t="s">
        <v>14</v>
      </c>
      <c r="D2597">
        <v>43</v>
      </c>
      <c r="E2597" s="1">
        <v>44482</v>
      </c>
      <c r="F2597">
        <v>2021</v>
      </c>
      <c r="G2597" t="s">
        <v>5039</v>
      </c>
      <c r="H2597">
        <v>13</v>
      </c>
      <c r="I2597">
        <v>4.91</v>
      </c>
      <c r="J2597">
        <v>15</v>
      </c>
      <c r="K2597">
        <v>14117.47</v>
      </c>
      <c r="L2597">
        <v>4.0999999999999996</v>
      </c>
    </row>
    <row r="2598" spans="1:12" x14ac:dyDescent="0.3">
      <c r="A2598" t="s">
        <v>2613</v>
      </c>
      <c r="B2598" t="s">
        <v>18</v>
      </c>
      <c r="C2598" t="s">
        <v>14</v>
      </c>
      <c r="D2598">
        <v>56</v>
      </c>
      <c r="E2598" s="1">
        <v>41958</v>
      </c>
      <c r="F2598">
        <v>2014</v>
      </c>
      <c r="G2598" t="s">
        <v>5038</v>
      </c>
      <c r="H2598">
        <v>15</v>
      </c>
      <c r="I2598">
        <v>3.29</v>
      </c>
      <c r="J2598">
        <v>13</v>
      </c>
      <c r="K2598">
        <v>9750.09</v>
      </c>
      <c r="L2598">
        <v>11</v>
      </c>
    </row>
    <row r="2599" spans="1:12" x14ac:dyDescent="0.3">
      <c r="A2599" t="s">
        <v>2614</v>
      </c>
      <c r="B2599" t="s">
        <v>34</v>
      </c>
      <c r="C2599" t="s">
        <v>11</v>
      </c>
      <c r="D2599">
        <v>45</v>
      </c>
      <c r="E2599" s="1">
        <v>45156</v>
      </c>
      <c r="F2599">
        <v>2023</v>
      </c>
      <c r="G2599" t="s">
        <v>5031</v>
      </c>
      <c r="H2599">
        <v>18</v>
      </c>
      <c r="I2599">
        <v>3.48</v>
      </c>
      <c r="J2599">
        <v>0</v>
      </c>
      <c r="K2599">
        <v>12735.61</v>
      </c>
      <c r="L2599">
        <v>2.2000000000000002</v>
      </c>
    </row>
    <row r="2600" spans="1:12" x14ac:dyDescent="0.3">
      <c r="A2600" t="s">
        <v>2615</v>
      </c>
      <c r="B2600" t="s">
        <v>18</v>
      </c>
      <c r="C2600" t="s">
        <v>11</v>
      </c>
      <c r="D2600">
        <v>37</v>
      </c>
      <c r="E2600" s="1">
        <v>40343</v>
      </c>
      <c r="F2600">
        <v>2010</v>
      </c>
      <c r="G2600" t="s">
        <v>5032</v>
      </c>
      <c r="H2600">
        <v>14</v>
      </c>
      <c r="I2600">
        <v>4.63</v>
      </c>
      <c r="J2600">
        <v>11</v>
      </c>
      <c r="K2600">
        <v>6337.93</v>
      </c>
      <c r="L2600">
        <v>15.4</v>
      </c>
    </row>
    <row r="2601" spans="1:12" x14ac:dyDescent="0.3">
      <c r="A2601" t="s">
        <v>2616</v>
      </c>
      <c r="B2601" t="s">
        <v>13</v>
      </c>
      <c r="C2601" t="s">
        <v>11</v>
      </c>
      <c r="D2601">
        <v>38</v>
      </c>
      <c r="E2601" s="1">
        <v>40243</v>
      </c>
      <c r="F2601">
        <v>2010</v>
      </c>
      <c r="G2601" t="s">
        <v>5035</v>
      </c>
      <c r="H2601">
        <v>6</v>
      </c>
      <c r="I2601">
        <v>2.84</v>
      </c>
      <c r="J2601">
        <v>0</v>
      </c>
      <c r="K2601">
        <v>11503.82</v>
      </c>
      <c r="L2601">
        <v>15.7</v>
      </c>
    </row>
    <row r="2602" spans="1:12" x14ac:dyDescent="0.3">
      <c r="A2602" t="s">
        <v>2617</v>
      </c>
      <c r="B2602" t="s">
        <v>10</v>
      </c>
      <c r="C2602" t="s">
        <v>14</v>
      </c>
      <c r="D2602">
        <v>43</v>
      </c>
      <c r="E2602" s="1">
        <v>41410</v>
      </c>
      <c r="F2602">
        <v>2013</v>
      </c>
      <c r="G2602" t="s">
        <v>5036</v>
      </c>
      <c r="H2602">
        <v>16</v>
      </c>
      <c r="I2602">
        <v>4.4800000000000004</v>
      </c>
      <c r="J2602">
        <v>8</v>
      </c>
      <c r="K2602">
        <v>9018.39</v>
      </c>
      <c r="L2602">
        <v>12.5</v>
      </c>
    </row>
    <row r="2603" spans="1:12" x14ac:dyDescent="0.3">
      <c r="A2603" t="s">
        <v>2618</v>
      </c>
      <c r="B2603" t="s">
        <v>18</v>
      </c>
      <c r="C2603" t="s">
        <v>11</v>
      </c>
      <c r="D2603">
        <v>30</v>
      </c>
      <c r="E2603" s="1">
        <v>43973</v>
      </c>
      <c r="F2603">
        <v>2020</v>
      </c>
      <c r="G2603" t="s">
        <v>5036</v>
      </c>
      <c r="H2603">
        <v>22</v>
      </c>
      <c r="I2603">
        <v>4.7</v>
      </c>
      <c r="J2603">
        <v>1</v>
      </c>
      <c r="K2603">
        <v>11249.52</v>
      </c>
      <c r="L2603">
        <v>5.4</v>
      </c>
    </row>
    <row r="2604" spans="1:12" x14ac:dyDescent="0.3">
      <c r="A2604" t="s">
        <v>2619</v>
      </c>
      <c r="B2604" t="s">
        <v>24</v>
      </c>
      <c r="C2604" t="s">
        <v>11</v>
      </c>
      <c r="D2604">
        <v>36</v>
      </c>
      <c r="E2604" s="1">
        <v>43491</v>
      </c>
      <c r="F2604">
        <v>2019</v>
      </c>
      <c r="G2604" t="s">
        <v>5037</v>
      </c>
      <c r="H2604">
        <v>26</v>
      </c>
      <c r="I2604">
        <v>2.37</v>
      </c>
      <c r="J2604">
        <v>1</v>
      </c>
      <c r="K2604">
        <v>9634.06</v>
      </c>
      <c r="L2604">
        <v>6.8</v>
      </c>
    </row>
    <row r="2605" spans="1:12" x14ac:dyDescent="0.3">
      <c r="A2605" t="s">
        <v>2620</v>
      </c>
      <c r="B2605" t="s">
        <v>10</v>
      </c>
      <c r="C2605" t="s">
        <v>11</v>
      </c>
      <c r="D2605">
        <v>27</v>
      </c>
      <c r="E2605" s="1">
        <v>43757</v>
      </c>
      <c r="F2605">
        <v>2019</v>
      </c>
      <c r="G2605" t="s">
        <v>5039</v>
      </c>
      <c r="H2605">
        <v>19</v>
      </c>
      <c r="I2605">
        <v>2.84</v>
      </c>
      <c r="J2605">
        <v>14</v>
      </c>
      <c r="K2605">
        <v>6815.39</v>
      </c>
      <c r="L2605">
        <v>6</v>
      </c>
    </row>
    <row r="2606" spans="1:12" x14ac:dyDescent="0.3">
      <c r="A2606" t="s">
        <v>2621</v>
      </c>
      <c r="B2606" t="s">
        <v>16</v>
      </c>
      <c r="C2606" t="s">
        <v>11</v>
      </c>
      <c r="D2606">
        <v>43</v>
      </c>
      <c r="E2606" s="1">
        <v>44443</v>
      </c>
      <c r="F2606">
        <v>2021</v>
      </c>
      <c r="G2606" t="s">
        <v>5033</v>
      </c>
      <c r="H2606">
        <v>4</v>
      </c>
      <c r="I2606">
        <v>1.98</v>
      </c>
      <c r="J2606">
        <v>15</v>
      </c>
      <c r="K2606">
        <v>6182.53</v>
      </c>
      <c r="L2606">
        <v>4.2</v>
      </c>
    </row>
    <row r="2607" spans="1:12" x14ac:dyDescent="0.3">
      <c r="A2607" t="s">
        <v>2622</v>
      </c>
      <c r="B2607" t="s">
        <v>24</v>
      </c>
      <c r="C2607" t="s">
        <v>11</v>
      </c>
      <c r="D2607">
        <v>47</v>
      </c>
      <c r="E2607" s="1">
        <v>44610</v>
      </c>
      <c r="F2607">
        <v>2022</v>
      </c>
      <c r="G2607" t="s">
        <v>5042</v>
      </c>
      <c r="H2607">
        <v>18</v>
      </c>
      <c r="I2607">
        <v>4.25</v>
      </c>
      <c r="J2607">
        <v>11</v>
      </c>
      <c r="K2607">
        <v>14530.04</v>
      </c>
      <c r="L2607">
        <v>3.7</v>
      </c>
    </row>
    <row r="2608" spans="1:12" x14ac:dyDescent="0.3">
      <c r="A2608" t="s">
        <v>2623</v>
      </c>
      <c r="B2608" t="s">
        <v>10</v>
      </c>
      <c r="C2608" t="s">
        <v>14</v>
      </c>
      <c r="D2608">
        <v>55</v>
      </c>
      <c r="E2608" s="1">
        <v>42554</v>
      </c>
      <c r="F2608">
        <v>2016</v>
      </c>
      <c r="G2608" t="s">
        <v>5034</v>
      </c>
      <c r="H2608">
        <v>3</v>
      </c>
      <c r="I2608">
        <v>3.86</v>
      </c>
      <c r="J2608">
        <v>6</v>
      </c>
      <c r="K2608">
        <v>3908.86</v>
      </c>
      <c r="L2608">
        <v>9.3000000000000007</v>
      </c>
    </row>
    <row r="2609" spans="1:12" x14ac:dyDescent="0.3">
      <c r="A2609" t="s">
        <v>2624</v>
      </c>
      <c r="B2609" t="s">
        <v>10</v>
      </c>
      <c r="C2609" t="s">
        <v>11</v>
      </c>
      <c r="D2609">
        <v>58</v>
      </c>
      <c r="E2609" s="1">
        <v>40972</v>
      </c>
      <c r="F2609">
        <v>2012</v>
      </c>
      <c r="G2609" t="s">
        <v>5035</v>
      </c>
      <c r="H2609">
        <v>4</v>
      </c>
      <c r="I2609">
        <v>5</v>
      </c>
      <c r="J2609">
        <v>12</v>
      </c>
      <c r="K2609">
        <v>13837.62</v>
      </c>
      <c r="L2609">
        <v>13.7</v>
      </c>
    </row>
    <row r="2610" spans="1:12" x14ac:dyDescent="0.3">
      <c r="A2610" t="s">
        <v>2625</v>
      </c>
      <c r="B2610" t="s">
        <v>16</v>
      </c>
      <c r="C2610" t="s">
        <v>11</v>
      </c>
      <c r="D2610">
        <v>51</v>
      </c>
      <c r="E2610" s="1">
        <v>43168</v>
      </c>
      <c r="F2610">
        <v>2018</v>
      </c>
      <c r="G2610" t="s">
        <v>5035</v>
      </c>
      <c r="H2610">
        <v>9</v>
      </c>
      <c r="I2610">
        <v>4.95</v>
      </c>
      <c r="J2610">
        <v>4</v>
      </c>
      <c r="K2610">
        <v>5569.62</v>
      </c>
      <c r="L2610">
        <v>7.7</v>
      </c>
    </row>
    <row r="2611" spans="1:12" x14ac:dyDescent="0.3">
      <c r="A2611" t="s">
        <v>2626</v>
      </c>
      <c r="B2611" t="s">
        <v>13</v>
      </c>
      <c r="C2611" t="s">
        <v>14</v>
      </c>
      <c r="D2611">
        <v>59</v>
      </c>
      <c r="E2611" s="1">
        <v>44501</v>
      </c>
      <c r="F2611">
        <v>2021</v>
      </c>
      <c r="G2611" t="s">
        <v>5038</v>
      </c>
      <c r="H2611">
        <v>1</v>
      </c>
      <c r="I2611">
        <v>1.53</v>
      </c>
      <c r="J2611">
        <v>6</v>
      </c>
      <c r="K2611">
        <v>5310.52</v>
      </c>
      <c r="L2611">
        <v>4</v>
      </c>
    </row>
    <row r="2612" spans="1:12" x14ac:dyDescent="0.3">
      <c r="A2612" t="s">
        <v>2627</v>
      </c>
      <c r="B2612" t="s">
        <v>16</v>
      </c>
      <c r="C2612" t="s">
        <v>14</v>
      </c>
      <c r="D2612">
        <v>48</v>
      </c>
      <c r="E2612" s="1">
        <v>41897</v>
      </c>
      <c r="F2612">
        <v>2014</v>
      </c>
      <c r="G2612" t="s">
        <v>5033</v>
      </c>
      <c r="H2612">
        <v>15</v>
      </c>
      <c r="I2612">
        <v>3.74</v>
      </c>
      <c r="J2612">
        <v>11</v>
      </c>
      <c r="K2612">
        <v>6103.62</v>
      </c>
      <c r="L2612">
        <v>11.1</v>
      </c>
    </row>
    <row r="2613" spans="1:12" x14ac:dyDescent="0.3">
      <c r="A2613" t="s">
        <v>2628</v>
      </c>
      <c r="B2613" t="s">
        <v>24</v>
      </c>
      <c r="C2613" t="s">
        <v>14</v>
      </c>
      <c r="D2613">
        <v>36</v>
      </c>
      <c r="E2613" s="1">
        <v>45816</v>
      </c>
      <c r="F2613">
        <v>2025</v>
      </c>
      <c r="G2613" t="s">
        <v>5032</v>
      </c>
      <c r="H2613">
        <v>8</v>
      </c>
      <c r="I2613">
        <v>2.95</v>
      </c>
      <c r="J2613">
        <v>4</v>
      </c>
      <c r="K2613">
        <v>13123.94</v>
      </c>
      <c r="L2613">
        <v>0.4</v>
      </c>
    </row>
    <row r="2614" spans="1:12" x14ac:dyDescent="0.3">
      <c r="A2614" t="s">
        <v>2629</v>
      </c>
      <c r="B2614" t="s">
        <v>10</v>
      </c>
      <c r="C2614" t="s">
        <v>14</v>
      </c>
      <c r="D2614">
        <v>51</v>
      </c>
      <c r="E2614" s="1">
        <v>43369</v>
      </c>
      <c r="F2614">
        <v>2018</v>
      </c>
      <c r="G2614" t="s">
        <v>5033</v>
      </c>
      <c r="H2614">
        <v>26</v>
      </c>
      <c r="I2614">
        <v>1.63</v>
      </c>
      <c r="J2614">
        <v>3</v>
      </c>
      <c r="K2614">
        <v>11423.43</v>
      </c>
      <c r="L2614">
        <v>7.1</v>
      </c>
    </row>
    <row r="2615" spans="1:12" x14ac:dyDescent="0.3">
      <c r="A2615" t="s">
        <v>2630</v>
      </c>
      <c r="B2615" t="s">
        <v>16</v>
      </c>
      <c r="C2615" t="s">
        <v>14</v>
      </c>
      <c r="D2615">
        <v>43</v>
      </c>
      <c r="E2615" s="1">
        <v>45454</v>
      </c>
      <c r="F2615">
        <v>2024</v>
      </c>
      <c r="G2615" t="s">
        <v>5032</v>
      </c>
      <c r="H2615">
        <v>11</v>
      </c>
      <c r="I2615">
        <v>4.1100000000000003</v>
      </c>
      <c r="J2615">
        <v>3</v>
      </c>
      <c r="K2615">
        <v>14313.88</v>
      </c>
      <c r="L2615">
        <v>1.4</v>
      </c>
    </row>
    <row r="2616" spans="1:12" x14ac:dyDescent="0.3">
      <c r="A2616" t="s">
        <v>2631</v>
      </c>
      <c r="B2616" t="s">
        <v>13</v>
      </c>
      <c r="C2616" t="s">
        <v>14</v>
      </c>
      <c r="D2616">
        <v>50</v>
      </c>
      <c r="E2616" s="1">
        <v>45884</v>
      </c>
      <c r="F2616">
        <v>2025</v>
      </c>
      <c r="G2616" t="s">
        <v>5031</v>
      </c>
      <c r="H2616">
        <v>15</v>
      </c>
      <c r="I2616">
        <v>2.71</v>
      </c>
      <c r="J2616">
        <v>7</v>
      </c>
      <c r="K2616">
        <v>8766.56</v>
      </c>
      <c r="L2616">
        <v>0.2</v>
      </c>
    </row>
    <row r="2617" spans="1:12" x14ac:dyDescent="0.3">
      <c r="A2617" t="s">
        <v>2632</v>
      </c>
      <c r="B2617" t="s">
        <v>13</v>
      </c>
      <c r="C2617" t="s">
        <v>11</v>
      </c>
      <c r="D2617">
        <v>34</v>
      </c>
      <c r="E2617" s="1">
        <v>43929</v>
      </c>
      <c r="F2617">
        <v>2020</v>
      </c>
      <c r="G2617" t="s">
        <v>5040</v>
      </c>
      <c r="H2617">
        <v>8</v>
      </c>
      <c r="I2617">
        <v>1.96</v>
      </c>
      <c r="J2617">
        <v>4</v>
      </c>
      <c r="K2617">
        <v>3480.57</v>
      </c>
      <c r="L2617">
        <v>5.6</v>
      </c>
    </row>
    <row r="2618" spans="1:12" x14ac:dyDescent="0.3">
      <c r="A2618" t="s">
        <v>2633</v>
      </c>
      <c r="B2618" t="s">
        <v>24</v>
      </c>
      <c r="C2618" t="s">
        <v>11</v>
      </c>
      <c r="D2618">
        <v>24</v>
      </c>
      <c r="E2618" s="1">
        <v>43264</v>
      </c>
      <c r="F2618">
        <v>2018</v>
      </c>
      <c r="G2618" t="s">
        <v>5032</v>
      </c>
      <c r="H2618">
        <v>13</v>
      </c>
      <c r="I2618">
        <v>4.38</v>
      </c>
      <c r="J2618">
        <v>10</v>
      </c>
      <c r="K2618">
        <v>6084.89</v>
      </c>
      <c r="L2618">
        <v>7.4</v>
      </c>
    </row>
    <row r="2619" spans="1:12" x14ac:dyDescent="0.3">
      <c r="A2619" t="s">
        <v>2634</v>
      </c>
      <c r="B2619" t="s">
        <v>34</v>
      </c>
      <c r="C2619" t="s">
        <v>14</v>
      </c>
      <c r="D2619">
        <v>54</v>
      </c>
      <c r="E2619" s="1">
        <v>45727</v>
      </c>
      <c r="F2619">
        <v>2025</v>
      </c>
      <c r="G2619" t="s">
        <v>5035</v>
      </c>
      <c r="H2619">
        <v>11</v>
      </c>
      <c r="I2619">
        <v>3.31</v>
      </c>
      <c r="J2619">
        <v>3</v>
      </c>
      <c r="K2619">
        <v>14276.21</v>
      </c>
      <c r="L2619">
        <v>0.6</v>
      </c>
    </row>
    <row r="2620" spans="1:12" x14ac:dyDescent="0.3">
      <c r="A2620" t="s">
        <v>2635</v>
      </c>
      <c r="B2620" t="s">
        <v>18</v>
      </c>
      <c r="C2620" t="s">
        <v>11</v>
      </c>
      <c r="D2620">
        <v>59</v>
      </c>
      <c r="E2620" s="1">
        <v>45927</v>
      </c>
      <c r="F2620">
        <v>2025</v>
      </c>
      <c r="G2620" t="s">
        <v>5033</v>
      </c>
      <c r="H2620">
        <v>27</v>
      </c>
      <c r="I2620">
        <v>2.85</v>
      </c>
      <c r="J2620">
        <v>3</v>
      </c>
      <c r="K2620">
        <v>7124.93</v>
      </c>
      <c r="L2620">
        <v>0.1</v>
      </c>
    </row>
    <row r="2621" spans="1:12" x14ac:dyDescent="0.3">
      <c r="A2621" t="s">
        <v>2636</v>
      </c>
      <c r="B2621" t="s">
        <v>13</v>
      </c>
      <c r="C2621" t="s">
        <v>14</v>
      </c>
      <c r="D2621">
        <v>43</v>
      </c>
      <c r="E2621" s="1">
        <v>41244</v>
      </c>
      <c r="F2621">
        <v>2012</v>
      </c>
      <c r="G2621" t="s">
        <v>5041</v>
      </c>
      <c r="H2621">
        <v>1</v>
      </c>
      <c r="I2621">
        <v>2.2799999999999998</v>
      </c>
      <c r="J2621">
        <v>5</v>
      </c>
      <c r="K2621">
        <v>3216.89</v>
      </c>
      <c r="L2621">
        <v>12.9</v>
      </c>
    </row>
    <row r="2622" spans="1:12" x14ac:dyDescent="0.3">
      <c r="A2622" t="s">
        <v>2637</v>
      </c>
      <c r="B2622" t="s">
        <v>34</v>
      </c>
      <c r="C2622" t="s">
        <v>14</v>
      </c>
      <c r="D2622">
        <v>30</v>
      </c>
      <c r="E2622" s="1">
        <v>45159</v>
      </c>
      <c r="F2622">
        <v>2023</v>
      </c>
      <c r="G2622" t="s">
        <v>5031</v>
      </c>
      <c r="H2622">
        <v>21</v>
      </c>
      <c r="I2622">
        <v>1.51</v>
      </c>
      <c r="J2622">
        <v>12</v>
      </c>
      <c r="K2622">
        <v>12883.38</v>
      </c>
      <c r="L2622">
        <v>2.2000000000000002</v>
      </c>
    </row>
    <row r="2623" spans="1:12" x14ac:dyDescent="0.3">
      <c r="A2623" t="s">
        <v>2638</v>
      </c>
      <c r="B2623" t="s">
        <v>10</v>
      </c>
      <c r="C2623" t="s">
        <v>11</v>
      </c>
      <c r="D2623">
        <v>60</v>
      </c>
      <c r="E2623" s="1">
        <v>45169</v>
      </c>
      <c r="F2623">
        <v>2023</v>
      </c>
      <c r="G2623" t="s">
        <v>5031</v>
      </c>
      <c r="H2623">
        <v>31</v>
      </c>
      <c r="I2623">
        <v>2.75</v>
      </c>
      <c r="J2623">
        <v>11</v>
      </c>
      <c r="K2623">
        <v>8938.58</v>
      </c>
      <c r="L2623">
        <v>2.2000000000000002</v>
      </c>
    </row>
    <row r="2624" spans="1:12" x14ac:dyDescent="0.3">
      <c r="A2624" t="s">
        <v>2639</v>
      </c>
      <c r="B2624" t="s">
        <v>10</v>
      </c>
      <c r="C2624" t="s">
        <v>11</v>
      </c>
      <c r="D2624">
        <v>23</v>
      </c>
      <c r="E2624" s="1">
        <v>44995</v>
      </c>
      <c r="F2624">
        <v>2023</v>
      </c>
      <c r="G2624" t="s">
        <v>5035</v>
      </c>
      <c r="H2624">
        <v>10</v>
      </c>
      <c r="I2624">
        <v>1.94</v>
      </c>
      <c r="J2624">
        <v>5</v>
      </c>
      <c r="K2624">
        <v>11503.53</v>
      </c>
      <c r="L2624">
        <v>2.6</v>
      </c>
    </row>
    <row r="2625" spans="1:12" x14ac:dyDescent="0.3">
      <c r="A2625" t="s">
        <v>2640</v>
      </c>
      <c r="B2625" t="s">
        <v>13</v>
      </c>
      <c r="C2625" t="s">
        <v>14</v>
      </c>
      <c r="D2625">
        <v>47</v>
      </c>
      <c r="E2625" s="1">
        <v>44221</v>
      </c>
      <c r="F2625">
        <v>2021</v>
      </c>
      <c r="G2625" t="s">
        <v>5037</v>
      </c>
      <c r="H2625">
        <v>25</v>
      </c>
      <c r="I2625">
        <v>3.89</v>
      </c>
      <c r="J2625">
        <v>6</v>
      </c>
      <c r="K2625">
        <v>5063.4799999999996</v>
      </c>
      <c r="L2625">
        <v>4.8</v>
      </c>
    </row>
    <row r="2626" spans="1:12" x14ac:dyDescent="0.3">
      <c r="A2626" t="s">
        <v>2641</v>
      </c>
      <c r="B2626" t="s">
        <v>13</v>
      </c>
      <c r="C2626" t="s">
        <v>14</v>
      </c>
      <c r="D2626">
        <v>41</v>
      </c>
      <c r="E2626" s="1">
        <v>40321</v>
      </c>
      <c r="F2626">
        <v>2010</v>
      </c>
      <c r="G2626" t="s">
        <v>5036</v>
      </c>
      <c r="H2626">
        <v>23</v>
      </c>
      <c r="I2626">
        <v>2.1</v>
      </c>
      <c r="J2626">
        <v>12</v>
      </c>
      <c r="K2626">
        <v>10505.96</v>
      </c>
      <c r="L2626">
        <v>15.5</v>
      </c>
    </row>
    <row r="2627" spans="1:12" x14ac:dyDescent="0.3">
      <c r="A2627" t="s">
        <v>2642</v>
      </c>
      <c r="B2627" t="s">
        <v>16</v>
      </c>
      <c r="C2627" t="s">
        <v>14</v>
      </c>
      <c r="D2627">
        <v>33</v>
      </c>
      <c r="E2627" s="1">
        <v>40948</v>
      </c>
      <c r="F2627">
        <v>2012</v>
      </c>
      <c r="G2627" t="s">
        <v>5042</v>
      </c>
      <c r="H2627">
        <v>9</v>
      </c>
      <c r="I2627">
        <v>2.93</v>
      </c>
      <c r="J2627">
        <v>3</v>
      </c>
      <c r="K2627">
        <v>10819.17</v>
      </c>
      <c r="L2627">
        <v>13.7</v>
      </c>
    </row>
    <row r="2628" spans="1:12" x14ac:dyDescent="0.3">
      <c r="A2628" t="s">
        <v>2643</v>
      </c>
      <c r="B2628" t="s">
        <v>13</v>
      </c>
      <c r="C2628" t="s">
        <v>14</v>
      </c>
      <c r="D2628">
        <v>30</v>
      </c>
      <c r="E2628" s="1">
        <v>42358</v>
      </c>
      <c r="F2628">
        <v>2015</v>
      </c>
      <c r="G2628" t="s">
        <v>5041</v>
      </c>
      <c r="H2628">
        <v>20</v>
      </c>
      <c r="I2628">
        <v>2.4900000000000002</v>
      </c>
      <c r="J2628">
        <v>15</v>
      </c>
      <c r="K2628">
        <v>7004.67</v>
      </c>
      <c r="L2628">
        <v>9.9</v>
      </c>
    </row>
    <row r="2629" spans="1:12" x14ac:dyDescent="0.3">
      <c r="A2629" t="s">
        <v>2644</v>
      </c>
      <c r="B2629" t="s">
        <v>16</v>
      </c>
      <c r="C2629" t="s">
        <v>11</v>
      </c>
      <c r="D2629">
        <v>51</v>
      </c>
      <c r="E2629" s="1">
        <v>40363</v>
      </c>
      <c r="F2629">
        <v>2010</v>
      </c>
      <c r="G2629" t="s">
        <v>5034</v>
      </c>
      <c r="H2629">
        <v>4</v>
      </c>
      <c r="I2629">
        <v>2.97</v>
      </c>
      <c r="J2629">
        <v>10</v>
      </c>
      <c r="K2629">
        <v>5184.04</v>
      </c>
      <c r="L2629">
        <v>15.3</v>
      </c>
    </row>
    <row r="2630" spans="1:12" x14ac:dyDescent="0.3">
      <c r="A2630" t="s">
        <v>2645</v>
      </c>
      <c r="B2630" t="s">
        <v>34</v>
      </c>
      <c r="C2630" t="s">
        <v>11</v>
      </c>
      <c r="D2630">
        <v>37</v>
      </c>
      <c r="E2630" s="1">
        <v>43699</v>
      </c>
      <c r="F2630">
        <v>2019</v>
      </c>
      <c r="G2630" t="s">
        <v>5031</v>
      </c>
      <c r="H2630">
        <v>22</v>
      </c>
      <c r="I2630">
        <v>4.28</v>
      </c>
      <c r="J2630">
        <v>9</v>
      </c>
      <c r="K2630">
        <v>13685.78</v>
      </c>
      <c r="L2630">
        <v>6.2</v>
      </c>
    </row>
    <row r="2631" spans="1:12" x14ac:dyDescent="0.3">
      <c r="A2631" t="s">
        <v>2646</v>
      </c>
      <c r="B2631" t="s">
        <v>13</v>
      </c>
      <c r="C2631" t="s">
        <v>14</v>
      </c>
      <c r="D2631">
        <v>25</v>
      </c>
      <c r="E2631" s="1">
        <v>44715</v>
      </c>
      <c r="F2631">
        <v>2022</v>
      </c>
      <c r="G2631" t="s">
        <v>5032</v>
      </c>
      <c r="H2631">
        <v>3</v>
      </c>
      <c r="I2631">
        <v>2.97</v>
      </c>
      <c r="J2631">
        <v>7</v>
      </c>
      <c r="K2631">
        <v>12316.44</v>
      </c>
      <c r="L2631">
        <v>3.4</v>
      </c>
    </row>
    <row r="2632" spans="1:12" x14ac:dyDescent="0.3">
      <c r="A2632" t="s">
        <v>2647</v>
      </c>
      <c r="B2632" t="s">
        <v>18</v>
      </c>
      <c r="C2632" t="s">
        <v>11</v>
      </c>
      <c r="D2632">
        <v>45</v>
      </c>
      <c r="E2632" s="1">
        <v>40180</v>
      </c>
      <c r="F2632">
        <v>2010</v>
      </c>
      <c r="G2632" t="s">
        <v>5037</v>
      </c>
      <c r="H2632">
        <v>2</v>
      </c>
      <c r="I2632">
        <v>4.5199999999999996</v>
      </c>
      <c r="J2632">
        <v>2</v>
      </c>
      <c r="K2632">
        <v>5698.08</v>
      </c>
      <c r="L2632">
        <v>15.8</v>
      </c>
    </row>
    <row r="2633" spans="1:12" x14ac:dyDescent="0.3">
      <c r="A2633" t="s">
        <v>2648</v>
      </c>
      <c r="B2633" t="s">
        <v>10</v>
      </c>
      <c r="C2633" t="s">
        <v>11</v>
      </c>
      <c r="D2633">
        <v>49</v>
      </c>
      <c r="E2633" s="1">
        <v>43360</v>
      </c>
      <c r="F2633">
        <v>2018</v>
      </c>
      <c r="G2633" t="s">
        <v>5033</v>
      </c>
      <c r="H2633">
        <v>17</v>
      </c>
      <c r="I2633">
        <v>4.17</v>
      </c>
      <c r="J2633">
        <v>9</v>
      </c>
      <c r="K2633">
        <v>8686.17</v>
      </c>
      <c r="L2633">
        <v>7.1</v>
      </c>
    </row>
    <row r="2634" spans="1:12" x14ac:dyDescent="0.3">
      <c r="A2634" t="s">
        <v>2649</v>
      </c>
      <c r="B2634" t="s">
        <v>18</v>
      </c>
      <c r="C2634" t="s">
        <v>14</v>
      </c>
      <c r="D2634">
        <v>49</v>
      </c>
      <c r="E2634" s="1">
        <v>43417</v>
      </c>
      <c r="F2634">
        <v>2018</v>
      </c>
      <c r="G2634" t="s">
        <v>5038</v>
      </c>
      <c r="H2634">
        <v>13</v>
      </c>
      <c r="I2634">
        <v>4.6399999999999997</v>
      </c>
      <c r="J2634">
        <v>8</v>
      </c>
      <c r="K2634">
        <v>3600.32</v>
      </c>
      <c r="L2634">
        <v>7</v>
      </c>
    </row>
    <row r="2635" spans="1:12" x14ac:dyDescent="0.3">
      <c r="A2635" t="s">
        <v>2650</v>
      </c>
      <c r="B2635" t="s">
        <v>34</v>
      </c>
      <c r="C2635" t="s">
        <v>11</v>
      </c>
      <c r="D2635">
        <v>28</v>
      </c>
      <c r="E2635" s="1">
        <v>42443</v>
      </c>
      <c r="F2635">
        <v>2016</v>
      </c>
      <c r="G2635" t="s">
        <v>5035</v>
      </c>
      <c r="H2635">
        <v>14</v>
      </c>
      <c r="I2635">
        <v>1.97</v>
      </c>
      <c r="J2635">
        <v>3</v>
      </c>
      <c r="K2635">
        <v>9056.9</v>
      </c>
      <c r="L2635">
        <v>9.6</v>
      </c>
    </row>
    <row r="2636" spans="1:12" x14ac:dyDescent="0.3">
      <c r="A2636" t="s">
        <v>2651</v>
      </c>
      <c r="B2636" t="s">
        <v>10</v>
      </c>
      <c r="C2636" t="s">
        <v>11</v>
      </c>
      <c r="D2636">
        <v>33</v>
      </c>
      <c r="E2636" s="1">
        <v>42731</v>
      </c>
      <c r="F2636">
        <v>2016</v>
      </c>
      <c r="G2636" t="s">
        <v>5041</v>
      </c>
      <c r="H2636">
        <v>27</v>
      </c>
      <c r="I2636">
        <v>4.21</v>
      </c>
      <c r="J2636">
        <v>0</v>
      </c>
      <c r="K2636">
        <v>12444.87</v>
      </c>
      <c r="L2636">
        <v>8.9</v>
      </c>
    </row>
    <row r="2637" spans="1:12" x14ac:dyDescent="0.3">
      <c r="A2637" t="s">
        <v>2652</v>
      </c>
      <c r="B2637" t="s">
        <v>18</v>
      </c>
      <c r="C2637" t="s">
        <v>11</v>
      </c>
      <c r="D2637">
        <v>55</v>
      </c>
      <c r="E2637" s="1">
        <v>42908</v>
      </c>
      <c r="F2637">
        <v>2017</v>
      </c>
      <c r="G2637" t="s">
        <v>5032</v>
      </c>
      <c r="H2637">
        <v>22</v>
      </c>
      <c r="I2637">
        <v>2.66</v>
      </c>
      <c r="J2637">
        <v>11</v>
      </c>
      <c r="K2637">
        <v>11582.37</v>
      </c>
      <c r="L2637">
        <v>8.4</v>
      </c>
    </row>
    <row r="2638" spans="1:12" x14ac:dyDescent="0.3">
      <c r="A2638" t="s">
        <v>2653</v>
      </c>
      <c r="B2638" t="s">
        <v>18</v>
      </c>
      <c r="C2638" t="s">
        <v>14</v>
      </c>
      <c r="D2638">
        <v>30</v>
      </c>
      <c r="E2638" s="1">
        <v>41902</v>
      </c>
      <c r="F2638">
        <v>2014</v>
      </c>
      <c r="G2638" t="s">
        <v>5033</v>
      </c>
      <c r="H2638">
        <v>20</v>
      </c>
      <c r="I2638">
        <v>2.67</v>
      </c>
      <c r="J2638">
        <v>14</v>
      </c>
      <c r="K2638">
        <v>6151.89</v>
      </c>
      <c r="L2638">
        <v>11.1</v>
      </c>
    </row>
    <row r="2639" spans="1:12" x14ac:dyDescent="0.3">
      <c r="A2639" t="s">
        <v>2654</v>
      </c>
      <c r="B2639" t="s">
        <v>18</v>
      </c>
      <c r="C2639" t="s">
        <v>11</v>
      </c>
      <c r="D2639">
        <v>25</v>
      </c>
      <c r="E2639" s="1">
        <v>44014</v>
      </c>
      <c r="F2639">
        <v>2020</v>
      </c>
      <c r="G2639" t="s">
        <v>5034</v>
      </c>
      <c r="H2639">
        <v>2</v>
      </c>
      <c r="I2639">
        <v>3.7</v>
      </c>
      <c r="J2639">
        <v>4</v>
      </c>
      <c r="K2639">
        <v>9512.7000000000007</v>
      </c>
      <c r="L2639">
        <v>5.3</v>
      </c>
    </row>
    <row r="2640" spans="1:12" x14ac:dyDescent="0.3">
      <c r="A2640" t="s">
        <v>2655</v>
      </c>
      <c r="B2640" t="s">
        <v>34</v>
      </c>
      <c r="C2640" t="s">
        <v>14</v>
      </c>
      <c r="D2640">
        <v>41</v>
      </c>
      <c r="E2640" s="1">
        <v>40529</v>
      </c>
      <c r="F2640">
        <v>2010</v>
      </c>
      <c r="G2640" t="s">
        <v>5041</v>
      </c>
      <c r="H2640">
        <v>17</v>
      </c>
      <c r="I2640">
        <v>2.0499999999999998</v>
      </c>
      <c r="J2640">
        <v>12</v>
      </c>
      <c r="K2640">
        <v>10162.950000000001</v>
      </c>
      <c r="L2640">
        <v>14.9</v>
      </c>
    </row>
    <row r="2641" spans="1:12" x14ac:dyDescent="0.3">
      <c r="A2641" t="s">
        <v>2656</v>
      </c>
      <c r="B2641" t="s">
        <v>34</v>
      </c>
      <c r="C2641" t="s">
        <v>14</v>
      </c>
      <c r="D2641">
        <v>53</v>
      </c>
      <c r="E2641" s="1">
        <v>44238</v>
      </c>
      <c r="F2641">
        <v>2021</v>
      </c>
      <c r="G2641" t="s">
        <v>5042</v>
      </c>
      <c r="H2641">
        <v>11</v>
      </c>
      <c r="I2641">
        <v>2.21</v>
      </c>
      <c r="J2641">
        <v>8</v>
      </c>
      <c r="K2641">
        <v>10832.55</v>
      </c>
      <c r="L2641">
        <v>4.7</v>
      </c>
    </row>
    <row r="2642" spans="1:12" x14ac:dyDescent="0.3">
      <c r="A2642" t="s">
        <v>2657</v>
      </c>
      <c r="B2642" t="s">
        <v>16</v>
      </c>
      <c r="C2642" t="s">
        <v>11</v>
      </c>
      <c r="D2642">
        <v>53</v>
      </c>
      <c r="E2642" s="1">
        <v>45489</v>
      </c>
      <c r="F2642">
        <v>2024</v>
      </c>
      <c r="G2642" t="s">
        <v>5034</v>
      </c>
      <c r="H2642">
        <v>16</v>
      </c>
      <c r="I2642">
        <v>3.26</v>
      </c>
      <c r="J2642">
        <v>4</v>
      </c>
      <c r="K2642">
        <v>12340.17</v>
      </c>
      <c r="L2642">
        <v>1.3</v>
      </c>
    </row>
    <row r="2643" spans="1:12" x14ac:dyDescent="0.3">
      <c r="A2643" t="s">
        <v>2658</v>
      </c>
      <c r="B2643" t="s">
        <v>34</v>
      </c>
      <c r="C2643" t="s">
        <v>11</v>
      </c>
      <c r="D2643">
        <v>27</v>
      </c>
      <c r="E2643" s="1">
        <v>44860</v>
      </c>
      <c r="F2643">
        <v>2022</v>
      </c>
      <c r="G2643" t="s">
        <v>5039</v>
      </c>
      <c r="H2643">
        <v>26</v>
      </c>
      <c r="I2643">
        <v>2.68</v>
      </c>
      <c r="J2643">
        <v>1</v>
      </c>
      <c r="K2643">
        <v>4046.55</v>
      </c>
      <c r="L2643">
        <v>3</v>
      </c>
    </row>
    <row r="2644" spans="1:12" x14ac:dyDescent="0.3">
      <c r="A2644" t="s">
        <v>2659</v>
      </c>
      <c r="B2644" t="s">
        <v>34</v>
      </c>
      <c r="C2644" t="s">
        <v>14</v>
      </c>
      <c r="D2644">
        <v>40</v>
      </c>
      <c r="E2644" s="1">
        <v>41219</v>
      </c>
      <c r="F2644">
        <v>2012</v>
      </c>
      <c r="G2644" t="s">
        <v>5038</v>
      </c>
      <c r="H2644">
        <v>6</v>
      </c>
      <c r="I2644">
        <v>3.69</v>
      </c>
      <c r="J2644">
        <v>15</v>
      </c>
      <c r="K2644">
        <v>6074.08</v>
      </c>
      <c r="L2644">
        <v>13</v>
      </c>
    </row>
    <row r="2645" spans="1:12" x14ac:dyDescent="0.3">
      <c r="A2645" t="s">
        <v>2660</v>
      </c>
      <c r="B2645" t="s">
        <v>34</v>
      </c>
      <c r="C2645" t="s">
        <v>11</v>
      </c>
      <c r="D2645">
        <v>45</v>
      </c>
      <c r="E2645" s="1">
        <v>44191</v>
      </c>
      <c r="F2645">
        <v>2020</v>
      </c>
      <c r="G2645" t="s">
        <v>5041</v>
      </c>
      <c r="H2645">
        <v>26</v>
      </c>
      <c r="I2645">
        <v>2.75</v>
      </c>
      <c r="J2645">
        <v>6</v>
      </c>
      <c r="K2645">
        <v>14772</v>
      </c>
      <c r="L2645">
        <v>4.9000000000000004</v>
      </c>
    </row>
    <row r="2646" spans="1:12" x14ac:dyDescent="0.3">
      <c r="A2646" t="s">
        <v>2661</v>
      </c>
      <c r="B2646" t="s">
        <v>10</v>
      </c>
      <c r="C2646" t="s">
        <v>14</v>
      </c>
      <c r="D2646">
        <v>28</v>
      </c>
      <c r="E2646" s="1">
        <v>43840</v>
      </c>
      <c r="F2646">
        <v>2020</v>
      </c>
      <c r="G2646" t="s">
        <v>5037</v>
      </c>
      <c r="H2646">
        <v>10</v>
      </c>
      <c r="I2646">
        <v>4.09</v>
      </c>
      <c r="J2646">
        <v>10</v>
      </c>
      <c r="K2646">
        <v>12116.69</v>
      </c>
      <c r="L2646">
        <v>5.8</v>
      </c>
    </row>
    <row r="2647" spans="1:12" x14ac:dyDescent="0.3">
      <c r="A2647" t="s">
        <v>2662</v>
      </c>
      <c r="B2647" t="s">
        <v>18</v>
      </c>
      <c r="C2647" t="s">
        <v>11</v>
      </c>
      <c r="D2647">
        <v>25</v>
      </c>
      <c r="E2647" s="1">
        <v>42590</v>
      </c>
      <c r="F2647">
        <v>2016</v>
      </c>
      <c r="G2647" t="s">
        <v>5031</v>
      </c>
      <c r="H2647">
        <v>8</v>
      </c>
      <c r="I2647">
        <v>3.6</v>
      </c>
      <c r="J2647">
        <v>11</v>
      </c>
      <c r="K2647">
        <v>4042.64</v>
      </c>
      <c r="L2647">
        <v>9.1999999999999993</v>
      </c>
    </row>
    <row r="2648" spans="1:12" x14ac:dyDescent="0.3">
      <c r="A2648" t="s">
        <v>2663</v>
      </c>
      <c r="B2648" t="s">
        <v>24</v>
      </c>
      <c r="C2648" t="s">
        <v>14</v>
      </c>
      <c r="D2648">
        <v>24</v>
      </c>
      <c r="E2648" s="1">
        <v>45643</v>
      </c>
      <c r="F2648">
        <v>2024</v>
      </c>
      <c r="G2648" t="s">
        <v>5041</v>
      </c>
      <c r="H2648">
        <v>17</v>
      </c>
      <c r="I2648">
        <v>2.54</v>
      </c>
      <c r="J2648">
        <v>5</v>
      </c>
      <c r="K2648">
        <v>8928.0300000000007</v>
      </c>
      <c r="L2648">
        <v>0.9</v>
      </c>
    </row>
    <row r="2649" spans="1:12" x14ac:dyDescent="0.3">
      <c r="A2649" t="s">
        <v>2664</v>
      </c>
      <c r="B2649" t="s">
        <v>24</v>
      </c>
      <c r="C2649" t="s">
        <v>14</v>
      </c>
      <c r="D2649">
        <v>41</v>
      </c>
      <c r="E2649" s="1">
        <v>45587</v>
      </c>
      <c r="F2649">
        <v>2024</v>
      </c>
      <c r="G2649" t="s">
        <v>5039</v>
      </c>
      <c r="H2649">
        <v>22</v>
      </c>
      <c r="I2649">
        <v>1.88</v>
      </c>
      <c r="J2649">
        <v>13</v>
      </c>
      <c r="K2649">
        <v>6578.62</v>
      </c>
      <c r="L2649">
        <v>1</v>
      </c>
    </row>
    <row r="2650" spans="1:12" x14ac:dyDescent="0.3">
      <c r="A2650" t="s">
        <v>2665</v>
      </c>
      <c r="B2650" t="s">
        <v>18</v>
      </c>
      <c r="C2650" t="s">
        <v>11</v>
      </c>
      <c r="D2650">
        <v>22</v>
      </c>
      <c r="E2650" s="1">
        <v>41528</v>
      </c>
      <c r="F2650">
        <v>2013</v>
      </c>
      <c r="G2650" t="s">
        <v>5033</v>
      </c>
      <c r="H2650">
        <v>11</v>
      </c>
      <c r="I2650">
        <v>3.97</v>
      </c>
      <c r="J2650">
        <v>1</v>
      </c>
      <c r="K2650">
        <v>4114.21</v>
      </c>
      <c r="L2650">
        <v>12.1</v>
      </c>
    </row>
    <row r="2651" spans="1:12" x14ac:dyDescent="0.3">
      <c r="A2651" t="s">
        <v>2666</v>
      </c>
      <c r="B2651" t="s">
        <v>34</v>
      </c>
      <c r="C2651" t="s">
        <v>14</v>
      </c>
      <c r="D2651">
        <v>38</v>
      </c>
      <c r="E2651" s="1">
        <v>44619</v>
      </c>
      <c r="F2651">
        <v>2022</v>
      </c>
      <c r="G2651" t="s">
        <v>5042</v>
      </c>
      <c r="H2651">
        <v>27</v>
      </c>
      <c r="I2651">
        <v>2.62</v>
      </c>
      <c r="J2651">
        <v>3</v>
      </c>
      <c r="K2651">
        <v>14582.65</v>
      </c>
      <c r="L2651">
        <v>3.7</v>
      </c>
    </row>
    <row r="2652" spans="1:12" x14ac:dyDescent="0.3">
      <c r="A2652" t="s">
        <v>2667</v>
      </c>
      <c r="B2652" t="s">
        <v>34</v>
      </c>
      <c r="C2652" t="s">
        <v>14</v>
      </c>
      <c r="D2652">
        <v>52</v>
      </c>
      <c r="E2652" s="1">
        <v>44116</v>
      </c>
      <c r="F2652">
        <v>2020</v>
      </c>
      <c r="G2652" t="s">
        <v>5039</v>
      </c>
      <c r="H2652">
        <v>12</v>
      </c>
      <c r="I2652">
        <v>3.2</v>
      </c>
      <c r="J2652">
        <v>12</v>
      </c>
      <c r="K2652">
        <v>13239.84</v>
      </c>
      <c r="L2652">
        <v>5.0999999999999996</v>
      </c>
    </row>
    <row r="2653" spans="1:12" x14ac:dyDescent="0.3">
      <c r="A2653" t="s">
        <v>2668</v>
      </c>
      <c r="B2653" t="s">
        <v>13</v>
      </c>
      <c r="C2653" t="s">
        <v>14</v>
      </c>
      <c r="D2653">
        <v>24</v>
      </c>
      <c r="E2653" s="1">
        <v>40266</v>
      </c>
      <c r="F2653">
        <v>2010</v>
      </c>
      <c r="G2653" t="s">
        <v>5035</v>
      </c>
      <c r="H2653">
        <v>29</v>
      </c>
      <c r="I2653">
        <v>2.44</v>
      </c>
      <c r="J2653">
        <v>1</v>
      </c>
      <c r="K2653">
        <v>9332.73</v>
      </c>
      <c r="L2653">
        <v>15.6</v>
      </c>
    </row>
    <row r="2654" spans="1:12" x14ac:dyDescent="0.3">
      <c r="A2654" t="s">
        <v>2669</v>
      </c>
      <c r="B2654" t="s">
        <v>10</v>
      </c>
      <c r="C2654" t="s">
        <v>14</v>
      </c>
      <c r="D2654">
        <v>25</v>
      </c>
      <c r="E2654" s="1">
        <v>44243</v>
      </c>
      <c r="F2654">
        <v>2021</v>
      </c>
      <c r="G2654" t="s">
        <v>5042</v>
      </c>
      <c r="H2654">
        <v>16</v>
      </c>
      <c r="I2654">
        <v>4.09</v>
      </c>
      <c r="J2654">
        <v>9</v>
      </c>
      <c r="K2654">
        <v>13771</v>
      </c>
      <c r="L2654">
        <v>4.7</v>
      </c>
    </row>
    <row r="2655" spans="1:12" x14ac:dyDescent="0.3">
      <c r="A2655" t="s">
        <v>2670</v>
      </c>
      <c r="B2655" t="s">
        <v>10</v>
      </c>
      <c r="C2655" t="s">
        <v>14</v>
      </c>
      <c r="D2655">
        <v>30</v>
      </c>
      <c r="E2655" s="1">
        <v>45451</v>
      </c>
      <c r="F2655">
        <v>2024</v>
      </c>
      <c r="G2655" t="s">
        <v>5032</v>
      </c>
      <c r="H2655">
        <v>8</v>
      </c>
      <c r="I2655">
        <v>4.5</v>
      </c>
      <c r="J2655">
        <v>13</v>
      </c>
      <c r="K2655">
        <v>12551.86</v>
      </c>
      <c r="L2655">
        <v>1.4</v>
      </c>
    </row>
    <row r="2656" spans="1:12" x14ac:dyDescent="0.3">
      <c r="A2656" t="s">
        <v>2671</v>
      </c>
      <c r="B2656" t="s">
        <v>24</v>
      </c>
      <c r="C2656" t="s">
        <v>14</v>
      </c>
      <c r="D2656">
        <v>41</v>
      </c>
      <c r="E2656" s="1">
        <v>44614</v>
      </c>
      <c r="F2656">
        <v>2022</v>
      </c>
      <c r="G2656" t="s">
        <v>5042</v>
      </c>
      <c r="H2656">
        <v>22</v>
      </c>
      <c r="I2656">
        <v>1.86</v>
      </c>
      <c r="J2656">
        <v>8</v>
      </c>
      <c r="K2656">
        <v>7408.54</v>
      </c>
      <c r="L2656">
        <v>3.7</v>
      </c>
    </row>
    <row r="2657" spans="1:12" x14ac:dyDescent="0.3">
      <c r="A2657" t="s">
        <v>2672</v>
      </c>
      <c r="B2657" t="s">
        <v>13</v>
      </c>
      <c r="C2657" t="s">
        <v>14</v>
      </c>
      <c r="D2657">
        <v>41</v>
      </c>
      <c r="E2657" s="1">
        <v>40863</v>
      </c>
      <c r="F2657">
        <v>2011</v>
      </c>
      <c r="G2657" t="s">
        <v>5038</v>
      </c>
      <c r="H2657">
        <v>16</v>
      </c>
      <c r="I2657">
        <v>4.83</v>
      </c>
      <c r="J2657">
        <v>3</v>
      </c>
      <c r="K2657">
        <v>14603.33</v>
      </c>
      <c r="L2657">
        <v>14</v>
      </c>
    </row>
    <row r="2658" spans="1:12" x14ac:dyDescent="0.3">
      <c r="A2658" t="s">
        <v>2673</v>
      </c>
      <c r="B2658" t="s">
        <v>16</v>
      </c>
      <c r="C2658" t="s">
        <v>11</v>
      </c>
      <c r="D2658">
        <v>39</v>
      </c>
      <c r="E2658" s="1">
        <v>43520</v>
      </c>
      <c r="F2658">
        <v>2019</v>
      </c>
      <c r="G2658" t="s">
        <v>5042</v>
      </c>
      <c r="H2658">
        <v>24</v>
      </c>
      <c r="I2658">
        <v>4</v>
      </c>
      <c r="J2658">
        <v>15</v>
      </c>
      <c r="K2658">
        <v>12295.17</v>
      </c>
      <c r="L2658">
        <v>6.7</v>
      </c>
    </row>
    <row r="2659" spans="1:12" x14ac:dyDescent="0.3">
      <c r="A2659" t="s">
        <v>2674</v>
      </c>
      <c r="B2659" t="s">
        <v>18</v>
      </c>
      <c r="C2659" t="s">
        <v>11</v>
      </c>
      <c r="D2659">
        <v>58</v>
      </c>
      <c r="E2659" s="1">
        <v>40599</v>
      </c>
      <c r="F2659">
        <v>2011</v>
      </c>
      <c r="G2659" t="s">
        <v>5042</v>
      </c>
      <c r="H2659">
        <v>25</v>
      </c>
      <c r="I2659">
        <v>4.55</v>
      </c>
      <c r="J2659">
        <v>2</v>
      </c>
      <c r="K2659">
        <v>10604.35</v>
      </c>
      <c r="L2659">
        <v>14.7</v>
      </c>
    </row>
    <row r="2660" spans="1:12" x14ac:dyDescent="0.3">
      <c r="A2660" t="s">
        <v>2675</v>
      </c>
      <c r="B2660" t="s">
        <v>18</v>
      </c>
      <c r="C2660" t="s">
        <v>11</v>
      </c>
      <c r="D2660">
        <v>48</v>
      </c>
      <c r="E2660" s="1">
        <v>40929</v>
      </c>
      <c r="F2660">
        <v>2012</v>
      </c>
      <c r="G2660" t="s">
        <v>5037</v>
      </c>
      <c r="H2660">
        <v>21</v>
      </c>
      <c r="I2660">
        <v>3.36</v>
      </c>
      <c r="J2660">
        <v>10</v>
      </c>
      <c r="K2660">
        <v>13665.49</v>
      </c>
      <c r="L2660">
        <v>13.8</v>
      </c>
    </row>
    <row r="2661" spans="1:12" x14ac:dyDescent="0.3">
      <c r="A2661" t="s">
        <v>2676</v>
      </c>
      <c r="B2661" t="s">
        <v>24</v>
      </c>
      <c r="C2661" t="s">
        <v>11</v>
      </c>
      <c r="D2661">
        <v>48</v>
      </c>
      <c r="E2661" s="1">
        <v>42183</v>
      </c>
      <c r="F2661">
        <v>2015</v>
      </c>
      <c r="G2661" t="s">
        <v>5032</v>
      </c>
      <c r="H2661">
        <v>28</v>
      </c>
      <c r="I2661">
        <v>3.54</v>
      </c>
      <c r="J2661">
        <v>2</v>
      </c>
      <c r="K2661">
        <v>9026.82</v>
      </c>
      <c r="L2661">
        <v>10.4</v>
      </c>
    </row>
    <row r="2662" spans="1:12" x14ac:dyDescent="0.3">
      <c r="A2662" t="s">
        <v>2677</v>
      </c>
      <c r="B2662" t="s">
        <v>34</v>
      </c>
      <c r="C2662" t="s">
        <v>14</v>
      </c>
      <c r="D2662">
        <v>46</v>
      </c>
      <c r="E2662" s="1">
        <v>45159</v>
      </c>
      <c r="F2662">
        <v>2023</v>
      </c>
      <c r="G2662" t="s">
        <v>5031</v>
      </c>
      <c r="H2662">
        <v>21</v>
      </c>
      <c r="I2662">
        <v>3.55</v>
      </c>
      <c r="J2662">
        <v>10</v>
      </c>
      <c r="K2662">
        <v>5393.08</v>
      </c>
      <c r="L2662">
        <v>2.2000000000000002</v>
      </c>
    </row>
    <row r="2663" spans="1:12" x14ac:dyDescent="0.3">
      <c r="A2663" t="s">
        <v>2678</v>
      </c>
      <c r="B2663" t="s">
        <v>34</v>
      </c>
      <c r="C2663" t="s">
        <v>11</v>
      </c>
      <c r="D2663">
        <v>53</v>
      </c>
      <c r="E2663" s="1">
        <v>44192</v>
      </c>
      <c r="F2663">
        <v>2020</v>
      </c>
      <c r="G2663" t="s">
        <v>5041</v>
      </c>
      <c r="H2663">
        <v>27</v>
      </c>
      <c r="I2663">
        <v>4.67</v>
      </c>
      <c r="J2663">
        <v>5</v>
      </c>
      <c r="K2663">
        <v>5162.6899999999996</v>
      </c>
      <c r="L2663">
        <v>4.8</v>
      </c>
    </row>
    <row r="2664" spans="1:12" x14ac:dyDescent="0.3">
      <c r="A2664" t="s">
        <v>2679</v>
      </c>
      <c r="B2664" t="s">
        <v>16</v>
      </c>
      <c r="C2664" t="s">
        <v>14</v>
      </c>
      <c r="D2664">
        <v>26</v>
      </c>
      <c r="E2664" s="1">
        <v>44817</v>
      </c>
      <c r="F2664">
        <v>2022</v>
      </c>
      <c r="G2664" t="s">
        <v>5033</v>
      </c>
      <c r="H2664">
        <v>13</v>
      </c>
      <c r="I2664">
        <v>4.54</v>
      </c>
      <c r="J2664">
        <v>12</v>
      </c>
      <c r="K2664">
        <v>14656.92</v>
      </c>
      <c r="L2664">
        <v>3.1</v>
      </c>
    </row>
    <row r="2665" spans="1:12" x14ac:dyDescent="0.3">
      <c r="A2665" t="s">
        <v>2680</v>
      </c>
      <c r="B2665" t="s">
        <v>18</v>
      </c>
      <c r="C2665" t="s">
        <v>14</v>
      </c>
      <c r="D2665">
        <v>54</v>
      </c>
      <c r="E2665" s="1">
        <v>41852</v>
      </c>
      <c r="F2665">
        <v>2014</v>
      </c>
      <c r="G2665" t="s">
        <v>5031</v>
      </c>
      <c r="H2665">
        <v>1</v>
      </c>
      <c r="I2665">
        <v>2.9</v>
      </c>
      <c r="J2665">
        <v>8</v>
      </c>
      <c r="K2665">
        <v>6049.97</v>
      </c>
      <c r="L2665">
        <v>11.3</v>
      </c>
    </row>
    <row r="2666" spans="1:12" x14ac:dyDescent="0.3">
      <c r="A2666" t="s">
        <v>2681</v>
      </c>
      <c r="B2666" t="s">
        <v>34</v>
      </c>
      <c r="C2666" t="s">
        <v>14</v>
      </c>
      <c r="D2666">
        <v>59</v>
      </c>
      <c r="E2666" s="1">
        <v>44469</v>
      </c>
      <c r="F2666">
        <v>2021</v>
      </c>
      <c r="G2666" t="s">
        <v>5033</v>
      </c>
      <c r="H2666">
        <v>30</v>
      </c>
      <c r="I2666">
        <v>1.98</v>
      </c>
      <c r="J2666">
        <v>11</v>
      </c>
      <c r="K2666">
        <v>14299.76</v>
      </c>
      <c r="L2666">
        <v>4.0999999999999996</v>
      </c>
    </row>
    <row r="2667" spans="1:12" x14ac:dyDescent="0.3">
      <c r="A2667" t="s">
        <v>2682</v>
      </c>
      <c r="B2667" t="s">
        <v>24</v>
      </c>
      <c r="C2667" t="s">
        <v>11</v>
      </c>
      <c r="D2667">
        <v>26</v>
      </c>
      <c r="E2667" s="1">
        <v>42315</v>
      </c>
      <c r="F2667">
        <v>2015</v>
      </c>
      <c r="G2667" t="s">
        <v>5038</v>
      </c>
      <c r="H2667">
        <v>7</v>
      </c>
      <c r="I2667">
        <v>3.99</v>
      </c>
      <c r="J2667">
        <v>2</v>
      </c>
      <c r="K2667">
        <v>9969.6299999999992</v>
      </c>
      <c r="L2667">
        <v>10</v>
      </c>
    </row>
    <row r="2668" spans="1:12" x14ac:dyDescent="0.3">
      <c r="A2668" t="s">
        <v>2683</v>
      </c>
      <c r="B2668" t="s">
        <v>16</v>
      </c>
      <c r="C2668" t="s">
        <v>14</v>
      </c>
      <c r="D2668">
        <v>35</v>
      </c>
      <c r="E2668" s="1">
        <v>43347</v>
      </c>
      <c r="F2668">
        <v>2018</v>
      </c>
      <c r="G2668" t="s">
        <v>5033</v>
      </c>
      <c r="H2668">
        <v>4</v>
      </c>
      <c r="I2668">
        <v>3.71</v>
      </c>
      <c r="J2668">
        <v>8</v>
      </c>
      <c r="K2668">
        <v>8694.31</v>
      </c>
      <c r="L2668">
        <v>7.2</v>
      </c>
    </row>
    <row r="2669" spans="1:12" x14ac:dyDescent="0.3">
      <c r="A2669" t="s">
        <v>2684</v>
      </c>
      <c r="B2669" t="s">
        <v>24</v>
      </c>
      <c r="C2669" t="s">
        <v>11</v>
      </c>
      <c r="D2669">
        <v>30</v>
      </c>
      <c r="E2669" s="1">
        <v>40216</v>
      </c>
      <c r="F2669">
        <v>2010</v>
      </c>
      <c r="G2669" t="s">
        <v>5042</v>
      </c>
      <c r="H2669">
        <v>7</v>
      </c>
      <c r="I2669">
        <v>4.9000000000000004</v>
      </c>
      <c r="J2669">
        <v>14</v>
      </c>
      <c r="K2669">
        <v>14580.6</v>
      </c>
      <c r="L2669">
        <v>15.7</v>
      </c>
    </row>
    <row r="2670" spans="1:12" x14ac:dyDescent="0.3">
      <c r="A2670" t="s">
        <v>2685</v>
      </c>
      <c r="B2670" t="s">
        <v>18</v>
      </c>
      <c r="C2670" t="s">
        <v>14</v>
      </c>
      <c r="D2670">
        <v>38</v>
      </c>
      <c r="E2670" s="1">
        <v>45757</v>
      </c>
      <c r="F2670">
        <v>2025</v>
      </c>
      <c r="G2670" t="s">
        <v>5040</v>
      </c>
      <c r="H2670">
        <v>10</v>
      </c>
      <c r="I2670">
        <v>4.07</v>
      </c>
      <c r="J2670">
        <v>7</v>
      </c>
      <c r="K2670">
        <v>12067.83</v>
      </c>
      <c r="L2670">
        <v>0.6</v>
      </c>
    </row>
    <row r="2671" spans="1:12" x14ac:dyDescent="0.3">
      <c r="A2671" t="s">
        <v>2686</v>
      </c>
      <c r="B2671" t="s">
        <v>16</v>
      </c>
      <c r="C2671" t="s">
        <v>11</v>
      </c>
      <c r="D2671">
        <v>58</v>
      </c>
      <c r="E2671" s="1">
        <v>44066</v>
      </c>
      <c r="F2671">
        <v>2020</v>
      </c>
      <c r="G2671" t="s">
        <v>5031</v>
      </c>
      <c r="H2671">
        <v>23</v>
      </c>
      <c r="I2671">
        <v>2.23</v>
      </c>
      <c r="J2671">
        <v>10</v>
      </c>
      <c r="K2671">
        <v>14519.66</v>
      </c>
      <c r="L2671">
        <v>5.2</v>
      </c>
    </row>
    <row r="2672" spans="1:12" x14ac:dyDescent="0.3">
      <c r="A2672" t="s">
        <v>2687</v>
      </c>
      <c r="B2672" t="s">
        <v>16</v>
      </c>
      <c r="C2672" t="s">
        <v>14</v>
      </c>
      <c r="D2672">
        <v>38</v>
      </c>
      <c r="E2672" s="1">
        <v>43496</v>
      </c>
      <c r="F2672">
        <v>2019</v>
      </c>
      <c r="G2672" t="s">
        <v>5037</v>
      </c>
      <c r="H2672">
        <v>31</v>
      </c>
      <c r="I2672">
        <v>4.43</v>
      </c>
      <c r="J2672">
        <v>9</v>
      </c>
      <c r="K2672">
        <v>3556.01</v>
      </c>
      <c r="L2672">
        <v>6.8</v>
      </c>
    </row>
    <row r="2673" spans="1:12" x14ac:dyDescent="0.3">
      <c r="A2673" t="s">
        <v>2688</v>
      </c>
      <c r="B2673" t="s">
        <v>34</v>
      </c>
      <c r="C2673" t="s">
        <v>14</v>
      </c>
      <c r="D2673">
        <v>60</v>
      </c>
      <c r="E2673" s="1">
        <v>44991</v>
      </c>
      <c r="F2673">
        <v>2023</v>
      </c>
      <c r="G2673" t="s">
        <v>5035</v>
      </c>
      <c r="H2673">
        <v>6</v>
      </c>
      <c r="I2673">
        <v>3.84</v>
      </c>
      <c r="J2673">
        <v>10</v>
      </c>
      <c r="K2673">
        <v>8727.91</v>
      </c>
      <c r="L2673">
        <v>2.7</v>
      </c>
    </row>
    <row r="2674" spans="1:12" x14ac:dyDescent="0.3">
      <c r="A2674" t="s">
        <v>2689</v>
      </c>
      <c r="B2674" t="s">
        <v>18</v>
      </c>
      <c r="C2674" t="s">
        <v>11</v>
      </c>
      <c r="D2674">
        <v>38</v>
      </c>
      <c r="E2674" s="1">
        <v>44210</v>
      </c>
      <c r="F2674">
        <v>2021</v>
      </c>
      <c r="G2674" t="s">
        <v>5037</v>
      </c>
      <c r="H2674">
        <v>14</v>
      </c>
      <c r="I2674">
        <v>1.96</v>
      </c>
      <c r="J2674">
        <v>3</v>
      </c>
      <c r="K2674">
        <v>3081.03</v>
      </c>
      <c r="L2674">
        <v>4.8</v>
      </c>
    </row>
    <row r="2675" spans="1:12" x14ac:dyDescent="0.3">
      <c r="A2675" t="s">
        <v>2690</v>
      </c>
      <c r="B2675" t="s">
        <v>18</v>
      </c>
      <c r="C2675" t="s">
        <v>14</v>
      </c>
      <c r="D2675">
        <v>57</v>
      </c>
      <c r="E2675" s="1">
        <v>40865</v>
      </c>
      <c r="F2675">
        <v>2011</v>
      </c>
      <c r="G2675" t="s">
        <v>5038</v>
      </c>
      <c r="H2675">
        <v>18</v>
      </c>
      <c r="I2675">
        <v>4.9400000000000004</v>
      </c>
      <c r="J2675">
        <v>11</v>
      </c>
      <c r="K2675">
        <v>3523.77</v>
      </c>
      <c r="L2675">
        <v>14</v>
      </c>
    </row>
    <row r="2676" spans="1:12" x14ac:dyDescent="0.3">
      <c r="A2676" t="s">
        <v>2691</v>
      </c>
      <c r="B2676" t="s">
        <v>34</v>
      </c>
      <c r="C2676" t="s">
        <v>11</v>
      </c>
      <c r="D2676">
        <v>51</v>
      </c>
      <c r="E2676" s="1">
        <v>44175</v>
      </c>
      <c r="F2676">
        <v>2020</v>
      </c>
      <c r="G2676" t="s">
        <v>5041</v>
      </c>
      <c r="H2676">
        <v>10</v>
      </c>
      <c r="I2676">
        <v>3.19</v>
      </c>
      <c r="J2676">
        <v>2</v>
      </c>
      <c r="K2676">
        <v>7814.62</v>
      </c>
      <c r="L2676">
        <v>4.9000000000000004</v>
      </c>
    </row>
    <row r="2677" spans="1:12" x14ac:dyDescent="0.3">
      <c r="A2677" t="s">
        <v>2692</v>
      </c>
      <c r="B2677" t="s">
        <v>34</v>
      </c>
      <c r="C2677" t="s">
        <v>11</v>
      </c>
      <c r="D2677">
        <v>40</v>
      </c>
      <c r="E2677" s="1">
        <v>41246</v>
      </c>
      <c r="F2677">
        <v>2012</v>
      </c>
      <c r="G2677" t="s">
        <v>5041</v>
      </c>
      <c r="H2677">
        <v>3</v>
      </c>
      <c r="I2677">
        <v>4.8899999999999997</v>
      </c>
      <c r="J2677">
        <v>9</v>
      </c>
      <c r="K2677">
        <v>3467.3</v>
      </c>
      <c r="L2677">
        <v>12.9</v>
      </c>
    </row>
    <row r="2678" spans="1:12" x14ac:dyDescent="0.3">
      <c r="A2678" t="s">
        <v>2693</v>
      </c>
      <c r="B2678" t="s">
        <v>10</v>
      </c>
      <c r="C2678" t="s">
        <v>11</v>
      </c>
      <c r="D2678">
        <v>45</v>
      </c>
      <c r="E2678" s="1">
        <v>40278</v>
      </c>
      <c r="F2678">
        <v>2010</v>
      </c>
      <c r="G2678" t="s">
        <v>5040</v>
      </c>
      <c r="H2678">
        <v>10</v>
      </c>
      <c r="I2678">
        <v>3.63</v>
      </c>
      <c r="J2678">
        <v>13</v>
      </c>
      <c r="K2678">
        <v>5727.34</v>
      </c>
      <c r="L2678">
        <v>15.6</v>
      </c>
    </row>
    <row r="2679" spans="1:12" x14ac:dyDescent="0.3">
      <c r="A2679" t="s">
        <v>2694</v>
      </c>
      <c r="B2679" t="s">
        <v>18</v>
      </c>
      <c r="C2679" t="s">
        <v>11</v>
      </c>
      <c r="D2679">
        <v>60</v>
      </c>
      <c r="E2679" s="1">
        <v>45876</v>
      </c>
      <c r="F2679">
        <v>2025</v>
      </c>
      <c r="G2679" t="s">
        <v>5031</v>
      </c>
      <c r="H2679">
        <v>7</v>
      </c>
      <c r="I2679">
        <v>3.57</v>
      </c>
      <c r="J2679">
        <v>5</v>
      </c>
      <c r="K2679">
        <v>4446.74</v>
      </c>
      <c r="L2679">
        <v>0.2</v>
      </c>
    </row>
    <row r="2680" spans="1:12" x14ac:dyDescent="0.3">
      <c r="A2680" t="s">
        <v>2695</v>
      </c>
      <c r="B2680" t="s">
        <v>18</v>
      </c>
      <c r="C2680" t="s">
        <v>14</v>
      </c>
      <c r="D2680">
        <v>31</v>
      </c>
      <c r="E2680" s="1">
        <v>40805</v>
      </c>
      <c r="F2680">
        <v>2011</v>
      </c>
      <c r="G2680" t="s">
        <v>5033</v>
      </c>
      <c r="H2680">
        <v>19</v>
      </c>
      <c r="I2680">
        <v>1.95</v>
      </c>
      <c r="J2680">
        <v>2</v>
      </c>
      <c r="K2680">
        <v>14423.87</v>
      </c>
      <c r="L2680">
        <v>14.1</v>
      </c>
    </row>
    <row r="2681" spans="1:12" x14ac:dyDescent="0.3">
      <c r="A2681" t="s">
        <v>2696</v>
      </c>
      <c r="B2681" t="s">
        <v>10</v>
      </c>
      <c r="C2681" t="s">
        <v>14</v>
      </c>
      <c r="D2681">
        <v>38</v>
      </c>
      <c r="E2681" s="1">
        <v>41991</v>
      </c>
      <c r="F2681">
        <v>2014</v>
      </c>
      <c r="G2681" t="s">
        <v>5041</v>
      </c>
      <c r="H2681">
        <v>18</v>
      </c>
      <c r="I2681">
        <v>1.54</v>
      </c>
      <c r="J2681">
        <v>5</v>
      </c>
      <c r="K2681">
        <v>3108.33</v>
      </c>
      <c r="L2681">
        <v>10.9</v>
      </c>
    </row>
    <row r="2682" spans="1:12" x14ac:dyDescent="0.3">
      <c r="A2682" t="s">
        <v>2697</v>
      </c>
      <c r="B2682" t="s">
        <v>18</v>
      </c>
      <c r="C2682" t="s">
        <v>11</v>
      </c>
      <c r="D2682">
        <v>28</v>
      </c>
      <c r="E2682" s="1">
        <v>42849</v>
      </c>
      <c r="F2682">
        <v>2017</v>
      </c>
      <c r="G2682" t="s">
        <v>5040</v>
      </c>
      <c r="H2682">
        <v>24</v>
      </c>
      <c r="I2682">
        <v>2.13</v>
      </c>
      <c r="J2682">
        <v>2</v>
      </c>
      <c r="K2682">
        <v>9777.16</v>
      </c>
      <c r="L2682">
        <v>8.5</v>
      </c>
    </row>
    <row r="2683" spans="1:12" x14ac:dyDescent="0.3">
      <c r="A2683" t="s">
        <v>2698</v>
      </c>
      <c r="B2683" t="s">
        <v>18</v>
      </c>
      <c r="C2683" t="s">
        <v>14</v>
      </c>
      <c r="D2683">
        <v>23</v>
      </c>
      <c r="E2683" s="1">
        <v>42915</v>
      </c>
      <c r="F2683">
        <v>2017</v>
      </c>
      <c r="G2683" t="s">
        <v>5032</v>
      </c>
      <c r="H2683">
        <v>29</v>
      </c>
      <c r="I2683">
        <v>2.0499999999999998</v>
      </c>
      <c r="J2683">
        <v>0</v>
      </c>
      <c r="K2683">
        <v>10867.69</v>
      </c>
      <c r="L2683">
        <v>8.3000000000000007</v>
      </c>
    </row>
    <row r="2684" spans="1:12" x14ac:dyDescent="0.3">
      <c r="A2684" t="s">
        <v>2699</v>
      </c>
      <c r="B2684" t="s">
        <v>18</v>
      </c>
      <c r="C2684" t="s">
        <v>14</v>
      </c>
      <c r="D2684">
        <v>31</v>
      </c>
      <c r="E2684" s="1">
        <v>43125</v>
      </c>
      <c r="F2684">
        <v>2018</v>
      </c>
      <c r="G2684" t="s">
        <v>5037</v>
      </c>
      <c r="H2684">
        <v>25</v>
      </c>
      <c r="I2684">
        <v>2.08</v>
      </c>
      <c r="J2684">
        <v>15</v>
      </c>
      <c r="K2684">
        <v>11919</v>
      </c>
      <c r="L2684">
        <v>7.8</v>
      </c>
    </row>
    <row r="2685" spans="1:12" x14ac:dyDescent="0.3">
      <c r="A2685" t="s">
        <v>2700</v>
      </c>
      <c r="B2685" t="s">
        <v>13</v>
      </c>
      <c r="C2685" t="s">
        <v>11</v>
      </c>
      <c r="D2685">
        <v>57</v>
      </c>
      <c r="E2685" s="1">
        <v>42199</v>
      </c>
      <c r="F2685">
        <v>2015</v>
      </c>
      <c r="G2685" t="s">
        <v>5034</v>
      </c>
      <c r="H2685">
        <v>14</v>
      </c>
      <c r="I2685">
        <v>1.81</v>
      </c>
      <c r="J2685">
        <v>0</v>
      </c>
      <c r="K2685">
        <v>8906.93</v>
      </c>
      <c r="L2685">
        <v>10.3</v>
      </c>
    </row>
    <row r="2686" spans="1:12" x14ac:dyDescent="0.3">
      <c r="A2686" t="s">
        <v>2701</v>
      </c>
      <c r="B2686" t="s">
        <v>16</v>
      </c>
      <c r="C2686" t="s">
        <v>11</v>
      </c>
      <c r="D2686">
        <v>29</v>
      </c>
      <c r="E2686" s="1">
        <v>41874</v>
      </c>
      <c r="F2686">
        <v>2014</v>
      </c>
      <c r="G2686" t="s">
        <v>5031</v>
      </c>
      <c r="H2686">
        <v>23</v>
      </c>
      <c r="I2686">
        <v>3.95</v>
      </c>
      <c r="J2686">
        <v>9</v>
      </c>
      <c r="K2686">
        <v>5291.39</v>
      </c>
      <c r="L2686">
        <v>11.2</v>
      </c>
    </row>
    <row r="2687" spans="1:12" x14ac:dyDescent="0.3">
      <c r="A2687" t="s">
        <v>2702</v>
      </c>
      <c r="B2687" t="s">
        <v>18</v>
      </c>
      <c r="C2687" t="s">
        <v>14</v>
      </c>
      <c r="D2687">
        <v>50</v>
      </c>
      <c r="E2687" s="1">
        <v>43860</v>
      </c>
      <c r="F2687">
        <v>2020</v>
      </c>
      <c r="G2687" t="s">
        <v>5037</v>
      </c>
      <c r="H2687">
        <v>30</v>
      </c>
      <c r="I2687">
        <v>4.33</v>
      </c>
      <c r="J2687">
        <v>4</v>
      </c>
      <c r="K2687">
        <v>7354.27</v>
      </c>
      <c r="L2687">
        <v>5.8</v>
      </c>
    </row>
    <row r="2688" spans="1:12" x14ac:dyDescent="0.3">
      <c r="A2688" t="s">
        <v>2703</v>
      </c>
      <c r="B2688" t="s">
        <v>34</v>
      </c>
      <c r="C2688" t="s">
        <v>11</v>
      </c>
      <c r="D2688">
        <v>26</v>
      </c>
      <c r="E2688" s="1">
        <v>42874</v>
      </c>
      <c r="F2688">
        <v>2017</v>
      </c>
      <c r="G2688" t="s">
        <v>5036</v>
      </c>
      <c r="H2688">
        <v>19</v>
      </c>
      <c r="I2688">
        <v>3.66</v>
      </c>
      <c r="J2688">
        <v>1</v>
      </c>
      <c r="K2688">
        <v>10481.73</v>
      </c>
      <c r="L2688">
        <v>8.5</v>
      </c>
    </row>
    <row r="2689" spans="1:12" x14ac:dyDescent="0.3">
      <c r="A2689" t="s">
        <v>2704</v>
      </c>
      <c r="B2689" t="s">
        <v>34</v>
      </c>
      <c r="C2689" t="s">
        <v>11</v>
      </c>
      <c r="D2689">
        <v>40</v>
      </c>
      <c r="E2689" s="1">
        <v>40557</v>
      </c>
      <c r="F2689">
        <v>2011</v>
      </c>
      <c r="G2689" t="s">
        <v>5037</v>
      </c>
      <c r="H2689">
        <v>14</v>
      </c>
      <c r="I2689">
        <v>1.88</v>
      </c>
      <c r="J2689">
        <v>13</v>
      </c>
      <c r="K2689">
        <v>4760.7299999999996</v>
      </c>
      <c r="L2689">
        <v>14.8</v>
      </c>
    </row>
    <row r="2690" spans="1:12" x14ac:dyDescent="0.3">
      <c r="A2690" t="s">
        <v>2705</v>
      </c>
      <c r="B2690" t="s">
        <v>16</v>
      </c>
      <c r="C2690" t="s">
        <v>11</v>
      </c>
      <c r="D2690">
        <v>55</v>
      </c>
      <c r="E2690" s="1">
        <v>43657</v>
      </c>
      <c r="F2690">
        <v>2019</v>
      </c>
      <c r="G2690" t="s">
        <v>5034</v>
      </c>
      <c r="H2690">
        <v>11</v>
      </c>
      <c r="I2690">
        <v>2.78</v>
      </c>
      <c r="J2690">
        <v>7</v>
      </c>
      <c r="K2690">
        <v>14649.36</v>
      </c>
      <c r="L2690">
        <v>6.3</v>
      </c>
    </row>
    <row r="2691" spans="1:12" x14ac:dyDescent="0.3">
      <c r="A2691" t="s">
        <v>2706</v>
      </c>
      <c r="B2691" t="s">
        <v>18</v>
      </c>
      <c r="C2691" t="s">
        <v>14</v>
      </c>
      <c r="D2691">
        <v>40</v>
      </c>
      <c r="E2691" s="1">
        <v>40189</v>
      </c>
      <c r="F2691">
        <v>2010</v>
      </c>
      <c r="G2691" t="s">
        <v>5037</v>
      </c>
      <c r="H2691">
        <v>11</v>
      </c>
      <c r="I2691">
        <v>4.7</v>
      </c>
      <c r="J2691">
        <v>9</v>
      </c>
      <c r="K2691">
        <v>5636.39</v>
      </c>
      <c r="L2691">
        <v>15.8</v>
      </c>
    </row>
    <row r="2692" spans="1:12" x14ac:dyDescent="0.3">
      <c r="A2692" t="s">
        <v>2707</v>
      </c>
      <c r="B2692" t="s">
        <v>13</v>
      </c>
      <c r="C2692" t="s">
        <v>14</v>
      </c>
      <c r="D2692">
        <v>58</v>
      </c>
      <c r="E2692" s="1">
        <v>45686</v>
      </c>
      <c r="F2692">
        <v>2025</v>
      </c>
      <c r="G2692" t="s">
        <v>5037</v>
      </c>
      <c r="H2692">
        <v>29</v>
      </c>
      <c r="I2692">
        <v>3.29</v>
      </c>
      <c r="J2692">
        <v>0</v>
      </c>
      <c r="K2692">
        <v>10216.950000000001</v>
      </c>
      <c r="L2692">
        <v>0.8</v>
      </c>
    </row>
    <row r="2693" spans="1:12" x14ac:dyDescent="0.3">
      <c r="A2693" t="s">
        <v>2708</v>
      </c>
      <c r="B2693" t="s">
        <v>10</v>
      </c>
      <c r="C2693" t="s">
        <v>14</v>
      </c>
      <c r="D2693">
        <v>60</v>
      </c>
      <c r="E2693" s="1">
        <v>44027</v>
      </c>
      <c r="F2693">
        <v>2020</v>
      </c>
      <c r="G2693" t="s">
        <v>5034</v>
      </c>
      <c r="H2693">
        <v>15</v>
      </c>
      <c r="I2693">
        <v>2.8</v>
      </c>
      <c r="J2693">
        <v>7</v>
      </c>
      <c r="K2693">
        <v>13817.85</v>
      </c>
      <c r="L2693">
        <v>5.3</v>
      </c>
    </row>
    <row r="2694" spans="1:12" x14ac:dyDescent="0.3">
      <c r="A2694" t="s">
        <v>2709</v>
      </c>
      <c r="B2694" t="s">
        <v>16</v>
      </c>
      <c r="C2694" t="s">
        <v>11</v>
      </c>
      <c r="D2694">
        <v>24</v>
      </c>
      <c r="E2694" s="1">
        <v>41035</v>
      </c>
      <c r="F2694">
        <v>2012</v>
      </c>
      <c r="G2694" t="s">
        <v>5036</v>
      </c>
      <c r="H2694">
        <v>6</v>
      </c>
      <c r="I2694">
        <v>3.62</v>
      </c>
      <c r="J2694">
        <v>13</v>
      </c>
      <c r="K2694">
        <v>12603.18</v>
      </c>
      <c r="L2694">
        <v>13.5</v>
      </c>
    </row>
    <row r="2695" spans="1:12" x14ac:dyDescent="0.3">
      <c r="A2695" t="s">
        <v>2710</v>
      </c>
      <c r="B2695" t="s">
        <v>18</v>
      </c>
      <c r="C2695" t="s">
        <v>14</v>
      </c>
      <c r="D2695">
        <v>38</v>
      </c>
      <c r="E2695" s="1">
        <v>40485</v>
      </c>
      <c r="F2695">
        <v>2010</v>
      </c>
      <c r="G2695" t="s">
        <v>5038</v>
      </c>
      <c r="H2695">
        <v>3</v>
      </c>
      <c r="I2695">
        <v>3</v>
      </c>
      <c r="J2695">
        <v>10</v>
      </c>
      <c r="K2695">
        <v>8541.41</v>
      </c>
      <c r="L2695">
        <v>15</v>
      </c>
    </row>
    <row r="2696" spans="1:12" x14ac:dyDescent="0.3">
      <c r="A2696" t="s">
        <v>2711</v>
      </c>
      <c r="B2696" t="s">
        <v>16</v>
      </c>
      <c r="C2696" t="s">
        <v>14</v>
      </c>
      <c r="D2696">
        <v>50</v>
      </c>
      <c r="E2696" s="1">
        <v>40265</v>
      </c>
      <c r="F2696">
        <v>2010</v>
      </c>
      <c r="G2696" t="s">
        <v>5035</v>
      </c>
      <c r="H2696">
        <v>28</v>
      </c>
      <c r="I2696">
        <v>3.3</v>
      </c>
      <c r="J2696">
        <v>9</v>
      </c>
      <c r="K2696">
        <v>4029.55</v>
      </c>
      <c r="L2696">
        <v>15.6</v>
      </c>
    </row>
    <row r="2697" spans="1:12" x14ac:dyDescent="0.3">
      <c r="A2697" t="s">
        <v>2712</v>
      </c>
      <c r="B2697" t="s">
        <v>24</v>
      </c>
      <c r="C2697" t="s">
        <v>14</v>
      </c>
      <c r="D2697">
        <v>51</v>
      </c>
      <c r="E2697" s="1">
        <v>43362</v>
      </c>
      <c r="F2697">
        <v>2018</v>
      </c>
      <c r="G2697" t="s">
        <v>5033</v>
      </c>
      <c r="H2697">
        <v>19</v>
      </c>
      <c r="I2697">
        <v>4.1100000000000003</v>
      </c>
      <c r="J2697">
        <v>3</v>
      </c>
      <c r="K2697">
        <v>10510.2</v>
      </c>
      <c r="L2697">
        <v>7.1</v>
      </c>
    </row>
    <row r="2698" spans="1:12" x14ac:dyDescent="0.3">
      <c r="A2698" t="s">
        <v>2713</v>
      </c>
      <c r="B2698" t="s">
        <v>10</v>
      </c>
      <c r="C2698" t="s">
        <v>11</v>
      </c>
      <c r="D2698">
        <v>48</v>
      </c>
      <c r="E2698" s="1">
        <v>45564</v>
      </c>
      <c r="F2698">
        <v>2024</v>
      </c>
      <c r="G2698" t="s">
        <v>5033</v>
      </c>
      <c r="H2698">
        <v>29</v>
      </c>
      <c r="I2698">
        <v>4.3499999999999996</v>
      </c>
      <c r="J2698">
        <v>3</v>
      </c>
      <c r="K2698">
        <v>3537.76</v>
      </c>
      <c r="L2698">
        <v>1.1000000000000001</v>
      </c>
    </row>
    <row r="2699" spans="1:12" x14ac:dyDescent="0.3">
      <c r="A2699" t="s">
        <v>2714</v>
      </c>
      <c r="B2699" t="s">
        <v>10</v>
      </c>
      <c r="C2699" t="s">
        <v>14</v>
      </c>
      <c r="D2699">
        <v>30</v>
      </c>
      <c r="E2699" s="1">
        <v>41913</v>
      </c>
      <c r="F2699">
        <v>2014</v>
      </c>
      <c r="G2699" t="s">
        <v>5039</v>
      </c>
      <c r="H2699">
        <v>1</v>
      </c>
      <c r="I2699">
        <v>2.42</v>
      </c>
      <c r="J2699">
        <v>8</v>
      </c>
      <c r="K2699">
        <v>12929.81</v>
      </c>
      <c r="L2699">
        <v>11.1</v>
      </c>
    </row>
    <row r="2700" spans="1:12" x14ac:dyDescent="0.3">
      <c r="A2700" t="s">
        <v>2715</v>
      </c>
      <c r="B2700" t="s">
        <v>10</v>
      </c>
      <c r="C2700" t="s">
        <v>11</v>
      </c>
      <c r="D2700">
        <v>37</v>
      </c>
      <c r="E2700" s="1">
        <v>42783</v>
      </c>
      <c r="F2700">
        <v>2017</v>
      </c>
      <c r="G2700" t="s">
        <v>5042</v>
      </c>
      <c r="H2700">
        <v>17</v>
      </c>
      <c r="I2700">
        <v>3.6</v>
      </c>
      <c r="J2700">
        <v>11</v>
      </c>
      <c r="K2700">
        <v>8434.84</v>
      </c>
      <c r="L2700">
        <v>8.6999999999999993</v>
      </c>
    </row>
    <row r="2701" spans="1:12" x14ac:dyDescent="0.3">
      <c r="A2701" t="s">
        <v>2716</v>
      </c>
      <c r="B2701" t="s">
        <v>24</v>
      </c>
      <c r="C2701" t="s">
        <v>14</v>
      </c>
      <c r="D2701">
        <v>42</v>
      </c>
      <c r="E2701" s="1">
        <v>40448</v>
      </c>
      <c r="F2701">
        <v>2010</v>
      </c>
      <c r="G2701" t="s">
        <v>5033</v>
      </c>
      <c r="H2701">
        <v>27</v>
      </c>
      <c r="I2701">
        <v>1.88</v>
      </c>
      <c r="J2701">
        <v>0</v>
      </c>
      <c r="K2701">
        <v>3256.37</v>
      </c>
      <c r="L2701">
        <v>15.1</v>
      </c>
    </row>
    <row r="2702" spans="1:12" x14ac:dyDescent="0.3">
      <c r="A2702" t="s">
        <v>2717</v>
      </c>
      <c r="B2702" t="s">
        <v>24</v>
      </c>
      <c r="C2702" t="s">
        <v>11</v>
      </c>
      <c r="D2702">
        <v>38</v>
      </c>
      <c r="E2702" s="1">
        <v>44396</v>
      </c>
      <c r="F2702">
        <v>2021</v>
      </c>
      <c r="G2702" t="s">
        <v>5034</v>
      </c>
      <c r="H2702">
        <v>19</v>
      </c>
      <c r="I2702">
        <v>3.23</v>
      </c>
      <c r="J2702">
        <v>14</v>
      </c>
      <c r="K2702">
        <v>12997</v>
      </c>
      <c r="L2702">
        <v>4.3</v>
      </c>
    </row>
    <row r="2703" spans="1:12" x14ac:dyDescent="0.3">
      <c r="A2703" t="s">
        <v>2718</v>
      </c>
      <c r="B2703" t="s">
        <v>34</v>
      </c>
      <c r="C2703" t="s">
        <v>11</v>
      </c>
      <c r="D2703">
        <v>31</v>
      </c>
      <c r="E2703" s="1">
        <v>43337</v>
      </c>
      <c r="F2703">
        <v>2018</v>
      </c>
      <c r="G2703" t="s">
        <v>5031</v>
      </c>
      <c r="H2703">
        <v>25</v>
      </c>
      <c r="I2703">
        <v>3.52</v>
      </c>
      <c r="J2703">
        <v>9</v>
      </c>
      <c r="K2703">
        <v>13063.07</v>
      </c>
      <c r="L2703">
        <v>7.2</v>
      </c>
    </row>
    <row r="2704" spans="1:12" x14ac:dyDescent="0.3">
      <c r="A2704" t="s">
        <v>2719</v>
      </c>
      <c r="B2704" t="s">
        <v>10</v>
      </c>
      <c r="C2704" t="s">
        <v>14</v>
      </c>
      <c r="D2704">
        <v>34</v>
      </c>
      <c r="E2704" s="1">
        <v>40914</v>
      </c>
      <c r="F2704">
        <v>2012</v>
      </c>
      <c r="G2704" t="s">
        <v>5037</v>
      </c>
      <c r="H2704">
        <v>6</v>
      </c>
      <c r="I2704">
        <v>3.21</v>
      </c>
      <c r="J2704">
        <v>5</v>
      </c>
      <c r="K2704">
        <v>3507.77</v>
      </c>
      <c r="L2704">
        <v>13.8</v>
      </c>
    </row>
    <row r="2705" spans="1:12" x14ac:dyDescent="0.3">
      <c r="A2705" t="s">
        <v>2720</v>
      </c>
      <c r="B2705" t="s">
        <v>10</v>
      </c>
      <c r="C2705" t="s">
        <v>11</v>
      </c>
      <c r="D2705">
        <v>50</v>
      </c>
      <c r="E2705" s="1">
        <v>40849</v>
      </c>
      <c r="F2705">
        <v>2011</v>
      </c>
      <c r="G2705" t="s">
        <v>5038</v>
      </c>
      <c r="H2705">
        <v>2</v>
      </c>
      <c r="I2705">
        <v>3.21</v>
      </c>
      <c r="J2705">
        <v>14</v>
      </c>
      <c r="K2705">
        <v>6115.92</v>
      </c>
      <c r="L2705">
        <v>14</v>
      </c>
    </row>
    <row r="2706" spans="1:12" x14ac:dyDescent="0.3">
      <c r="A2706" t="s">
        <v>2721</v>
      </c>
      <c r="B2706" t="s">
        <v>16</v>
      </c>
      <c r="C2706" t="s">
        <v>11</v>
      </c>
      <c r="D2706">
        <v>38</v>
      </c>
      <c r="E2706" s="1">
        <v>40734</v>
      </c>
      <c r="F2706">
        <v>2011</v>
      </c>
      <c r="G2706" t="s">
        <v>5034</v>
      </c>
      <c r="H2706">
        <v>10</v>
      </c>
      <c r="I2706">
        <v>1.89</v>
      </c>
      <c r="J2706">
        <v>14</v>
      </c>
      <c r="K2706">
        <v>14140.89</v>
      </c>
      <c r="L2706">
        <v>14.3</v>
      </c>
    </row>
    <row r="2707" spans="1:12" x14ac:dyDescent="0.3">
      <c r="A2707" t="s">
        <v>2722</v>
      </c>
      <c r="B2707" t="s">
        <v>34</v>
      </c>
      <c r="C2707" t="s">
        <v>11</v>
      </c>
      <c r="D2707">
        <v>32</v>
      </c>
      <c r="E2707" s="1">
        <v>41735</v>
      </c>
      <c r="F2707">
        <v>2014</v>
      </c>
      <c r="G2707" t="s">
        <v>5040</v>
      </c>
      <c r="H2707">
        <v>6</v>
      </c>
      <c r="I2707">
        <v>3.34</v>
      </c>
      <c r="J2707">
        <v>0</v>
      </c>
      <c r="K2707">
        <v>10564.55</v>
      </c>
      <c r="L2707">
        <v>11.6</v>
      </c>
    </row>
    <row r="2708" spans="1:12" x14ac:dyDescent="0.3">
      <c r="A2708" t="s">
        <v>2723</v>
      </c>
      <c r="B2708" t="s">
        <v>16</v>
      </c>
      <c r="C2708" t="s">
        <v>14</v>
      </c>
      <c r="D2708">
        <v>36</v>
      </c>
      <c r="E2708" s="1">
        <v>42953</v>
      </c>
      <c r="F2708">
        <v>2017</v>
      </c>
      <c r="G2708" t="s">
        <v>5031</v>
      </c>
      <c r="H2708">
        <v>6</v>
      </c>
      <c r="I2708">
        <v>3.54</v>
      </c>
      <c r="J2708">
        <v>4</v>
      </c>
      <c r="K2708">
        <v>14734.74</v>
      </c>
      <c r="L2708">
        <v>8.1999999999999993</v>
      </c>
    </row>
    <row r="2709" spans="1:12" x14ac:dyDescent="0.3">
      <c r="A2709" t="s">
        <v>2724</v>
      </c>
      <c r="B2709" t="s">
        <v>34</v>
      </c>
      <c r="C2709" t="s">
        <v>11</v>
      </c>
      <c r="D2709">
        <v>45</v>
      </c>
      <c r="E2709" s="1">
        <v>43896</v>
      </c>
      <c r="F2709">
        <v>2020</v>
      </c>
      <c r="G2709" t="s">
        <v>5035</v>
      </c>
      <c r="H2709">
        <v>6</v>
      </c>
      <c r="I2709">
        <v>3.36</v>
      </c>
      <c r="J2709">
        <v>11</v>
      </c>
      <c r="K2709">
        <v>6478</v>
      </c>
      <c r="L2709">
        <v>5.7</v>
      </c>
    </row>
    <row r="2710" spans="1:12" x14ac:dyDescent="0.3">
      <c r="A2710" t="s">
        <v>2725</v>
      </c>
      <c r="B2710" t="s">
        <v>16</v>
      </c>
      <c r="C2710" t="s">
        <v>11</v>
      </c>
      <c r="D2710">
        <v>31</v>
      </c>
      <c r="E2710" s="1">
        <v>40311</v>
      </c>
      <c r="F2710">
        <v>2010</v>
      </c>
      <c r="G2710" t="s">
        <v>5036</v>
      </c>
      <c r="H2710">
        <v>13</v>
      </c>
      <c r="I2710">
        <v>1.61</v>
      </c>
      <c r="J2710">
        <v>5</v>
      </c>
      <c r="K2710">
        <v>3126.01</v>
      </c>
      <c r="L2710">
        <v>15.5</v>
      </c>
    </row>
    <row r="2711" spans="1:12" x14ac:dyDescent="0.3">
      <c r="A2711" t="s">
        <v>2726</v>
      </c>
      <c r="B2711" t="s">
        <v>18</v>
      </c>
      <c r="C2711" t="s">
        <v>11</v>
      </c>
      <c r="D2711">
        <v>47</v>
      </c>
      <c r="E2711" s="1">
        <v>41389</v>
      </c>
      <c r="F2711">
        <v>2013</v>
      </c>
      <c r="G2711" t="s">
        <v>5040</v>
      </c>
      <c r="H2711">
        <v>25</v>
      </c>
      <c r="I2711">
        <v>3.13</v>
      </c>
      <c r="J2711">
        <v>8</v>
      </c>
      <c r="K2711">
        <v>5314.26</v>
      </c>
      <c r="L2711">
        <v>12.5</v>
      </c>
    </row>
    <row r="2712" spans="1:12" x14ac:dyDescent="0.3">
      <c r="A2712" t="s">
        <v>2727</v>
      </c>
      <c r="B2712" t="s">
        <v>34</v>
      </c>
      <c r="C2712" t="s">
        <v>11</v>
      </c>
      <c r="D2712">
        <v>46</v>
      </c>
      <c r="E2712" s="1">
        <v>45078</v>
      </c>
      <c r="F2712">
        <v>2023</v>
      </c>
      <c r="G2712" t="s">
        <v>5032</v>
      </c>
      <c r="H2712">
        <v>1</v>
      </c>
      <c r="I2712">
        <v>4.24</v>
      </c>
      <c r="J2712">
        <v>13</v>
      </c>
      <c r="K2712">
        <v>5850.81</v>
      </c>
      <c r="L2712">
        <v>2.4</v>
      </c>
    </row>
    <row r="2713" spans="1:12" x14ac:dyDescent="0.3">
      <c r="A2713" t="s">
        <v>2728</v>
      </c>
      <c r="B2713" t="s">
        <v>18</v>
      </c>
      <c r="C2713" t="s">
        <v>14</v>
      </c>
      <c r="D2713">
        <v>54</v>
      </c>
      <c r="E2713" s="1">
        <v>44328</v>
      </c>
      <c r="F2713">
        <v>2021</v>
      </c>
      <c r="G2713" t="s">
        <v>5036</v>
      </c>
      <c r="H2713">
        <v>12</v>
      </c>
      <c r="I2713">
        <v>3.26</v>
      </c>
      <c r="J2713">
        <v>4</v>
      </c>
      <c r="K2713">
        <v>3200.45</v>
      </c>
      <c r="L2713">
        <v>4.5</v>
      </c>
    </row>
    <row r="2714" spans="1:12" x14ac:dyDescent="0.3">
      <c r="A2714" t="s">
        <v>2729</v>
      </c>
      <c r="B2714" t="s">
        <v>24</v>
      </c>
      <c r="C2714" t="s">
        <v>14</v>
      </c>
      <c r="D2714">
        <v>52</v>
      </c>
      <c r="E2714" s="1">
        <v>40700</v>
      </c>
      <c r="F2714">
        <v>2011</v>
      </c>
      <c r="G2714" t="s">
        <v>5032</v>
      </c>
      <c r="H2714">
        <v>6</v>
      </c>
      <c r="I2714">
        <v>2.96</v>
      </c>
      <c r="J2714">
        <v>4</v>
      </c>
      <c r="K2714">
        <v>3790.07</v>
      </c>
      <c r="L2714">
        <v>14.4</v>
      </c>
    </row>
    <row r="2715" spans="1:12" x14ac:dyDescent="0.3">
      <c r="A2715" t="s">
        <v>2730</v>
      </c>
      <c r="B2715" t="s">
        <v>34</v>
      </c>
      <c r="C2715" t="s">
        <v>14</v>
      </c>
      <c r="D2715">
        <v>25</v>
      </c>
      <c r="E2715" s="1">
        <v>44400</v>
      </c>
      <c r="F2715">
        <v>2021</v>
      </c>
      <c r="G2715" t="s">
        <v>5034</v>
      </c>
      <c r="H2715">
        <v>23</v>
      </c>
      <c r="I2715">
        <v>4.47</v>
      </c>
      <c r="J2715">
        <v>4</v>
      </c>
      <c r="K2715">
        <v>13451.43</v>
      </c>
      <c r="L2715">
        <v>4.3</v>
      </c>
    </row>
    <row r="2716" spans="1:12" x14ac:dyDescent="0.3">
      <c r="A2716" t="s">
        <v>2731</v>
      </c>
      <c r="B2716" t="s">
        <v>24</v>
      </c>
      <c r="C2716" t="s">
        <v>14</v>
      </c>
      <c r="D2716">
        <v>47</v>
      </c>
      <c r="E2716" s="1">
        <v>45484</v>
      </c>
      <c r="F2716">
        <v>2024</v>
      </c>
      <c r="G2716" t="s">
        <v>5034</v>
      </c>
      <c r="H2716">
        <v>11</v>
      </c>
      <c r="I2716">
        <v>3.05</v>
      </c>
      <c r="J2716">
        <v>6</v>
      </c>
      <c r="K2716">
        <v>3819.43</v>
      </c>
      <c r="L2716">
        <v>1.3</v>
      </c>
    </row>
    <row r="2717" spans="1:12" x14ac:dyDescent="0.3">
      <c r="A2717" t="s">
        <v>2732</v>
      </c>
      <c r="B2717" t="s">
        <v>10</v>
      </c>
      <c r="C2717" t="s">
        <v>14</v>
      </c>
      <c r="D2717">
        <v>25</v>
      </c>
      <c r="E2717" s="1">
        <v>42455</v>
      </c>
      <c r="F2717">
        <v>2016</v>
      </c>
      <c r="G2717" t="s">
        <v>5035</v>
      </c>
      <c r="H2717">
        <v>26</v>
      </c>
      <c r="I2717">
        <v>4.75</v>
      </c>
      <c r="J2717">
        <v>4</v>
      </c>
      <c r="K2717">
        <v>3908.14</v>
      </c>
      <c r="L2717">
        <v>9.6</v>
      </c>
    </row>
    <row r="2718" spans="1:12" x14ac:dyDescent="0.3">
      <c r="A2718" t="s">
        <v>2733</v>
      </c>
      <c r="B2718" t="s">
        <v>18</v>
      </c>
      <c r="C2718" t="s">
        <v>11</v>
      </c>
      <c r="D2718">
        <v>42</v>
      </c>
      <c r="E2718" s="1">
        <v>40700</v>
      </c>
      <c r="F2718">
        <v>2011</v>
      </c>
      <c r="G2718" t="s">
        <v>5032</v>
      </c>
      <c r="H2718">
        <v>6</v>
      </c>
      <c r="I2718">
        <v>4.7300000000000004</v>
      </c>
      <c r="J2718">
        <v>13</v>
      </c>
      <c r="K2718">
        <v>4158.49</v>
      </c>
      <c r="L2718">
        <v>14.4</v>
      </c>
    </row>
    <row r="2719" spans="1:12" x14ac:dyDescent="0.3">
      <c r="A2719" t="s">
        <v>2734</v>
      </c>
      <c r="B2719" t="s">
        <v>18</v>
      </c>
      <c r="C2719" t="s">
        <v>11</v>
      </c>
      <c r="D2719">
        <v>34</v>
      </c>
      <c r="E2719" s="1">
        <v>42351</v>
      </c>
      <c r="F2719">
        <v>2015</v>
      </c>
      <c r="G2719" t="s">
        <v>5041</v>
      </c>
      <c r="H2719">
        <v>13</v>
      </c>
      <c r="I2719">
        <v>4.2</v>
      </c>
      <c r="J2719">
        <v>12</v>
      </c>
      <c r="K2719">
        <v>8466.76</v>
      </c>
      <c r="L2719">
        <v>9.9</v>
      </c>
    </row>
    <row r="2720" spans="1:12" x14ac:dyDescent="0.3">
      <c r="A2720" t="s">
        <v>2735</v>
      </c>
      <c r="B2720" t="s">
        <v>34</v>
      </c>
      <c r="C2720" t="s">
        <v>11</v>
      </c>
      <c r="D2720">
        <v>31</v>
      </c>
      <c r="E2720" s="1">
        <v>44726</v>
      </c>
      <c r="F2720">
        <v>2022</v>
      </c>
      <c r="G2720" t="s">
        <v>5032</v>
      </c>
      <c r="H2720">
        <v>14</v>
      </c>
      <c r="I2720">
        <v>3.25</v>
      </c>
      <c r="J2720">
        <v>11</v>
      </c>
      <c r="K2720">
        <v>10490.65</v>
      </c>
      <c r="L2720">
        <v>3.4</v>
      </c>
    </row>
    <row r="2721" spans="1:12" x14ac:dyDescent="0.3">
      <c r="A2721" t="s">
        <v>2736</v>
      </c>
      <c r="B2721" t="s">
        <v>16</v>
      </c>
      <c r="C2721" t="s">
        <v>14</v>
      </c>
      <c r="D2721">
        <v>33</v>
      </c>
      <c r="E2721" s="1">
        <v>42724</v>
      </c>
      <c r="F2721">
        <v>2016</v>
      </c>
      <c r="G2721" t="s">
        <v>5041</v>
      </c>
      <c r="H2721">
        <v>20</v>
      </c>
      <c r="I2721">
        <v>2.94</v>
      </c>
      <c r="J2721">
        <v>13</v>
      </c>
      <c r="K2721">
        <v>13280.09</v>
      </c>
      <c r="L2721">
        <v>8.9</v>
      </c>
    </row>
    <row r="2722" spans="1:12" x14ac:dyDescent="0.3">
      <c r="A2722" t="s">
        <v>2737</v>
      </c>
      <c r="B2722" t="s">
        <v>18</v>
      </c>
      <c r="C2722" t="s">
        <v>14</v>
      </c>
      <c r="D2722">
        <v>26</v>
      </c>
      <c r="E2722" s="1">
        <v>42016</v>
      </c>
      <c r="F2722">
        <v>2015</v>
      </c>
      <c r="G2722" t="s">
        <v>5037</v>
      </c>
      <c r="H2722">
        <v>12</v>
      </c>
      <c r="I2722">
        <v>3.78</v>
      </c>
      <c r="J2722">
        <v>1</v>
      </c>
      <c r="K2722">
        <v>3662.64</v>
      </c>
      <c r="L2722">
        <v>10.8</v>
      </c>
    </row>
    <row r="2723" spans="1:12" x14ac:dyDescent="0.3">
      <c r="A2723" t="s">
        <v>2738</v>
      </c>
      <c r="B2723" t="s">
        <v>24</v>
      </c>
      <c r="C2723" t="s">
        <v>11</v>
      </c>
      <c r="D2723">
        <v>43</v>
      </c>
      <c r="E2723" s="1">
        <v>43108</v>
      </c>
      <c r="F2723">
        <v>2018</v>
      </c>
      <c r="G2723" t="s">
        <v>5037</v>
      </c>
      <c r="H2723">
        <v>8</v>
      </c>
      <c r="I2723">
        <v>2.37</v>
      </c>
      <c r="J2723">
        <v>12</v>
      </c>
      <c r="K2723">
        <v>3628.77</v>
      </c>
      <c r="L2723">
        <v>7.8</v>
      </c>
    </row>
    <row r="2724" spans="1:12" x14ac:dyDescent="0.3">
      <c r="A2724" t="s">
        <v>2739</v>
      </c>
      <c r="B2724" t="s">
        <v>16</v>
      </c>
      <c r="C2724" t="s">
        <v>11</v>
      </c>
      <c r="D2724">
        <v>37</v>
      </c>
      <c r="E2724" s="1">
        <v>42578</v>
      </c>
      <c r="F2724">
        <v>2016</v>
      </c>
      <c r="G2724" t="s">
        <v>5034</v>
      </c>
      <c r="H2724">
        <v>27</v>
      </c>
      <c r="I2724">
        <v>2.59</v>
      </c>
      <c r="J2724">
        <v>5</v>
      </c>
      <c r="K2724">
        <v>4422.34</v>
      </c>
      <c r="L2724">
        <v>9.3000000000000007</v>
      </c>
    </row>
    <row r="2725" spans="1:12" x14ac:dyDescent="0.3">
      <c r="A2725" t="s">
        <v>2740</v>
      </c>
      <c r="B2725" t="s">
        <v>18</v>
      </c>
      <c r="C2725" t="s">
        <v>14</v>
      </c>
      <c r="D2725">
        <v>43</v>
      </c>
      <c r="E2725" s="1">
        <v>40930</v>
      </c>
      <c r="F2725">
        <v>2012</v>
      </c>
      <c r="G2725" t="s">
        <v>5037</v>
      </c>
      <c r="H2725">
        <v>22</v>
      </c>
      <c r="I2725">
        <v>3.65</v>
      </c>
      <c r="J2725">
        <v>12</v>
      </c>
      <c r="K2725">
        <v>8234.02</v>
      </c>
      <c r="L2725">
        <v>13.8</v>
      </c>
    </row>
    <row r="2726" spans="1:12" x14ac:dyDescent="0.3">
      <c r="A2726" t="s">
        <v>2741</v>
      </c>
      <c r="B2726" t="s">
        <v>10</v>
      </c>
      <c r="C2726" t="s">
        <v>11</v>
      </c>
      <c r="D2726">
        <v>53</v>
      </c>
      <c r="E2726" s="1">
        <v>44411</v>
      </c>
      <c r="F2726">
        <v>2021</v>
      </c>
      <c r="G2726" t="s">
        <v>5031</v>
      </c>
      <c r="H2726">
        <v>3</v>
      </c>
      <c r="I2726">
        <v>2.61</v>
      </c>
      <c r="J2726">
        <v>13</v>
      </c>
      <c r="K2726">
        <v>3959.44</v>
      </c>
      <c r="L2726">
        <v>4.2</v>
      </c>
    </row>
    <row r="2727" spans="1:12" x14ac:dyDescent="0.3">
      <c r="A2727" t="s">
        <v>2742</v>
      </c>
      <c r="B2727" t="s">
        <v>13</v>
      </c>
      <c r="C2727" t="s">
        <v>14</v>
      </c>
      <c r="D2727">
        <v>47</v>
      </c>
      <c r="E2727" s="1">
        <v>40373</v>
      </c>
      <c r="F2727">
        <v>2010</v>
      </c>
      <c r="G2727" t="s">
        <v>5034</v>
      </c>
      <c r="H2727">
        <v>14</v>
      </c>
      <c r="I2727">
        <v>4.13</v>
      </c>
      <c r="J2727">
        <v>3</v>
      </c>
      <c r="K2727">
        <v>3897.53</v>
      </c>
      <c r="L2727">
        <v>15.3</v>
      </c>
    </row>
    <row r="2728" spans="1:12" x14ac:dyDescent="0.3">
      <c r="A2728" t="s">
        <v>2743</v>
      </c>
      <c r="B2728" t="s">
        <v>34</v>
      </c>
      <c r="C2728" t="s">
        <v>14</v>
      </c>
      <c r="D2728">
        <v>35</v>
      </c>
      <c r="E2728" s="1">
        <v>43801</v>
      </c>
      <c r="F2728">
        <v>2019</v>
      </c>
      <c r="G2728" t="s">
        <v>5041</v>
      </c>
      <c r="H2728">
        <v>2</v>
      </c>
      <c r="I2728">
        <v>3.99</v>
      </c>
      <c r="J2728">
        <v>1</v>
      </c>
      <c r="K2728">
        <v>8174.38</v>
      </c>
      <c r="L2728">
        <v>5.9</v>
      </c>
    </row>
    <row r="2729" spans="1:12" x14ac:dyDescent="0.3">
      <c r="A2729" t="s">
        <v>2744</v>
      </c>
      <c r="B2729" t="s">
        <v>18</v>
      </c>
      <c r="C2729" t="s">
        <v>11</v>
      </c>
      <c r="D2729">
        <v>24</v>
      </c>
      <c r="E2729" s="1">
        <v>43175</v>
      </c>
      <c r="F2729">
        <v>2018</v>
      </c>
      <c r="G2729" t="s">
        <v>5035</v>
      </c>
      <c r="H2729">
        <v>16</v>
      </c>
      <c r="I2729">
        <v>1.98</v>
      </c>
      <c r="J2729">
        <v>1</v>
      </c>
      <c r="K2729">
        <v>6918.07</v>
      </c>
      <c r="L2729">
        <v>7.6</v>
      </c>
    </row>
    <row r="2730" spans="1:12" x14ac:dyDescent="0.3">
      <c r="A2730" t="s">
        <v>2745</v>
      </c>
      <c r="B2730" t="s">
        <v>24</v>
      </c>
      <c r="C2730" t="s">
        <v>14</v>
      </c>
      <c r="D2730">
        <v>38</v>
      </c>
      <c r="E2730" s="1">
        <v>42699</v>
      </c>
      <c r="F2730">
        <v>2016</v>
      </c>
      <c r="G2730" t="s">
        <v>5038</v>
      </c>
      <c r="H2730">
        <v>25</v>
      </c>
      <c r="I2730">
        <v>3.35</v>
      </c>
      <c r="J2730">
        <v>9</v>
      </c>
      <c r="K2730">
        <v>14187.05</v>
      </c>
      <c r="L2730">
        <v>8.9</v>
      </c>
    </row>
    <row r="2731" spans="1:12" x14ac:dyDescent="0.3">
      <c r="A2731" t="s">
        <v>2746</v>
      </c>
      <c r="B2731" t="s">
        <v>18</v>
      </c>
      <c r="C2731" t="s">
        <v>11</v>
      </c>
      <c r="D2731">
        <v>52</v>
      </c>
      <c r="E2731" s="1">
        <v>41161</v>
      </c>
      <c r="F2731">
        <v>2012</v>
      </c>
      <c r="G2731" t="s">
        <v>5033</v>
      </c>
      <c r="H2731">
        <v>9</v>
      </c>
      <c r="I2731">
        <v>4.54</v>
      </c>
      <c r="J2731">
        <v>15</v>
      </c>
      <c r="K2731">
        <v>14091.31</v>
      </c>
      <c r="L2731">
        <v>13.2</v>
      </c>
    </row>
    <row r="2732" spans="1:12" x14ac:dyDescent="0.3">
      <c r="A2732" t="s">
        <v>2747</v>
      </c>
      <c r="B2732" t="s">
        <v>18</v>
      </c>
      <c r="C2732" t="s">
        <v>11</v>
      </c>
      <c r="D2732">
        <v>49</v>
      </c>
      <c r="E2732" s="1">
        <v>43073</v>
      </c>
      <c r="F2732">
        <v>2017</v>
      </c>
      <c r="G2732" t="s">
        <v>5041</v>
      </c>
      <c r="H2732">
        <v>4</v>
      </c>
      <c r="I2732">
        <v>2.76</v>
      </c>
      <c r="J2732">
        <v>15</v>
      </c>
      <c r="K2732">
        <v>7481.54</v>
      </c>
      <c r="L2732">
        <v>7.9</v>
      </c>
    </row>
    <row r="2733" spans="1:12" x14ac:dyDescent="0.3">
      <c r="A2733" t="s">
        <v>2748</v>
      </c>
      <c r="B2733" t="s">
        <v>10</v>
      </c>
      <c r="C2733" t="s">
        <v>14</v>
      </c>
      <c r="D2733">
        <v>31</v>
      </c>
      <c r="E2733" s="1">
        <v>42088</v>
      </c>
      <c r="F2733">
        <v>2015</v>
      </c>
      <c r="G2733" t="s">
        <v>5035</v>
      </c>
      <c r="H2733">
        <v>25</v>
      </c>
      <c r="I2733">
        <v>1.88</v>
      </c>
      <c r="J2733">
        <v>10</v>
      </c>
      <c r="K2733">
        <v>7948.76</v>
      </c>
      <c r="L2733">
        <v>10.6</v>
      </c>
    </row>
    <row r="2734" spans="1:12" x14ac:dyDescent="0.3">
      <c r="A2734" t="s">
        <v>2749</v>
      </c>
      <c r="B2734" t="s">
        <v>24</v>
      </c>
      <c r="C2734" t="s">
        <v>11</v>
      </c>
      <c r="D2734">
        <v>30</v>
      </c>
      <c r="E2734" s="1">
        <v>45890</v>
      </c>
      <c r="F2734">
        <v>2025</v>
      </c>
      <c r="G2734" t="s">
        <v>5031</v>
      </c>
      <c r="H2734">
        <v>21</v>
      </c>
      <c r="I2734">
        <v>2.72</v>
      </c>
      <c r="J2734">
        <v>6</v>
      </c>
      <c r="K2734">
        <v>9589.2800000000007</v>
      </c>
      <c r="L2734">
        <v>0.2</v>
      </c>
    </row>
    <row r="2735" spans="1:12" x14ac:dyDescent="0.3">
      <c r="A2735" t="s">
        <v>2750</v>
      </c>
      <c r="B2735" t="s">
        <v>10</v>
      </c>
      <c r="C2735" t="s">
        <v>11</v>
      </c>
      <c r="D2735">
        <v>53</v>
      </c>
      <c r="E2735" s="1">
        <v>43676</v>
      </c>
      <c r="F2735">
        <v>2019</v>
      </c>
      <c r="G2735" t="s">
        <v>5034</v>
      </c>
      <c r="H2735">
        <v>30</v>
      </c>
      <c r="I2735">
        <v>2.08</v>
      </c>
      <c r="J2735">
        <v>11</v>
      </c>
      <c r="K2735">
        <v>13219.15</v>
      </c>
      <c r="L2735">
        <v>6.3</v>
      </c>
    </row>
    <row r="2736" spans="1:12" x14ac:dyDescent="0.3">
      <c r="A2736" t="s">
        <v>2751</v>
      </c>
      <c r="B2736" t="s">
        <v>10</v>
      </c>
      <c r="C2736" t="s">
        <v>14</v>
      </c>
      <c r="D2736">
        <v>31</v>
      </c>
      <c r="E2736" s="1">
        <v>45624</v>
      </c>
      <c r="F2736">
        <v>2024</v>
      </c>
      <c r="G2736" t="s">
        <v>5038</v>
      </c>
      <c r="H2736">
        <v>28</v>
      </c>
      <c r="I2736">
        <v>4.51</v>
      </c>
      <c r="J2736">
        <v>14</v>
      </c>
      <c r="K2736">
        <v>11349.42</v>
      </c>
      <c r="L2736">
        <v>0.9</v>
      </c>
    </row>
    <row r="2737" spans="1:12" x14ac:dyDescent="0.3">
      <c r="A2737" t="s">
        <v>2752</v>
      </c>
      <c r="B2737" t="s">
        <v>13</v>
      </c>
      <c r="C2737" t="s">
        <v>11</v>
      </c>
      <c r="D2737">
        <v>27</v>
      </c>
      <c r="E2737" s="1">
        <v>43255</v>
      </c>
      <c r="F2737">
        <v>2018</v>
      </c>
      <c r="G2737" t="s">
        <v>5032</v>
      </c>
      <c r="H2737">
        <v>4</v>
      </c>
      <c r="I2737">
        <v>4.6500000000000004</v>
      </c>
      <c r="J2737">
        <v>11</v>
      </c>
      <c r="K2737">
        <v>3107.61</v>
      </c>
      <c r="L2737">
        <v>7.4</v>
      </c>
    </row>
    <row r="2738" spans="1:12" x14ac:dyDescent="0.3">
      <c r="A2738" t="s">
        <v>2753</v>
      </c>
      <c r="B2738" t="s">
        <v>34</v>
      </c>
      <c r="C2738" t="s">
        <v>14</v>
      </c>
      <c r="D2738">
        <v>48</v>
      </c>
      <c r="E2738" s="1">
        <v>41209</v>
      </c>
      <c r="F2738">
        <v>2012</v>
      </c>
      <c r="G2738" t="s">
        <v>5039</v>
      </c>
      <c r="H2738">
        <v>27</v>
      </c>
      <c r="I2738">
        <v>4.3</v>
      </c>
      <c r="J2738">
        <v>2</v>
      </c>
      <c r="K2738">
        <v>6401.06</v>
      </c>
      <c r="L2738">
        <v>13</v>
      </c>
    </row>
    <row r="2739" spans="1:12" x14ac:dyDescent="0.3">
      <c r="A2739" t="s">
        <v>2754</v>
      </c>
      <c r="B2739" t="s">
        <v>24</v>
      </c>
      <c r="C2739" t="s">
        <v>14</v>
      </c>
      <c r="D2739">
        <v>35</v>
      </c>
      <c r="E2739" s="1">
        <v>41673</v>
      </c>
      <c r="F2739">
        <v>2014</v>
      </c>
      <c r="G2739" t="s">
        <v>5042</v>
      </c>
      <c r="H2739">
        <v>3</v>
      </c>
      <c r="I2739">
        <v>1.66</v>
      </c>
      <c r="J2739">
        <v>2</v>
      </c>
      <c r="K2739">
        <v>8453.7099999999991</v>
      </c>
      <c r="L2739">
        <v>11.8</v>
      </c>
    </row>
    <row r="2740" spans="1:12" x14ac:dyDescent="0.3">
      <c r="A2740" t="s">
        <v>2755</v>
      </c>
      <c r="B2740" t="s">
        <v>13</v>
      </c>
      <c r="C2740" t="s">
        <v>11</v>
      </c>
      <c r="D2740">
        <v>51</v>
      </c>
      <c r="E2740" s="1">
        <v>45485</v>
      </c>
      <c r="F2740">
        <v>2024</v>
      </c>
      <c r="G2740" t="s">
        <v>5034</v>
      </c>
      <c r="H2740">
        <v>12</v>
      </c>
      <c r="I2740">
        <v>2.4700000000000002</v>
      </c>
      <c r="J2740">
        <v>6</v>
      </c>
      <c r="K2740">
        <v>6094.25</v>
      </c>
      <c r="L2740">
        <v>1.3</v>
      </c>
    </row>
    <row r="2741" spans="1:12" x14ac:dyDescent="0.3">
      <c r="A2741" t="s">
        <v>2756</v>
      </c>
      <c r="B2741" t="s">
        <v>13</v>
      </c>
      <c r="C2741" t="s">
        <v>11</v>
      </c>
      <c r="D2741">
        <v>41</v>
      </c>
      <c r="E2741" s="1">
        <v>40823</v>
      </c>
      <c r="F2741">
        <v>2011</v>
      </c>
      <c r="G2741" t="s">
        <v>5039</v>
      </c>
      <c r="H2741">
        <v>7</v>
      </c>
      <c r="I2741">
        <v>1.54</v>
      </c>
      <c r="J2741">
        <v>0</v>
      </c>
      <c r="K2741">
        <v>8980.5499999999993</v>
      </c>
      <c r="L2741">
        <v>14.1</v>
      </c>
    </row>
    <row r="2742" spans="1:12" x14ac:dyDescent="0.3">
      <c r="A2742" t="s">
        <v>2757</v>
      </c>
      <c r="B2742" t="s">
        <v>18</v>
      </c>
      <c r="C2742" t="s">
        <v>14</v>
      </c>
      <c r="D2742">
        <v>58</v>
      </c>
      <c r="E2742" s="1">
        <v>40972</v>
      </c>
      <c r="F2742">
        <v>2012</v>
      </c>
      <c r="G2742" t="s">
        <v>5035</v>
      </c>
      <c r="H2742">
        <v>4</v>
      </c>
      <c r="I2742">
        <v>4.78</v>
      </c>
      <c r="J2742">
        <v>8</v>
      </c>
      <c r="K2742">
        <v>7563.9</v>
      </c>
      <c r="L2742">
        <v>13.7</v>
      </c>
    </row>
    <row r="2743" spans="1:12" x14ac:dyDescent="0.3">
      <c r="A2743" t="s">
        <v>2758</v>
      </c>
      <c r="B2743" t="s">
        <v>18</v>
      </c>
      <c r="C2743" t="s">
        <v>11</v>
      </c>
      <c r="D2743">
        <v>53</v>
      </c>
      <c r="E2743" s="1">
        <v>41924</v>
      </c>
      <c r="F2743">
        <v>2014</v>
      </c>
      <c r="G2743" t="s">
        <v>5039</v>
      </c>
      <c r="H2743">
        <v>12</v>
      </c>
      <c r="I2743">
        <v>2.37</v>
      </c>
      <c r="J2743">
        <v>6</v>
      </c>
      <c r="K2743">
        <v>3993.9</v>
      </c>
      <c r="L2743">
        <v>11.1</v>
      </c>
    </row>
    <row r="2744" spans="1:12" x14ac:dyDescent="0.3">
      <c r="A2744" t="s">
        <v>2759</v>
      </c>
      <c r="B2744" t="s">
        <v>13</v>
      </c>
      <c r="C2744" t="s">
        <v>11</v>
      </c>
      <c r="D2744">
        <v>38</v>
      </c>
      <c r="E2744" s="1">
        <v>45050</v>
      </c>
      <c r="F2744">
        <v>2023</v>
      </c>
      <c r="G2744" t="s">
        <v>5036</v>
      </c>
      <c r="H2744">
        <v>4</v>
      </c>
      <c r="I2744">
        <v>2.48</v>
      </c>
      <c r="J2744">
        <v>1</v>
      </c>
      <c r="K2744">
        <v>3398.35</v>
      </c>
      <c r="L2744">
        <v>2.5</v>
      </c>
    </row>
    <row r="2745" spans="1:12" x14ac:dyDescent="0.3">
      <c r="A2745" t="s">
        <v>2760</v>
      </c>
      <c r="B2745" t="s">
        <v>24</v>
      </c>
      <c r="C2745" t="s">
        <v>14</v>
      </c>
      <c r="D2745">
        <v>60</v>
      </c>
      <c r="E2745" s="1">
        <v>43501</v>
      </c>
      <c r="F2745">
        <v>2019</v>
      </c>
      <c r="G2745" t="s">
        <v>5042</v>
      </c>
      <c r="H2745">
        <v>5</v>
      </c>
      <c r="I2745">
        <v>2.39</v>
      </c>
      <c r="J2745">
        <v>13</v>
      </c>
      <c r="K2745">
        <v>6229.96</v>
      </c>
      <c r="L2745">
        <v>6.7</v>
      </c>
    </row>
    <row r="2746" spans="1:12" x14ac:dyDescent="0.3">
      <c r="A2746" t="s">
        <v>2761</v>
      </c>
      <c r="B2746" t="s">
        <v>16</v>
      </c>
      <c r="C2746" t="s">
        <v>11</v>
      </c>
      <c r="D2746">
        <v>37</v>
      </c>
      <c r="E2746" s="1">
        <v>40706</v>
      </c>
      <c r="F2746">
        <v>2011</v>
      </c>
      <c r="G2746" t="s">
        <v>5032</v>
      </c>
      <c r="H2746">
        <v>12</v>
      </c>
      <c r="I2746">
        <v>4.99</v>
      </c>
      <c r="J2746">
        <v>8</v>
      </c>
      <c r="K2746">
        <v>13364.18</v>
      </c>
      <c r="L2746">
        <v>14.4</v>
      </c>
    </row>
    <row r="2747" spans="1:12" x14ac:dyDescent="0.3">
      <c r="A2747" t="s">
        <v>2762</v>
      </c>
      <c r="B2747" t="s">
        <v>18</v>
      </c>
      <c r="C2747" t="s">
        <v>11</v>
      </c>
      <c r="D2747">
        <v>35</v>
      </c>
      <c r="E2747" s="1">
        <v>43399</v>
      </c>
      <c r="F2747">
        <v>2018</v>
      </c>
      <c r="G2747" t="s">
        <v>5039</v>
      </c>
      <c r="H2747">
        <v>26</v>
      </c>
      <c r="I2747">
        <v>4.68</v>
      </c>
      <c r="J2747">
        <v>6</v>
      </c>
      <c r="K2747">
        <v>6238.39</v>
      </c>
      <c r="L2747">
        <v>7</v>
      </c>
    </row>
    <row r="2748" spans="1:12" x14ac:dyDescent="0.3">
      <c r="A2748" t="s">
        <v>2763</v>
      </c>
      <c r="B2748" t="s">
        <v>13</v>
      </c>
      <c r="C2748" t="s">
        <v>14</v>
      </c>
      <c r="D2748">
        <v>60</v>
      </c>
      <c r="E2748" s="1">
        <v>40887</v>
      </c>
      <c r="F2748">
        <v>2011</v>
      </c>
      <c r="G2748" t="s">
        <v>5041</v>
      </c>
      <c r="H2748">
        <v>10</v>
      </c>
      <c r="I2748">
        <v>4.0599999999999996</v>
      </c>
      <c r="J2748">
        <v>4</v>
      </c>
      <c r="K2748">
        <v>12696.66</v>
      </c>
      <c r="L2748">
        <v>13.9</v>
      </c>
    </row>
    <row r="2749" spans="1:12" x14ac:dyDescent="0.3">
      <c r="A2749" t="s">
        <v>2764</v>
      </c>
      <c r="B2749" t="s">
        <v>13</v>
      </c>
      <c r="C2749" t="s">
        <v>11</v>
      </c>
      <c r="D2749">
        <v>55</v>
      </c>
      <c r="E2749" s="1">
        <v>44489</v>
      </c>
      <c r="F2749">
        <v>2021</v>
      </c>
      <c r="G2749" t="s">
        <v>5039</v>
      </c>
      <c r="H2749">
        <v>20</v>
      </c>
      <c r="I2749">
        <v>2.4300000000000002</v>
      </c>
      <c r="J2749">
        <v>15</v>
      </c>
      <c r="K2749">
        <v>11707.18</v>
      </c>
      <c r="L2749">
        <v>4</v>
      </c>
    </row>
    <row r="2750" spans="1:12" x14ac:dyDescent="0.3">
      <c r="A2750" t="s">
        <v>2765</v>
      </c>
      <c r="B2750" t="s">
        <v>24</v>
      </c>
      <c r="C2750" t="s">
        <v>11</v>
      </c>
      <c r="D2750">
        <v>35</v>
      </c>
      <c r="E2750" s="1">
        <v>42249</v>
      </c>
      <c r="F2750">
        <v>2015</v>
      </c>
      <c r="G2750" t="s">
        <v>5033</v>
      </c>
      <c r="H2750">
        <v>2</v>
      </c>
      <c r="I2750">
        <v>1.86</v>
      </c>
      <c r="J2750">
        <v>10</v>
      </c>
      <c r="K2750">
        <v>5049.49</v>
      </c>
      <c r="L2750">
        <v>10.199999999999999</v>
      </c>
    </row>
    <row r="2751" spans="1:12" x14ac:dyDescent="0.3">
      <c r="A2751" t="s">
        <v>2766</v>
      </c>
      <c r="B2751" t="s">
        <v>10</v>
      </c>
      <c r="C2751" t="s">
        <v>11</v>
      </c>
      <c r="D2751">
        <v>58</v>
      </c>
      <c r="E2751" s="1">
        <v>41667</v>
      </c>
      <c r="F2751">
        <v>2014</v>
      </c>
      <c r="G2751" t="s">
        <v>5037</v>
      </c>
      <c r="H2751">
        <v>28</v>
      </c>
      <c r="I2751">
        <v>2.23</v>
      </c>
      <c r="J2751">
        <v>1</v>
      </c>
      <c r="K2751">
        <v>5849.46</v>
      </c>
      <c r="L2751">
        <v>11.8</v>
      </c>
    </row>
    <row r="2752" spans="1:12" x14ac:dyDescent="0.3">
      <c r="A2752" t="s">
        <v>2767</v>
      </c>
      <c r="B2752" t="s">
        <v>24</v>
      </c>
      <c r="C2752" t="s">
        <v>14</v>
      </c>
      <c r="D2752">
        <v>47</v>
      </c>
      <c r="E2752" s="1">
        <v>45326</v>
      </c>
      <c r="F2752">
        <v>2024</v>
      </c>
      <c r="G2752" t="s">
        <v>5042</v>
      </c>
      <c r="H2752">
        <v>4</v>
      </c>
      <c r="I2752">
        <v>2.17</v>
      </c>
      <c r="J2752">
        <v>7</v>
      </c>
      <c r="K2752">
        <v>4684.63</v>
      </c>
      <c r="L2752">
        <v>1.7</v>
      </c>
    </row>
    <row r="2753" spans="1:12" x14ac:dyDescent="0.3">
      <c r="A2753" t="s">
        <v>2768</v>
      </c>
      <c r="B2753" t="s">
        <v>13</v>
      </c>
      <c r="C2753" t="s">
        <v>14</v>
      </c>
      <c r="D2753">
        <v>40</v>
      </c>
      <c r="E2753" s="1">
        <v>45574</v>
      </c>
      <c r="F2753">
        <v>2024</v>
      </c>
      <c r="G2753" t="s">
        <v>5039</v>
      </c>
      <c r="H2753">
        <v>9</v>
      </c>
      <c r="I2753">
        <v>2.0099999999999998</v>
      </c>
      <c r="J2753">
        <v>15</v>
      </c>
      <c r="K2753">
        <v>5774.69</v>
      </c>
      <c r="L2753">
        <v>1.1000000000000001</v>
      </c>
    </row>
    <row r="2754" spans="1:12" x14ac:dyDescent="0.3">
      <c r="A2754" t="s">
        <v>2769</v>
      </c>
      <c r="B2754" t="s">
        <v>10</v>
      </c>
      <c r="C2754" t="s">
        <v>11</v>
      </c>
      <c r="D2754">
        <v>31</v>
      </c>
      <c r="E2754" s="1">
        <v>41420</v>
      </c>
      <c r="F2754">
        <v>2013</v>
      </c>
      <c r="G2754" t="s">
        <v>5036</v>
      </c>
      <c r="H2754">
        <v>26</v>
      </c>
      <c r="I2754">
        <v>2.2799999999999998</v>
      </c>
      <c r="J2754">
        <v>0</v>
      </c>
      <c r="K2754">
        <v>13116.98</v>
      </c>
      <c r="L2754">
        <v>12.4</v>
      </c>
    </row>
    <row r="2755" spans="1:12" x14ac:dyDescent="0.3">
      <c r="A2755" t="s">
        <v>2770</v>
      </c>
      <c r="B2755" t="s">
        <v>34</v>
      </c>
      <c r="C2755" t="s">
        <v>11</v>
      </c>
      <c r="D2755">
        <v>22</v>
      </c>
      <c r="E2755" s="1">
        <v>45648</v>
      </c>
      <c r="F2755">
        <v>2024</v>
      </c>
      <c r="G2755" t="s">
        <v>5041</v>
      </c>
      <c r="H2755">
        <v>22</v>
      </c>
      <c r="I2755">
        <v>4.1399999999999997</v>
      </c>
      <c r="J2755">
        <v>7</v>
      </c>
      <c r="K2755">
        <v>3019.83</v>
      </c>
      <c r="L2755">
        <v>0.9</v>
      </c>
    </row>
    <row r="2756" spans="1:12" x14ac:dyDescent="0.3">
      <c r="A2756" t="s">
        <v>2771</v>
      </c>
      <c r="B2756" t="s">
        <v>18</v>
      </c>
      <c r="C2756" t="s">
        <v>11</v>
      </c>
      <c r="D2756">
        <v>31</v>
      </c>
      <c r="E2756" s="1">
        <v>43397</v>
      </c>
      <c r="F2756">
        <v>2018</v>
      </c>
      <c r="G2756" t="s">
        <v>5039</v>
      </c>
      <c r="H2756">
        <v>24</v>
      </c>
      <c r="I2756">
        <v>3.53</v>
      </c>
      <c r="J2756">
        <v>12</v>
      </c>
      <c r="K2756">
        <v>5366.53</v>
      </c>
      <c r="L2756">
        <v>7</v>
      </c>
    </row>
    <row r="2757" spans="1:12" x14ac:dyDescent="0.3">
      <c r="A2757" t="s">
        <v>2772</v>
      </c>
      <c r="B2757" t="s">
        <v>10</v>
      </c>
      <c r="C2757" t="s">
        <v>14</v>
      </c>
      <c r="D2757">
        <v>38</v>
      </c>
      <c r="E2757" s="1">
        <v>40561</v>
      </c>
      <c r="F2757">
        <v>2011</v>
      </c>
      <c r="G2757" t="s">
        <v>5037</v>
      </c>
      <c r="H2757">
        <v>18</v>
      </c>
      <c r="I2757">
        <v>2.72</v>
      </c>
      <c r="J2757">
        <v>4</v>
      </c>
      <c r="K2757">
        <v>3918.72</v>
      </c>
      <c r="L2757">
        <v>14.8</v>
      </c>
    </row>
    <row r="2758" spans="1:12" x14ac:dyDescent="0.3">
      <c r="A2758" t="s">
        <v>2773</v>
      </c>
      <c r="B2758" t="s">
        <v>34</v>
      </c>
      <c r="C2758" t="s">
        <v>14</v>
      </c>
      <c r="D2758">
        <v>36</v>
      </c>
      <c r="E2758" s="1">
        <v>45454</v>
      </c>
      <c r="F2758">
        <v>2024</v>
      </c>
      <c r="G2758" t="s">
        <v>5032</v>
      </c>
      <c r="H2758">
        <v>11</v>
      </c>
      <c r="I2758">
        <v>2.04</v>
      </c>
      <c r="J2758">
        <v>1</v>
      </c>
      <c r="K2758">
        <v>12321.54</v>
      </c>
      <c r="L2758">
        <v>1.4</v>
      </c>
    </row>
    <row r="2759" spans="1:12" x14ac:dyDescent="0.3">
      <c r="A2759" t="s">
        <v>2774</v>
      </c>
      <c r="B2759" t="s">
        <v>13</v>
      </c>
      <c r="C2759" t="s">
        <v>11</v>
      </c>
      <c r="D2759">
        <v>27</v>
      </c>
      <c r="E2759" s="1">
        <v>41403</v>
      </c>
      <c r="F2759">
        <v>2013</v>
      </c>
      <c r="G2759" t="s">
        <v>5036</v>
      </c>
      <c r="H2759">
        <v>9</v>
      </c>
      <c r="I2759">
        <v>4.6100000000000003</v>
      </c>
      <c r="J2759">
        <v>2</v>
      </c>
      <c r="K2759">
        <v>13084.92</v>
      </c>
      <c r="L2759">
        <v>12.5</v>
      </c>
    </row>
    <row r="2760" spans="1:12" x14ac:dyDescent="0.3">
      <c r="A2760" t="s">
        <v>2775</v>
      </c>
      <c r="B2760" t="s">
        <v>10</v>
      </c>
      <c r="C2760" t="s">
        <v>11</v>
      </c>
      <c r="D2760">
        <v>49</v>
      </c>
      <c r="E2760" s="1">
        <v>40275</v>
      </c>
      <c r="F2760">
        <v>2010</v>
      </c>
      <c r="G2760" t="s">
        <v>5040</v>
      </c>
      <c r="H2760">
        <v>7</v>
      </c>
      <c r="I2760">
        <v>1.97</v>
      </c>
      <c r="J2760">
        <v>9</v>
      </c>
      <c r="K2760">
        <v>14707.81</v>
      </c>
      <c r="L2760">
        <v>15.6</v>
      </c>
    </row>
    <row r="2761" spans="1:12" x14ac:dyDescent="0.3">
      <c r="A2761" t="s">
        <v>2776</v>
      </c>
      <c r="B2761" t="s">
        <v>18</v>
      </c>
      <c r="C2761" t="s">
        <v>11</v>
      </c>
      <c r="D2761">
        <v>29</v>
      </c>
      <c r="E2761" s="1">
        <v>40688</v>
      </c>
      <c r="F2761">
        <v>2011</v>
      </c>
      <c r="G2761" t="s">
        <v>5036</v>
      </c>
      <c r="H2761">
        <v>25</v>
      </c>
      <c r="I2761">
        <v>3.7</v>
      </c>
      <c r="J2761">
        <v>1</v>
      </c>
      <c r="K2761">
        <v>8943.69</v>
      </c>
      <c r="L2761">
        <v>14.4</v>
      </c>
    </row>
    <row r="2762" spans="1:12" x14ac:dyDescent="0.3">
      <c r="A2762" t="s">
        <v>2777</v>
      </c>
      <c r="B2762" t="s">
        <v>16</v>
      </c>
      <c r="C2762" t="s">
        <v>11</v>
      </c>
      <c r="D2762">
        <v>54</v>
      </c>
      <c r="E2762" s="1">
        <v>41706</v>
      </c>
      <c r="F2762">
        <v>2014</v>
      </c>
      <c r="G2762" t="s">
        <v>5035</v>
      </c>
      <c r="H2762">
        <v>8</v>
      </c>
      <c r="I2762">
        <v>3.13</v>
      </c>
      <c r="J2762">
        <v>3</v>
      </c>
      <c r="K2762">
        <v>10421.540000000001</v>
      </c>
      <c r="L2762">
        <v>11.7</v>
      </c>
    </row>
    <row r="2763" spans="1:12" x14ac:dyDescent="0.3">
      <c r="A2763" t="s">
        <v>2778</v>
      </c>
      <c r="B2763" t="s">
        <v>24</v>
      </c>
      <c r="C2763" t="s">
        <v>14</v>
      </c>
      <c r="D2763">
        <v>26</v>
      </c>
      <c r="E2763" s="1">
        <v>42427</v>
      </c>
      <c r="F2763">
        <v>2016</v>
      </c>
      <c r="G2763" t="s">
        <v>5042</v>
      </c>
      <c r="H2763">
        <v>27</v>
      </c>
      <c r="I2763">
        <v>2.2999999999999998</v>
      </c>
      <c r="J2763">
        <v>9</v>
      </c>
      <c r="K2763">
        <v>6691.29</v>
      </c>
      <c r="L2763">
        <v>9.6999999999999993</v>
      </c>
    </row>
    <row r="2764" spans="1:12" x14ac:dyDescent="0.3">
      <c r="A2764" t="s">
        <v>2779</v>
      </c>
      <c r="B2764" t="s">
        <v>10</v>
      </c>
      <c r="C2764" t="s">
        <v>11</v>
      </c>
      <c r="D2764">
        <v>47</v>
      </c>
      <c r="E2764" s="1">
        <v>44621</v>
      </c>
      <c r="F2764">
        <v>2022</v>
      </c>
      <c r="G2764" t="s">
        <v>5035</v>
      </c>
      <c r="H2764">
        <v>1</v>
      </c>
      <c r="I2764">
        <v>4.3499999999999996</v>
      </c>
      <c r="J2764">
        <v>8</v>
      </c>
      <c r="K2764">
        <v>7614.19</v>
      </c>
      <c r="L2764">
        <v>3.7</v>
      </c>
    </row>
    <row r="2765" spans="1:12" x14ac:dyDescent="0.3">
      <c r="A2765" t="s">
        <v>2780</v>
      </c>
      <c r="B2765" t="s">
        <v>10</v>
      </c>
      <c r="C2765" t="s">
        <v>11</v>
      </c>
      <c r="D2765">
        <v>26</v>
      </c>
      <c r="E2765" s="1">
        <v>41299</v>
      </c>
      <c r="F2765">
        <v>2013</v>
      </c>
      <c r="G2765" t="s">
        <v>5037</v>
      </c>
      <c r="H2765">
        <v>25</v>
      </c>
      <c r="I2765">
        <v>2.31</v>
      </c>
      <c r="J2765">
        <v>7</v>
      </c>
      <c r="K2765">
        <v>12223.02</v>
      </c>
      <c r="L2765">
        <v>12.8</v>
      </c>
    </row>
    <row r="2766" spans="1:12" x14ac:dyDescent="0.3">
      <c r="A2766" t="s">
        <v>2781</v>
      </c>
      <c r="B2766" t="s">
        <v>18</v>
      </c>
      <c r="C2766" t="s">
        <v>11</v>
      </c>
      <c r="D2766">
        <v>30</v>
      </c>
      <c r="E2766" s="1">
        <v>40335</v>
      </c>
      <c r="F2766">
        <v>2010</v>
      </c>
      <c r="G2766" t="s">
        <v>5032</v>
      </c>
      <c r="H2766">
        <v>6</v>
      </c>
      <c r="I2766">
        <v>2.58</v>
      </c>
      <c r="J2766">
        <v>6</v>
      </c>
      <c r="K2766">
        <v>7559.52</v>
      </c>
      <c r="L2766">
        <v>15.4</v>
      </c>
    </row>
    <row r="2767" spans="1:12" x14ac:dyDescent="0.3">
      <c r="A2767" t="s">
        <v>2782</v>
      </c>
      <c r="B2767" t="s">
        <v>16</v>
      </c>
      <c r="C2767" t="s">
        <v>11</v>
      </c>
      <c r="D2767">
        <v>30</v>
      </c>
      <c r="E2767" s="1">
        <v>43261</v>
      </c>
      <c r="F2767">
        <v>2018</v>
      </c>
      <c r="G2767" t="s">
        <v>5032</v>
      </c>
      <c r="H2767">
        <v>10</v>
      </c>
      <c r="I2767">
        <v>3.47</v>
      </c>
      <c r="J2767">
        <v>12</v>
      </c>
      <c r="K2767">
        <v>5504.85</v>
      </c>
      <c r="L2767">
        <v>7.4</v>
      </c>
    </row>
    <row r="2768" spans="1:12" x14ac:dyDescent="0.3">
      <c r="A2768" t="s">
        <v>2783</v>
      </c>
      <c r="B2768" t="s">
        <v>24</v>
      </c>
      <c r="C2768" t="s">
        <v>11</v>
      </c>
      <c r="D2768">
        <v>28</v>
      </c>
      <c r="E2768" s="1">
        <v>40224</v>
      </c>
      <c r="F2768">
        <v>2010</v>
      </c>
      <c r="G2768" t="s">
        <v>5042</v>
      </c>
      <c r="H2768">
        <v>15</v>
      </c>
      <c r="I2768">
        <v>2.35</v>
      </c>
      <c r="J2768">
        <v>3</v>
      </c>
      <c r="K2768">
        <v>3711.85</v>
      </c>
      <c r="L2768">
        <v>15.7</v>
      </c>
    </row>
    <row r="2769" spans="1:12" x14ac:dyDescent="0.3">
      <c r="A2769" t="s">
        <v>2784</v>
      </c>
      <c r="B2769" t="s">
        <v>18</v>
      </c>
      <c r="C2769" t="s">
        <v>11</v>
      </c>
      <c r="D2769">
        <v>38</v>
      </c>
      <c r="E2769" s="1">
        <v>42103</v>
      </c>
      <c r="F2769">
        <v>2015</v>
      </c>
      <c r="G2769" t="s">
        <v>5040</v>
      </c>
      <c r="H2769">
        <v>9</v>
      </c>
      <c r="I2769">
        <v>1.67</v>
      </c>
      <c r="J2769">
        <v>6</v>
      </c>
      <c r="K2769">
        <v>14135.95</v>
      </c>
      <c r="L2769">
        <v>10.6</v>
      </c>
    </row>
    <row r="2770" spans="1:12" x14ac:dyDescent="0.3">
      <c r="A2770" t="s">
        <v>2785</v>
      </c>
      <c r="B2770" t="s">
        <v>18</v>
      </c>
      <c r="C2770" t="s">
        <v>11</v>
      </c>
      <c r="D2770">
        <v>22</v>
      </c>
      <c r="E2770" s="1">
        <v>45896</v>
      </c>
      <c r="F2770">
        <v>2025</v>
      </c>
      <c r="G2770" t="s">
        <v>5031</v>
      </c>
      <c r="H2770">
        <v>27</v>
      </c>
      <c r="I2770">
        <v>2.85</v>
      </c>
      <c r="J2770">
        <v>10</v>
      </c>
      <c r="K2770">
        <v>8009.73</v>
      </c>
      <c r="L2770">
        <v>0.2</v>
      </c>
    </row>
    <row r="2771" spans="1:12" x14ac:dyDescent="0.3">
      <c r="A2771" t="s">
        <v>2786</v>
      </c>
      <c r="B2771" t="s">
        <v>18</v>
      </c>
      <c r="C2771" t="s">
        <v>14</v>
      </c>
      <c r="D2771">
        <v>55</v>
      </c>
      <c r="E2771" s="1">
        <v>45465</v>
      </c>
      <c r="F2771">
        <v>2024</v>
      </c>
      <c r="G2771" t="s">
        <v>5032</v>
      </c>
      <c r="H2771">
        <v>22</v>
      </c>
      <c r="I2771">
        <v>4.57</v>
      </c>
      <c r="J2771">
        <v>5</v>
      </c>
      <c r="K2771">
        <v>12487.98</v>
      </c>
      <c r="L2771">
        <v>1.4</v>
      </c>
    </row>
    <row r="2772" spans="1:12" x14ac:dyDescent="0.3">
      <c r="A2772" t="s">
        <v>2787</v>
      </c>
      <c r="B2772" t="s">
        <v>18</v>
      </c>
      <c r="C2772" t="s">
        <v>14</v>
      </c>
      <c r="D2772">
        <v>44</v>
      </c>
      <c r="E2772" s="1">
        <v>45045</v>
      </c>
      <c r="F2772">
        <v>2023</v>
      </c>
      <c r="G2772" t="s">
        <v>5040</v>
      </c>
      <c r="H2772">
        <v>29</v>
      </c>
      <c r="I2772">
        <v>2.31</v>
      </c>
      <c r="J2772">
        <v>7</v>
      </c>
      <c r="K2772">
        <v>10548.21</v>
      </c>
      <c r="L2772">
        <v>2.5</v>
      </c>
    </row>
    <row r="2773" spans="1:12" x14ac:dyDescent="0.3">
      <c r="A2773" t="s">
        <v>2788</v>
      </c>
      <c r="B2773" t="s">
        <v>16</v>
      </c>
      <c r="C2773" t="s">
        <v>11</v>
      </c>
      <c r="D2773">
        <v>34</v>
      </c>
      <c r="E2773" s="1">
        <v>42667</v>
      </c>
      <c r="F2773">
        <v>2016</v>
      </c>
      <c r="G2773" t="s">
        <v>5039</v>
      </c>
      <c r="H2773">
        <v>24</v>
      </c>
      <c r="I2773">
        <v>3.6</v>
      </c>
      <c r="J2773">
        <v>0</v>
      </c>
      <c r="K2773">
        <v>6166.74</v>
      </c>
      <c r="L2773">
        <v>9</v>
      </c>
    </row>
    <row r="2774" spans="1:12" x14ac:dyDescent="0.3">
      <c r="A2774" t="s">
        <v>2789</v>
      </c>
      <c r="B2774" t="s">
        <v>10</v>
      </c>
      <c r="C2774" t="s">
        <v>14</v>
      </c>
      <c r="D2774">
        <v>47</v>
      </c>
      <c r="E2774" s="1">
        <v>45580</v>
      </c>
      <c r="F2774">
        <v>2024</v>
      </c>
      <c r="G2774" t="s">
        <v>5039</v>
      </c>
      <c r="H2774">
        <v>15</v>
      </c>
      <c r="I2774">
        <v>4.57</v>
      </c>
      <c r="J2774">
        <v>7</v>
      </c>
      <c r="K2774">
        <v>7078.39</v>
      </c>
      <c r="L2774">
        <v>1</v>
      </c>
    </row>
    <row r="2775" spans="1:12" x14ac:dyDescent="0.3">
      <c r="A2775" t="s">
        <v>2790</v>
      </c>
      <c r="B2775" t="s">
        <v>16</v>
      </c>
      <c r="C2775" t="s">
        <v>11</v>
      </c>
      <c r="D2775">
        <v>25</v>
      </c>
      <c r="E2775" s="1">
        <v>42066</v>
      </c>
      <c r="F2775">
        <v>2015</v>
      </c>
      <c r="G2775" t="s">
        <v>5035</v>
      </c>
      <c r="H2775">
        <v>3</v>
      </c>
      <c r="I2775">
        <v>1.8</v>
      </c>
      <c r="J2775">
        <v>12</v>
      </c>
      <c r="K2775">
        <v>3671.96</v>
      </c>
      <c r="L2775">
        <v>10.7</v>
      </c>
    </row>
    <row r="2776" spans="1:12" x14ac:dyDescent="0.3">
      <c r="A2776" t="s">
        <v>2791</v>
      </c>
      <c r="B2776" t="s">
        <v>13</v>
      </c>
      <c r="C2776" t="s">
        <v>14</v>
      </c>
      <c r="D2776">
        <v>57</v>
      </c>
      <c r="E2776" s="1">
        <v>43103</v>
      </c>
      <c r="F2776">
        <v>2018</v>
      </c>
      <c r="G2776" t="s">
        <v>5037</v>
      </c>
      <c r="H2776">
        <v>3</v>
      </c>
      <c r="I2776">
        <v>1.67</v>
      </c>
      <c r="J2776">
        <v>4</v>
      </c>
      <c r="K2776">
        <v>12919.21</v>
      </c>
      <c r="L2776">
        <v>7.8</v>
      </c>
    </row>
    <row r="2777" spans="1:12" x14ac:dyDescent="0.3">
      <c r="A2777" t="s">
        <v>2792</v>
      </c>
      <c r="B2777" t="s">
        <v>13</v>
      </c>
      <c r="C2777" t="s">
        <v>14</v>
      </c>
      <c r="D2777">
        <v>31</v>
      </c>
      <c r="E2777" s="1">
        <v>40568</v>
      </c>
      <c r="F2777">
        <v>2011</v>
      </c>
      <c r="G2777" t="s">
        <v>5037</v>
      </c>
      <c r="H2777">
        <v>25</v>
      </c>
      <c r="I2777">
        <v>3.8</v>
      </c>
      <c r="J2777">
        <v>2</v>
      </c>
      <c r="K2777">
        <v>5267.86</v>
      </c>
      <c r="L2777">
        <v>14.8</v>
      </c>
    </row>
    <row r="2778" spans="1:12" x14ac:dyDescent="0.3">
      <c r="A2778" t="s">
        <v>2793</v>
      </c>
      <c r="B2778" t="s">
        <v>16</v>
      </c>
      <c r="C2778" t="s">
        <v>11</v>
      </c>
      <c r="D2778">
        <v>25</v>
      </c>
      <c r="E2778" s="1">
        <v>41766</v>
      </c>
      <c r="F2778">
        <v>2014</v>
      </c>
      <c r="G2778" t="s">
        <v>5036</v>
      </c>
      <c r="H2778">
        <v>7</v>
      </c>
      <c r="I2778">
        <v>3.05</v>
      </c>
      <c r="J2778">
        <v>11</v>
      </c>
      <c r="K2778">
        <v>14857.65</v>
      </c>
      <c r="L2778">
        <v>11.5</v>
      </c>
    </row>
    <row r="2779" spans="1:12" x14ac:dyDescent="0.3">
      <c r="A2779" t="s">
        <v>2794</v>
      </c>
      <c r="B2779" t="s">
        <v>13</v>
      </c>
      <c r="C2779" t="s">
        <v>11</v>
      </c>
      <c r="D2779">
        <v>56</v>
      </c>
      <c r="E2779" s="1">
        <v>42709</v>
      </c>
      <c r="F2779">
        <v>2016</v>
      </c>
      <c r="G2779" t="s">
        <v>5041</v>
      </c>
      <c r="H2779">
        <v>5</v>
      </c>
      <c r="I2779">
        <v>2.99</v>
      </c>
      <c r="J2779">
        <v>5</v>
      </c>
      <c r="K2779">
        <v>14414.83</v>
      </c>
      <c r="L2779">
        <v>8.9</v>
      </c>
    </row>
    <row r="2780" spans="1:12" x14ac:dyDescent="0.3">
      <c r="A2780" t="s">
        <v>2795</v>
      </c>
      <c r="B2780" t="s">
        <v>18</v>
      </c>
      <c r="C2780" t="s">
        <v>11</v>
      </c>
      <c r="D2780">
        <v>32</v>
      </c>
      <c r="E2780" s="1">
        <v>41601</v>
      </c>
      <c r="F2780">
        <v>2013</v>
      </c>
      <c r="G2780" t="s">
        <v>5038</v>
      </c>
      <c r="H2780">
        <v>23</v>
      </c>
      <c r="I2780">
        <v>1.9</v>
      </c>
      <c r="J2780">
        <v>12</v>
      </c>
      <c r="K2780">
        <v>14348.47</v>
      </c>
      <c r="L2780">
        <v>11.9</v>
      </c>
    </row>
    <row r="2781" spans="1:12" x14ac:dyDescent="0.3">
      <c r="A2781" t="s">
        <v>2796</v>
      </c>
      <c r="B2781" t="s">
        <v>13</v>
      </c>
      <c r="C2781" t="s">
        <v>14</v>
      </c>
      <c r="D2781">
        <v>24</v>
      </c>
      <c r="E2781" s="1">
        <v>41355</v>
      </c>
      <c r="F2781">
        <v>2013</v>
      </c>
      <c r="G2781" t="s">
        <v>5035</v>
      </c>
      <c r="H2781">
        <v>22</v>
      </c>
      <c r="I2781">
        <v>3.86</v>
      </c>
      <c r="J2781">
        <v>4</v>
      </c>
      <c r="K2781">
        <v>14616.24</v>
      </c>
      <c r="L2781">
        <v>12.6</v>
      </c>
    </row>
    <row r="2782" spans="1:12" x14ac:dyDescent="0.3">
      <c r="A2782" t="s">
        <v>2797</v>
      </c>
      <c r="B2782" t="s">
        <v>34</v>
      </c>
      <c r="C2782" t="s">
        <v>11</v>
      </c>
      <c r="D2782">
        <v>49</v>
      </c>
      <c r="E2782" s="1">
        <v>41137</v>
      </c>
      <c r="F2782">
        <v>2012</v>
      </c>
      <c r="G2782" t="s">
        <v>5031</v>
      </c>
      <c r="H2782">
        <v>16</v>
      </c>
      <c r="I2782">
        <v>3.35</v>
      </c>
      <c r="J2782">
        <v>4</v>
      </c>
      <c r="K2782">
        <v>13586.77</v>
      </c>
      <c r="L2782">
        <v>13.2</v>
      </c>
    </row>
    <row r="2783" spans="1:12" x14ac:dyDescent="0.3">
      <c r="A2783" t="s">
        <v>2798</v>
      </c>
      <c r="B2783" t="s">
        <v>13</v>
      </c>
      <c r="C2783" t="s">
        <v>11</v>
      </c>
      <c r="D2783">
        <v>58</v>
      </c>
      <c r="E2783" s="1">
        <v>41397</v>
      </c>
      <c r="F2783">
        <v>2013</v>
      </c>
      <c r="G2783" t="s">
        <v>5036</v>
      </c>
      <c r="H2783">
        <v>3</v>
      </c>
      <c r="I2783">
        <v>1.67</v>
      </c>
      <c r="J2783">
        <v>12</v>
      </c>
      <c r="K2783">
        <v>10634.42</v>
      </c>
      <c r="L2783">
        <v>12.5</v>
      </c>
    </row>
    <row r="2784" spans="1:12" x14ac:dyDescent="0.3">
      <c r="A2784" t="s">
        <v>2799</v>
      </c>
      <c r="B2784" t="s">
        <v>18</v>
      </c>
      <c r="C2784" t="s">
        <v>11</v>
      </c>
      <c r="D2784">
        <v>36</v>
      </c>
      <c r="E2784" s="1">
        <v>43579</v>
      </c>
      <c r="F2784">
        <v>2019</v>
      </c>
      <c r="G2784" t="s">
        <v>5040</v>
      </c>
      <c r="H2784">
        <v>24</v>
      </c>
      <c r="I2784">
        <v>2.52</v>
      </c>
      <c r="J2784">
        <v>12</v>
      </c>
      <c r="K2784">
        <v>10431.07</v>
      </c>
      <c r="L2784">
        <v>6.5</v>
      </c>
    </row>
    <row r="2785" spans="1:12" x14ac:dyDescent="0.3">
      <c r="A2785" t="s">
        <v>2800</v>
      </c>
      <c r="B2785" t="s">
        <v>18</v>
      </c>
      <c r="C2785" t="s">
        <v>14</v>
      </c>
      <c r="D2785">
        <v>58</v>
      </c>
      <c r="E2785" s="1">
        <v>42054</v>
      </c>
      <c r="F2785">
        <v>2015</v>
      </c>
      <c r="G2785" t="s">
        <v>5042</v>
      </c>
      <c r="H2785">
        <v>19</v>
      </c>
      <c r="I2785">
        <v>4.0999999999999996</v>
      </c>
      <c r="J2785">
        <v>7</v>
      </c>
      <c r="K2785">
        <v>3855.34</v>
      </c>
      <c r="L2785">
        <v>10.7</v>
      </c>
    </row>
    <row r="2786" spans="1:12" x14ac:dyDescent="0.3">
      <c r="A2786" t="s">
        <v>2801</v>
      </c>
      <c r="B2786" t="s">
        <v>24</v>
      </c>
      <c r="C2786" t="s">
        <v>14</v>
      </c>
      <c r="D2786">
        <v>54</v>
      </c>
      <c r="E2786" s="1">
        <v>44752</v>
      </c>
      <c r="F2786">
        <v>2022</v>
      </c>
      <c r="G2786" t="s">
        <v>5034</v>
      </c>
      <c r="H2786">
        <v>10</v>
      </c>
      <c r="I2786">
        <v>3.57</v>
      </c>
      <c r="J2786">
        <v>10</v>
      </c>
      <c r="K2786">
        <v>9891.4599999999991</v>
      </c>
      <c r="L2786">
        <v>3.3</v>
      </c>
    </row>
    <row r="2787" spans="1:12" x14ac:dyDescent="0.3">
      <c r="A2787" t="s">
        <v>2802</v>
      </c>
      <c r="B2787" t="s">
        <v>13</v>
      </c>
      <c r="C2787" t="s">
        <v>14</v>
      </c>
      <c r="D2787">
        <v>28</v>
      </c>
      <c r="E2787" s="1">
        <v>44465</v>
      </c>
      <c r="F2787">
        <v>2021</v>
      </c>
      <c r="G2787" t="s">
        <v>5033</v>
      </c>
      <c r="H2787">
        <v>26</v>
      </c>
      <c r="I2787">
        <v>2.0699999999999998</v>
      </c>
      <c r="J2787">
        <v>7</v>
      </c>
      <c r="K2787">
        <v>12584.82</v>
      </c>
      <c r="L2787">
        <v>4.0999999999999996</v>
      </c>
    </row>
    <row r="2788" spans="1:12" x14ac:dyDescent="0.3">
      <c r="A2788" t="s">
        <v>2803</v>
      </c>
      <c r="B2788" t="s">
        <v>34</v>
      </c>
      <c r="C2788" t="s">
        <v>14</v>
      </c>
      <c r="D2788">
        <v>28</v>
      </c>
      <c r="E2788" s="1">
        <v>43099</v>
      </c>
      <c r="F2788">
        <v>2017</v>
      </c>
      <c r="G2788" t="s">
        <v>5041</v>
      </c>
      <c r="H2788">
        <v>30</v>
      </c>
      <c r="I2788">
        <v>4.01</v>
      </c>
      <c r="J2788">
        <v>13</v>
      </c>
      <c r="K2788">
        <v>10917.62</v>
      </c>
      <c r="L2788">
        <v>7.8</v>
      </c>
    </row>
    <row r="2789" spans="1:12" x14ac:dyDescent="0.3">
      <c r="A2789" t="s">
        <v>2804</v>
      </c>
      <c r="B2789" t="s">
        <v>34</v>
      </c>
      <c r="C2789" t="s">
        <v>14</v>
      </c>
      <c r="D2789">
        <v>39</v>
      </c>
      <c r="E2789" s="1">
        <v>42577</v>
      </c>
      <c r="F2789">
        <v>2016</v>
      </c>
      <c r="G2789" t="s">
        <v>5034</v>
      </c>
      <c r="H2789">
        <v>26</v>
      </c>
      <c r="I2789">
        <v>3.42</v>
      </c>
      <c r="J2789">
        <v>4</v>
      </c>
      <c r="K2789">
        <v>12409.71</v>
      </c>
      <c r="L2789">
        <v>9.3000000000000007</v>
      </c>
    </row>
    <row r="2790" spans="1:12" x14ac:dyDescent="0.3">
      <c r="A2790" t="s">
        <v>2805</v>
      </c>
      <c r="B2790" t="s">
        <v>10</v>
      </c>
      <c r="C2790" t="s">
        <v>11</v>
      </c>
      <c r="D2790">
        <v>22</v>
      </c>
      <c r="E2790" s="1">
        <v>41138</v>
      </c>
      <c r="F2790">
        <v>2012</v>
      </c>
      <c r="G2790" t="s">
        <v>5031</v>
      </c>
      <c r="H2790">
        <v>17</v>
      </c>
      <c r="I2790">
        <v>2.84</v>
      </c>
      <c r="J2790">
        <v>11</v>
      </c>
      <c r="K2790">
        <v>13251.15</v>
      </c>
      <c r="L2790">
        <v>13.2</v>
      </c>
    </row>
    <row r="2791" spans="1:12" x14ac:dyDescent="0.3">
      <c r="A2791" t="s">
        <v>2806</v>
      </c>
      <c r="B2791" t="s">
        <v>10</v>
      </c>
      <c r="C2791" t="s">
        <v>14</v>
      </c>
      <c r="D2791">
        <v>43</v>
      </c>
      <c r="E2791" s="1">
        <v>42698</v>
      </c>
      <c r="F2791">
        <v>2016</v>
      </c>
      <c r="G2791" t="s">
        <v>5038</v>
      </c>
      <c r="H2791">
        <v>24</v>
      </c>
      <c r="I2791">
        <v>2.7</v>
      </c>
      <c r="J2791">
        <v>1</v>
      </c>
      <c r="K2791">
        <v>12342.9</v>
      </c>
      <c r="L2791">
        <v>8.9</v>
      </c>
    </row>
    <row r="2792" spans="1:12" x14ac:dyDescent="0.3">
      <c r="A2792" t="s">
        <v>2807</v>
      </c>
      <c r="B2792" t="s">
        <v>16</v>
      </c>
      <c r="C2792" t="s">
        <v>11</v>
      </c>
      <c r="D2792">
        <v>45</v>
      </c>
      <c r="E2792" s="1">
        <v>43177</v>
      </c>
      <c r="F2792">
        <v>2018</v>
      </c>
      <c r="G2792" t="s">
        <v>5035</v>
      </c>
      <c r="H2792">
        <v>18</v>
      </c>
      <c r="I2792">
        <v>2.9</v>
      </c>
      <c r="J2792">
        <v>15</v>
      </c>
      <c r="K2792">
        <v>10692.84</v>
      </c>
      <c r="L2792">
        <v>7.6</v>
      </c>
    </row>
    <row r="2793" spans="1:12" x14ac:dyDescent="0.3">
      <c r="A2793" t="s">
        <v>2808</v>
      </c>
      <c r="B2793" t="s">
        <v>34</v>
      </c>
      <c r="C2793" t="s">
        <v>11</v>
      </c>
      <c r="D2793">
        <v>38</v>
      </c>
      <c r="E2793" s="1">
        <v>42335</v>
      </c>
      <c r="F2793">
        <v>2015</v>
      </c>
      <c r="G2793" t="s">
        <v>5038</v>
      </c>
      <c r="H2793">
        <v>27</v>
      </c>
      <c r="I2793">
        <v>2.85</v>
      </c>
      <c r="J2793">
        <v>14</v>
      </c>
      <c r="K2793">
        <v>13964.47</v>
      </c>
      <c r="L2793">
        <v>9.9</v>
      </c>
    </row>
    <row r="2794" spans="1:12" x14ac:dyDescent="0.3">
      <c r="A2794" t="s">
        <v>2809</v>
      </c>
      <c r="B2794" t="s">
        <v>16</v>
      </c>
      <c r="C2794" t="s">
        <v>11</v>
      </c>
      <c r="D2794">
        <v>37</v>
      </c>
      <c r="E2794" s="1">
        <v>41126</v>
      </c>
      <c r="F2794">
        <v>2012</v>
      </c>
      <c r="G2794" t="s">
        <v>5031</v>
      </c>
      <c r="H2794">
        <v>5</v>
      </c>
      <c r="I2794">
        <v>2.35</v>
      </c>
      <c r="J2794">
        <v>12</v>
      </c>
      <c r="K2794">
        <v>5241.0600000000004</v>
      </c>
      <c r="L2794">
        <v>13.2</v>
      </c>
    </row>
    <row r="2795" spans="1:12" x14ac:dyDescent="0.3">
      <c r="A2795" t="s">
        <v>2810</v>
      </c>
      <c r="B2795" t="s">
        <v>34</v>
      </c>
      <c r="C2795" t="s">
        <v>14</v>
      </c>
      <c r="D2795">
        <v>59</v>
      </c>
      <c r="E2795" s="1">
        <v>42159</v>
      </c>
      <c r="F2795">
        <v>2015</v>
      </c>
      <c r="G2795" t="s">
        <v>5032</v>
      </c>
      <c r="H2795">
        <v>4</v>
      </c>
      <c r="I2795">
        <v>3.61</v>
      </c>
      <c r="J2795">
        <v>15</v>
      </c>
      <c r="K2795">
        <v>3906.29</v>
      </c>
      <c r="L2795">
        <v>10.4</v>
      </c>
    </row>
    <row r="2796" spans="1:12" x14ac:dyDescent="0.3">
      <c r="A2796" t="s">
        <v>2811</v>
      </c>
      <c r="B2796" t="s">
        <v>10</v>
      </c>
      <c r="C2796" t="s">
        <v>11</v>
      </c>
      <c r="D2796">
        <v>58</v>
      </c>
      <c r="E2796" s="1">
        <v>42536</v>
      </c>
      <c r="F2796">
        <v>2016</v>
      </c>
      <c r="G2796" t="s">
        <v>5032</v>
      </c>
      <c r="H2796">
        <v>15</v>
      </c>
      <c r="I2796">
        <v>4</v>
      </c>
      <c r="J2796">
        <v>3</v>
      </c>
      <c r="K2796">
        <v>11757.32</v>
      </c>
      <c r="L2796">
        <v>9.4</v>
      </c>
    </row>
    <row r="2797" spans="1:12" x14ac:dyDescent="0.3">
      <c r="A2797" t="s">
        <v>2812</v>
      </c>
      <c r="B2797" t="s">
        <v>16</v>
      </c>
      <c r="C2797" t="s">
        <v>14</v>
      </c>
      <c r="D2797">
        <v>40</v>
      </c>
      <c r="E2797" s="1">
        <v>45012</v>
      </c>
      <c r="F2797">
        <v>2023</v>
      </c>
      <c r="G2797" t="s">
        <v>5035</v>
      </c>
      <c r="H2797">
        <v>27</v>
      </c>
      <c r="I2797">
        <v>1.58</v>
      </c>
      <c r="J2797">
        <v>4</v>
      </c>
      <c r="K2797">
        <v>11878.05</v>
      </c>
      <c r="L2797">
        <v>2.6</v>
      </c>
    </row>
    <row r="2798" spans="1:12" x14ac:dyDescent="0.3">
      <c r="A2798" t="s">
        <v>2813</v>
      </c>
      <c r="B2798" t="s">
        <v>18</v>
      </c>
      <c r="C2798" t="s">
        <v>14</v>
      </c>
      <c r="D2798">
        <v>33</v>
      </c>
      <c r="E2798" s="1">
        <v>40195</v>
      </c>
      <c r="F2798">
        <v>2010</v>
      </c>
      <c r="G2798" t="s">
        <v>5037</v>
      </c>
      <c r="H2798">
        <v>17</v>
      </c>
      <c r="I2798">
        <v>4.12</v>
      </c>
      <c r="J2798">
        <v>4</v>
      </c>
      <c r="K2798">
        <v>3620.22</v>
      </c>
      <c r="L2798">
        <v>15.8</v>
      </c>
    </row>
    <row r="2799" spans="1:12" x14ac:dyDescent="0.3">
      <c r="A2799" t="s">
        <v>2814</v>
      </c>
      <c r="B2799" t="s">
        <v>10</v>
      </c>
      <c r="C2799" t="s">
        <v>14</v>
      </c>
      <c r="D2799">
        <v>40</v>
      </c>
      <c r="E2799" s="1">
        <v>42883</v>
      </c>
      <c r="F2799">
        <v>2017</v>
      </c>
      <c r="G2799" t="s">
        <v>5036</v>
      </c>
      <c r="H2799">
        <v>28</v>
      </c>
      <c r="I2799">
        <v>2.6</v>
      </c>
      <c r="J2799">
        <v>10</v>
      </c>
      <c r="K2799">
        <v>8245.27</v>
      </c>
      <c r="L2799">
        <v>8.4</v>
      </c>
    </row>
    <row r="2800" spans="1:12" x14ac:dyDescent="0.3">
      <c r="A2800" t="s">
        <v>2815</v>
      </c>
      <c r="B2800" t="s">
        <v>24</v>
      </c>
      <c r="C2800" t="s">
        <v>14</v>
      </c>
      <c r="D2800">
        <v>48</v>
      </c>
      <c r="E2800" s="1">
        <v>44283</v>
      </c>
      <c r="F2800">
        <v>2021</v>
      </c>
      <c r="G2800" t="s">
        <v>5035</v>
      </c>
      <c r="H2800">
        <v>28</v>
      </c>
      <c r="I2800">
        <v>2.4300000000000002</v>
      </c>
      <c r="J2800">
        <v>3</v>
      </c>
      <c r="K2800">
        <v>3298.73</v>
      </c>
      <c r="L2800">
        <v>4.5999999999999996</v>
      </c>
    </row>
    <row r="2801" spans="1:12" x14ac:dyDescent="0.3">
      <c r="A2801" t="s">
        <v>2816</v>
      </c>
      <c r="B2801" t="s">
        <v>10</v>
      </c>
      <c r="C2801" t="s">
        <v>14</v>
      </c>
      <c r="D2801">
        <v>53</v>
      </c>
      <c r="E2801" s="1">
        <v>41627</v>
      </c>
      <c r="F2801">
        <v>2013</v>
      </c>
      <c r="G2801" t="s">
        <v>5041</v>
      </c>
      <c r="H2801">
        <v>19</v>
      </c>
      <c r="I2801">
        <v>1.55</v>
      </c>
      <c r="J2801">
        <v>15</v>
      </c>
      <c r="K2801">
        <v>13167.13</v>
      </c>
      <c r="L2801">
        <v>11.9</v>
      </c>
    </row>
    <row r="2802" spans="1:12" x14ac:dyDescent="0.3">
      <c r="A2802" t="s">
        <v>2817</v>
      </c>
      <c r="B2802" t="s">
        <v>13</v>
      </c>
      <c r="C2802" t="s">
        <v>14</v>
      </c>
      <c r="D2802">
        <v>52</v>
      </c>
      <c r="E2802" s="1">
        <v>40401</v>
      </c>
      <c r="F2802">
        <v>2010</v>
      </c>
      <c r="G2802" t="s">
        <v>5031</v>
      </c>
      <c r="H2802">
        <v>11</v>
      </c>
      <c r="I2802">
        <v>4.8</v>
      </c>
      <c r="J2802">
        <v>0</v>
      </c>
      <c r="K2802">
        <v>8591.5300000000007</v>
      </c>
      <c r="L2802">
        <v>15.2</v>
      </c>
    </row>
    <row r="2803" spans="1:12" x14ac:dyDescent="0.3">
      <c r="A2803" t="s">
        <v>2818</v>
      </c>
      <c r="B2803" t="s">
        <v>34</v>
      </c>
      <c r="C2803" t="s">
        <v>14</v>
      </c>
      <c r="D2803">
        <v>38</v>
      </c>
      <c r="E2803" s="1">
        <v>44767</v>
      </c>
      <c r="F2803">
        <v>2022</v>
      </c>
      <c r="G2803" t="s">
        <v>5034</v>
      </c>
      <c r="H2803">
        <v>25</v>
      </c>
      <c r="I2803">
        <v>4.0199999999999996</v>
      </c>
      <c r="J2803">
        <v>9</v>
      </c>
      <c r="K2803">
        <v>12002.62</v>
      </c>
      <c r="L2803">
        <v>3.3</v>
      </c>
    </row>
    <row r="2804" spans="1:12" x14ac:dyDescent="0.3">
      <c r="A2804" t="s">
        <v>2819</v>
      </c>
      <c r="B2804" t="s">
        <v>13</v>
      </c>
      <c r="C2804" t="s">
        <v>11</v>
      </c>
      <c r="D2804">
        <v>43</v>
      </c>
      <c r="E2804" s="1">
        <v>45772</v>
      </c>
      <c r="F2804">
        <v>2025</v>
      </c>
      <c r="G2804" t="s">
        <v>5040</v>
      </c>
      <c r="H2804">
        <v>25</v>
      </c>
      <c r="I2804">
        <v>3.18</v>
      </c>
      <c r="J2804">
        <v>12</v>
      </c>
      <c r="K2804">
        <v>13991.55</v>
      </c>
      <c r="L2804">
        <v>0.5</v>
      </c>
    </row>
    <row r="2805" spans="1:12" x14ac:dyDescent="0.3">
      <c r="A2805" t="s">
        <v>2820</v>
      </c>
      <c r="B2805" t="s">
        <v>13</v>
      </c>
      <c r="C2805" t="s">
        <v>14</v>
      </c>
      <c r="D2805">
        <v>39</v>
      </c>
      <c r="E2805" s="1">
        <v>42744</v>
      </c>
      <c r="F2805">
        <v>2017</v>
      </c>
      <c r="G2805" t="s">
        <v>5037</v>
      </c>
      <c r="H2805">
        <v>9</v>
      </c>
      <c r="I2805">
        <v>4.2</v>
      </c>
      <c r="J2805">
        <v>3</v>
      </c>
      <c r="K2805">
        <v>6889.48</v>
      </c>
      <c r="L2805">
        <v>8.8000000000000007</v>
      </c>
    </row>
    <row r="2806" spans="1:12" x14ac:dyDescent="0.3">
      <c r="A2806" t="s">
        <v>2821</v>
      </c>
      <c r="B2806" t="s">
        <v>34</v>
      </c>
      <c r="C2806" t="s">
        <v>14</v>
      </c>
      <c r="D2806">
        <v>40</v>
      </c>
      <c r="E2806" s="1">
        <v>44540</v>
      </c>
      <c r="F2806">
        <v>2021</v>
      </c>
      <c r="G2806" t="s">
        <v>5041</v>
      </c>
      <c r="H2806">
        <v>10</v>
      </c>
      <c r="I2806">
        <v>3.37</v>
      </c>
      <c r="J2806">
        <v>8</v>
      </c>
      <c r="K2806">
        <v>10077.450000000001</v>
      </c>
      <c r="L2806">
        <v>3.9</v>
      </c>
    </row>
    <row r="2807" spans="1:12" x14ac:dyDescent="0.3">
      <c r="A2807" t="s">
        <v>2822</v>
      </c>
      <c r="B2807" t="s">
        <v>24</v>
      </c>
      <c r="C2807" t="s">
        <v>11</v>
      </c>
      <c r="D2807">
        <v>39</v>
      </c>
      <c r="E2807" s="1">
        <v>40535</v>
      </c>
      <c r="F2807">
        <v>2010</v>
      </c>
      <c r="G2807" t="s">
        <v>5041</v>
      </c>
      <c r="H2807">
        <v>23</v>
      </c>
      <c r="I2807">
        <v>4.7</v>
      </c>
      <c r="J2807">
        <v>10</v>
      </c>
      <c r="K2807">
        <v>7703.7</v>
      </c>
      <c r="L2807">
        <v>14.9</v>
      </c>
    </row>
    <row r="2808" spans="1:12" x14ac:dyDescent="0.3">
      <c r="A2808" t="s">
        <v>2823</v>
      </c>
      <c r="B2808" t="s">
        <v>16</v>
      </c>
      <c r="C2808" t="s">
        <v>11</v>
      </c>
      <c r="D2808">
        <v>54</v>
      </c>
      <c r="E2808" s="1">
        <v>44194</v>
      </c>
      <c r="F2808">
        <v>2020</v>
      </c>
      <c r="G2808" t="s">
        <v>5041</v>
      </c>
      <c r="H2808">
        <v>29</v>
      </c>
      <c r="I2808">
        <v>3.18</v>
      </c>
      <c r="J2808">
        <v>2</v>
      </c>
      <c r="K2808">
        <v>7082.33</v>
      </c>
      <c r="L2808">
        <v>4.8</v>
      </c>
    </row>
    <row r="2809" spans="1:12" x14ac:dyDescent="0.3">
      <c r="A2809" t="s">
        <v>2824</v>
      </c>
      <c r="B2809" t="s">
        <v>13</v>
      </c>
      <c r="C2809" t="s">
        <v>11</v>
      </c>
      <c r="D2809">
        <v>32</v>
      </c>
      <c r="E2809" s="1">
        <v>40546</v>
      </c>
      <c r="F2809">
        <v>2011</v>
      </c>
      <c r="G2809" t="s">
        <v>5037</v>
      </c>
      <c r="H2809">
        <v>3</v>
      </c>
      <c r="I2809">
        <v>3.38</v>
      </c>
      <c r="J2809">
        <v>0</v>
      </c>
      <c r="K2809">
        <v>13435.63</v>
      </c>
      <c r="L2809">
        <v>14.8</v>
      </c>
    </row>
    <row r="2810" spans="1:12" x14ac:dyDescent="0.3">
      <c r="A2810" t="s">
        <v>2825</v>
      </c>
      <c r="B2810" t="s">
        <v>18</v>
      </c>
      <c r="C2810" t="s">
        <v>11</v>
      </c>
      <c r="D2810">
        <v>53</v>
      </c>
      <c r="E2810" s="1">
        <v>43994</v>
      </c>
      <c r="F2810">
        <v>2020</v>
      </c>
      <c r="G2810" t="s">
        <v>5032</v>
      </c>
      <c r="H2810">
        <v>12</v>
      </c>
      <c r="I2810">
        <v>2.76</v>
      </c>
      <c r="J2810">
        <v>13</v>
      </c>
      <c r="K2810">
        <v>8615.18</v>
      </c>
      <c r="L2810">
        <v>5.4</v>
      </c>
    </row>
    <row r="2811" spans="1:12" x14ac:dyDescent="0.3">
      <c r="A2811" t="s">
        <v>2826</v>
      </c>
      <c r="B2811" t="s">
        <v>24</v>
      </c>
      <c r="C2811" t="s">
        <v>11</v>
      </c>
      <c r="D2811">
        <v>34</v>
      </c>
      <c r="E2811" s="1">
        <v>43046</v>
      </c>
      <c r="F2811">
        <v>2017</v>
      </c>
      <c r="G2811" t="s">
        <v>5038</v>
      </c>
      <c r="H2811">
        <v>7</v>
      </c>
      <c r="I2811">
        <v>2.4</v>
      </c>
      <c r="J2811">
        <v>15</v>
      </c>
      <c r="K2811">
        <v>8039.36</v>
      </c>
      <c r="L2811">
        <v>8</v>
      </c>
    </row>
    <row r="2812" spans="1:12" x14ac:dyDescent="0.3">
      <c r="A2812" t="s">
        <v>2827</v>
      </c>
      <c r="B2812" t="s">
        <v>13</v>
      </c>
      <c r="C2812" t="s">
        <v>14</v>
      </c>
      <c r="D2812">
        <v>58</v>
      </c>
      <c r="E2812" s="1">
        <v>40464</v>
      </c>
      <c r="F2812">
        <v>2010</v>
      </c>
      <c r="G2812" t="s">
        <v>5039</v>
      </c>
      <c r="H2812">
        <v>13</v>
      </c>
      <c r="I2812">
        <v>4.0199999999999996</v>
      </c>
      <c r="J2812">
        <v>3</v>
      </c>
      <c r="K2812">
        <v>6387.95</v>
      </c>
      <c r="L2812">
        <v>15.1</v>
      </c>
    </row>
    <row r="2813" spans="1:12" x14ac:dyDescent="0.3">
      <c r="A2813" t="s">
        <v>2828</v>
      </c>
      <c r="B2813" t="s">
        <v>13</v>
      </c>
      <c r="C2813" t="s">
        <v>11</v>
      </c>
      <c r="D2813">
        <v>40</v>
      </c>
      <c r="E2813" s="1">
        <v>42126</v>
      </c>
      <c r="F2813">
        <v>2015</v>
      </c>
      <c r="G2813" t="s">
        <v>5036</v>
      </c>
      <c r="H2813">
        <v>2</v>
      </c>
      <c r="I2813">
        <v>4.25</v>
      </c>
      <c r="J2813">
        <v>12</v>
      </c>
      <c r="K2813">
        <v>11054.24</v>
      </c>
      <c r="L2813">
        <v>10.5</v>
      </c>
    </row>
    <row r="2814" spans="1:12" x14ac:dyDescent="0.3">
      <c r="A2814" t="s">
        <v>2829</v>
      </c>
      <c r="B2814" t="s">
        <v>24</v>
      </c>
      <c r="C2814" t="s">
        <v>14</v>
      </c>
      <c r="D2814">
        <v>35</v>
      </c>
      <c r="E2814" s="1">
        <v>42827</v>
      </c>
      <c r="F2814">
        <v>2017</v>
      </c>
      <c r="G2814" t="s">
        <v>5040</v>
      </c>
      <c r="H2814">
        <v>2</v>
      </c>
      <c r="I2814">
        <v>3.08</v>
      </c>
      <c r="J2814">
        <v>4</v>
      </c>
      <c r="K2814">
        <v>5761.3</v>
      </c>
      <c r="L2814">
        <v>8.6</v>
      </c>
    </row>
    <row r="2815" spans="1:12" x14ac:dyDescent="0.3">
      <c r="A2815" t="s">
        <v>2830</v>
      </c>
      <c r="B2815" t="s">
        <v>16</v>
      </c>
      <c r="C2815" t="s">
        <v>14</v>
      </c>
      <c r="D2815">
        <v>27</v>
      </c>
      <c r="E2815" s="1">
        <v>44984</v>
      </c>
      <c r="F2815">
        <v>2023</v>
      </c>
      <c r="G2815" t="s">
        <v>5042</v>
      </c>
      <c r="H2815">
        <v>27</v>
      </c>
      <c r="I2815">
        <v>3.25</v>
      </c>
      <c r="J2815">
        <v>10</v>
      </c>
      <c r="K2815">
        <v>8993.94</v>
      </c>
      <c r="L2815">
        <v>2.7</v>
      </c>
    </row>
    <row r="2816" spans="1:12" x14ac:dyDescent="0.3">
      <c r="A2816" t="s">
        <v>2831</v>
      </c>
      <c r="B2816" t="s">
        <v>10</v>
      </c>
      <c r="C2816" t="s">
        <v>11</v>
      </c>
      <c r="D2816">
        <v>31</v>
      </c>
      <c r="E2816" s="1">
        <v>43183</v>
      </c>
      <c r="F2816">
        <v>2018</v>
      </c>
      <c r="G2816" t="s">
        <v>5035</v>
      </c>
      <c r="H2816">
        <v>24</v>
      </c>
      <c r="I2816">
        <v>2.68</v>
      </c>
      <c r="J2816">
        <v>7</v>
      </c>
      <c r="K2816">
        <v>14891.48</v>
      </c>
      <c r="L2816">
        <v>7.6</v>
      </c>
    </row>
    <row r="2817" spans="1:12" x14ac:dyDescent="0.3">
      <c r="A2817" t="s">
        <v>2832</v>
      </c>
      <c r="B2817" t="s">
        <v>18</v>
      </c>
      <c r="C2817" t="s">
        <v>11</v>
      </c>
      <c r="D2817">
        <v>48</v>
      </c>
      <c r="E2817" s="1">
        <v>43372</v>
      </c>
      <c r="F2817">
        <v>2018</v>
      </c>
      <c r="G2817" t="s">
        <v>5033</v>
      </c>
      <c r="H2817">
        <v>29</v>
      </c>
      <c r="I2817">
        <v>1.95</v>
      </c>
      <c r="J2817">
        <v>2</v>
      </c>
      <c r="K2817">
        <v>9248.2199999999993</v>
      </c>
      <c r="L2817">
        <v>7.1</v>
      </c>
    </row>
    <row r="2818" spans="1:12" x14ac:dyDescent="0.3">
      <c r="A2818" t="s">
        <v>2833</v>
      </c>
      <c r="B2818" t="s">
        <v>16</v>
      </c>
      <c r="C2818" t="s">
        <v>14</v>
      </c>
      <c r="D2818">
        <v>57</v>
      </c>
      <c r="E2818" s="1">
        <v>44301</v>
      </c>
      <c r="F2818">
        <v>2021</v>
      </c>
      <c r="G2818" t="s">
        <v>5040</v>
      </c>
      <c r="H2818">
        <v>15</v>
      </c>
      <c r="I2818">
        <v>2.0299999999999998</v>
      </c>
      <c r="J2818">
        <v>0</v>
      </c>
      <c r="K2818">
        <v>12251.24</v>
      </c>
      <c r="L2818">
        <v>4.5999999999999996</v>
      </c>
    </row>
    <row r="2819" spans="1:12" x14ac:dyDescent="0.3">
      <c r="A2819" t="s">
        <v>2834</v>
      </c>
      <c r="B2819" t="s">
        <v>18</v>
      </c>
      <c r="C2819" t="s">
        <v>14</v>
      </c>
      <c r="D2819">
        <v>32</v>
      </c>
      <c r="E2819" s="1">
        <v>40776</v>
      </c>
      <c r="F2819">
        <v>2011</v>
      </c>
      <c r="G2819" t="s">
        <v>5031</v>
      </c>
      <c r="H2819">
        <v>21</v>
      </c>
      <c r="I2819">
        <v>2.69</v>
      </c>
      <c r="J2819">
        <v>2</v>
      </c>
      <c r="K2819">
        <v>6864.28</v>
      </c>
      <c r="L2819">
        <v>14.2</v>
      </c>
    </row>
    <row r="2820" spans="1:12" x14ac:dyDescent="0.3">
      <c r="A2820" t="s">
        <v>2835</v>
      </c>
      <c r="B2820" t="s">
        <v>16</v>
      </c>
      <c r="C2820" t="s">
        <v>14</v>
      </c>
      <c r="D2820">
        <v>45</v>
      </c>
      <c r="E2820" s="1">
        <v>42044</v>
      </c>
      <c r="F2820">
        <v>2015</v>
      </c>
      <c r="G2820" t="s">
        <v>5042</v>
      </c>
      <c r="H2820">
        <v>9</v>
      </c>
      <c r="I2820">
        <v>4.33</v>
      </c>
      <c r="J2820">
        <v>13</v>
      </c>
      <c r="K2820">
        <v>8647.36</v>
      </c>
      <c r="L2820">
        <v>10.7</v>
      </c>
    </row>
    <row r="2821" spans="1:12" x14ac:dyDescent="0.3">
      <c r="A2821" t="s">
        <v>2836</v>
      </c>
      <c r="B2821" t="s">
        <v>24</v>
      </c>
      <c r="C2821" t="s">
        <v>14</v>
      </c>
      <c r="D2821">
        <v>33</v>
      </c>
      <c r="E2821" s="1">
        <v>45807</v>
      </c>
      <c r="F2821">
        <v>2025</v>
      </c>
      <c r="G2821" t="s">
        <v>5036</v>
      </c>
      <c r="H2821">
        <v>30</v>
      </c>
      <c r="I2821">
        <v>2.27</v>
      </c>
      <c r="J2821">
        <v>4</v>
      </c>
      <c r="K2821">
        <v>13590.93</v>
      </c>
      <c r="L2821">
        <v>0.4</v>
      </c>
    </row>
    <row r="2822" spans="1:12" x14ac:dyDescent="0.3">
      <c r="A2822" t="s">
        <v>2837</v>
      </c>
      <c r="B2822" t="s">
        <v>18</v>
      </c>
      <c r="C2822" t="s">
        <v>14</v>
      </c>
      <c r="D2822">
        <v>54</v>
      </c>
      <c r="E2822" s="1">
        <v>44415</v>
      </c>
      <c r="F2822">
        <v>2021</v>
      </c>
      <c r="G2822" t="s">
        <v>5031</v>
      </c>
      <c r="H2822">
        <v>7</v>
      </c>
      <c r="I2822">
        <v>3.61</v>
      </c>
      <c r="J2822">
        <v>1</v>
      </c>
      <c r="K2822">
        <v>5964.08</v>
      </c>
      <c r="L2822">
        <v>4.2</v>
      </c>
    </row>
    <row r="2823" spans="1:12" x14ac:dyDescent="0.3">
      <c r="A2823" t="s">
        <v>2838</v>
      </c>
      <c r="B2823" t="s">
        <v>16</v>
      </c>
      <c r="C2823" t="s">
        <v>14</v>
      </c>
      <c r="D2823">
        <v>50</v>
      </c>
      <c r="E2823" s="1">
        <v>43989</v>
      </c>
      <c r="F2823">
        <v>2020</v>
      </c>
      <c r="G2823" t="s">
        <v>5032</v>
      </c>
      <c r="H2823">
        <v>7</v>
      </c>
      <c r="I2823">
        <v>4.2300000000000004</v>
      </c>
      <c r="J2823">
        <v>2</v>
      </c>
      <c r="K2823">
        <v>10198.86</v>
      </c>
      <c r="L2823">
        <v>5.4</v>
      </c>
    </row>
    <row r="2824" spans="1:12" x14ac:dyDescent="0.3">
      <c r="A2824" t="s">
        <v>2839</v>
      </c>
      <c r="B2824" t="s">
        <v>16</v>
      </c>
      <c r="C2824" t="s">
        <v>11</v>
      </c>
      <c r="D2824">
        <v>25</v>
      </c>
      <c r="E2824" s="1">
        <v>42706</v>
      </c>
      <c r="F2824">
        <v>2016</v>
      </c>
      <c r="G2824" t="s">
        <v>5041</v>
      </c>
      <c r="H2824">
        <v>2</v>
      </c>
      <c r="I2824">
        <v>2.86</v>
      </c>
      <c r="J2824">
        <v>7</v>
      </c>
      <c r="K2824">
        <v>10339.459999999999</v>
      </c>
      <c r="L2824">
        <v>8.9</v>
      </c>
    </row>
    <row r="2825" spans="1:12" x14ac:dyDescent="0.3">
      <c r="A2825" t="s">
        <v>2840</v>
      </c>
      <c r="B2825" t="s">
        <v>16</v>
      </c>
      <c r="C2825" t="s">
        <v>11</v>
      </c>
      <c r="D2825">
        <v>34</v>
      </c>
      <c r="E2825" s="1">
        <v>44644</v>
      </c>
      <c r="F2825">
        <v>2022</v>
      </c>
      <c r="G2825" t="s">
        <v>5035</v>
      </c>
      <c r="H2825">
        <v>24</v>
      </c>
      <c r="I2825">
        <v>1.52</v>
      </c>
      <c r="J2825">
        <v>10</v>
      </c>
      <c r="K2825">
        <v>8655</v>
      </c>
      <c r="L2825">
        <v>3.6</v>
      </c>
    </row>
    <row r="2826" spans="1:12" x14ac:dyDescent="0.3">
      <c r="A2826" t="s">
        <v>2841</v>
      </c>
      <c r="B2826" t="s">
        <v>16</v>
      </c>
      <c r="C2826" t="s">
        <v>14</v>
      </c>
      <c r="D2826">
        <v>59</v>
      </c>
      <c r="E2826" s="1">
        <v>45156</v>
      </c>
      <c r="F2826">
        <v>2023</v>
      </c>
      <c r="G2826" t="s">
        <v>5031</v>
      </c>
      <c r="H2826">
        <v>18</v>
      </c>
      <c r="I2826">
        <v>3.51</v>
      </c>
      <c r="J2826">
        <v>6</v>
      </c>
      <c r="K2826">
        <v>6187.66</v>
      </c>
      <c r="L2826">
        <v>2.2000000000000002</v>
      </c>
    </row>
    <row r="2827" spans="1:12" x14ac:dyDescent="0.3">
      <c r="A2827" t="s">
        <v>2842</v>
      </c>
      <c r="B2827" t="s">
        <v>18</v>
      </c>
      <c r="C2827" t="s">
        <v>14</v>
      </c>
      <c r="D2827">
        <v>57</v>
      </c>
      <c r="E2827" s="1">
        <v>43463</v>
      </c>
      <c r="F2827">
        <v>2018</v>
      </c>
      <c r="G2827" t="s">
        <v>5041</v>
      </c>
      <c r="H2827">
        <v>29</v>
      </c>
      <c r="I2827">
        <v>2.0099999999999998</v>
      </c>
      <c r="J2827">
        <v>4</v>
      </c>
      <c r="K2827">
        <v>13043.73</v>
      </c>
      <c r="L2827">
        <v>6.8</v>
      </c>
    </row>
    <row r="2828" spans="1:12" x14ac:dyDescent="0.3">
      <c r="A2828" t="s">
        <v>2843</v>
      </c>
      <c r="B2828" t="s">
        <v>24</v>
      </c>
      <c r="C2828" t="s">
        <v>14</v>
      </c>
      <c r="D2828">
        <v>39</v>
      </c>
      <c r="E2828" s="1">
        <v>42229</v>
      </c>
      <c r="F2828">
        <v>2015</v>
      </c>
      <c r="G2828" t="s">
        <v>5031</v>
      </c>
      <c r="H2828">
        <v>13</v>
      </c>
      <c r="I2828">
        <v>2.5499999999999998</v>
      </c>
      <c r="J2828">
        <v>9</v>
      </c>
      <c r="K2828">
        <v>8587.17</v>
      </c>
      <c r="L2828">
        <v>10.199999999999999</v>
      </c>
    </row>
    <row r="2829" spans="1:12" x14ac:dyDescent="0.3">
      <c r="A2829" t="s">
        <v>2844</v>
      </c>
      <c r="B2829" t="s">
        <v>13</v>
      </c>
      <c r="C2829" t="s">
        <v>14</v>
      </c>
      <c r="D2829">
        <v>24</v>
      </c>
      <c r="E2829" s="1">
        <v>43988</v>
      </c>
      <c r="F2829">
        <v>2020</v>
      </c>
      <c r="G2829" t="s">
        <v>5032</v>
      </c>
      <c r="H2829">
        <v>6</v>
      </c>
      <c r="I2829">
        <v>4.96</v>
      </c>
      <c r="J2829">
        <v>5</v>
      </c>
      <c r="K2829">
        <v>11080.09</v>
      </c>
      <c r="L2829">
        <v>5.4</v>
      </c>
    </row>
    <row r="2830" spans="1:12" x14ac:dyDescent="0.3">
      <c r="A2830" t="s">
        <v>2845</v>
      </c>
      <c r="B2830" t="s">
        <v>16</v>
      </c>
      <c r="C2830" t="s">
        <v>11</v>
      </c>
      <c r="D2830">
        <v>26</v>
      </c>
      <c r="E2830" s="1">
        <v>42335</v>
      </c>
      <c r="F2830">
        <v>2015</v>
      </c>
      <c r="G2830" t="s">
        <v>5038</v>
      </c>
      <c r="H2830">
        <v>27</v>
      </c>
      <c r="I2830">
        <v>2.59</v>
      </c>
      <c r="J2830">
        <v>14</v>
      </c>
      <c r="K2830">
        <v>5527.78</v>
      </c>
      <c r="L2830">
        <v>9.9</v>
      </c>
    </row>
    <row r="2831" spans="1:12" x14ac:dyDescent="0.3">
      <c r="A2831" t="s">
        <v>2846</v>
      </c>
      <c r="B2831" t="s">
        <v>18</v>
      </c>
      <c r="C2831" t="s">
        <v>11</v>
      </c>
      <c r="D2831">
        <v>32</v>
      </c>
      <c r="E2831" s="1">
        <v>41818</v>
      </c>
      <c r="F2831">
        <v>2014</v>
      </c>
      <c r="G2831" t="s">
        <v>5032</v>
      </c>
      <c r="H2831">
        <v>28</v>
      </c>
      <c r="I2831">
        <v>1.91</v>
      </c>
      <c r="J2831">
        <v>2</v>
      </c>
      <c r="K2831">
        <v>10312.58</v>
      </c>
      <c r="L2831">
        <v>11.4</v>
      </c>
    </row>
    <row r="2832" spans="1:12" x14ac:dyDescent="0.3">
      <c r="A2832" t="s">
        <v>2847</v>
      </c>
      <c r="B2832" t="s">
        <v>34</v>
      </c>
      <c r="C2832" t="s">
        <v>11</v>
      </c>
      <c r="D2832">
        <v>36</v>
      </c>
      <c r="E2832" s="1">
        <v>41493</v>
      </c>
      <c r="F2832">
        <v>2013</v>
      </c>
      <c r="G2832" t="s">
        <v>5031</v>
      </c>
      <c r="H2832">
        <v>7</v>
      </c>
      <c r="I2832">
        <v>3.55</v>
      </c>
      <c r="J2832">
        <v>14</v>
      </c>
      <c r="K2832">
        <v>6705.67</v>
      </c>
      <c r="L2832">
        <v>12.2</v>
      </c>
    </row>
    <row r="2833" spans="1:12" x14ac:dyDescent="0.3">
      <c r="A2833" t="s">
        <v>2848</v>
      </c>
      <c r="B2833" t="s">
        <v>13</v>
      </c>
      <c r="C2833" t="s">
        <v>11</v>
      </c>
      <c r="D2833">
        <v>40</v>
      </c>
      <c r="E2833" s="1">
        <v>43469</v>
      </c>
      <c r="F2833">
        <v>2019</v>
      </c>
      <c r="G2833" t="s">
        <v>5037</v>
      </c>
      <c r="H2833">
        <v>4</v>
      </c>
      <c r="I2833">
        <v>4.8499999999999996</v>
      </c>
      <c r="J2833">
        <v>7</v>
      </c>
      <c r="K2833">
        <v>7631.49</v>
      </c>
      <c r="L2833">
        <v>6.8</v>
      </c>
    </row>
    <row r="2834" spans="1:12" x14ac:dyDescent="0.3">
      <c r="A2834" t="s">
        <v>2849</v>
      </c>
      <c r="B2834" t="s">
        <v>34</v>
      </c>
      <c r="C2834" t="s">
        <v>11</v>
      </c>
      <c r="D2834">
        <v>56</v>
      </c>
      <c r="E2834" s="1">
        <v>45497</v>
      </c>
      <c r="F2834">
        <v>2024</v>
      </c>
      <c r="G2834" t="s">
        <v>5034</v>
      </c>
      <c r="H2834">
        <v>24</v>
      </c>
      <c r="I2834">
        <v>2.4900000000000002</v>
      </c>
      <c r="J2834">
        <v>14</v>
      </c>
      <c r="K2834">
        <v>7088.09</v>
      </c>
      <c r="L2834">
        <v>1.3</v>
      </c>
    </row>
    <row r="2835" spans="1:12" x14ac:dyDescent="0.3">
      <c r="A2835" t="s">
        <v>2850</v>
      </c>
      <c r="B2835" t="s">
        <v>34</v>
      </c>
      <c r="C2835" t="s">
        <v>11</v>
      </c>
      <c r="D2835">
        <v>24</v>
      </c>
      <c r="E2835" s="1">
        <v>45165</v>
      </c>
      <c r="F2835">
        <v>2023</v>
      </c>
      <c r="G2835" t="s">
        <v>5031</v>
      </c>
      <c r="H2835">
        <v>27</v>
      </c>
      <c r="I2835">
        <v>2.68</v>
      </c>
      <c r="J2835">
        <v>2</v>
      </c>
      <c r="K2835">
        <v>10471.93</v>
      </c>
      <c r="L2835">
        <v>2.2000000000000002</v>
      </c>
    </row>
    <row r="2836" spans="1:12" x14ac:dyDescent="0.3">
      <c r="A2836" t="s">
        <v>2851</v>
      </c>
      <c r="B2836" t="s">
        <v>16</v>
      </c>
      <c r="C2836" t="s">
        <v>14</v>
      </c>
      <c r="D2836">
        <v>52</v>
      </c>
      <c r="E2836" s="1">
        <v>40343</v>
      </c>
      <c r="F2836">
        <v>2010</v>
      </c>
      <c r="G2836" t="s">
        <v>5032</v>
      </c>
      <c r="H2836">
        <v>14</v>
      </c>
      <c r="I2836">
        <v>1.58</v>
      </c>
      <c r="J2836">
        <v>7</v>
      </c>
      <c r="K2836">
        <v>11840.49</v>
      </c>
      <c r="L2836">
        <v>15.4</v>
      </c>
    </row>
    <row r="2837" spans="1:12" x14ac:dyDescent="0.3">
      <c r="A2837" t="s">
        <v>2852</v>
      </c>
      <c r="B2837" t="s">
        <v>18</v>
      </c>
      <c r="C2837" t="s">
        <v>11</v>
      </c>
      <c r="D2837">
        <v>30</v>
      </c>
      <c r="E2837" s="1">
        <v>43283</v>
      </c>
      <c r="F2837">
        <v>2018</v>
      </c>
      <c r="G2837" t="s">
        <v>5034</v>
      </c>
      <c r="H2837">
        <v>2</v>
      </c>
      <c r="I2837">
        <v>1.9</v>
      </c>
      <c r="J2837">
        <v>4</v>
      </c>
      <c r="K2837">
        <v>13570.98</v>
      </c>
      <c r="L2837">
        <v>7.3</v>
      </c>
    </row>
    <row r="2838" spans="1:12" x14ac:dyDescent="0.3">
      <c r="A2838" t="s">
        <v>2853</v>
      </c>
      <c r="B2838" t="s">
        <v>13</v>
      </c>
      <c r="C2838" t="s">
        <v>11</v>
      </c>
      <c r="D2838">
        <v>44</v>
      </c>
      <c r="E2838" s="1">
        <v>43409</v>
      </c>
      <c r="F2838">
        <v>2018</v>
      </c>
      <c r="G2838" t="s">
        <v>5038</v>
      </c>
      <c r="H2838">
        <v>5</v>
      </c>
      <c r="I2838">
        <v>2.21</v>
      </c>
      <c r="J2838">
        <v>9</v>
      </c>
      <c r="K2838">
        <v>7999.71</v>
      </c>
      <c r="L2838">
        <v>7</v>
      </c>
    </row>
    <row r="2839" spans="1:12" x14ac:dyDescent="0.3">
      <c r="A2839" t="s">
        <v>2854</v>
      </c>
      <c r="B2839" t="s">
        <v>24</v>
      </c>
      <c r="C2839" t="s">
        <v>14</v>
      </c>
      <c r="D2839">
        <v>53</v>
      </c>
      <c r="E2839" s="1">
        <v>44968</v>
      </c>
      <c r="F2839">
        <v>2023</v>
      </c>
      <c r="G2839" t="s">
        <v>5042</v>
      </c>
      <c r="H2839">
        <v>11</v>
      </c>
      <c r="I2839">
        <v>2.12</v>
      </c>
      <c r="J2839">
        <v>4</v>
      </c>
      <c r="K2839">
        <v>7115.84</v>
      </c>
      <c r="L2839">
        <v>2.7</v>
      </c>
    </row>
    <row r="2840" spans="1:12" x14ac:dyDescent="0.3">
      <c r="A2840" t="s">
        <v>2855</v>
      </c>
      <c r="B2840" t="s">
        <v>18</v>
      </c>
      <c r="C2840" t="s">
        <v>14</v>
      </c>
      <c r="D2840">
        <v>53</v>
      </c>
      <c r="E2840" s="1">
        <v>41935</v>
      </c>
      <c r="F2840">
        <v>2014</v>
      </c>
      <c r="G2840" t="s">
        <v>5039</v>
      </c>
      <c r="H2840">
        <v>23</v>
      </c>
      <c r="I2840">
        <v>4.1399999999999997</v>
      </c>
      <c r="J2840">
        <v>4</v>
      </c>
      <c r="K2840">
        <v>10518.96</v>
      </c>
      <c r="L2840">
        <v>11</v>
      </c>
    </row>
    <row r="2841" spans="1:12" x14ac:dyDescent="0.3">
      <c r="A2841" t="s">
        <v>2856</v>
      </c>
      <c r="B2841" t="s">
        <v>10</v>
      </c>
      <c r="C2841" t="s">
        <v>14</v>
      </c>
      <c r="D2841">
        <v>29</v>
      </c>
      <c r="E2841" s="1">
        <v>41427</v>
      </c>
      <c r="F2841">
        <v>2013</v>
      </c>
      <c r="G2841" t="s">
        <v>5032</v>
      </c>
      <c r="H2841">
        <v>2</v>
      </c>
      <c r="I2841">
        <v>2.2200000000000002</v>
      </c>
      <c r="J2841">
        <v>13</v>
      </c>
      <c r="K2841">
        <v>8463.52</v>
      </c>
      <c r="L2841">
        <v>12.4</v>
      </c>
    </row>
    <row r="2842" spans="1:12" x14ac:dyDescent="0.3">
      <c r="A2842" t="s">
        <v>2857</v>
      </c>
      <c r="B2842" t="s">
        <v>10</v>
      </c>
      <c r="C2842" t="s">
        <v>11</v>
      </c>
      <c r="D2842">
        <v>32</v>
      </c>
      <c r="E2842" s="1">
        <v>45826</v>
      </c>
      <c r="F2842">
        <v>2025</v>
      </c>
      <c r="G2842" t="s">
        <v>5032</v>
      </c>
      <c r="H2842">
        <v>18</v>
      </c>
      <c r="I2842">
        <v>1.87</v>
      </c>
      <c r="J2842">
        <v>10</v>
      </c>
      <c r="K2842">
        <v>3551.61</v>
      </c>
      <c r="L2842">
        <v>0.4</v>
      </c>
    </row>
    <row r="2843" spans="1:12" x14ac:dyDescent="0.3">
      <c r="A2843" t="s">
        <v>2858</v>
      </c>
      <c r="B2843" t="s">
        <v>24</v>
      </c>
      <c r="C2843" t="s">
        <v>11</v>
      </c>
      <c r="D2843">
        <v>46</v>
      </c>
      <c r="E2843" s="1">
        <v>44292</v>
      </c>
      <c r="F2843">
        <v>2021</v>
      </c>
      <c r="G2843" t="s">
        <v>5040</v>
      </c>
      <c r="H2843">
        <v>6</v>
      </c>
      <c r="I2843">
        <v>1.68</v>
      </c>
      <c r="J2843">
        <v>0</v>
      </c>
      <c r="K2843">
        <v>5382.84</v>
      </c>
      <c r="L2843">
        <v>4.5999999999999996</v>
      </c>
    </row>
    <row r="2844" spans="1:12" x14ac:dyDescent="0.3">
      <c r="A2844" t="s">
        <v>2859</v>
      </c>
      <c r="B2844" t="s">
        <v>13</v>
      </c>
      <c r="C2844" t="s">
        <v>11</v>
      </c>
      <c r="D2844">
        <v>29</v>
      </c>
      <c r="E2844" s="1">
        <v>42078</v>
      </c>
      <c r="F2844">
        <v>2015</v>
      </c>
      <c r="G2844" t="s">
        <v>5035</v>
      </c>
      <c r="H2844">
        <v>15</v>
      </c>
      <c r="I2844">
        <v>3.56</v>
      </c>
      <c r="J2844">
        <v>8</v>
      </c>
      <c r="K2844">
        <v>12947.29</v>
      </c>
      <c r="L2844">
        <v>10.6</v>
      </c>
    </row>
    <row r="2845" spans="1:12" x14ac:dyDescent="0.3">
      <c r="A2845" t="s">
        <v>2860</v>
      </c>
      <c r="B2845" t="s">
        <v>16</v>
      </c>
      <c r="C2845" t="s">
        <v>14</v>
      </c>
      <c r="D2845">
        <v>48</v>
      </c>
      <c r="E2845" s="1">
        <v>45677</v>
      </c>
      <c r="F2845">
        <v>2025</v>
      </c>
      <c r="G2845" t="s">
        <v>5037</v>
      </c>
      <c r="H2845">
        <v>20</v>
      </c>
      <c r="I2845">
        <v>3.19</v>
      </c>
      <c r="J2845">
        <v>15</v>
      </c>
      <c r="K2845">
        <v>8505.64</v>
      </c>
      <c r="L2845">
        <v>0.8</v>
      </c>
    </row>
    <row r="2846" spans="1:12" x14ac:dyDescent="0.3">
      <c r="A2846" t="s">
        <v>2861</v>
      </c>
      <c r="B2846" t="s">
        <v>10</v>
      </c>
      <c r="C2846" t="s">
        <v>11</v>
      </c>
      <c r="D2846">
        <v>39</v>
      </c>
      <c r="E2846" s="1">
        <v>42498</v>
      </c>
      <c r="F2846">
        <v>2016</v>
      </c>
      <c r="G2846" t="s">
        <v>5036</v>
      </c>
      <c r="H2846">
        <v>8</v>
      </c>
      <c r="I2846">
        <v>4.16</v>
      </c>
      <c r="J2846">
        <v>8</v>
      </c>
      <c r="K2846">
        <v>3394.36</v>
      </c>
      <c r="L2846">
        <v>9.5</v>
      </c>
    </row>
    <row r="2847" spans="1:12" x14ac:dyDescent="0.3">
      <c r="A2847" t="s">
        <v>2862</v>
      </c>
      <c r="B2847" t="s">
        <v>16</v>
      </c>
      <c r="C2847" t="s">
        <v>14</v>
      </c>
      <c r="D2847">
        <v>34</v>
      </c>
      <c r="E2847" s="1">
        <v>41367</v>
      </c>
      <c r="F2847">
        <v>2013</v>
      </c>
      <c r="G2847" t="s">
        <v>5040</v>
      </c>
      <c r="H2847">
        <v>3</v>
      </c>
      <c r="I2847">
        <v>2.66</v>
      </c>
      <c r="J2847">
        <v>13</v>
      </c>
      <c r="K2847">
        <v>12813.1</v>
      </c>
      <c r="L2847">
        <v>12.6</v>
      </c>
    </row>
    <row r="2848" spans="1:12" x14ac:dyDescent="0.3">
      <c r="A2848" t="s">
        <v>2863</v>
      </c>
      <c r="B2848" t="s">
        <v>18</v>
      </c>
      <c r="C2848" t="s">
        <v>14</v>
      </c>
      <c r="D2848">
        <v>28</v>
      </c>
      <c r="E2848" s="1">
        <v>42826</v>
      </c>
      <c r="F2848">
        <v>2017</v>
      </c>
      <c r="G2848" t="s">
        <v>5040</v>
      </c>
      <c r="H2848">
        <v>1</v>
      </c>
      <c r="I2848">
        <v>4.8</v>
      </c>
      <c r="J2848">
        <v>4</v>
      </c>
      <c r="K2848">
        <v>13719.47</v>
      </c>
      <c r="L2848">
        <v>8.6</v>
      </c>
    </row>
    <row r="2849" spans="1:12" x14ac:dyDescent="0.3">
      <c r="A2849" t="s">
        <v>2864</v>
      </c>
      <c r="B2849" t="s">
        <v>34</v>
      </c>
      <c r="C2849" t="s">
        <v>11</v>
      </c>
      <c r="D2849">
        <v>33</v>
      </c>
      <c r="E2849" s="1">
        <v>45650</v>
      </c>
      <c r="F2849">
        <v>2024</v>
      </c>
      <c r="G2849" t="s">
        <v>5041</v>
      </c>
      <c r="H2849">
        <v>24</v>
      </c>
      <c r="I2849">
        <v>2.82</v>
      </c>
      <c r="J2849">
        <v>10</v>
      </c>
      <c r="K2849">
        <v>11210.82</v>
      </c>
      <c r="L2849">
        <v>0.9</v>
      </c>
    </row>
    <row r="2850" spans="1:12" x14ac:dyDescent="0.3">
      <c r="A2850" t="s">
        <v>2865</v>
      </c>
      <c r="B2850" t="s">
        <v>16</v>
      </c>
      <c r="C2850" t="s">
        <v>14</v>
      </c>
      <c r="D2850">
        <v>51</v>
      </c>
      <c r="E2850" s="1">
        <v>41480</v>
      </c>
      <c r="F2850">
        <v>2013</v>
      </c>
      <c r="G2850" t="s">
        <v>5034</v>
      </c>
      <c r="H2850">
        <v>25</v>
      </c>
      <c r="I2850">
        <v>3.58</v>
      </c>
      <c r="J2850">
        <v>5</v>
      </c>
      <c r="K2850">
        <v>3170.66</v>
      </c>
      <c r="L2850">
        <v>12.3</v>
      </c>
    </row>
    <row r="2851" spans="1:12" x14ac:dyDescent="0.3">
      <c r="A2851" t="s">
        <v>2866</v>
      </c>
      <c r="B2851" t="s">
        <v>34</v>
      </c>
      <c r="C2851" t="s">
        <v>14</v>
      </c>
      <c r="D2851">
        <v>60</v>
      </c>
      <c r="E2851" s="1">
        <v>45820</v>
      </c>
      <c r="F2851">
        <v>2025</v>
      </c>
      <c r="G2851" t="s">
        <v>5032</v>
      </c>
      <c r="H2851">
        <v>12</v>
      </c>
      <c r="I2851">
        <v>2.2599999999999998</v>
      </c>
      <c r="J2851">
        <v>10</v>
      </c>
      <c r="K2851">
        <v>7534.94</v>
      </c>
      <c r="L2851">
        <v>0.4</v>
      </c>
    </row>
    <row r="2852" spans="1:12" x14ac:dyDescent="0.3">
      <c r="A2852" t="s">
        <v>2867</v>
      </c>
      <c r="B2852" t="s">
        <v>18</v>
      </c>
      <c r="C2852" t="s">
        <v>14</v>
      </c>
      <c r="D2852">
        <v>25</v>
      </c>
      <c r="E2852" s="1">
        <v>41089</v>
      </c>
      <c r="F2852">
        <v>2012</v>
      </c>
      <c r="G2852" t="s">
        <v>5032</v>
      </c>
      <c r="H2852">
        <v>29</v>
      </c>
      <c r="I2852">
        <v>1.97</v>
      </c>
      <c r="J2852">
        <v>8</v>
      </c>
      <c r="K2852">
        <v>9190.94</v>
      </c>
      <c r="L2852">
        <v>13.4</v>
      </c>
    </row>
    <row r="2853" spans="1:12" x14ac:dyDescent="0.3">
      <c r="A2853" t="s">
        <v>2868</v>
      </c>
      <c r="B2853" t="s">
        <v>34</v>
      </c>
      <c r="C2853" t="s">
        <v>11</v>
      </c>
      <c r="D2853">
        <v>44</v>
      </c>
      <c r="E2853" s="1">
        <v>41546</v>
      </c>
      <c r="F2853">
        <v>2013</v>
      </c>
      <c r="G2853" t="s">
        <v>5033</v>
      </c>
      <c r="H2853">
        <v>29</v>
      </c>
      <c r="I2853">
        <v>2.57</v>
      </c>
      <c r="J2853">
        <v>7</v>
      </c>
      <c r="K2853">
        <v>11688.32</v>
      </c>
      <c r="L2853">
        <v>12.1</v>
      </c>
    </row>
    <row r="2854" spans="1:12" x14ac:dyDescent="0.3">
      <c r="A2854" t="s">
        <v>2869</v>
      </c>
      <c r="B2854" t="s">
        <v>24</v>
      </c>
      <c r="C2854" t="s">
        <v>11</v>
      </c>
      <c r="D2854">
        <v>42</v>
      </c>
      <c r="E2854" s="1">
        <v>45600</v>
      </c>
      <c r="F2854">
        <v>2024</v>
      </c>
      <c r="G2854" t="s">
        <v>5038</v>
      </c>
      <c r="H2854">
        <v>4</v>
      </c>
      <c r="I2854">
        <v>3.41</v>
      </c>
      <c r="J2854">
        <v>1</v>
      </c>
      <c r="K2854">
        <v>11385.65</v>
      </c>
      <c r="L2854">
        <v>1</v>
      </c>
    </row>
    <row r="2855" spans="1:12" x14ac:dyDescent="0.3">
      <c r="A2855" t="s">
        <v>2870</v>
      </c>
      <c r="B2855" t="s">
        <v>13</v>
      </c>
      <c r="C2855" t="s">
        <v>11</v>
      </c>
      <c r="D2855">
        <v>42</v>
      </c>
      <c r="E2855" s="1">
        <v>42925</v>
      </c>
      <c r="F2855">
        <v>2017</v>
      </c>
      <c r="G2855" t="s">
        <v>5034</v>
      </c>
      <c r="H2855">
        <v>9</v>
      </c>
      <c r="I2855">
        <v>3.25</v>
      </c>
      <c r="J2855">
        <v>2</v>
      </c>
      <c r="K2855">
        <v>14392.72</v>
      </c>
      <c r="L2855">
        <v>8.3000000000000007</v>
      </c>
    </row>
    <row r="2856" spans="1:12" x14ac:dyDescent="0.3">
      <c r="A2856" t="s">
        <v>2871</v>
      </c>
      <c r="B2856" t="s">
        <v>13</v>
      </c>
      <c r="C2856" t="s">
        <v>11</v>
      </c>
      <c r="D2856">
        <v>33</v>
      </c>
      <c r="E2856" s="1">
        <v>44817</v>
      </c>
      <c r="F2856">
        <v>2022</v>
      </c>
      <c r="G2856" t="s">
        <v>5033</v>
      </c>
      <c r="H2856">
        <v>13</v>
      </c>
      <c r="I2856">
        <v>2.33</v>
      </c>
      <c r="J2856">
        <v>2</v>
      </c>
      <c r="K2856">
        <v>8595.01</v>
      </c>
      <c r="L2856">
        <v>3.1</v>
      </c>
    </row>
    <row r="2857" spans="1:12" x14ac:dyDescent="0.3">
      <c r="A2857" t="s">
        <v>2872</v>
      </c>
      <c r="B2857" t="s">
        <v>10</v>
      </c>
      <c r="C2857" t="s">
        <v>11</v>
      </c>
      <c r="D2857">
        <v>56</v>
      </c>
      <c r="E2857" s="1">
        <v>42470</v>
      </c>
      <c r="F2857">
        <v>2016</v>
      </c>
      <c r="G2857" t="s">
        <v>5040</v>
      </c>
      <c r="H2857">
        <v>10</v>
      </c>
      <c r="I2857">
        <v>2.11</v>
      </c>
      <c r="J2857">
        <v>11</v>
      </c>
      <c r="K2857">
        <v>10480.36</v>
      </c>
      <c r="L2857">
        <v>9.6</v>
      </c>
    </row>
    <row r="2858" spans="1:12" x14ac:dyDescent="0.3">
      <c r="A2858" t="s">
        <v>2873</v>
      </c>
      <c r="B2858" t="s">
        <v>16</v>
      </c>
      <c r="C2858" t="s">
        <v>14</v>
      </c>
      <c r="D2858">
        <v>25</v>
      </c>
      <c r="E2858" s="1">
        <v>40940</v>
      </c>
      <c r="F2858">
        <v>2012</v>
      </c>
      <c r="G2858" t="s">
        <v>5042</v>
      </c>
      <c r="H2858">
        <v>1</v>
      </c>
      <c r="I2858">
        <v>4.37</v>
      </c>
      <c r="J2858">
        <v>0</v>
      </c>
      <c r="K2858">
        <v>14805.41</v>
      </c>
      <c r="L2858">
        <v>13.8</v>
      </c>
    </row>
    <row r="2859" spans="1:12" x14ac:dyDescent="0.3">
      <c r="A2859" t="s">
        <v>2874</v>
      </c>
      <c r="B2859" t="s">
        <v>10</v>
      </c>
      <c r="C2859" t="s">
        <v>14</v>
      </c>
      <c r="D2859">
        <v>41</v>
      </c>
      <c r="E2859" s="1">
        <v>40844</v>
      </c>
      <c r="F2859">
        <v>2011</v>
      </c>
      <c r="G2859" t="s">
        <v>5039</v>
      </c>
      <c r="H2859">
        <v>28</v>
      </c>
      <c r="I2859">
        <v>3.21</v>
      </c>
      <c r="J2859">
        <v>10</v>
      </c>
      <c r="K2859">
        <v>13478.97</v>
      </c>
      <c r="L2859">
        <v>14</v>
      </c>
    </row>
    <row r="2860" spans="1:12" x14ac:dyDescent="0.3">
      <c r="A2860" t="s">
        <v>2875</v>
      </c>
      <c r="B2860" t="s">
        <v>16</v>
      </c>
      <c r="C2860" t="s">
        <v>11</v>
      </c>
      <c r="D2860">
        <v>22</v>
      </c>
      <c r="E2860" s="1">
        <v>45125</v>
      </c>
      <c r="F2860">
        <v>2023</v>
      </c>
      <c r="G2860" t="s">
        <v>5034</v>
      </c>
      <c r="H2860">
        <v>18</v>
      </c>
      <c r="I2860">
        <v>2.72</v>
      </c>
      <c r="J2860">
        <v>9</v>
      </c>
      <c r="K2860">
        <v>10534.15</v>
      </c>
      <c r="L2860">
        <v>2.2999999999999998</v>
      </c>
    </row>
    <row r="2861" spans="1:12" x14ac:dyDescent="0.3">
      <c r="A2861" t="s">
        <v>2876</v>
      </c>
      <c r="B2861" t="s">
        <v>10</v>
      </c>
      <c r="C2861" t="s">
        <v>11</v>
      </c>
      <c r="D2861">
        <v>51</v>
      </c>
      <c r="E2861" s="1">
        <v>44744</v>
      </c>
      <c r="F2861">
        <v>2022</v>
      </c>
      <c r="G2861" t="s">
        <v>5034</v>
      </c>
      <c r="H2861">
        <v>2</v>
      </c>
      <c r="I2861">
        <v>1.63</v>
      </c>
      <c r="J2861">
        <v>14</v>
      </c>
      <c r="K2861">
        <v>9150.4</v>
      </c>
      <c r="L2861">
        <v>3.3</v>
      </c>
    </row>
    <row r="2862" spans="1:12" x14ac:dyDescent="0.3">
      <c r="A2862" t="s">
        <v>2877</v>
      </c>
      <c r="B2862" t="s">
        <v>34</v>
      </c>
      <c r="C2862" t="s">
        <v>11</v>
      </c>
      <c r="D2862">
        <v>35</v>
      </c>
      <c r="E2862" s="1">
        <v>41590</v>
      </c>
      <c r="F2862">
        <v>2013</v>
      </c>
      <c r="G2862" t="s">
        <v>5038</v>
      </c>
      <c r="H2862">
        <v>12</v>
      </c>
      <c r="I2862">
        <v>1.84</v>
      </c>
      <c r="J2862">
        <v>2</v>
      </c>
      <c r="K2862">
        <v>3412.42</v>
      </c>
      <c r="L2862">
        <v>12</v>
      </c>
    </row>
    <row r="2863" spans="1:12" x14ac:dyDescent="0.3">
      <c r="A2863" t="s">
        <v>2878</v>
      </c>
      <c r="B2863" t="s">
        <v>18</v>
      </c>
      <c r="C2863" t="s">
        <v>14</v>
      </c>
      <c r="D2863">
        <v>30</v>
      </c>
      <c r="E2863" s="1">
        <v>41414</v>
      </c>
      <c r="F2863">
        <v>2013</v>
      </c>
      <c r="G2863" t="s">
        <v>5036</v>
      </c>
      <c r="H2863">
        <v>20</v>
      </c>
      <c r="I2863">
        <v>4.83</v>
      </c>
      <c r="J2863">
        <v>2</v>
      </c>
      <c r="K2863">
        <v>12258.35</v>
      </c>
      <c r="L2863">
        <v>12.5</v>
      </c>
    </row>
    <row r="2864" spans="1:12" x14ac:dyDescent="0.3">
      <c r="A2864" t="s">
        <v>2879</v>
      </c>
      <c r="B2864" t="s">
        <v>13</v>
      </c>
      <c r="C2864" t="s">
        <v>11</v>
      </c>
      <c r="D2864">
        <v>38</v>
      </c>
      <c r="E2864" s="1">
        <v>41057</v>
      </c>
      <c r="F2864">
        <v>2012</v>
      </c>
      <c r="G2864" t="s">
        <v>5036</v>
      </c>
      <c r="H2864">
        <v>28</v>
      </c>
      <c r="I2864">
        <v>4.8099999999999996</v>
      </c>
      <c r="J2864">
        <v>8</v>
      </c>
      <c r="K2864">
        <v>8657.7099999999991</v>
      </c>
      <c r="L2864">
        <v>13.4</v>
      </c>
    </row>
    <row r="2865" spans="1:12" x14ac:dyDescent="0.3">
      <c r="A2865" t="s">
        <v>2880</v>
      </c>
      <c r="B2865" t="s">
        <v>34</v>
      </c>
      <c r="C2865" t="s">
        <v>11</v>
      </c>
      <c r="D2865">
        <v>46</v>
      </c>
      <c r="E2865" s="1">
        <v>41081</v>
      </c>
      <c r="F2865">
        <v>2012</v>
      </c>
      <c r="G2865" t="s">
        <v>5032</v>
      </c>
      <c r="H2865">
        <v>21</v>
      </c>
      <c r="I2865">
        <v>3.71</v>
      </c>
      <c r="J2865">
        <v>7</v>
      </c>
      <c r="K2865">
        <v>6538.73</v>
      </c>
      <c r="L2865">
        <v>13.4</v>
      </c>
    </row>
    <row r="2866" spans="1:12" x14ac:dyDescent="0.3">
      <c r="A2866" t="s">
        <v>2881</v>
      </c>
      <c r="B2866" t="s">
        <v>34</v>
      </c>
      <c r="C2866" t="s">
        <v>14</v>
      </c>
      <c r="D2866">
        <v>26</v>
      </c>
      <c r="E2866" s="1">
        <v>41029</v>
      </c>
      <c r="F2866">
        <v>2012</v>
      </c>
      <c r="G2866" t="s">
        <v>5040</v>
      </c>
      <c r="H2866">
        <v>30</v>
      </c>
      <c r="I2866">
        <v>1.89</v>
      </c>
      <c r="J2866">
        <v>0</v>
      </c>
      <c r="K2866">
        <v>7710.35</v>
      </c>
      <c r="L2866">
        <v>13.5</v>
      </c>
    </row>
    <row r="2867" spans="1:12" x14ac:dyDescent="0.3">
      <c r="A2867" t="s">
        <v>2882</v>
      </c>
      <c r="B2867" t="s">
        <v>34</v>
      </c>
      <c r="C2867" t="s">
        <v>11</v>
      </c>
      <c r="D2867">
        <v>43</v>
      </c>
      <c r="E2867" s="1">
        <v>43316</v>
      </c>
      <c r="F2867">
        <v>2018</v>
      </c>
      <c r="G2867" t="s">
        <v>5031</v>
      </c>
      <c r="H2867">
        <v>4</v>
      </c>
      <c r="I2867">
        <v>3.1</v>
      </c>
      <c r="J2867">
        <v>8</v>
      </c>
      <c r="K2867">
        <v>11629.51</v>
      </c>
      <c r="L2867">
        <v>7.2</v>
      </c>
    </row>
    <row r="2868" spans="1:12" x14ac:dyDescent="0.3">
      <c r="A2868" t="s">
        <v>2883</v>
      </c>
      <c r="B2868" t="s">
        <v>24</v>
      </c>
      <c r="C2868" t="s">
        <v>11</v>
      </c>
      <c r="D2868">
        <v>57</v>
      </c>
      <c r="E2868" s="1">
        <v>44106</v>
      </c>
      <c r="F2868">
        <v>2020</v>
      </c>
      <c r="G2868" t="s">
        <v>5039</v>
      </c>
      <c r="H2868">
        <v>2</v>
      </c>
      <c r="I2868">
        <v>2.85</v>
      </c>
      <c r="J2868">
        <v>4</v>
      </c>
      <c r="K2868">
        <v>4867.6499999999996</v>
      </c>
      <c r="L2868">
        <v>5.0999999999999996</v>
      </c>
    </row>
    <row r="2869" spans="1:12" x14ac:dyDescent="0.3">
      <c r="A2869" t="s">
        <v>2884</v>
      </c>
      <c r="B2869" t="s">
        <v>24</v>
      </c>
      <c r="C2869" t="s">
        <v>14</v>
      </c>
      <c r="D2869">
        <v>51</v>
      </c>
      <c r="E2869" s="1">
        <v>41473</v>
      </c>
      <c r="F2869">
        <v>2013</v>
      </c>
      <c r="G2869" t="s">
        <v>5034</v>
      </c>
      <c r="H2869">
        <v>18</v>
      </c>
      <c r="I2869">
        <v>4.3899999999999997</v>
      </c>
      <c r="J2869">
        <v>2</v>
      </c>
      <c r="K2869">
        <v>8175.32</v>
      </c>
      <c r="L2869">
        <v>12.3</v>
      </c>
    </row>
    <row r="2870" spans="1:12" x14ac:dyDescent="0.3">
      <c r="A2870" t="s">
        <v>2885</v>
      </c>
      <c r="B2870" t="s">
        <v>18</v>
      </c>
      <c r="C2870" t="s">
        <v>14</v>
      </c>
      <c r="D2870">
        <v>59</v>
      </c>
      <c r="E2870" s="1">
        <v>43742</v>
      </c>
      <c r="F2870">
        <v>2019</v>
      </c>
      <c r="G2870" t="s">
        <v>5039</v>
      </c>
      <c r="H2870">
        <v>4</v>
      </c>
      <c r="I2870">
        <v>3.74</v>
      </c>
      <c r="J2870">
        <v>6</v>
      </c>
      <c r="K2870">
        <v>9414.6299999999992</v>
      </c>
      <c r="L2870">
        <v>6.1</v>
      </c>
    </row>
    <row r="2871" spans="1:12" x14ac:dyDescent="0.3">
      <c r="A2871" t="s">
        <v>2886</v>
      </c>
      <c r="B2871" t="s">
        <v>34</v>
      </c>
      <c r="C2871" t="s">
        <v>11</v>
      </c>
      <c r="D2871">
        <v>42</v>
      </c>
      <c r="E2871" s="1">
        <v>41333</v>
      </c>
      <c r="F2871">
        <v>2013</v>
      </c>
      <c r="G2871" t="s">
        <v>5042</v>
      </c>
      <c r="H2871">
        <v>28</v>
      </c>
      <c r="I2871">
        <v>2.56</v>
      </c>
      <c r="J2871">
        <v>15</v>
      </c>
      <c r="K2871">
        <v>6594.66</v>
      </c>
      <c r="L2871">
        <v>12.7</v>
      </c>
    </row>
    <row r="2872" spans="1:12" x14ac:dyDescent="0.3">
      <c r="A2872" t="s">
        <v>2887</v>
      </c>
      <c r="B2872" t="s">
        <v>13</v>
      </c>
      <c r="C2872" t="s">
        <v>11</v>
      </c>
      <c r="D2872">
        <v>38</v>
      </c>
      <c r="E2872" s="1">
        <v>43883</v>
      </c>
      <c r="F2872">
        <v>2020</v>
      </c>
      <c r="G2872" t="s">
        <v>5042</v>
      </c>
      <c r="H2872">
        <v>22</v>
      </c>
      <c r="I2872">
        <v>4.97</v>
      </c>
      <c r="J2872">
        <v>1</v>
      </c>
      <c r="K2872">
        <v>12972.87</v>
      </c>
      <c r="L2872">
        <v>5.7</v>
      </c>
    </row>
    <row r="2873" spans="1:12" x14ac:dyDescent="0.3">
      <c r="A2873" t="s">
        <v>2888</v>
      </c>
      <c r="B2873" t="s">
        <v>24</v>
      </c>
      <c r="C2873" t="s">
        <v>14</v>
      </c>
      <c r="D2873">
        <v>42</v>
      </c>
      <c r="E2873" s="1">
        <v>42871</v>
      </c>
      <c r="F2873">
        <v>2017</v>
      </c>
      <c r="G2873" t="s">
        <v>5036</v>
      </c>
      <c r="H2873">
        <v>16</v>
      </c>
      <c r="I2873">
        <v>1.84</v>
      </c>
      <c r="J2873">
        <v>6</v>
      </c>
      <c r="K2873">
        <v>8468.11</v>
      </c>
      <c r="L2873">
        <v>8.5</v>
      </c>
    </row>
    <row r="2874" spans="1:12" x14ac:dyDescent="0.3">
      <c r="A2874" t="s">
        <v>2889</v>
      </c>
      <c r="B2874" t="s">
        <v>34</v>
      </c>
      <c r="C2874" t="s">
        <v>14</v>
      </c>
      <c r="D2874">
        <v>32</v>
      </c>
      <c r="E2874" s="1">
        <v>42344</v>
      </c>
      <c r="F2874">
        <v>2015</v>
      </c>
      <c r="G2874" t="s">
        <v>5041</v>
      </c>
      <c r="H2874">
        <v>6</v>
      </c>
      <c r="I2874">
        <v>4.2</v>
      </c>
      <c r="J2874">
        <v>7</v>
      </c>
      <c r="K2874">
        <v>3683.39</v>
      </c>
      <c r="L2874">
        <v>9.9</v>
      </c>
    </row>
    <row r="2875" spans="1:12" x14ac:dyDescent="0.3">
      <c r="A2875" t="s">
        <v>2890</v>
      </c>
      <c r="B2875" t="s">
        <v>13</v>
      </c>
      <c r="C2875" t="s">
        <v>14</v>
      </c>
      <c r="D2875">
        <v>57</v>
      </c>
      <c r="E2875" s="1">
        <v>45867</v>
      </c>
      <c r="F2875">
        <v>2025</v>
      </c>
      <c r="G2875" t="s">
        <v>5034</v>
      </c>
      <c r="H2875">
        <v>29</v>
      </c>
      <c r="I2875">
        <v>2.69</v>
      </c>
      <c r="J2875">
        <v>6</v>
      </c>
      <c r="K2875">
        <v>6350.93</v>
      </c>
      <c r="L2875">
        <v>0.3</v>
      </c>
    </row>
    <row r="2876" spans="1:12" x14ac:dyDescent="0.3">
      <c r="A2876" t="s">
        <v>2891</v>
      </c>
      <c r="B2876" t="s">
        <v>18</v>
      </c>
      <c r="C2876" t="s">
        <v>14</v>
      </c>
      <c r="D2876">
        <v>50</v>
      </c>
      <c r="E2876" s="1">
        <v>43469</v>
      </c>
      <c r="F2876">
        <v>2019</v>
      </c>
      <c r="G2876" t="s">
        <v>5037</v>
      </c>
      <c r="H2876">
        <v>4</v>
      </c>
      <c r="I2876">
        <v>4.51</v>
      </c>
      <c r="J2876">
        <v>6</v>
      </c>
      <c r="K2876">
        <v>4749.25</v>
      </c>
      <c r="L2876">
        <v>6.8</v>
      </c>
    </row>
    <row r="2877" spans="1:12" x14ac:dyDescent="0.3">
      <c r="A2877" t="s">
        <v>2892</v>
      </c>
      <c r="B2877" t="s">
        <v>13</v>
      </c>
      <c r="C2877" t="s">
        <v>11</v>
      </c>
      <c r="D2877">
        <v>27</v>
      </c>
      <c r="E2877" s="1">
        <v>42306</v>
      </c>
      <c r="F2877">
        <v>2015</v>
      </c>
      <c r="G2877" t="s">
        <v>5039</v>
      </c>
      <c r="H2877">
        <v>29</v>
      </c>
      <c r="I2877">
        <v>2.66</v>
      </c>
      <c r="J2877">
        <v>11</v>
      </c>
      <c r="K2877">
        <v>11966.94</v>
      </c>
      <c r="L2877">
        <v>10</v>
      </c>
    </row>
    <row r="2878" spans="1:12" x14ac:dyDescent="0.3">
      <c r="A2878" t="s">
        <v>2893</v>
      </c>
      <c r="B2878" t="s">
        <v>13</v>
      </c>
      <c r="C2878" t="s">
        <v>11</v>
      </c>
      <c r="D2878">
        <v>28</v>
      </c>
      <c r="E2878" s="1">
        <v>40601</v>
      </c>
      <c r="F2878">
        <v>2011</v>
      </c>
      <c r="G2878" t="s">
        <v>5042</v>
      </c>
      <c r="H2878">
        <v>27</v>
      </c>
      <c r="I2878">
        <v>4.66</v>
      </c>
      <c r="J2878">
        <v>6</v>
      </c>
      <c r="K2878">
        <v>14230.7</v>
      </c>
      <c r="L2878">
        <v>14.7</v>
      </c>
    </row>
    <row r="2879" spans="1:12" x14ac:dyDescent="0.3">
      <c r="A2879" t="s">
        <v>2894</v>
      </c>
      <c r="B2879" t="s">
        <v>16</v>
      </c>
      <c r="C2879" t="s">
        <v>14</v>
      </c>
      <c r="D2879">
        <v>48</v>
      </c>
      <c r="E2879" s="1">
        <v>45756</v>
      </c>
      <c r="F2879">
        <v>2025</v>
      </c>
      <c r="G2879" t="s">
        <v>5040</v>
      </c>
      <c r="H2879">
        <v>9</v>
      </c>
      <c r="I2879">
        <v>4.4400000000000004</v>
      </c>
      <c r="J2879">
        <v>10</v>
      </c>
      <c r="K2879">
        <v>13368.75</v>
      </c>
      <c r="L2879">
        <v>0.6</v>
      </c>
    </row>
    <row r="2880" spans="1:12" x14ac:dyDescent="0.3">
      <c r="A2880" t="s">
        <v>2895</v>
      </c>
      <c r="B2880" t="s">
        <v>10</v>
      </c>
      <c r="C2880" t="s">
        <v>14</v>
      </c>
      <c r="D2880">
        <v>38</v>
      </c>
      <c r="E2880" s="1">
        <v>42211</v>
      </c>
      <c r="F2880">
        <v>2015</v>
      </c>
      <c r="G2880" t="s">
        <v>5034</v>
      </c>
      <c r="H2880">
        <v>26</v>
      </c>
      <c r="I2880">
        <v>2.4700000000000002</v>
      </c>
      <c r="J2880">
        <v>2</v>
      </c>
      <c r="K2880">
        <v>12082.5</v>
      </c>
      <c r="L2880">
        <v>10.3</v>
      </c>
    </row>
    <row r="2881" spans="1:12" x14ac:dyDescent="0.3">
      <c r="A2881" t="s">
        <v>2896</v>
      </c>
      <c r="B2881" t="s">
        <v>16</v>
      </c>
      <c r="C2881" t="s">
        <v>11</v>
      </c>
      <c r="D2881">
        <v>57</v>
      </c>
      <c r="E2881" s="1">
        <v>45824</v>
      </c>
      <c r="F2881">
        <v>2025</v>
      </c>
      <c r="G2881" t="s">
        <v>5032</v>
      </c>
      <c r="H2881">
        <v>16</v>
      </c>
      <c r="I2881">
        <v>2.94</v>
      </c>
      <c r="J2881">
        <v>0</v>
      </c>
      <c r="K2881">
        <v>13917.96</v>
      </c>
      <c r="L2881">
        <v>0.4</v>
      </c>
    </row>
    <row r="2882" spans="1:12" x14ac:dyDescent="0.3">
      <c r="A2882" t="s">
        <v>2897</v>
      </c>
      <c r="B2882" t="s">
        <v>16</v>
      </c>
      <c r="C2882" t="s">
        <v>11</v>
      </c>
      <c r="D2882">
        <v>48</v>
      </c>
      <c r="E2882" s="1">
        <v>41896</v>
      </c>
      <c r="F2882">
        <v>2014</v>
      </c>
      <c r="G2882" t="s">
        <v>5033</v>
      </c>
      <c r="H2882">
        <v>14</v>
      </c>
      <c r="I2882">
        <v>3.21</v>
      </c>
      <c r="J2882">
        <v>6</v>
      </c>
      <c r="K2882">
        <v>5151.58</v>
      </c>
      <c r="L2882">
        <v>11.1</v>
      </c>
    </row>
    <row r="2883" spans="1:12" x14ac:dyDescent="0.3">
      <c r="A2883" t="s">
        <v>2898</v>
      </c>
      <c r="B2883" t="s">
        <v>10</v>
      </c>
      <c r="C2883" t="s">
        <v>11</v>
      </c>
      <c r="D2883">
        <v>45</v>
      </c>
      <c r="E2883" s="1">
        <v>42389</v>
      </c>
      <c r="F2883">
        <v>2016</v>
      </c>
      <c r="G2883" t="s">
        <v>5037</v>
      </c>
      <c r="H2883">
        <v>20</v>
      </c>
      <c r="I2883">
        <v>3.64</v>
      </c>
      <c r="J2883">
        <v>11</v>
      </c>
      <c r="K2883">
        <v>7970.84</v>
      </c>
      <c r="L2883">
        <v>9.8000000000000007</v>
      </c>
    </row>
    <row r="2884" spans="1:12" x14ac:dyDescent="0.3">
      <c r="A2884" t="s">
        <v>2899</v>
      </c>
      <c r="B2884" t="s">
        <v>18</v>
      </c>
      <c r="C2884" t="s">
        <v>11</v>
      </c>
      <c r="D2884">
        <v>23</v>
      </c>
      <c r="E2884" s="1">
        <v>45451</v>
      </c>
      <c r="F2884">
        <v>2024</v>
      </c>
      <c r="G2884" t="s">
        <v>5032</v>
      </c>
      <c r="H2884">
        <v>8</v>
      </c>
      <c r="I2884">
        <v>4.29</v>
      </c>
      <c r="J2884">
        <v>6</v>
      </c>
      <c r="K2884">
        <v>12342.48</v>
      </c>
      <c r="L2884">
        <v>1.4</v>
      </c>
    </row>
    <row r="2885" spans="1:12" x14ac:dyDescent="0.3">
      <c r="A2885" t="s">
        <v>2900</v>
      </c>
      <c r="B2885" t="s">
        <v>34</v>
      </c>
      <c r="C2885" t="s">
        <v>14</v>
      </c>
      <c r="D2885">
        <v>45</v>
      </c>
      <c r="E2885" s="1">
        <v>41252</v>
      </c>
      <c r="F2885">
        <v>2012</v>
      </c>
      <c r="G2885" t="s">
        <v>5041</v>
      </c>
      <c r="H2885">
        <v>9</v>
      </c>
      <c r="I2885">
        <v>4.91</v>
      </c>
      <c r="J2885">
        <v>6</v>
      </c>
      <c r="K2885">
        <v>12516.82</v>
      </c>
      <c r="L2885">
        <v>12.9</v>
      </c>
    </row>
    <row r="2886" spans="1:12" x14ac:dyDescent="0.3">
      <c r="A2886" t="s">
        <v>2901</v>
      </c>
      <c r="B2886" t="s">
        <v>16</v>
      </c>
      <c r="C2886" t="s">
        <v>11</v>
      </c>
      <c r="D2886">
        <v>48</v>
      </c>
      <c r="E2886" s="1">
        <v>41335</v>
      </c>
      <c r="F2886">
        <v>2013</v>
      </c>
      <c r="G2886" t="s">
        <v>5035</v>
      </c>
      <c r="H2886">
        <v>2</v>
      </c>
      <c r="I2886">
        <v>3.26</v>
      </c>
      <c r="J2886">
        <v>14</v>
      </c>
      <c r="K2886">
        <v>8082.14</v>
      </c>
      <c r="L2886">
        <v>12.7</v>
      </c>
    </row>
    <row r="2887" spans="1:12" x14ac:dyDescent="0.3">
      <c r="A2887" t="s">
        <v>2902</v>
      </c>
      <c r="B2887" t="s">
        <v>34</v>
      </c>
      <c r="C2887" t="s">
        <v>11</v>
      </c>
      <c r="D2887">
        <v>25</v>
      </c>
      <c r="E2887" s="1">
        <v>40865</v>
      </c>
      <c r="F2887">
        <v>2011</v>
      </c>
      <c r="G2887" t="s">
        <v>5038</v>
      </c>
      <c r="H2887">
        <v>18</v>
      </c>
      <c r="I2887">
        <v>2.09</v>
      </c>
      <c r="J2887">
        <v>4</v>
      </c>
      <c r="K2887">
        <v>12850.18</v>
      </c>
      <c r="L2887">
        <v>14</v>
      </c>
    </row>
    <row r="2888" spans="1:12" x14ac:dyDescent="0.3">
      <c r="A2888" t="s">
        <v>2903</v>
      </c>
      <c r="B2888" t="s">
        <v>16</v>
      </c>
      <c r="C2888" t="s">
        <v>11</v>
      </c>
      <c r="D2888">
        <v>39</v>
      </c>
      <c r="E2888" s="1">
        <v>40734</v>
      </c>
      <c r="F2888">
        <v>2011</v>
      </c>
      <c r="G2888" t="s">
        <v>5034</v>
      </c>
      <c r="H2888">
        <v>10</v>
      </c>
      <c r="I2888">
        <v>4.82</v>
      </c>
      <c r="J2888">
        <v>10</v>
      </c>
      <c r="K2888">
        <v>13348.35</v>
      </c>
      <c r="L2888">
        <v>14.3</v>
      </c>
    </row>
    <row r="2889" spans="1:12" x14ac:dyDescent="0.3">
      <c r="A2889" t="s">
        <v>2904</v>
      </c>
      <c r="B2889" t="s">
        <v>13</v>
      </c>
      <c r="C2889" t="s">
        <v>11</v>
      </c>
      <c r="D2889">
        <v>52</v>
      </c>
      <c r="E2889" s="1">
        <v>40801</v>
      </c>
      <c r="F2889">
        <v>2011</v>
      </c>
      <c r="G2889" t="s">
        <v>5033</v>
      </c>
      <c r="H2889">
        <v>15</v>
      </c>
      <c r="I2889">
        <v>3.28</v>
      </c>
      <c r="J2889">
        <v>5</v>
      </c>
      <c r="K2889">
        <v>3561.7</v>
      </c>
      <c r="L2889">
        <v>14.1</v>
      </c>
    </row>
    <row r="2890" spans="1:12" x14ac:dyDescent="0.3">
      <c r="A2890" t="s">
        <v>2905</v>
      </c>
      <c r="B2890" t="s">
        <v>34</v>
      </c>
      <c r="C2890" t="s">
        <v>14</v>
      </c>
      <c r="D2890">
        <v>54</v>
      </c>
      <c r="E2890" s="1">
        <v>41373</v>
      </c>
      <c r="F2890">
        <v>2013</v>
      </c>
      <c r="G2890" t="s">
        <v>5040</v>
      </c>
      <c r="H2890">
        <v>9</v>
      </c>
      <c r="I2890">
        <v>1.94</v>
      </c>
      <c r="J2890">
        <v>0</v>
      </c>
      <c r="K2890">
        <v>3199.3</v>
      </c>
      <c r="L2890">
        <v>12.6</v>
      </c>
    </row>
    <row r="2891" spans="1:12" x14ac:dyDescent="0.3">
      <c r="A2891" t="s">
        <v>2906</v>
      </c>
      <c r="B2891" t="s">
        <v>18</v>
      </c>
      <c r="C2891" t="s">
        <v>14</v>
      </c>
      <c r="D2891">
        <v>50</v>
      </c>
      <c r="E2891" s="1">
        <v>40636</v>
      </c>
      <c r="F2891">
        <v>2011</v>
      </c>
      <c r="G2891" t="s">
        <v>5040</v>
      </c>
      <c r="H2891">
        <v>3</v>
      </c>
      <c r="I2891">
        <v>4.79</v>
      </c>
      <c r="J2891">
        <v>12</v>
      </c>
      <c r="K2891">
        <v>4601.68</v>
      </c>
      <c r="L2891">
        <v>14.6</v>
      </c>
    </row>
    <row r="2892" spans="1:12" x14ac:dyDescent="0.3">
      <c r="A2892" t="s">
        <v>2907</v>
      </c>
      <c r="B2892" t="s">
        <v>18</v>
      </c>
      <c r="C2892" t="s">
        <v>11</v>
      </c>
      <c r="D2892">
        <v>42</v>
      </c>
      <c r="E2892" s="1">
        <v>43063</v>
      </c>
      <c r="F2892">
        <v>2017</v>
      </c>
      <c r="G2892" t="s">
        <v>5038</v>
      </c>
      <c r="H2892">
        <v>24</v>
      </c>
      <c r="I2892">
        <v>3.86</v>
      </c>
      <c r="J2892">
        <v>11</v>
      </c>
      <c r="K2892">
        <v>11851.88</v>
      </c>
      <c r="L2892">
        <v>7.9</v>
      </c>
    </row>
    <row r="2893" spans="1:12" x14ac:dyDescent="0.3">
      <c r="A2893" t="s">
        <v>2908</v>
      </c>
      <c r="B2893" t="s">
        <v>10</v>
      </c>
      <c r="C2893" t="s">
        <v>11</v>
      </c>
      <c r="D2893">
        <v>49</v>
      </c>
      <c r="E2893" s="1">
        <v>45767</v>
      </c>
      <c r="F2893">
        <v>2025</v>
      </c>
      <c r="G2893" t="s">
        <v>5040</v>
      </c>
      <c r="H2893">
        <v>20</v>
      </c>
      <c r="I2893">
        <v>1.9</v>
      </c>
      <c r="J2893">
        <v>10</v>
      </c>
      <c r="K2893">
        <v>4978.41</v>
      </c>
      <c r="L2893">
        <v>0.5</v>
      </c>
    </row>
    <row r="2894" spans="1:12" x14ac:dyDescent="0.3">
      <c r="A2894" t="s">
        <v>2909</v>
      </c>
      <c r="B2894" t="s">
        <v>16</v>
      </c>
      <c r="C2894" t="s">
        <v>14</v>
      </c>
      <c r="D2894">
        <v>52</v>
      </c>
      <c r="E2894" s="1">
        <v>41515</v>
      </c>
      <c r="F2894">
        <v>2013</v>
      </c>
      <c r="G2894" t="s">
        <v>5031</v>
      </c>
      <c r="H2894">
        <v>29</v>
      </c>
      <c r="I2894">
        <v>3.54</v>
      </c>
      <c r="J2894">
        <v>10</v>
      </c>
      <c r="K2894">
        <v>10530</v>
      </c>
      <c r="L2894">
        <v>12.2</v>
      </c>
    </row>
    <row r="2895" spans="1:12" x14ac:dyDescent="0.3">
      <c r="A2895" t="s">
        <v>2910</v>
      </c>
      <c r="B2895" t="s">
        <v>10</v>
      </c>
      <c r="C2895" t="s">
        <v>14</v>
      </c>
      <c r="D2895">
        <v>42</v>
      </c>
      <c r="E2895" s="1">
        <v>41632</v>
      </c>
      <c r="F2895">
        <v>2013</v>
      </c>
      <c r="G2895" t="s">
        <v>5041</v>
      </c>
      <c r="H2895">
        <v>24</v>
      </c>
      <c r="I2895">
        <v>4.66</v>
      </c>
      <c r="J2895">
        <v>5</v>
      </c>
      <c r="K2895">
        <v>6212.92</v>
      </c>
      <c r="L2895">
        <v>11.9</v>
      </c>
    </row>
    <row r="2896" spans="1:12" x14ac:dyDescent="0.3">
      <c r="A2896" t="s">
        <v>2911</v>
      </c>
      <c r="B2896" t="s">
        <v>34</v>
      </c>
      <c r="C2896" t="s">
        <v>14</v>
      </c>
      <c r="D2896">
        <v>60</v>
      </c>
      <c r="E2896" s="1">
        <v>45505</v>
      </c>
      <c r="F2896">
        <v>2024</v>
      </c>
      <c r="G2896" t="s">
        <v>5031</v>
      </c>
      <c r="H2896">
        <v>1</v>
      </c>
      <c r="I2896">
        <v>3.43</v>
      </c>
      <c r="J2896">
        <v>15</v>
      </c>
      <c r="K2896">
        <v>7279.67</v>
      </c>
      <c r="L2896">
        <v>1.3</v>
      </c>
    </row>
    <row r="2897" spans="1:12" x14ac:dyDescent="0.3">
      <c r="A2897" t="s">
        <v>2912</v>
      </c>
      <c r="B2897" t="s">
        <v>34</v>
      </c>
      <c r="C2897" t="s">
        <v>11</v>
      </c>
      <c r="D2897">
        <v>33</v>
      </c>
      <c r="E2897" s="1">
        <v>42417</v>
      </c>
      <c r="F2897">
        <v>2016</v>
      </c>
      <c r="G2897" t="s">
        <v>5042</v>
      </c>
      <c r="H2897">
        <v>17</v>
      </c>
      <c r="I2897">
        <v>1.55</v>
      </c>
      <c r="J2897">
        <v>9</v>
      </c>
      <c r="K2897">
        <v>8417.92</v>
      </c>
      <c r="L2897">
        <v>9.6999999999999993</v>
      </c>
    </row>
    <row r="2898" spans="1:12" x14ac:dyDescent="0.3">
      <c r="A2898" t="s">
        <v>2913</v>
      </c>
      <c r="B2898" t="s">
        <v>13</v>
      </c>
      <c r="C2898" t="s">
        <v>14</v>
      </c>
      <c r="D2898">
        <v>37</v>
      </c>
      <c r="E2898" s="1">
        <v>42475</v>
      </c>
      <c r="F2898">
        <v>2016</v>
      </c>
      <c r="G2898" t="s">
        <v>5040</v>
      </c>
      <c r="H2898">
        <v>15</v>
      </c>
      <c r="I2898">
        <v>4.2300000000000004</v>
      </c>
      <c r="J2898">
        <v>12</v>
      </c>
      <c r="K2898">
        <v>10894.57</v>
      </c>
      <c r="L2898">
        <v>9.6</v>
      </c>
    </row>
    <row r="2899" spans="1:12" x14ac:dyDescent="0.3">
      <c r="A2899" t="s">
        <v>2914</v>
      </c>
      <c r="B2899" t="s">
        <v>10</v>
      </c>
      <c r="C2899" t="s">
        <v>11</v>
      </c>
      <c r="D2899">
        <v>23</v>
      </c>
      <c r="E2899" s="1">
        <v>43316</v>
      </c>
      <c r="F2899">
        <v>2018</v>
      </c>
      <c r="G2899" t="s">
        <v>5031</v>
      </c>
      <c r="H2899">
        <v>4</v>
      </c>
      <c r="I2899">
        <v>2.96</v>
      </c>
      <c r="J2899">
        <v>7</v>
      </c>
      <c r="K2899">
        <v>14793.98</v>
      </c>
      <c r="L2899">
        <v>7.2</v>
      </c>
    </row>
    <row r="2900" spans="1:12" x14ac:dyDescent="0.3">
      <c r="A2900" t="s">
        <v>2915</v>
      </c>
      <c r="B2900" t="s">
        <v>34</v>
      </c>
      <c r="C2900" t="s">
        <v>11</v>
      </c>
      <c r="D2900">
        <v>45</v>
      </c>
      <c r="E2900" s="1">
        <v>40585</v>
      </c>
      <c r="F2900">
        <v>2011</v>
      </c>
      <c r="G2900" t="s">
        <v>5042</v>
      </c>
      <c r="H2900">
        <v>11</v>
      </c>
      <c r="I2900">
        <v>3.22</v>
      </c>
      <c r="J2900">
        <v>9</v>
      </c>
      <c r="K2900">
        <v>14975.42</v>
      </c>
      <c r="L2900">
        <v>14.7</v>
      </c>
    </row>
    <row r="2901" spans="1:12" x14ac:dyDescent="0.3">
      <c r="A2901" t="s">
        <v>2916</v>
      </c>
      <c r="B2901" t="s">
        <v>16</v>
      </c>
      <c r="C2901" t="s">
        <v>11</v>
      </c>
      <c r="D2901">
        <v>50</v>
      </c>
      <c r="E2901" s="1">
        <v>44997</v>
      </c>
      <c r="F2901">
        <v>2023</v>
      </c>
      <c r="G2901" t="s">
        <v>5035</v>
      </c>
      <c r="H2901">
        <v>12</v>
      </c>
      <c r="I2901">
        <v>2.65</v>
      </c>
      <c r="J2901">
        <v>0</v>
      </c>
      <c r="K2901">
        <v>10640.88</v>
      </c>
      <c r="L2901">
        <v>2.6</v>
      </c>
    </row>
    <row r="2902" spans="1:12" x14ac:dyDescent="0.3">
      <c r="A2902" t="s">
        <v>2917</v>
      </c>
      <c r="B2902" t="s">
        <v>13</v>
      </c>
      <c r="C2902" t="s">
        <v>11</v>
      </c>
      <c r="D2902">
        <v>55</v>
      </c>
      <c r="E2902" s="1">
        <v>41579</v>
      </c>
      <c r="F2902">
        <v>2013</v>
      </c>
      <c r="G2902" t="s">
        <v>5038</v>
      </c>
      <c r="H2902">
        <v>1</v>
      </c>
      <c r="I2902">
        <v>2.58</v>
      </c>
      <c r="J2902">
        <v>6</v>
      </c>
      <c r="K2902">
        <v>9645.58</v>
      </c>
      <c r="L2902">
        <v>12</v>
      </c>
    </row>
    <row r="2903" spans="1:12" x14ac:dyDescent="0.3">
      <c r="A2903" t="s">
        <v>2918</v>
      </c>
      <c r="B2903" t="s">
        <v>18</v>
      </c>
      <c r="C2903" t="s">
        <v>11</v>
      </c>
      <c r="D2903">
        <v>30</v>
      </c>
      <c r="E2903" s="1">
        <v>44024</v>
      </c>
      <c r="F2903">
        <v>2020</v>
      </c>
      <c r="G2903" t="s">
        <v>5034</v>
      </c>
      <c r="H2903">
        <v>12</v>
      </c>
      <c r="I2903">
        <v>4.9000000000000004</v>
      </c>
      <c r="J2903">
        <v>4</v>
      </c>
      <c r="K2903">
        <v>7382.18</v>
      </c>
      <c r="L2903">
        <v>5.3</v>
      </c>
    </row>
    <row r="2904" spans="1:12" x14ac:dyDescent="0.3">
      <c r="A2904" t="s">
        <v>2919</v>
      </c>
      <c r="B2904" t="s">
        <v>34</v>
      </c>
      <c r="C2904" t="s">
        <v>11</v>
      </c>
      <c r="D2904">
        <v>48</v>
      </c>
      <c r="E2904" s="1">
        <v>44560</v>
      </c>
      <c r="F2904">
        <v>2021</v>
      </c>
      <c r="G2904" t="s">
        <v>5041</v>
      </c>
      <c r="H2904">
        <v>30</v>
      </c>
      <c r="I2904">
        <v>4.3499999999999996</v>
      </c>
      <c r="J2904">
        <v>12</v>
      </c>
      <c r="K2904">
        <v>6083.62</v>
      </c>
      <c r="L2904">
        <v>3.8</v>
      </c>
    </row>
    <row r="2905" spans="1:12" x14ac:dyDescent="0.3">
      <c r="A2905" t="s">
        <v>2920</v>
      </c>
      <c r="B2905" t="s">
        <v>16</v>
      </c>
      <c r="C2905" t="s">
        <v>11</v>
      </c>
      <c r="D2905">
        <v>59</v>
      </c>
      <c r="E2905" s="1">
        <v>44432</v>
      </c>
      <c r="F2905">
        <v>2021</v>
      </c>
      <c r="G2905" t="s">
        <v>5031</v>
      </c>
      <c r="H2905">
        <v>24</v>
      </c>
      <c r="I2905">
        <v>4.7300000000000004</v>
      </c>
      <c r="J2905">
        <v>14</v>
      </c>
      <c r="K2905">
        <v>4988.7700000000004</v>
      </c>
      <c r="L2905">
        <v>4.2</v>
      </c>
    </row>
    <row r="2906" spans="1:12" x14ac:dyDescent="0.3">
      <c r="A2906" t="s">
        <v>2921</v>
      </c>
      <c r="B2906" t="s">
        <v>16</v>
      </c>
      <c r="C2906" t="s">
        <v>11</v>
      </c>
      <c r="D2906">
        <v>24</v>
      </c>
      <c r="E2906" s="1">
        <v>42628</v>
      </c>
      <c r="F2906">
        <v>2016</v>
      </c>
      <c r="G2906" t="s">
        <v>5033</v>
      </c>
      <c r="H2906">
        <v>15</v>
      </c>
      <c r="I2906">
        <v>3.34</v>
      </c>
      <c r="J2906">
        <v>4</v>
      </c>
      <c r="K2906">
        <v>7435.24</v>
      </c>
      <c r="L2906">
        <v>9.1</v>
      </c>
    </row>
    <row r="2907" spans="1:12" x14ac:dyDescent="0.3">
      <c r="A2907" t="s">
        <v>2922</v>
      </c>
      <c r="B2907" t="s">
        <v>34</v>
      </c>
      <c r="C2907" t="s">
        <v>11</v>
      </c>
      <c r="D2907">
        <v>40</v>
      </c>
      <c r="E2907" s="1">
        <v>44611</v>
      </c>
      <c r="F2907">
        <v>2022</v>
      </c>
      <c r="G2907" t="s">
        <v>5042</v>
      </c>
      <c r="H2907">
        <v>19</v>
      </c>
      <c r="I2907">
        <v>4.6500000000000004</v>
      </c>
      <c r="J2907">
        <v>5</v>
      </c>
      <c r="K2907">
        <v>8391.58</v>
      </c>
      <c r="L2907">
        <v>3.7</v>
      </c>
    </row>
    <row r="2908" spans="1:12" x14ac:dyDescent="0.3">
      <c r="A2908" t="s">
        <v>2923</v>
      </c>
      <c r="B2908" t="s">
        <v>16</v>
      </c>
      <c r="C2908" t="s">
        <v>11</v>
      </c>
      <c r="D2908">
        <v>29</v>
      </c>
      <c r="E2908" s="1">
        <v>45316</v>
      </c>
      <c r="F2908">
        <v>2024</v>
      </c>
      <c r="G2908" t="s">
        <v>5037</v>
      </c>
      <c r="H2908">
        <v>25</v>
      </c>
      <c r="I2908">
        <v>3.79</v>
      </c>
      <c r="J2908">
        <v>3</v>
      </c>
      <c r="K2908">
        <v>14513.44</v>
      </c>
      <c r="L2908">
        <v>1.8</v>
      </c>
    </row>
    <row r="2909" spans="1:12" x14ac:dyDescent="0.3">
      <c r="A2909" t="s">
        <v>2924</v>
      </c>
      <c r="B2909" t="s">
        <v>10</v>
      </c>
      <c r="C2909" t="s">
        <v>14</v>
      </c>
      <c r="D2909">
        <v>31</v>
      </c>
      <c r="E2909" s="1">
        <v>41882</v>
      </c>
      <c r="F2909">
        <v>2014</v>
      </c>
      <c r="G2909" t="s">
        <v>5031</v>
      </c>
      <c r="H2909">
        <v>31</v>
      </c>
      <c r="I2909">
        <v>4.59</v>
      </c>
      <c r="J2909">
        <v>12</v>
      </c>
      <c r="K2909">
        <v>6067.55</v>
      </c>
      <c r="L2909">
        <v>11.2</v>
      </c>
    </row>
    <row r="2910" spans="1:12" x14ac:dyDescent="0.3">
      <c r="A2910" t="s">
        <v>2925</v>
      </c>
      <c r="B2910" t="s">
        <v>18</v>
      </c>
      <c r="C2910" t="s">
        <v>11</v>
      </c>
      <c r="D2910">
        <v>53</v>
      </c>
      <c r="E2910" s="1">
        <v>44301</v>
      </c>
      <c r="F2910">
        <v>2021</v>
      </c>
      <c r="G2910" t="s">
        <v>5040</v>
      </c>
      <c r="H2910">
        <v>15</v>
      </c>
      <c r="I2910">
        <v>4.45</v>
      </c>
      <c r="J2910">
        <v>2</v>
      </c>
      <c r="K2910">
        <v>9467.4</v>
      </c>
      <c r="L2910">
        <v>4.5999999999999996</v>
      </c>
    </row>
    <row r="2911" spans="1:12" x14ac:dyDescent="0.3">
      <c r="A2911" t="s">
        <v>2926</v>
      </c>
      <c r="B2911" t="s">
        <v>10</v>
      </c>
      <c r="C2911" t="s">
        <v>14</v>
      </c>
      <c r="D2911">
        <v>41</v>
      </c>
      <c r="E2911" s="1">
        <v>44955</v>
      </c>
      <c r="F2911">
        <v>2023</v>
      </c>
      <c r="G2911" t="s">
        <v>5037</v>
      </c>
      <c r="H2911">
        <v>29</v>
      </c>
      <c r="I2911">
        <v>2.17</v>
      </c>
      <c r="J2911">
        <v>9</v>
      </c>
      <c r="K2911">
        <v>4351.78</v>
      </c>
      <c r="L2911">
        <v>2.8</v>
      </c>
    </row>
    <row r="2912" spans="1:12" x14ac:dyDescent="0.3">
      <c r="A2912" t="s">
        <v>2927</v>
      </c>
      <c r="B2912" t="s">
        <v>10</v>
      </c>
      <c r="C2912" t="s">
        <v>11</v>
      </c>
      <c r="D2912">
        <v>28</v>
      </c>
      <c r="E2912" s="1">
        <v>44942</v>
      </c>
      <c r="F2912">
        <v>2023</v>
      </c>
      <c r="G2912" t="s">
        <v>5037</v>
      </c>
      <c r="H2912">
        <v>16</v>
      </c>
      <c r="I2912">
        <v>2</v>
      </c>
      <c r="J2912">
        <v>15</v>
      </c>
      <c r="K2912">
        <v>8566.2900000000009</v>
      </c>
      <c r="L2912">
        <v>2.8</v>
      </c>
    </row>
    <row r="2913" spans="1:12" x14ac:dyDescent="0.3">
      <c r="A2913" t="s">
        <v>2928</v>
      </c>
      <c r="B2913" t="s">
        <v>24</v>
      </c>
      <c r="C2913" t="s">
        <v>11</v>
      </c>
      <c r="D2913">
        <v>50</v>
      </c>
      <c r="E2913" s="1">
        <v>45204</v>
      </c>
      <c r="F2913">
        <v>2023</v>
      </c>
      <c r="G2913" t="s">
        <v>5039</v>
      </c>
      <c r="H2913">
        <v>5</v>
      </c>
      <c r="I2913">
        <v>4.54</v>
      </c>
      <c r="J2913">
        <v>6</v>
      </c>
      <c r="K2913">
        <v>5947.53</v>
      </c>
      <c r="L2913">
        <v>2.1</v>
      </c>
    </row>
    <row r="2914" spans="1:12" x14ac:dyDescent="0.3">
      <c r="A2914" t="s">
        <v>2929</v>
      </c>
      <c r="B2914" t="s">
        <v>16</v>
      </c>
      <c r="C2914" t="s">
        <v>14</v>
      </c>
      <c r="D2914">
        <v>32</v>
      </c>
      <c r="E2914" s="1">
        <v>42311</v>
      </c>
      <c r="F2914">
        <v>2015</v>
      </c>
      <c r="G2914" t="s">
        <v>5038</v>
      </c>
      <c r="H2914">
        <v>3</v>
      </c>
      <c r="I2914">
        <v>3.9</v>
      </c>
      <c r="J2914">
        <v>7</v>
      </c>
      <c r="K2914">
        <v>6455.23</v>
      </c>
      <c r="L2914">
        <v>10</v>
      </c>
    </row>
    <row r="2915" spans="1:12" x14ac:dyDescent="0.3">
      <c r="A2915" t="s">
        <v>2930</v>
      </c>
      <c r="B2915" t="s">
        <v>10</v>
      </c>
      <c r="C2915" t="s">
        <v>14</v>
      </c>
      <c r="D2915">
        <v>29</v>
      </c>
      <c r="E2915" s="1">
        <v>44400</v>
      </c>
      <c r="F2915">
        <v>2021</v>
      </c>
      <c r="G2915" t="s">
        <v>5034</v>
      </c>
      <c r="H2915">
        <v>23</v>
      </c>
      <c r="I2915">
        <v>3.19</v>
      </c>
      <c r="J2915">
        <v>3</v>
      </c>
      <c r="K2915">
        <v>9492.52</v>
      </c>
      <c r="L2915">
        <v>4.3</v>
      </c>
    </row>
    <row r="2916" spans="1:12" x14ac:dyDescent="0.3">
      <c r="A2916" t="s">
        <v>2931</v>
      </c>
      <c r="B2916" t="s">
        <v>18</v>
      </c>
      <c r="C2916" t="s">
        <v>11</v>
      </c>
      <c r="D2916">
        <v>40</v>
      </c>
      <c r="E2916" s="1">
        <v>44898</v>
      </c>
      <c r="F2916">
        <v>2022</v>
      </c>
      <c r="G2916" t="s">
        <v>5041</v>
      </c>
      <c r="H2916">
        <v>3</v>
      </c>
      <c r="I2916">
        <v>4.1900000000000004</v>
      </c>
      <c r="J2916">
        <v>0</v>
      </c>
      <c r="K2916">
        <v>5622.04</v>
      </c>
      <c r="L2916">
        <v>2.9</v>
      </c>
    </row>
    <row r="2917" spans="1:12" x14ac:dyDescent="0.3">
      <c r="A2917" t="s">
        <v>2932</v>
      </c>
      <c r="B2917" t="s">
        <v>18</v>
      </c>
      <c r="C2917" t="s">
        <v>14</v>
      </c>
      <c r="D2917">
        <v>39</v>
      </c>
      <c r="E2917" s="1">
        <v>42153</v>
      </c>
      <c r="F2917">
        <v>2015</v>
      </c>
      <c r="G2917" t="s">
        <v>5036</v>
      </c>
      <c r="H2917">
        <v>29</v>
      </c>
      <c r="I2917">
        <v>2.14</v>
      </c>
      <c r="J2917">
        <v>2</v>
      </c>
      <c r="K2917">
        <v>10353.31</v>
      </c>
      <c r="L2917">
        <v>10.4</v>
      </c>
    </row>
    <row r="2918" spans="1:12" x14ac:dyDescent="0.3">
      <c r="A2918" t="s">
        <v>2933</v>
      </c>
      <c r="B2918" t="s">
        <v>18</v>
      </c>
      <c r="C2918" t="s">
        <v>11</v>
      </c>
      <c r="D2918">
        <v>44</v>
      </c>
      <c r="E2918" s="1">
        <v>41534</v>
      </c>
      <c r="F2918">
        <v>2013</v>
      </c>
      <c r="G2918" t="s">
        <v>5033</v>
      </c>
      <c r="H2918">
        <v>17</v>
      </c>
      <c r="I2918">
        <v>3.78</v>
      </c>
      <c r="J2918">
        <v>5</v>
      </c>
      <c r="K2918">
        <v>10655.18</v>
      </c>
      <c r="L2918">
        <v>12.1</v>
      </c>
    </row>
    <row r="2919" spans="1:12" x14ac:dyDescent="0.3">
      <c r="A2919" t="s">
        <v>2934</v>
      </c>
      <c r="B2919" t="s">
        <v>34</v>
      </c>
      <c r="C2919" t="s">
        <v>14</v>
      </c>
      <c r="D2919">
        <v>31</v>
      </c>
      <c r="E2919" s="1">
        <v>41635</v>
      </c>
      <c r="F2919">
        <v>2013</v>
      </c>
      <c r="G2919" t="s">
        <v>5041</v>
      </c>
      <c r="H2919">
        <v>27</v>
      </c>
      <c r="I2919">
        <v>2.76</v>
      </c>
      <c r="J2919">
        <v>2</v>
      </c>
      <c r="K2919">
        <v>5445.62</v>
      </c>
      <c r="L2919">
        <v>11.9</v>
      </c>
    </row>
    <row r="2920" spans="1:12" x14ac:dyDescent="0.3">
      <c r="A2920" t="s">
        <v>2935</v>
      </c>
      <c r="B2920" t="s">
        <v>18</v>
      </c>
      <c r="C2920" t="s">
        <v>11</v>
      </c>
      <c r="D2920">
        <v>30</v>
      </c>
      <c r="E2920" s="1">
        <v>45431</v>
      </c>
      <c r="F2920">
        <v>2024</v>
      </c>
      <c r="G2920" t="s">
        <v>5036</v>
      </c>
      <c r="H2920">
        <v>19</v>
      </c>
      <c r="I2920">
        <v>4.53</v>
      </c>
      <c r="J2920">
        <v>5</v>
      </c>
      <c r="K2920">
        <v>12201.63</v>
      </c>
      <c r="L2920">
        <v>1.5</v>
      </c>
    </row>
    <row r="2921" spans="1:12" x14ac:dyDescent="0.3">
      <c r="A2921" t="s">
        <v>2936</v>
      </c>
      <c r="B2921" t="s">
        <v>10</v>
      </c>
      <c r="C2921" t="s">
        <v>11</v>
      </c>
      <c r="D2921">
        <v>38</v>
      </c>
      <c r="E2921" s="1">
        <v>42685</v>
      </c>
      <c r="F2921">
        <v>2016</v>
      </c>
      <c r="G2921" t="s">
        <v>5038</v>
      </c>
      <c r="H2921">
        <v>11</v>
      </c>
      <c r="I2921">
        <v>4.33</v>
      </c>
      <c r="J2921">
        <v>7</v>
      </c>
      <c r="K2921">
        <v>10966.27</v>
      </c>
      <c r="L2921">
        <v>9</v>
      </c>
    </row>
    <row r="2922" spans="1:12" x14ac:dyDescent="0.3">
      <c r="A2922" t="s">
        <v>2937</v>
      </c>
      <c r="B2922" t="s">
        <v>18</v>
      </c>
      <c r="C2922" t="s">
        <v>14</v>
      </c>
      <c r="D2922">
        <v>22</v>
      </c>
      <c r="E2922" s="1">
        <v>41622</v>
      </c>
      <c r="F2922">
        <v>2013</v>
      </c>
      <c r="G2922" t="s">
        <v>5041</v>
      </c>
      <c r="H2922">
        <v>14</v>
      </c>
      <c r="I2922">
        <v>2.98</v>
      </c>
      <c r="J2922">
        <v>0</v>
      </c>
      <c r="K2922">
        <v>7249.84</v>
      </c>
      <c r="L2922">
        <v>11.9</v>
      </c>
    </row>
    <row r="2923" spans="1:12" x14ac:dyDescent="0.3">
      <c r="A2923" t="s">
        <v>2938</v>
      </c>
      <c r="B2923" t="s">
        <v>13</v>
      </c>
      <c r="C2923" t="s">
        <v>11</v>
      </c>
      <c r="D2923">
        <v>60</v>
      </c>
      <c r="E2923" s="1">
        <v>42715</v>
      </c>
      <c r="F2923">
        <v>2016</v>
      </c>
      <c r="G2923" t="s">
        <v>5041</v>
      </c>
      <c r="H2923">
        <v>11</v>
      </c>
      <c r="I2923">
        <v>1.77</v>
      </c>
      <c r="J2923">
        <v>14</v>
      </c>
      <c r="K2923">
        <v>14153.45</v>
      </c>
      <c r="L2923">
        <v>8.9</v>
      </c>
    </row>
    <row r="2924" spans="1:12" x14ac:dyDescent="0.3">
      <c r="A2924" t="s">
        <v>2939</v>
      </c>
      <c r="B2924" t="s">
        <v>24</v>
      </c>
      <c r="C2924" t="s">
        <v>14</v>
      </c>
      <c r="D2924">
        <v>42</v>
      </c>
      <c r="E2924" s="1">
        <v>45953</v>
      </c>
      <c r="F2924">
        <v>2025</v>
      </c>
      <c r="G2924" t="s">
        <v>5039</v>
      </c>
      <c r="H2924">
        <v>23</v>
      </c>
      <c r="I2924">
        <v>4.63</v>
      </c>
      <c r="J2924">
        <v>12</v>
      </c>
      <c r="K2924">
        <v>11046.61</v>
      </c>
      <c r="L2924">
        <v>0</v>
      </c>
    </row>
    <row r="2925" spans="1:12" x14ac:dyDescent="0.3">
      <c r="A2925" t="s">
        <v>2940</v>
      </c>
      <c r="B2925" t="s">
        <v>18</v>
      </c>
      <c r="C2925" t="s">
        <v>11</v>
      </c>
      <c r="D2925">
        <v>41</v>
      </c>
      <c r="E2925" s="1">
        <v>42527</v>
      </c>
      <c r="F2925">
        <v>2016</v>
      </c>
      <c r="G2925" t="s">
        <v>5032</v>
      </c>
      <c r="H2925">
        <v>6</v>
      </c>
      <c r="I2925">
        <v>3.34</v>
      </c>
      <c r="J2925">
        <v>14</v>
      </c>
      <c r="K2925">
        <v>10879.51</v>
      </c>
      <c r="L2925">
        <v>9.4</v>
      </c>
    </row>
    <row r="2926" spans="1:12" x14ac:dyDescent="0.3">
      <c r="A2926" t="s">
        <v>2941</v>
      </c>
      <c r="B2926" t="s">
        <v>16</v>
      </c>
      <c r="C2926" t="s">
        <v>11</v>
      </c>
      <c r="D2926">
        <v>22</v>
      </c>
      <c r="E2926" s="1">
        <v>44618</v>
      </c>
      <c r="F2926">
        <v>2022</v>
      </c>
      <c r="G2926" t="s">
        <v>5042</v>
      </c>
      <c r="H2926">
        <v>26</v>
      </c>
      <c r="I2926">
        <v>4.4000000000000004</v>
      </c>
      <c r="J2926">
        <v>14</v>
      </c>
      <c r="K2926">
        <v>12938.03</v>
      </c>
      <c r="L2926">
        <v>3.7</v>
      </c>
    </row>
    <row r="2927" spans="1:12" x14ac:dyDescent="0.3">
      <c r="A2927" t="s">
        <v>2942</v>
      </c>
      <c r="B2927" t="s">
        <v>13</v>
      </c>
      <c r="C2927" t="s">
        <v>14</v>
      </c>
      <c r="D2927">
        <v>58</v>
      </c>
      <c r="E2927" s="1">
        <v>45812</v>
      </c>
      <c r="F2927">
        <v>2025</v>
      </c>
      <c r="G2927" t="s">
        <v>5032</v>
      </c>
      <c r="H2927">
        <v>4</v>
      </c>
      <c r="I2927">
        <v>2.0299999999999998</v>
      </c>
      <c r="J2927">
        <v>14</v>
      </c>
      <c r="K2927">
        <v>11555.84</v>
      </c>
      <c r="L2927">
        <v>0.4</v>
      </c>
    </row>
    <row r="2928" spans="1:12" x14ac:dyDescent="0.3">
      <c r="A2928" t="s">
        <v>2943</v>
      </c>
      <c r="B2928" t="s">
        <v>16</v>
      </c>
      <c r="C2928" t="s">
        <v>11</v>
      </c>
      <c r="D2928">
        <v>59</v>
      </c>
      <c r="E2928" s="1">
        <v>41991</v>
      </c>
      <c r="F2928">
        <v>2014</v>
      </c>
      <c r="G2928" t="s">
        <v>5041</v>
      </c>
      <c r="H2928">
        <v>18</v>
      </c>
      <c r="I2928">
        <v>1.94</v>
      </c>
      <c r="J2928">
        <v>1</v>
      </c>
      <c r="K2928">
        <v>12376.66</v>
      </c>
      <c r="L2928">
        <v>10.9</v>
      </c>
    </row>
    <row r="2929" spans="1:12" x14ac:dyDescent="0.3">
      <c r="A2929" t="s">
        <v>2944</v>
      </c>
      <c r="B2929" t="s">
        <v>16</v>
      </c>
      <c r="C2929" t="s">
        <v>14</v>
      </c>
      <c r="D2929">
        <v>39</v>
      </c>
      <c r="E2929" s="1">
        <v>43372</v>
      </c>
      <c r="F2929">
        <v>2018</v>
      </c>
      <c r="G2929" t="s">
        <v>5033</v>
      </c>
      <c r="H2929">
        <v>29</v>
      </c>
      <c r="I2929">
        <v>2.09</v>
      </c>
      <c r="J2929">
        <v>3</v>
      </c>
      <c r="K2929">
        <v>6953.52</v>
      </c>
      <c r="L2929">
        <v>7.1</v>
      </c>
    </row>
    <row r="2930" spans="1:12" x14ac:dyDescent="0.3">
      <c r="A2930" t="s">
        <v>2945</v>
      </c>
      <c r="B2930" t="s">
        <v>18</v>
      </c>
      <c r="C2930" t="s">
        <v>14</v>
      </c>
      <c r="D2930">
        <v>25</v>
      </c>
      <c r="E2930" s="1">
        <v>45354</v>
      </c>
      <c r="F2930">
        <v>2024</v>
      </c>
      <c r="G2930" t="s">
        <v>5035</v>
      </c>
      <c r="H2930">
        <v>3</v>
      </c>
      <c r="I2930">
        <v>4.7300000000000004</v>
      </c>
      <c r="J2930">
        <v>13</v>
      </c>
      <c r="K2930">
        <v>9447.33</v>
      </c>
      <c r="L2930">
        <v>1.7</v>
      </c>
    </row>
    <row r="2931" spans="1:12" x14ac:dyDescent="0.3">
      <c r="A2931" t="s">
        <v>2946</v>
      </c>
      <c r="B2931" t="s">
        <v>34</v>
      </c>
      <c r="C2931" t="s">
        <v>11</v>
      </c>
      <c r="D2931">
        <v>39</v>
      </c>
      <c r="E2931" s="1">
        <v>41925</v>
      </c>
      <c r="F2931">
        <v>2014</v>
      </c>
      <c r="G2931" t="s">
        <v>5039</v>
      </c>
      <c r="H2931">
        <v>13</v>
      </c>
      <c r="I2931">
        <v>4.0999999999999996</v>
      </c>
      <c r="J2931">
        <v>1</v>
      </c>
      <c r="K2931">
        <v>8637.8799999999992</v>
      </c>
      <c r="L2931">
        <v>11.1</v>
      </c>
    </row>
    <row r="2932" spans="1:12" x14ac:dyDescent="0.3">
      <c r="A2932" t="s">
        <v>2947</v>
      </c>
      <c r="B2932" t="s">
        <v>34</v>
      </c>
      <c r="C2932" t="s">
        <v>14</v>
      </c>
      <c r="D2932">
        <v>49</v>
      </c>
      <c r="E2932" s="1">
        <v>40642</v>
      </c>
      <c r="F2932">
        <v>2011</v>
      </c>
      <c r="G2932" t="s">
        <v>5040</v>
      </c>
      <c r="H2932">
        <v>9</v>
      </c>
      <c r="I2932">
        <v>3.73</v>
      </c>
      <c r="J2932">
        <v>7</v>
      </c>
      <c r="K2932">
        <v>11059.13</v>
      </c>
      <c r="L2932">
        <v>14.6</v>
      </c>
    </row>
    <row r="2933" spans="1:12" x14ac:dyDescent="0.3">
      <c r="A2933" t="s">
        <v>2948</v>
      </c>
      <c r="B2933" t="s">
        <v>13</v>
      </c>
      <c r="C2933" t="s">
        <v>11</v>
      </c>
      <c r="D2933">
        <v>36</v>
      </c>
      <c r="E2933" s="1">
        <v>42832</v>
      </c>
      <c r="F2933">
        <v>2017</v>
      </c>
      <c r="G2933" t="s">
        <v>5040</v>
      </c>
      <c r="H2933">
        <v>7</v>
      </c>
      <c r="I2933">
        <v>3.36</v>
      </c>
      <c r="J2933">
        <v>6</v>
      </c>
      <c r="K2933">
        <v>3871.24</v>
      </c>
      <c r="L2933">
        <v>8.6</v>
      </c>
    </row>
    <row r="2934" spans="1:12" x14ac:dyDescent="0.3">
      <c r="A2934" t="s">
        <v>2949</v>
      </c>
      <c r="B2934" t="s">
        <v>18</v>
      </c>
      <c r="C2934" t="s">
        <v>11</v>
      </c>
      <c r="D2934">
        <v>38</v>
      </c>
      <c r="E2934" s="1">
        <v>44197</v>
      </c>
      <c r="F2934">
        <v>2021</v>
      </c>
      <c r="G2934" t="s">
        <v>5037</v>
      </c>
      <c r="H2934">
        <v>1</v>
      </c>
      <c r="I2934">
        <v>3.21</v>
      </c>
      <c r="J2934">
        <v>13</v>
      </c>
      <c r="K2934">
        <v>14141.42</v>
      </c>
      <c r="L2934">
        <v>4.8</v>
      </c>
    </row>
    <row r="2935" spans="1:12" x14ac:dyDescent="0.3">
      <c r="A2935" t="s">
        <v>2950</v>
      </c>
      <c r="B2935" t="s">
        <v>18</v>
      </c>
      <c r="C2935" t="s">
        <v>11</v>
      </c>
      <c r="D2935">
        <v>34</v>
      </c>
      <c r="E2935" s="1">
        <v>41719</v>
      </c>
      <c r="F2935">
        <v>2014</v>
      </c>
      <c r="G2935" t="s">
        <v>5035</v>
      </c>
      <c r="H2935">
        <v>21</v>
      </c>
      <c r="I2935">
        <v>3.35</v>
      </c>
      <c r="J2935">
        <v>13</v>
      </c>
      <c r="K2935">
        <v>12166.88</v>
      </c>
      <c r="L2935">
        <v>11.6</v>
      </c>
    </row>
    <row r="2936" spans="1:12" x14ac:dyDescent="0.3">
      <c r="A2936" t="s">
        <v>2951</v>
      </c>
      <c r="B2936" t="s">
        <v>34</v>
      </c>
      <c r="C2936" t="s">
        <v>11</v>
      </c>
      <c r="D2936">
        <v>58</v>
      </c>
      <c r="E2936" s="1">
        <v>40233</v>
      </c>
      <c r="F2936">
        <v>2010</v>
      </c>
      <c r="G2936" t="s">
        <v>5042</v>
      </c>
      <c r="H2936">
        <v>24</v>
      </c>
      <c r="I2936">
        <v>1.56</v>
      </c>
      <c r="J2936">
        <v>6</v>
      </c>
      <c r="K2936">
        <v>11363.49</v>
      </c>
      <c r="L2936">
        <v>15.7</v>
      </c>
    </row>
    <row r="2937" spans="1:12" x14ac:dyDescent="0.3">
      <c r="A2937" t="s">
        <v>2952</v>
      </c>
      <c r="B2937" t="s">
        <v>34</v>
      </c>
      <c r="C2937" t="s">
        <v>11</v>
      </c>
      <c r="D2937">
        <v>24</v>
      </c>
      <c r="E2937" s="1">
        <v>44966</v>
      </c>
      <c r="F2937">
        <v>2023</v>
      </c>
      <c r="G2937" t="s">
        <v>5042</v>
      </c>
      <c r="H2937">
        <v>9</v>
      </c>
      <c r="I2937">
        <v>3.33</v>
      </c>
      <c r="J2937">
        <v>12</v>
      </c>
      <c r="K2937">
        <v>3636.2</v>
      </c>
      <c r="L2937">
        <v>2.7</v>
      </c>
    </row>
    <row r="2938" spans="1:12" x14ac:dyDescent="0.3">
      <c r="A2938" t="s">
        <v>2953</v>
      </c>
      <c r="B2938" t="s">
        <v>24</v>
      </c>
      <c r="C2938" t="s">
        <v>14</v>
      </c>
      <c r="D2938">
        <v>25</v>
      </c>
      <c r="E2938" s="1">
        <v>44818</v>
      </c>
      <c r="F2938">
        <v>2022</v>
      </c>
      <c r="G2938" t="s">
        <v>5033</v>
      </c>
      <c r="H2938">
        <v>14</v>
      </c>
      <c r="I2938">
        <v>4.72</v>
      </c>
      <c r="J2938">
        <v>2</v>
      </c>
      <c r="K2938">
        <v>11088.32</v>
      </c>
      <c r="L2938">
        <v>3.1</v>
      </c>
    </row>
    <row r="2939" spans="1:12" x14ac:dyDescent="0.3">
      <c r="A2939" t="s">
        <v>2954</v>
      </c>
      <c r="B2939" t="s">
        <v>34</v>
      </c>
      <c r="C2939" t="s">
        <v>14</v>
      </c>
      <c r="D2939">
        <v>55</v>
      </c>
      <c r="E2939" s="1">
        <v>43168</v>
      </c>
      <c r="F2939">
        <v>2018</v>
      </c>
      <c r="G2939" t="s">
        <v>5035</v>
      </c>
      <c r="H2939">
        <v>9</v>
      </c>
      <c r="I2939">
        <v>3.38</v>
      </c>
      <c r="J2939">
        <v>13</v>
      </c>
      <c r="K2939">
        <v>12959.16</v>
      </c>
      <c r="L2939">
        <v>7.7</v>
      </c>
    </row>
    <row r="2940" spans="1:12" x14ac:dyDescent="0.3">
      <c r="A2940" t="s">
        <v>2955</v>
      </c>
      <c r="B2940" t="s">
        <v>10</v>
      </c>
      <c r="C2940" t="s">
        <v>11</v>
      </c>
      <c r="D2940">
        <v>54</v>
      </c>
      <c r="E2940" s="1">
        <v>43970</v>
      </c>
      <c r="F2940">
        <v>2020</v>
      </c>
      <c r="G2940" t="s">
        <v>5036</v>
      </c>
      <c r="H2940">
        <v>19</v>
      </c>
      <c r="I2940">
        <v>1.96</v>
      </c>
      <c r="J2940">
        <v>2</v>
      </c>
      <c r="K2940">
        <v>10916.21</v>
      </c>
      <c r="L2940">
        <v>5.5</v>
      </c>
    </row>
    <row r="2941" spans="1:12" x14ac:dyDescent="0.3">
      <c r="A2941" t="s">
        <v>2956</v>
      </c>
      <c r="B2941" t="s">
        <v>18</v>
      </c>
      <c r="C2941" t="s">
        <v>11</v>
      </c>
      <c r="D2941">
        <v>48</v>
      </c>
      <c r="E2941" s="1">
        <v>45369</v>
      </c>
      <c r="F2941">
        <v>2024</v>
      </c>
      <c r="G2941" t="s">
        <v>5035</v>
      </c>
      <c r="H2941">
        <v>18</v>
      </c>
      <c r="I2941">
        <v>1.89</v>
      </c>
      <c r="J2941">
        <v>8</v>
      </c>
      <c r="K2941">
        <v>5426.11</v>
      </c>
      <c r="L2941">
        <v>1.6</v>
      </c>
    </row>
    <row r="2942" spans="1:12" x14ac:dyDescent="0.3">
      <c r="A2942" t="s">
        <v>2957</v>
      </c>
      <c r="B2942" t="s">
        <v>10</v>
      </c>
      <c r="C2942" t="s">
        <v>11</v>
      </c>
      <c r="D2942">
        <v>57</v>
      </c>
      <c r="E2942" s="1">
        <v>40683</v>
      </c>
      <c r="F2942">
        <v>2011</v>
      </c>
      <c r="G2942" t="s">
        <v>5036</v>
      </c>
      <c r="H2942">
        <v>20</v>
      </c>
      <c r="I2942">
        <v>4.32</v>
      </c>
      <c r="J2942">
        <v>0</v>
      </c>
      <c r="K2942">
        <v>11039.44</v>
      </c>
      <c r="L2942">
        <v>14.5</v>
      </c>
    </row>
    <row r="2943" spans="1:12" x14ac:dyDescent="0.3">
      <c r="A2943" t="s">
        <v>2958</v>
      </c>
      <c r="B2943" t="s">
        <v>24</v>
      </c>
      <c r="C2943" t="s">
        <v>11</v>
      </c>
      <c r="D2943">
        <v>60</v>
      </c>
      <c r="E2943" s="1">
        <v>44462</v>
      </c>
      <c r="F2943">
        <v>2021</v>
      </c>
      <c r="G2943" t="s">
        <v>5033</v>
      </c>
      <c r="H2943">
        <v>23</v>
      </c>
      <c r="I2943">
        <v>3.68</v>
      </c>
      <c r="J2943">
        <v>7</v>
      </c>
      <c r="K2943">
        <v>7468.87</v>
      </c>
      <c r="L2943">
        <v>4.0999999999999996</v>
      </c>
    </row>
    <row r="2944" spans="1:12" x14ac:dyDescent="0.3">
      <c r="A2944" t="s">
        <v>2959</v>
      </c>
      <c r="B2944" t="s">
        <v>10</v>
      </c>
      <c r="C2944" t="s">
        <v>14</v>
      </c>
      <c r="D2944">
        <v>32</v>
      </c>
      <c r="E2944" s="1">
        <v>43348</v>
      </c>
      <c r="F2944">
        <v>2018</v>
      </c>
      <c r="G2944" t="s">
        <v>5033</v>
      </c>
      <c r="H2944">
        <v>5</v>
      </c>
      <c r="I2944">
        <v>3.05</v>
      </c>
      <c r="J2944">
        <v>12</v>
      </c>
      <c r="K2944">
        <v>3679.31</v>
      </c>
      <c r="L2944">
        <v>7.2</v>
      </c>
    </row>
    <row r="2945" spans="1:12" x14ac:dyDescent="0.3">
      <c r="A2945" t="s">
        <v>2960</v>
      </c>
      <c r="B2945" t="s">
        <v>13</v>
      </c>
      <c r="C2945" t="s">
        <v>11</v>
      </c>
      <c r="D2945">
        <v>55</v>
      </c>
      <c r="E2945" s="1">
        <v>45763</v>
      </c>
      <c r="F2945">
        <v>2025</v>
      </c>
      <c r="G2945" t="s">
        <v>5040</v>
      </c>
      <c r="H2945">
        <v>16</v>
      </c>
      <c r="I2945">
        <v>2.2200000000000002</v>
      </c>
      <c r="J2945">
        <v>3</v>
      </c>
      <c r="K2945">
        <v>7132.55</v>
      </c>
      <c r="L2945">
        <v>0.5</v>
      </c>
    </row>
    <row r="2946" spans="1:12" x14ac:dyDescent="0.3">
      <c r="A2946" t="s">
        <v>2961</v>
      </c>
      <c r="B2946" t="s">
        <v>34</v>
      </c>
      <c r="C2946" t="s">
        <v>14</v>
      </c>
      <c r="D2946">
        <v>28</v>
      </c>
      <c r="E2946" s="1">
        <v>42662</v>
      </c>
      <c r="F2946">
        <v>2016</v>
      </c>
      <c r="G2946" t="s">
        <v>5039</v>
      </c>
      <c r="H2946">
        <v>19</v>
      </c>
      <c r="I2946">
        <v>4.83</v>
      </c>
      <c r="J2946">
        <v>14</v>
      </c>
      <c r="K2946">
        <v>13433.61</v>
      </c>
      <c r="L2946">
        <v>9</v>
      </c>
    </row>
    <row r="2947" spans="1:12" x14ac:dyDescent="0.3">
      <c r="A2947" t="s">
        <v>2962</v>
      </c>
      <c r="B2947" t="s">
        <v>13</v>
      </c>
      <c r="C2947" t="s">
        <v>11</v>
      </c>
      <c r="D2947">
        <v>38</v>
      </c>
      <c r="E2947" s="1">
        <v>44539</v>
      </c>
      <c r="F2947">
        <v>2021</v>
      </c>
      <c r="G2947" t="s">
        <v>5041</v>
      </c>
      <c r="H2947">
        <v>9</v>
      </c>
      <c r="I2947">
        <v>2</v>
      </c>
      <c r="J2947">
        <v>10</v>
      </c>
      <c r="K2947">
        <v>14780.73</v>
      </c>
      <c r="L2947">
        <v>3.9</v>
      </c>
    </row>
    <row r="2948" spans="1:12" x14ac:dyDescent="0.3">
      <c r="A2948" t="s">
        <v>2963</v>
      </c>
      <c r="B2948" t="s">
        <v>10</v>
      </c>
      <c r="C2948" t="s">
        <v>11</v>
      </c>
      <c r="D2948">
        <v>38</v>
      </c>
      <c r="E2948" s="1">
        <v>41031</v>
      </c>
      <c r="F2948">
        <v>2012</v>
      </c>
      <c r="G2948" t="s">
        <v>5036</v>
      </c>
      <c r="H2948">
        <v>2</v>
      </c>
      <c r="I2948">
        <v>3.28</v>
      </c>
      <c r="J2948">
        <v>6</v>
      </c>
      <c r="K2948">
        <v>4418.43</v>
      </c>
      <c r="L2948">
        <v>13.5</v>
      </c>
    </row>
    <row r="2949" spans="1:12" x14ac:dyDescent="0.3">
      <c r="A2949" t="s">
        <v>2964</v>
      </c>
      <c r="B2949" t="s">
        <v>10</v>
      </c>
      <c r="C2949" t="s">
        <v>14</v>
      </c>
      <c r="D2949">
        <v>55</v>
      </c>
      <c r="E2949" s="1">
        <v>45055</v>
      </c>
      <c r="F2949">
        <v>2023</v>
      </c>
      <c r="G2949" t="s">
        <v>5036</v>
      </c>
      <c r="H2949">
        <v>9</v>
      </c>
      <c r="I2949">
        <v>2.33</v>
      </c>
      <c r="J2949">
        <v>11</v>
      </c>
      <c r="K2949">
        <v>9540.5400000000009</v>
      </c>
      <c r="L2949">
        <v>2.5</v>
      </c>
    </row>
    <row r="2950" spans="1:12" x14ac:dyDescent="0.3">
      <c r="A2950" t="s">
        <v>2965</v>
      </c>
      <c r="B2950" t="s">
        <v>18</v>
      </c>
      <c r="C2950" t="s">
        <v>11</v>
      </c>
      <c r="D2950">
        <v>60</v>
      </c>
      <c r="E2950" s="1">
        <v>41858</v>
      </c>
      <c r="F2950">
        <v>2014</v>
      </c>
      <c r="G2950" t="s">
        <v>5031</v>
      </c>
      <c r="H2950">
        <v>7</v>
      </c>
      <c r="I2950">
        <v>2.16</v>
      </c>
      <c r="J2950">
        <v>10</v>
      </c>
      <c r="K2950">
        <v>5273.27</v>
      </c>
      <c r="L2950">
        <v>11.2</v>
      </c>
    </row>
    <row r="2951" spans="1:12" x14ac:dyDescent="0.3">
      <c r="A2951" t="s">
        <v>2966</v>
      </c>
      <c r="B2951" t="s">
        <v>16</v>
      </c>
      <c r="C2951" t="s">
        <v>11</v>
      </c>
      <c r="D2951">
        <v>46</v>
      </c>
      <c r="E2951" s="1">
        <v>44180</v>
      </c>
      <c r="F2951">
        <v>2020</v>
      </c>
      <c r="G2951" t="s">
        <v>5041</v>
      </c>
      <c r="H2951">
        <v>15</v>
      </c>
      <c r="I2951">
        <v>2.0699999999999998</v>
      </c>
      <c r="J2951">
        <v>14</v>
      </c>
      <c r="K2951">
        <v>9155.99</v>
      </c>
      <c r="L2951">
        <v>4.9000000000000004</v>
      </c>
    </row>
    <row r="2952" spans="1:12" x14ac:dyDescent="0.3">
      <c r="A2952" t="s">
        <v>2967</v>
      </c>
      <c r="B2952" t="s">
        <v>34</v>
      </c>
      <c r="C2952" t="s">
        <v>11</v>
      </c>
      <c r="D2952">
        <v>25</v>
      </c>
      <c r="E2952" s="1">
        <v>45318</v>
      </c>
      <c r="F2952">
        <v>2024</v>
      </c>
      <c r="G2952" t="s">
        <v>5037</v>
      </c>
      <c r="H2952">
        <v>27</v>
      </c>
      <c r="I2952">
        <v>4.3</v>
      </c>
      <c r="J2952">
        <v>10</v>
      </c>
      <c r="K2952">
        <v>13707.43</v>
      </c>
      <c r="L2952">
        <v>1.8</v>
      </c>
    </row>
    <row r="2953" spans="1:12" x14ac:dyDescent="0.3">
      <c r="A2953" t="s">
        <v>2968</v>
      </c>
      <c r="B2953" t="s">
        <v>16</v>
      </c>
      <c r="C2953" t="s">
        <v>11</v>
      </c>
      <c r="D2953">
        <v>58</v>
      </c>
      <c r="E2953" s="1">
        <v>45095</v>
      </c>
      <c r="F2953">
        <v>2023</v>
      </c>
      <c r="G2953" t="s">
        <v>5032</v>
      </c>
      <c r="H2953">
        <v>18</v>
      </c>
      <c r="I2953">
        <v>2.4500000000000002</v>
      </c>
      <c r="J2953">
        <v>14</v>
      </c>
      <c r="K2953">
        <v>12728.58</v>
      </c>
      <c r="L2953">
        <v>2.4</v>
      </c>
    </row>
    <row r="2954" spans="1:12" x14ac:dyDescent="0.3">
      <c r="A2954" t="s">
        <v>2969</v>
      </c>
      <c r="B2954" t="s">
        <v>34</v>
      </c>
      <c r="C2954" t="s">
        <v>14</v>
      </c>
      <c r="D2954">
        <v>26</v>
      </c>
      <c r="E2954" s="1">
        <v>41586</v>
      </c>
      <c r="F2954">
        <v>2013</v>
      </c>
      <c r="G2954" t="s">
        <v>5038</v>
      </c>
      <c r="H2954">
        <v>8</v>
      </c>
      <c r="I2954">
        <v>4.32</v>
      </c>
      <c r="J2954">
        <v>6</v>
      </c>
      <c r="K2954">
        <v>5850.83</v>
      </c>
      <c r="L2954">
        <v>12</v>
      </c>
    </row>
    <row r="2955" spans="1:12" x14ac:dyDescent="0.3">
      <c r="A2955" t="s">
        <v>2970</v>
      </c>
      <c r="B2955" t="s">
        <v>34</v>
      </c>
      <c r="C2955" t="s">
        <v>14</v>
      </c>
      <c r="D2955">
        <v>26</v>
      </c>
      <c r="E2955" s="1">
        <v>40337</v>
      </c>
      <c r="F2955">
        <v>2010</v>
      </c>
      <c r="G2955" t="s">
        <v>5032</v>
      </c>
      <c r="H2955">
        <v>8</v>
      </c>
      <c r="I2955">
        <v>2.54</v>
      </c>
      <c r="J2955">
        <v>11</v>
      </c>
      <c r="K2955">
        <v>8615.34</v>
      </c>
      <c r="L2955">
        <v>15.4</v>
      </c>
    </row>
    <row r="2956" spans="1:12" x14ac:dyDescent="0.3">
      <c r="A2956" t="s">
        <v>2971</v>
      </c>
      <c r="B2956" t="s">
        <v>13</v>
      </c>
      <c r="C2956" t="s">
        <v>11</v>
      </c>
      <c r="D2956">
        <v>23</v>
      </c>
      <c r="E2956" s="1">
        <v>41025</v>
      </c>
      <c r="F2956">
        <v>2012</v>
      </c>
      <c r="G2956" t="s">
        <v>5040</v>
      </c>
      <c r="H2956">
        <v>26</v>
      </c>
      <c r="I2956">
        <v>3.31</v>
      </c>
      <c r="J2956">
        <v>7</v>
      </c>
      <c r="K2956">
        <v>13365.8</v>
      </c>
      <c r="L2956">
        <v>13.5</v>
      </c>
    </row>
    <row r="2957" spans="1:12" x14ac:dyDescent="0.3">
      <c r="A2957" t="s">
        <v>2972</v>
      </c>
      <c r="B2957" t="s">
        <v>34</v>
      </c>
      <c r="C2957" t="s">
        <v>14</v>
      </c>
      <c r="D2957">
        <v>43</v>
      </c>
      <c r="E2957" s="1">
        <v>42020</v>
      </c>
      <c r="F2957">
        <v>2015</v>
      </c>
      <c r="G2957" t="s">
        <v>5037</v>
      </c>
      <c r="H2957">
        <v>16</v>
      </c>
      <c r="I2957">
        <v>2.48</v>
      </c>
      <c r="J2957">
        <v>10</v>
      </c>
      <c r="K2957">
        <v>12248.74</v>
      </c>
      <c r="L2957">
        <v>10.8</v>
      </c>
    </row>
    <row r="2958" spans="1:12" x14ac:dyDescent="0.3">
      <c r="A2958" t="s">
        <v>2973</v>
      </c>
      <c r="B2958" t="s">
        <v>10</v>
      </c>
      <c r="C2958" t="s">
        <v>11</v>
      </c>
      <c r="D2958">
        <v>54</v>
      </c>
      <c r="E2958" s="1">
        <v>43630</v>
      </c>
      <c r="F2958">
        <v>2019</v>
      </c>
      <c r="G2958" t="s">
        <v>5032</v>
      </c>
      <c r="H2958">
        <v>14</v>
      </c>
      <c r="I2958">
        <v>2.1800000000000002</v>
      </c>
      <c r="J2958">
        <v>15</v>
      </c>
      <c r="K2958">
        <v>14907.16</v>
      </c>
      <c r="L2958">
        <v>6.4</v>
      </c>
    </row>
    <row r="2959" spans="1:12" x14ac:dyDescent="0.3">
      <c r="A2959" t="s">
        <v>2974</v>
      </c>
      <c r="B2959" t="s">
        <v>13</v>
      </c>
      <c r="C2959" t="s">
        <v>14</v>
      </c>
      <c r="D2959">
        <v>36</v>
      </c>
      <c r="E2959" s="1">
        <v>41844</v>
      </c>
      <c r="F2959">
        <v>2014</v>
      </c>
      <c r="G2959" t="s">
        <v>5034</v>
      </c>
      <c r="H2959">
        <v>24</v>
      </c>
      <c r="I2959">
        <v>2.41</v>
      </c>
      <c r="J2959">
        <v>1</v>
      </c>
      <c r="K2959">
        <v>4811.51</v>
      </c>
      <c r="L2959">
        <v>11.3</v>
      </c>
    </row>
    <row r="2960" spans="1:12" x14ac:dyDescent="0.3">
      <c r="A2960" t="s">
        <v>2975</v>
      </c>
      <c r="B2960" t="s">
        <v>16</v>
      </c>
      <c r="C2960" t="s">
        <v>14</v>
      </c>
      <c r="D2960">
        <v>48</v>
      </c>
      <c r="E2960" s="1">
        <v>40543</v>
      </c>
      <c r="F2960">
        <v>2010</v>
      </c>
      <c r="G2960" t="s">
        <v>5041</v>
      </c>
      <c r="H2960">
        <v>31</v>
      </c>
      <c r="I2960">
        <v>2.31</v>
      </c>
      <c r="J2960">
        <v>15</v>
      </c>
      <c r="K2960">
        <v>14498.06</v>
      </c>
      <c r="L2960">
        <v>14.8</v>
      </c>
    </row>
    <row r="2961" spans="1:12" x14ac:dyDescent="0.3">
      <c r="A2961" t="s">
        <v>2976</v>
      </c>
      <c r="B2961" t="s">
        <v>18</v>
      </c>
      <c r="C2961" t="s">
        <v>11</v>
      </c>
      <c r="D2961">
        <v>30</v>
      </c>
      <c r="E2961" s="1">
        <v>44480</v>
      </c>
      <c r="F2961">
        <v>2021</v>
      </c>
      <c r="G2961" t="s">
        <v>5039</v>
      </c>
      <c r="H2961">
        <v>11</v>
      </c>
      <c r="I2961">
        <v>4.18</v>
      </c>
      <c r="J2961">
        <v>5</v>
      </c>
      <c r="K2961">
        <v>5109.5</v>
      </c>
      <c r="L2961">
        <v>4.0999999999999996</v>
      </c>
    </row>
    <row r="2962" spans="1:12" x14ac:dyDescent="0.3">
      <c r="A2962" t="s">
        <v>2977</v>
      </c>
      <c r="B2962" t="s">
        <v>24</v>
      </c>
      <c r="C2962" t="s">
        <v>11</v>
      </c>
      <c r="D2962">
        <v>47</v>
      </c>
      <c r="E2962" s="1">
        <v>43208</v>
      </c>
      <c r="F2962">
        <v>2018</v>
      </c>
      <c r="G2962" t="s">
        <v>5040</v>
      </c>
      <c r="H2962">
        <v>18</v>
      </c>
      <c r="I2962">
        <v>3.43</v>
      </c>
      <c r="J2962">
        <v>4</v>
      </c>
      <c r="K2962">
        <v>11307.4</v>
      </c>
      <c r="L2962">
        <v>7.5</v>
      </c>
    </row>
    <row r="2963" spans="1:12" x14ac:dyDescent="0.3">
      <c r="A2963" t="s">
        <v>2978</v>
      </c>
      <c r="B2963" t="s">
        <v>10</v>
      </c>
      <c r="C2963" t="s">
        <v>14</v>
      </c>
      <c r="D2963">
        <v>44</v>
      </c>
      <c r="E2963" s="1">
        <v>41970</v>
      </c>
      <c r="F2963">
        <v>2014</v>
      </c>
      <c r="G2963" t="s">
        <v>5038</v>
      </c>
      <c r="H2963">
        <v>27</v>
      </c>
      <c r="I2963">
        <v>1.99</v>
      </c>
      <c r="J2963">
        <v>13</v>
      </c>
      <c r="K2963">
        <v>12676.87</v>
      </c>
      <c r="L2963">
        <v>10.9</v>
      </c>
    </row>
    <row r="2964" spans="1:12" x14ac:dyDescent="0.3">
      <c r="A2964" t="s">
        <v>2979</v>
      </c>
      <c r="B2964" t="s">
        <v>18</v>
      </c>
      <c r="C2964" t="s">
        <v>14</v>
      </c>
      <c r="D2964">
        <v>24</v>
      </c>
      <c r="E2964" s="1">
        <v>43387</v>
      </c>
      <c r="F2964">
        <v>2018</v>
      </c>
      <c r="G2964" t="s">
        <v>5039</v>
      </c>
      <c r="H2964">
        <v>14</v>
      </c>
      <c r="I2964">
        <v>2.0499999999999998</v>
      </c>
      <c r="J2964">
        <v>7</v>
      </c>
      <c r="K2964">
        <v>3195.02</v>
      </c>
      <c r="L2964">
        <v>7.1</v>
      </c>
    </row>
    <row r="2965" spans="1:12" x14ac:dyDescent="0.3">
      <c r="A2965" t="s">
        <v>2980</v>
      </c>
      <c r="B2965" t="s">
        <v>24</v>
      </c>
      <c r="C2965" t="s">
        <v>11</v>
      </c>
      <c r="D2965">
        <v>50</v>
      </c>
      <c r="E2965" s="1">
        <v>41666</v>
      </c>
      <c r="F2965">
        <v>2014</v>
      </c>
      <c r="G2965" t="s">
        <v>5037</v>
      </c>
      <c r="H2965">
        <v>27</v>
      </c>
      <c r="I2965">
        <v>4.51</v>
      </c>
      <c r="J2965">
        <v>8</v>
      </c>
      <c r="K2965">
        <v>10612.98</v>
      </c>
      <c r="L2965">
        <v>11.8</v>
      </c>
    </row>
    <row r="2966" spans="1:12" x14ac:dyDescent="0.3">
      <c r="A2966" t="s">
        <v>2981</v>
      </c>
      <c r="B2966" t="s">
        <v>16</v>
      </c>
      <c r="C2966" t="s">
        <v>11</v>
      </c>
      <c r="D2966">
        <v>40</v>
      </c>
      <c r="E2966" s="1">
        <v>42671</v>
      </c>
      <c r="F2966">
        <v>2016</v>
      </c>
      <c r="G2966" t="s">
        <v>5039</v>
      </c>
      <c r="H2966">
        <v>28</v>
      </c>
      <c r="I2966">
        <v>2.06</v>
      </c>
      <c r="J2966">
        <v>5</v>
      </c>
      <c r="K2966">
        <v>8997.3799999999992</v>
      </c>
      <c r="L2966">
        <v>9</v>
      </c>
    </row>
    <row r="2967" spans="1:12" x14ac:dyDescent="0.3">
      <c r="A2967" t="s">
        <v>2982</v>
      </c>
      <c r="B2967" t="s">
        <v>34</v>
      </c>
      <c r="C2967" t="s">
        <v>14</v>
      </c>
      <c r="D2967">
        <v>43</v>
      </c>
      <c r="E2967" s="1">
        <v>44644</v>
      </c>
      <c r="F2967">
        <v>2022</v>
      </c>
      <c r="G2967" t="s">
        <v>5035</v>
      </c>
      <c r="H2967">
        <v>24</v>
      </c>
      <c r="I2967">
        <v>3.99</v>
      </c>
      <c r="J2967">
        <v>11</v>
      </c>
      <c r="K2967">
        <v>9270.43</v>
      </c>
      <c r="L2967">
        <v>3.6</v>
      </c>
    </row>
    <row r="2968" spans="1:12" x14ac:dyDescent="0.3">
      <c r="A2968" t="s">
        <v>2983</v>
      </c>
      <c r="B2968" t="s">
        <v>34</v>
      </c>
      <c r="C2968" t="s">
        <v>11</v>
      </c>
      <c r="D2968">
        <v>40</v>
      </c>
      <c r="E2968" s="1">
        <v>40743</v>
      </c>
      <c r="F2968">
        <v>2011</v>
      </c>
      <c r="G2968" t="s">
        <v>5034</v>
      </c>
      <c r="H2968">
        <v>19</v>
      </c>
      <c r="I2968">
        <v>1.72</v>
      </c>
      <c r="J2968">
        <v>10</v>
      </c>
      <c r="K2968">
        <v>14391.7</v>
      </c>
      <c r="L2968">
        <v>14.3</v>
      </c>
    </row>
    <row r="2969" spans="1:12" x14ac:dyDescent="0.3">
      <c r="A2969" t="s">
        <v>2984</v>
      </c>
      <c r="B2969" t="s">
        <v>24</v>
      </c>
      <c r="C2969" t="s">
        <v>14</v>
      </c>
      <c r="D2969">
        <v>34</v>
      </c>
      <c r="E2969" s="1">
        <v>45925</v>
      </c>
      <c r="F2969">
        <v>2025</v>
      </c>
      <c r="G2969" t="s">
        <v>5033</v>
      </c>
      <c r="H2969">
        <v>25</v>
      </c>
      <c r="I2969">
        <v>3.72</v>
      </c>
      <c r="J2969">
        <v>6</v>
      </c>
      <c r="K2969">
        <v>3952.84</v>
      </c>
      <c r="L2969">
        <v>0.1</v>
      </c>
    </row>
    <row r="2970" spans="1:12" x14ac:dyDescent="0.3">
      <c r="A2970" t="s">
        <v>2985</v>
      </c>
      <c r="B2970" t="s">
        <v>13</v>
      </c>
      <c r="C2970" t="s">
        <v>11</v>
      </c>
      <c r="D2970">
        <v>60</v>
      </c>
      <c r="E2970" s="1">
        <v>40652</v>
      </c>
      <c r="F2970">
        <v>2011</v>
      </c>
      <c r="G2970" t="s">
        <v>5040</v>
      </c>
      <c r="H2970">
        <v>19</v>
      </c>
      <c r="I2970">
        <v>4.58</v>
      </c>
      <c r="J2970">
        <v>12</v>
      </c>
      <c r="K2970">
        <v>9754.2900000000009</v>
      </c>
      <c r="L2970">
        <v>14.5</v>
      </c>
    </row>
    <row r="2971" spans="1:12" x14ac:dyDescent="0.3">
      <c r="A2971" t="s">
        <v>2986</v>
      </c>
      <c r="B2971" t="s">
        <v>16</v>
      </c>
      <c r="C2971" t="s">
        <v>11</v>
      </c>
      <c r="D2971">
        <v>52</v>
      </c>
      <c r="E2971" s="1">
        <v>44497</v>
      </c>
      <c r="F2971">
        <v>2021</v>
      </c>
      <c r="G2971" t="s">
        <v>5039</v>
      </c>
      <c r="H2971">
        <v>28</v>
      </c>
      <c r="I2971">
        <v>3.45</v>
      </c>
      <c r="J2971">
        <v>6</v>
      </c>
      <c r="K2971">
        <v>4712.32</v>
      </c>
      <c r="L2971">
        <v>4</v>
      </c>
    </row>
    <row r="2972" spans="1:12" x14ac:dyDescent="0.3">
      <c r="A2972" t="s">
        <v>2987</v>
      </c>
      <c r="B2972" t="s">
        <v>10</v>
      </c>
      <c r="C2972" t="s">
        <v>14</v>
      </c>
      <c r="D2972">
        <v>47</v>
      </c>
      <c r="E2972" s="1">
        <v>44772</v>
      </c>
      <c r="F2972">
        <v>2022</v>
      </c>
      <c r="G2972" t="s">
        <v>5034</v>
      </c>
      <c r="H2972">
        <v>30</v>
      </c>
      <c r="I2972">
        <v>3.28</v>
      </c>
      <c r="J2972">
        <v>2</v>
      </c>
      <c r="K2972">
        <v>11011.18</v>
      </c>
      <c r="L2972">
        <v>3.3</v>
      </c>
    </row>
    <row r="2973" spans="1:12" x14ac:dyDescent="0.3">
      <c r="A2973" t="s">
        <v>2988</v>
      </c>
      <c r="B2973" t="s">
        <v>10</v>
      </c>
      <c r="C2973" t="s">
        <v>14</v>
      </c>
      <c r="D2973">
        <v>54</v>
      </c>
      <c r="E2973" s="1">
        <v>43255</v>
      </c>
      <c r="F2973">
        <v>2018</v>
      </c>
      <c r="G2973" t="s">
        <v>5032</v>
      </c>
      <c r="H2973">
        <v>4</v>
      </c>
      <c r="I2973">
        <v>4.8</v>
      </c>
      <c r="J2973">
        <v>11</v>
      </c>
      <c r="K2973">
        <v>4414.0600000000004</v>
      </c>
      <c r="L2973">
        <v>7.4</v>
      </c>
    </row>
    <row r="2974" spans="1:12" x14ac:dyDescent="0.3">
      <c r="A2974" t="s">
        <v>2989</v>
      </c>
      <c r="B2974" t="s">
        <v>18</v>
      </c>
      <c r="C2974" t="s">
        <v>11</v>
      </c>
      <c r="D2974">
        <v>43</v>
      </c>
      <c r="E2974" s="1">
        <v>43239</v>
      </c>
      <c r="F2974">
        <v>2018</v>
      </c>
      <c r="G2974" t="s">
        <v>5036</v>
      </c>
      <c r="H2974">
        <v>19</v>
      </c>
      <c r="I2974">
        <v>2.98</v>
      </c>
      <c r="J2974">
        <v>1</v>
      </c>
      <c r="K2974">
        <v>14539.1</v>
      </c>
      <c r="L2974">
        <v>7.5</v>
      </c>
    </row>
    <row r="2975" spans="1:12" x14ac:dyDescent="0.3">
      <c r="A2975" t="s">
        <v>2990</v>
      </c>
      <c r="B2975" t="s">
        <v>13</v>
      </c>
      <c r="C2975" t="s">
        <v>14</v>
      </c>
      <c r="D2975">
        <v>23</v>
      </c>
      <c r="E2975" s="1">
        <v>42589</v>
      </c>
      <c r="F2975">
        <v>2016</v>
      </c>
      <c r="G2975" t="s">
        <v>5031</v>
      </c>
      <c r="H2975">
        <v>7</v>
      </c>
      <c r="I2975">
        <v>4.22</v>
      </c>
      <c r="J2975">
        <v>14</v>
      </c>
      <c r="K2975">
        <v>11407.09</v>
      </c>
      <c r="L2975">
        <v>9.1999999999999993</v>
      </c>
    </row>
    <row r="2976" spans="1:12" x14ac:dyDescent="0.3">
      <c r="A2976" t="s">
        <v>2991</v>
      </c>
      <c r="B2976" t="s">
        <v>13</v>
      </c>
      <c r="C2976" t="s">
        <v>14</v>
      </c>
      <c r="D2976">
        <v>29</v>
      </c>
      <c r="E2976" s="1">
        <v>43801</v>
      </c>
      <c r="F2976">
        <v>2019</v>
      </c>
      <c r="G2976" t="s">
        <v>5041</v>
      </c>
      <c r="H2976">
        <v>2</v>
      </c>
      <c r="I2976">
        <v>3.22</v>
      </c>
      <c r="J2976">
        <v>8</v>
      </c>
      <c r="K2976">
        <v>11427.45</v>
      </c>
      <c r="L2976">
        <v>5.9</v>
      </c>
    </row>
    <row r="2977" spans="1:12" x14ac:dyDescent="0.3">
      <c r="A2977" t="s">
        <v>2992</v>
      </c>
      <c r="B2977" t="s">
        <v>10</v>
      </c>
      <c r="C2977" t="s">
        <v>14</v>
      </c>
      <c r="D2977">
        <v>47</v>
      </c>
      <c r="E2977" s="1">
        <v>40558</v>
      </c>
      <c r="F2977">
        <v>2011</v>
      </c>
      <c r="G2977" t="s">
        <v>5037</v>
      </c>
      <c r="H2977">
        <v>15</v>
      </c>
      <c r="I2977">
        <v>3.94</v>
      </c>
      <c r="J2977">
        <v>12</v>
      </c>
      <c r="K2977">
        <v>14321.44</v>
      </c>
      <c r="L2977">
        <v>14.8</v>
      </c>
    </row>
    <row r="2978" spans="1:12" x14ac:dyDescent="0.3">
      <c r="A2978" t="s">
        <v>2993</v>
      </c>
      <c r="B2978" t="s">
        <v>10</v>
      </c>
      <c r="C2978" t="s">
        <v>11</v>
      </c>
      <c r="D2978">
        <v>33</v>
      </c>
      <c r="E2978" s="1">
        <v>40646</v>
      </c>
      <c r="F2978">
        <v>2011</v>
      </c>
      <c r="G2978" t="s">
        <v>5040</v>
      </c>
      <c r="H2978">
        <v>13</v>
      </c>
      <c r="I2978">
        <v>3.13</v>
      </c>
      <c r="J2978">
        <v>0</v>
      </c>
      <c r="K2978">
        <v>7513.69</v>
      </c>
      <c r="L2978">
        <v>14.6</v>
      </c>
    </row>
    <row r="2979" spans="1:12" x14ac:dyDescent="0.3">
      <c r="A2979" t="s">
        <v>2994</v>
      </c>
      <c r="B2979" t="s">
        <v>10</v>
      </c>
      <c r="C2979" t="s">
        <v>11</v>
      </c>
      <c r="D2979">
        <v>38</v>
      </c>
      <c r="E2979" s="1">
        <v>42790</v>
      </c>
      <c r="F2979">
        <v>2017</v>
      </c>
      <c r="G2979" t="s">
        <v>5042</v>
      </c>
      <c r="H2979">
        <v>24</v>
      </c>
      <c r="I2979">
        <v>2.27</v>
      </c>
      <c r="J2979">
        <v>14</v>
      </c>
      <c r="K2979">
        <v>13225.1</v>
      </c>
      <c r="L2979">
        <v>8.6999999999999993</v>
      </c>
    </row>
    <row r="2980" spans="1:12" x14ac:dyDescent="0.3">
      <c r="A2980" t="s">
        <v>2995</v>
      </c>
      <c r="B2980" t="s">
        <v>16</v>
      </c>
      <c r="C2980" t="s">
        <v>11</v>
      </c>
      <c r="D2980">
        <v>28</v>
      </c>
      <c r="E2980" s="1">
        <v>42222</v>
      </c>
      <c r="F2980">
        <v>2015</v>
      </c>
      <c r="G2980" t="s">
        <v>5031</v>
      </c>
      <c r="H2980">
        <v>6</v>
      </c>
      <c r="I2980">
        <v>1.88</v>
      </c>
      <c r="J2980">
        <v>8</v>
      </c>
      <c r="K2980">
        <v>8836.9</v>
      </c>
      <c r="L2980">
        <v>10.199999999999999</v>
      </c>
    </row>
    <row r="2981" spans="1:12" x14ac:dyDescent="0.3">
      <c r="A2981" t="s">
        <v>2996</v>
      </c>
      <c r="B2981" t="s">
        <v>16</v>
      </c>
      <c r="C2981" t="s">
        <v>14</v>
      </c>
      <c r="D2981">
        <v>27</v>
      </c>
      <c r="E2981" s="1">
        <v>41978</v>
      </c>
      <c r="F2981">
        <v>2014</v>
      </c>
      <c r="G2981" t="s">
        <v>5041</v>
      </c>
      <c r="H2981">
        <v>5</v>
      </c>
      <c r="I2981">
        <v>3.05</v>
      </c>
      <c r="J2981">
        <v>6</v>
      </c>
      <c r="K2981">
        <v>14107.67</v>
      </c>
      <c r="L2981">
        <v>10.9</v>
      </c>
    </row>
    <row r="2982" spans="1:12" x14ac:dyDescent="0.3">
      <c r="A2982" t="s">
        <v>2997</v>
      </c>
      <c r="B2982" t="s">
        <v>10</v>
      </c>
      <c r="C2982" t="s">
        <v>14</v>
      </c>
      <c r="D2982">
        <v>40</v>
      </c>
      <c r="E2982" s="1">
        <v>41261</v>
      </c>
      <c r="F2982">
        <v>2012</v>
      </c>
      <c r="G2982" t="s">
        <v>5041</v>
      </c>
      <c r="H2982">
        <v>18</v>
      </c>
      <c r="I2982">
        <v>2.2799999999999998</v>
      </c>
      <c r="J2982">
        <v>10</v>
      </c>
      <c r="K2982">
        <v>8884.9</v>
      </c>
      <c r="L2982">
        <v>12.9</v>
      </c>
    </row>
    <row r="2983" spans="1:12" x14ac:dyDescent="0.3">
      <c r="A2983" t="s">
        <v>2998</v>
      </c>
      <c r="B2983" t="s">
        <v>18</v>
      </c>
      <c r="C2983" t="s">
        <v>11</v>
      </c>
      <c r="D2983">
        <v>36</v>
      </c>
      <c r="E2983" s="1">
        <v>43987</v>
      </c>
      <c r="F2983">
        <v>2020</v>
      </c>
      <c r="G2983" t="s">
        <v>5032</v>
      </c>
      <c r="H2983">
        <v>5</v>
      </c>
      <c r="I2983">
        <v>1.95</v>
      </c>
      <c r="J2983">
        <v>11</v>
      </c>
      <c r="K2983">
        <v>13633.05</v>
      </c>
      <c r="L2983">
        <v>5.4</v>
      </c>
    </row>
    <row r="2984" spans="1:12" x14ac:dyDescent="0.3">
      <c r="A2984" t="s">
        <v>2999</v>
      </c>
      <c r="B2984" t="s">
        <v>16</v>
      </c>
      <c r="C2984" t="s">
        <v>14</v>
      </c>
      <c r="D2984">
        <v>37</v>
      </c>
      <c r="E2984" s="1">
        <v>45598</v>
      </c>
      <c r="F2984">
        <v>2024</v>
      </c>
      <c r="G2984" t="s">
        <v>5038</v>
      </c>
      <c r="H2984">
        <v>2</v>
      </c>
      <c r="I2984">
        <v>2.79</v>
      </c>
      <c r="J2984">
        <v>10</v>
      </c>
      <c r="K2984">
        <v>6241</v>
      </c>
      <c r="L2984">
        <v>1</v>
      </c>
    </row>
    <row r="2985" spans="1:12" x14ac:dyDescent="0.3">
      <c r="A2985" t="s">
        <v>3000</v>
      </c>
      <c r="B2985" t="s">
        <v>13</v>
      </c>
      <c r="C2985" t="s">
        <v>14</v>
      </c>
      <c r="D2985">
        <v>35</v>
      </c>
      <c r="E2985" s="1">
        <v>40435</v>
      </c>
      <c r="F2985">
        <v>2010</v>
      </c>
      <c r="G2985" t="s">
        <v>5033</v>
      </c>
      <c r="H2985">
        <v>14</v>
      </c>
      <c r="I2985">
        <v>4.9400000000000004</v>
      </c>
      <c r="J2985">
        <v>1</v>
      </c>
      <c r="K2985">
        <v>5012.66</v>
      </c>
      <c r="L2985">
        <v>15.1</v>
      </c>
    </row>
    <row r="2986" spans="1:12" x14ac:dyDescent="0.3">
      <c r="A2986" t="s">
        <v>3001</v>
      </c>
      <c r="B2986" t="s">
        <v>13</v>
      </c>
      <c r="C2986" t="s">
        <v>11</v>
      </c>
      <c r="D2986">
        <v>60</v>
      </c>
      <c r="E2986" s="1">
        <v>43291</v>
      </c>
      <c r="F2986">
        <v>2018</v>
      </c>
      <c r="G2986" t="s">
        <v>5034</v>
      </c>
      <c r="H2986">
        <v>10</v>
      </c>
      <c r="I2986">
        <v>4.75</v>
      </c>
      <c r="J2986">
        <v>1</v>
      </c>
      <c r="K2986">
        <v>8736.08</v>
      </c>
      <c r="L2986">
        <v>7.3</v>
      </c>
    </row>
    <row r="2987" spans="1:12" x14ac:dyDescent="0.3">
      <c r="A2987" t="s">
        <v>3002</v>
      </c>
      <c r="B2987" t="s">
        <v>24</v>
      </c>
      <c r="C2987" t="s">
        <v>11</v>
      </c>
      <c r="D2987">
        <v>54</v>
      </c>
      <c r="E2987" s="1">
        <v>44790</v>
      </c>
      <c r="F2987">
        <v>2022</v>
      </c>
      <c r="G2987" t="s">
        <v>5031</v>
      </c>
      <c r="H2987">
        <v>17</v>
      </c>
      <c r="I2987">
        <v>2.33</v>
      </c>
      <c r="J2987">
        <v>13</v>
      </c>
      <c r="K2987">
        <v>6095.77</v>
      </c>
      <c r="L2987">
        <v>3.2</v>
      </c>
    </row>
    <row r="2988" spans="1:12" x14ac:dyDescent="0.3">
      <c r="A2988" t="s">
        <v>3003</v>
      </c>
      <c r="B2988" t="s">
        <v>13</v>
      </c>
      <c r="C2988" t="s">
        <v>11</v>
      </c>
      <c r="D2988">
        <v>55</v>
      </c>
      <c r="E2988" s="1">
        <v>43563</v>
      </c>
      <c r="F2988">
        <v>2019</v>
      </c>
      <c r="G2988" t="s">
        <v>5040</v>
      </c>
      <c r="H2988">
        <v>8</v>
      </c>
      <c r="I2988">
        <v>4.71</v>
      </c>
      <c r="J2988">
        <v>4</v>
      </c>
      <c r="K2988">
        <v>5717.43</v>
      </c>
      <c r="L2988">
        <v>6.6</v>
      </c>
    </row>
    <row r="2989" spans="1:12" x14ac:dyDescent="0.3">
      <c r="A2989" t="s">
        <v>3004</v>
      </c>
      <c r="B2989" t="s">
        <v>18</v>
      </c>
      <c r="C2989" t="s">
        <v>14</v>
      </c>
      <c r="D2989">
        <v>54</v>
      </c>
      <c r="E2989" s="1">
        <v>41078</v>
      </c>
      <c r="F2989">
        <v>2012</v>
      </c>
      <c r="G2989" t="s">
        <v>5032</v>
      </c>
      <c r="H2989">
        <v>18</v>
      </c>
      <c r="I2989">
        <v>4.5999999999999996</v>
      </c>
      <c r="J2989">
        <v>6</v>
      </c>
      <c r="K2989">
        <v>9543.6299999999992</v>
      </c>
      <c r="L2989">
        <v>13.4</v>
      </c>
    </row>
    <row r="2990" spans="1:12" x14ac:dyDescent="0.3">
      <c r="A2990" t="s">
        <v>3005</v>
      </c>
      <c r="B2990" t="s">
        <v>24</v>
      </c>
      <c r="C2990" t="s">
        <v>14</v>
      </c>
      <c r="D2990">
        <v>29</v>
      </c>
      <c r="E2990" s="1">
        <v>41829</v>
      </c>
      <c r="F2990">
        <v>2014</v>
      </c>
      <c r="G2990" t="s">
        <v>5034</v>
      </c>
      <c r="H2990">
        <v>9</v>
      </c>
      <c r="I2990">
        <v>4.58</v>
      </c>
      <c r="J2990">
        <v>2</v>
      </c>
      <c r="K2990">
        <v>12703.91</v>
      </c>
      <c r="L2990">
        <v>11.3</v>
      </c>
    </row>
    <row r="2991" spans="1:12" x14ac:dyDescent="0.3">
      <c r="A2991" t="s">
        <v>3006</v>
      </c>
      <c r="B2991" t="s">
        <v>24</v>
      </c>
      <c r="C2991" t="s">
        <v>11</v>
      </c>
      <c r="D2991">
        <v>37</v>
      </c>
      <c r="E2991" s="1">
        <v>43510</v>
      </c>
      <c r="F2991">
        <v>2019</v>
      </c>
      <c r="G2991" t="s">
        <v>5042</v>
      </c>
      <c r="H2991">
        <v>14</v>
      </c>
      <c r="I2991">
        <v>2.38</v>
      </c>
      <c r="J2991">
        <v>4</v>
      </c>
      <c r="K2991">
        <v>14420.29</v>
      </c>
      <c r="L2991">
        <v>6.7</v>
      </c>
    </row>
    <row r="2992" spans="1:12" x14ac:dyDescent="0.3">
      <c r="A2992" t="s">
        <v>3007</v>
      </c>
      <c r="B2992" t="s">
        <v>34</v>
      </c>
      <c r="C2992" t="s">
        <v>11</v>
      </c>
      <c r="D2992">
        <v>46</v>
      </c>
      <c r="E2992" s="1">
        <v>45309</v>
      </c>
      <c r="F2992">
        <v>2024</v>
      </c>
      <c r="G2992" t="s">
        <v>5037</v>
      </c>
      <c r="H2992">
        <v>18</v>
      </c>
      <c r="I2992">
        <v>1.74</v>
      </c>
      <c r="J2992">
        <v>8</v>
      </c>
      <c r="K2992">
        <v>9392.44</v>
      </c>
      <c r="L2992">
        <v>1.8</v>
      </c>
    </row>
    <row r="2993" spans="1:12" x14ac:dyDescent="0.3">
      <c r="A2993" t="s">
        <v>3008</v>
      </c>
      <c r="B2993" t="s">
        <v>16</v>
      </c>
      <c r="C2993" t="s">
        <v>14</v>
      </c>
      <c r="D2993">
        <v>30</v>
      </c>
      <c r="E2993" s="1">
        <v>41010</v>
      </c>
      <c r="F2993">
        <v>2012</v>
      </c>
      <c r="G2993" t="s">
        <v>5040</v>
      </c>
      <c r="H2993">
        <v>11</v>
      </c>
      <c r="I2993">
        <v>1.62</v>
      </c>
      <c r="J2993">
        <v>2</v>
      </c>
      <c r="K2993">
        <v>4323.75</v>
      </c>
      <c r="L2993">
        <v>13.6</v>
      </c>
    </row>
    <row r="2994" spans="1:12" x14ac:dyDescent="0.3">
      <c r="A2994" t="s">
        <v>3009</v>
      </c>
      <c r="B2994" t="s">
        <v>10</v>
      </c>
      <c r="C2994" t="s">
        <v>11</v>
      </c>
      <c r="D2994">
        <v>43</v>
      </c>
      <c r="E2994" s="1">
        <v>43919</v>
      </c>
      <c r="F2994">
        <v>2020</v>
      </c>
      <c r="G2994" t="s">
        <v>5035</v>
      </c>
      <c r="H2994">
        <v>29</v>
      </c>
      <c r="I2994">
        <v>1.9</v>
      </c>
      <c r="J2994">
        <v>2</v>
      </c>
      <c r="K2994">
        <v>8855.61</v>
      </c>
      <c r="L2994">
        <v>5.6</v>
      </c>
    </row>
    <row r="2995" spans="1:12" x14ac:dyDescent="0.3">
      <c r="A2995" t="s">
        <v>3010</v>
      </c>
      <c r="B2995" t="s">
        <v>18</v>
      </c>
      <c r="C2995" t="s">
        <v>11</v>
      </c>
      <c r="D2995">
        <v>30</v>
      </c>
      <c r="E2995" s="1">
        <v>45475</v>
      </c>
      <c r="F2995">
        <v>2024</v>
      </c>
      <c r="G2995" t="s">
        <v>5034</v>
      </c>
      <c r="H2995">
        <v>2</v>
      </c>
      <c r="I2995">
        <v>3.11</v>
      </c>
      <c r="J2995">
        <v>12</v>
      </c>
      <c r="K2995">
        <v>11297.45</v>
      </c>
      <c r="L2995">
        <v>1.3</v>
      </c>
    </row>
    <row r="2996" spans="1:12" x14ac:dyDescent="0.3">
      <c r="A2996" t="s">
        <v>3011</v>
      </c>
      <c r="B2996" t="s">
        <v>13</v>
      </c>
      <c r="C2996" t="s">
        <v>11</v>
      </c>
      <c r="D2996">
        <v>22</v>
      </c>
      <c r="E2996" s="1">
        <v>42434</v>
      </c>
      <c r="F2996">
        <v>2016</v>
      </c>
      <c r="G2996" t="s">
        <v>5035</v>
      </c>
      <c r="H2996">
        <v>5</v>
      </c>
      <c r="I2996">
        <v>4.53</v>
      </c>
      <c r="J2996">
        <v>2</v>
      </c>
      <c r="K2996">
        <v>8399.19</v>
      </c>
      <c r="L2996">
        <v>9.6999999999999993</v>
      </c>
    </row>
    <row r="2997" spans="1:12" x14ac:dyDescent="0.3">
      <c r="A2997" t="s">
        <v>3012</v>
      </c>
      <c r="B2997" t="s">
        <v>24</v>
      </c>
      <c r="C2997" t="s">
        <v>14</v>
      </c>
      <c r="D2997">
        <v>43</v>
      </c>
      <c r="E2997" s="1">
        <v>40754</v>
      </c>
      <c r="F2997">
        <v>2011</v>
      </c>
      <c r="G2997" t="s">
        <v>5034</v>
      </c>
      <c r="H2997">
        <v>30</v>
      </c>
      <c r="I2997">
        <v>3.86</v>
      </c>
      <c r="J2997">
        <v>0</v>
      </c>
      <c r="K2997">
        <v>4698.32</v>
      </c>
      <c r="L2997">
        <v>14.3</v>
      </c>
    </row>
    <row r="2998" spans="1:12" x14ac:dyDescent="0.3">
      <c r="A2998" t="s">
        <v>3013</v>
      </c>
      <c r="B2998" t="s">
        <v>16</v>
      </c>
      <c r="C2998" t="s">
        <v>14</v>
      </c>
      <c r="D2998">
        <v>42</v>
      </c>
      <c r="E2998" s="1">
        <v>45242</v>
      </c>
      <c r="F2998">
        <v>2023</v>
      </c>
      <c r="G2998" t="s">
        <v>5038</v>
      </c>
      <c r="H2998">
        <v>12</v>
      </c>
      <c r="I2998">
        <v>3.27</v>
      </c>
      <c r="J2998">
        <v>1</v>
      </c>
      <c r="K2998">
        <v>8626.27</v>
      </c>
      <c r="L2998">
        <v>2</v>
      </c>
    </row>
    <row r="2999" spans="1:12" x14ac:dyDescent="0.3">
      <c r="A2999" t="s">
        <v>3014</v>
      </c>
      <c r="B2999" t="s">
        <v>16</v>
      </c>
      <c r="C2999" t="s">
        <v>14</v>
      </c>
      <c r="D2999">
        <v>55</v>
      </c>
      <c r="E2999" s="1">
        <v>43137</v>
      </c>
      <c r="F2999">
        <v>2018</v>
      </c>
      <c r="G2999" t="s">
        <v>5042</v>
      </c>
      <c r="H2999">
        <v>6</v>
      </c>
      <c r="I2999">
        <v>2.71</v>
      </c>
      <c r="J2999">
        <v>0</v>
      </c>
      <c r="K2999">
        <v>11868.84</v>
      </c>
      <c r="L2999">
        <v>7.7</v>
      </c>
    </row>
    <row r="3000" spans="1:12" x14ac:dyDescent="0.3">
      <c r="A3000" t="s">
        <v>3015</v>
      </c>
      <c r="B3000" t="s">
        <v>24</v>
      </c>
      <c r="C3000" t="s">
        <v>14</v>
      </c>
      <c r="D3000">
        <v>47</v>
      </c>
      <c r="E3000" s="1">
        <v>42874</v>
      </c>
      <c r="F3000">
        <v>2017</v>
      </c>
      <c r="G3000" t="s">
        <v>5036</v>
      </c>
      <c r="H3000">
        <v>19</v>
      </c>
      <c r="I3000">
        <v>4.6399999999999997</v>
      </c>
      <c r="J3000">
        <v>15</v>
      </c>
      <c r="K3000">
        <v>6828.8</v>
      </c>
      <c r="L3000">
        <v>8.5</v>
      </c>
    </row>
    <row r="3001" spans="1:12" x14ac:dyDescent="0.3">
      <c r="A3001" t="s">
        <v>3016</v>
      </c>
      <c r="B3001" t="s">
        <v>34</v>
      </c>
      <c r="C3001" t="s">
        <v>14</v>
      </c>
      <c r="D3001">
        <v>41</v>
      </c>
      <c r="E3001" s="1">
        <v>45837</v>
      </c>
      <c r="F3001">
        <v>2025</v>
      </c>
      <c r="G3001" t="s">
        <v>5032</v>
      </c>
      <c r="H3001">
        <v>29</v>
      </c>
      <c r="I3001">
        <v>2.4700000000000002</v>
      </c>
      <c r="J3001">
        <v>3</v>
      </c>
      <c r="K3001">
        <v>4719.54</v>
      </c>
      <c r="L3001">
        <v>0.3</v>
      </c>
    </row>
    <row r="3002" spans="1:12" x14ac:dyDescent="0.3">
      <c r="A3002" t="s">
        <v>3017</v>
      </c>
      <c r="B3002" t="s">
        <v>34</v>
      </c>
      <c r="C3002" t="s">
        <v>14</v>
      </c>
      <c r="D3002">
        <v>51</v>
      </c>
      <c r="E3002" s="1">
        <v>41596</v>
      </c>
      <c r="F3002">
        <v>2013</v>
      </c>
      <c r="G3002" t="s">
        <v>5038</v>
      </c>
      <c r="H3002">
        <v>18</v>
      </c>
      <c r="I3002">
        <v>2.97</v>
      </c>
      <c r="J3002">
        <v>4</v>
      </c>
      <c r="K3002">
        <v>12908.24</v>
      </c>
      <c r="L3002">
        <v>12</v>
      </c>
    </row>
    <row r="3003" spans="1:12" x14ac:dyDescent="0.3">
      <c r="A3003" t="s">
        <v>3018</v>
      </c>
      <c r="B3003" t="s">
        <v>10</v>
      </c>
      <c r="C3003" t="s">
        <v>11</v>
      </c>
      <c r="D3003">
        <v>39</v>
      </c>
      <c r="E3003" s="1">
        <v>45317</v>
      </c>
      <c r="F3003">
        <v>2024</v>
      </c>
      <c r="G3003" t="s">
        <v>5037</v>
      </c>
      <c r="H3003">
        <v>26</v>
      </c>
      <c r="I3003">
        <v>3.56</v>
      </c>
      <c r="J3003">
        <v>4</v>
      </c>
      <c r="K3003">
        <v>4005.21</v>
      </c>
      <c r="L3003">
        <v>1.8</v>
      </c>
    </row>
    <row r="3004" spans="1:12" x14ac:dyDescent="0.3">
      <c r="A3004" t="s">
        <v>3019</v>
      </c>
      <c r="B3004" t="s">
        <v>24</v>
      </c>
      <c r="C3004" t="s">
        <v>11</v>
      </c>
      <c r="D3004">
        <v>44</v>
      </c>
      <c r="E3004" s="1">
        <v>44015</v>
      </c>
      <c r="F3004">
        <v>2020</v>
      </c>
      <c r="G3004" t="s">
        <v>5034</v>
      </c>
      <c r="H3004">
        <v>3</v>
      </c>
      <c r="I3004">
        <v>4.8</v>
      </c>
      <c r="J3004">
        <v>14</v>
      </c>
      <c r="K3004">
        <v>12867.98</v>
      </c>
      <c r="L3004">
        <v>5.3</v>
      </c>
    </row>
    <row r="3005" spans="1:12" x14ac:dyDescent="0.3">
      <c r="A3005" t="s">
        <v>3020</v>
      </c>
      <c r="B3005" t="s">
        <v>16</v>
      </c>
      <c r="C3005" t="s">
        <v>14</v>
      </c>
      <c r="D3005">
        <v>24</v>
      </c>
      <c r="E3005" s="1">
        <v>44304</v>
      </c>
      <c r="F3005">
        <v>2021</v>
      </c>
      <c r="G3005" t="s">
        <v>5040</v>
      </c>
      <c r="H3005">
        <v>18</v>
      </c>
      <c r="I3005">
        <v>1.79</v>
      </c>
      <c r="J3005">
        <v>15</v>
      </c>
      <c r="K3005">
        <v>9939.85</v>
      </c>
      <c r="L3005">
        <v>4.5</v>
      </c>
    </row>
    <row r="3006" spans="1:12" x14ac:dyDescent="0.3">
      <c r="A3006" t="s">
        <v>3021</v>
      </c>
      <c r="B3006" t="s">
        <v>16</v>
      </c>
      <c r="C3006" t="s">
        <v>11</v>
      </c>
      <c r="D3006">
        <v>44</v>
      </c>
      <c r="E3006" s="1">
        <v>43669</v>
      </c>
      <c r="F3006">
        <v>2019</v>
      </c>
      <c r="G3006" t="s">
        <v>5034</v>
      </c>
      <c r="H3006">
        <v>23</v>
      </c>
      <c r="I3006">
        <v>1.7</v>
      </c>
      <c r="J3006">
        <v>14</v>
      </c>
      <c r="K3006">
        <v>8077.98</v>
      </c>
      <c r="L3006">
        <v>6.3</v>
      </c>
    </row>
    <row r="3007" spans="1:12" x14ac:dyDescent="0.3">
      <c r="A3007" t="s">
        <v>3022</v>
      </c>
      <c r="B3007" t="s">
        <v>10</v>
      </c>
      <c r="C3007" t="s">
        <v>14</v>
      </c>
      <c r="D3007">
        <v>27</v>
      </c>
      <c r="E3007" s="1">
        <v>42572</v>
      </c>
      <c r="F3007">
        <v>2016</v>
      </c>
      <c r="G3007" t="s">
        <v>5034</v>
      </c>
      <c r="H3007">
        <v>21</v>
      </c>
      <c r="I3007">
        <v>3.26</v>
      </c>
      <c r="J3007">
        <v>15</v>
      </c>
      <c r="K3007">
        <v>5790.57</v>
      </c>
      <c r="L3007">
        <v>9.3000000000000007</v>
      </c>
    </row>
    <row r="3008" spans="1:12" x14ac:dyDescent="0.3">
      <c r="A3008" t="s">
        <v>3023</v>
      </c>
      <c r="B3008" t="s">
        <v>13</v>
      </c>
      <c r="C3008" t="s">
        <v>11</v>
      </c>
      <c r="D3008">
        <v>34</v>
      </c>
      <c r="E3008" s="1">
        <v>45622</v>
      </c>
      <c r="F3008">
        <v>2024</v>
      </c>
      <c r="G3008" t="s">
        <v>5038</v>
      </c>
      <c r="H3008">
        <v>26</v>
      </c>
      <c r="I3008">
        <v>1.91</v>
      </c>
      <c r="J3008">
        <v>10</v>
      </c>
      <c r="K3008">
        <v>11159.86</v>
      </c>
      <c r="L3008">
        <v>0.9</v>
      </c>
    </row>
    <row r="3009" spans="1:12" x14ac:dyDescent="0.3">
      <c r="A3009" t="s">
        <v>3024</v>
      </c>
      <c r="B3009" t="s">
        <v>18</v>
      </c>
      <c r="C3009" t="s">
        <v>11</v>
      </c>
      <c r="D3009">
        <v>41</v>
      </c>
      <c r="E3009" s="1">
        <v>43764</v>
      </c>
      <c r="F3009">
        <v>2019</v>
      </c>
      <c r="G3009" t="s">
        <v>5039</v>
      </c>
      <c r="H3009">
        <v>26</v>
      </c>
      <c r="I3009">
        <v>4.9800000000000004</v>
      </c>
      <c r="J3009">
        <v>15</v>
      </c>
      <c r="K3009">
        <v>13060.11</v>
      </c>
      <c r="L3009">
        <v>6</v>
      </c>
    </row>
    <row r="3010" spans="1:12" x14ac:dyDescent="0.3">
      <c r="A3010" t="s">
        <v>3025</v>
      </c>
      <c r="B3010" t="s">
        <v>13</v>
      </c>
      <c r="C3010" t="s">
        <v>14</v>
      </c>
      <c r="D3010">
        <v>25</v>
      </c>
      <c r="E3010" s="1">
        <v>41449</v>
      </c>
      <c r="F3010">
        <v>2013</v>
      </c>
      <c r="G3010" t="s">
        <v>5032</v>
      </c>
      <c r="H3010">
        <v>24</v>
      </c>
      <c r="I3010">
        <v>4.33</v>
      </c>
      <c r="J3010">
        <v>4</v>
      </c>
      <c r="K3010">
        <v>11197.37</v>
      </c>
      <c r="L3010">
        <v>12.4</v>
      </c>
    </row>
    <row r="3011" spans="1:12" x14ac:dyDescent="0.3">
      <c r="A3011" t="s">
        <v>3026</v>
      </c>
      <c r="B3011" t="s">
        <v>16</v>
      </c>
      <c r="C3011" t="s">
        <v>14</v>
      </c>
      <c r="D3011">
        <v>46</v>
      </c>
      <c r="E3011" s="1">
        <v>42748</v>
      </c>
      <c r="F3011">
        <v>2017</v>
      </c>
      <c r="G3011" t="s">
        <v>5037</v>
      </c>
      <c r="H3011">
        <v>13</v>
      </c>
      <c r="I3011">
        <v>4.09</v>
      </c>
      <c r="J3011">
        <v>14</v>
      </c>
      <c r="K3011">
        <v>7745.51</v>
      </c>
      <c r="L3011">
        <v>8.8000000000000007</v>
      </c>
    </row>
    <row r="3012" spans="1:12" x14ac:dyDescent="0.3">
      <c r="A3012" t="s">
        <v>3027</v>
      </c>
      <c r="B3012" t="s">
        <v>10</v>
      </c>
      <c r="C3012" t="s">
        <v>11</v>
      </c>
      <c r="D3012">
        <v>29</v>
      </c>
      <c r="E3012" s="1">
        <v>42883</v>
      </c>
      <c r="F3012">
        <v>2017</v>
      </c>
      <c r="G3012" t="s">
        <v>5036</v>
      </c>
      <c r="H3012">
        <v>28</v>
      </c>
      <c r="I3012">
        <v>3.24</v>
      </c>
      <c r="J3012">
        <v>8</v>
      </c>
      <c r="K3012">
        <v>12509.81</v>
      </c>
      <c r="L3012">
        <v>8.4</v>
      </c>
    </row>
    <row r="3013" spans="1:12" x14ac:dyDescent="0.3">
      <c r="A3013" t="s">
        <v>3028</v>
      </c>
      <c r="B3013" t="s">
        <v>18</v>
      </c>
      <c r="C3013" t="s">
        <v>11</v>
      </c>
      <c r="D3013">
        <v>45</v>
      </c>
      <c r="E3013" s="1">
        <v>45370</v>
      </c>
      <c r="F3013">
        <v>2024</v>
      </c>
      <c r="G3013" t="s">
        <v>5035</v>
      </c>
      <c r="H3013">
        <v>19</v>
      </c>
      <c r="I3013">
        <v>4.88</v>
      </c>
      <c r="J3013">
        <v>13</v>
      </c>
      <c r="K3013">
        <v>9018.1299999999992</v>
      </c>
      <c r="L3013">
        <v>1.6</v>
      </c>
    </row>
    <row r="3014" spans="1:12" x14ac:dyDescent="0.3">
      <c r="A3014" t="s">
        <v>3029</v>
      </c>
      <c r="B3014" t="s">
        <v>24</v>
      </c>
      <c r="C3014" t="s">
        <v>14</v>
      </c>
      <c r="D3014">
        <v>50</v>
      </c>
      <c r="E3014" s="1">
        <v>40669</v>
      </c>
      <c r="F3014">
        <v>2011</v>
      </c>
      <c r="G3014" t="s">
        <v>5036</v>
      </c>
      <c r="H3014">
        <v>6</v>
      </c>
      <c r="I3014">
        <v>4.45</v>
      </c>
      <c r="J3014">
        <v>7</v>
      </c>
      <c r="K3014">
        <v>3438.62</v>
      </c>
      <c r="L3014">
        <v>14.5</v>
      </c>
    </row>
    <row r="3015" spans="1:12" x14ac:dyDescent="0.3">
      <c r="A3015" t="s">
        <v>3030</v>
      </c>
      <c r="B3015" t="s">
        <v>18</v>
      </c>
      <c r="C3015" t="s">
        <v>11</v>
      </c>
      <c r="D3015">
        <v>37</v>
      </c>
      <c r="E3015" s="1">
        <v>42595</v>
      </c>
      <c r="F3015">
        <v>2016</v>
      </c>
      <c r="G3015" t="s">
        <v>5031</v>
      </c>
      <c r="H3015">
        <v>13</v>
      </c>
      <c r="I3015">
        <v>3.88</v>
      </c>
      <c r="J3015">
        <v>3</v>
      </c>
      <c r="K3015">
        <v>5698.38</v>
      </c>
      <c r="L3015">
        <v>9.1999999999999993</v>
      </c>
    </row>
    <row r="3016" spans="1:12" x14ac:dyDescent="0.3">
      <c r="A3016" t="s">
        <v>3031</v>
      </c>
      <c r="B3016" t="s">
        <v>16</v>
      </c>
      <c r="C3016" t="s">
        <v>14</v>
      </c>
      <c r="D3016">
        <v>60</v>
      </c>
      <c r="E3016" s="1">
        <v>42602</v>
      </c>
      <c r="F3016">
        <v>2016</v>
      </c>
      <c r="G3016" t="s">
        <v>5031</v>
      </c>
      <c r="H3016">
        <v>20</v>
      </c>
      <c r="I3016">
        <v>3.62</v>
      </c>
      <c r="J3016">
        <v>5</v>
      </c>
      <c r="K3016">
        <v>14264.19</v>
      </c>
      <c r="L3016">
        <v>9.1999999999999993</v>
      </c>
    </row>
    <row r="3017" spans="1:12" x14ac:dyDescent="0.3">
      <c r="A3017" t="s">
        <v>3032</v>
      </c>
      <c r="B3017" t="s">
        <v>34</v>
      </c>
      <c r="C3017" t="s">
        <v>11</v>
      </c>
      <c r="D3017">
        <v>54</v>
      </c>
      <c r="E3017" s="1">
        <v>41544</v>
      </c>
      <c r="F3017">
        <v>2013</v>
      </c>
      <c r="G3017" t="s">
        <v>5033</v>
      </c>
      <c r="H3017">
        <v>27</v>
      </c>
      <c r="I3017">
        <v>3.31</v>
      </c>
      <c r="J3017">
        <v>2</v>
      </c>
      <c r="K3017">
        <v>13797.58</v>
      </c>
      <c r="L3017">
        <v>12.1</v>
      </c>
    </row>
    <row r="3018" spans="1:12" x14ac:dyDescent="0.3">
      <c r="A3018" t="s">
        <v>3033</v>
      </c>
      <c r="B3018" t="s">
        <v>16</v>
      </c>
      <c r="C3018" t="s">
        <v>11</v>
      </c>
      <c r="D3018">
        <v>50</v>
      </c>
      <c r="E3018" s="1">
        <v>44264</v>
      </c>
      <c r="F3018">
        <v>2021</v>
      </c>
      <c r="G3018" t="s">
        <v>5035</v>
      </c>
      <c r="H3018">
        <v>9</v>
      </c>
      <c r="I3018">
        <v>4.32</v>
      </c>
      <c r="J3018">
        <v>9</v>
      </c>
      <c r="K3018">
        <v>6791.13</v>
      </c>
      <c r="L3018">
        <v>4.7</v>
      </c>
    </row>
    <row r="3019" spans="1:12" x14ac:dyDescent="0.3">
      <c r="A3019" t="s">
        <v>3034</v>
      </c>
      <c r="B3019" t="s">
        <v>34</v>
      </c>
      <c r="C3019" t="s">
        <v>11</v>
      </c>
      <c r="D3019">
        <v>49</v>
      </c>
      <c r="E3019" s="1">
        <v>45171</v>
      </c>
      <c r="F3019">
        <v>2023</v>
      </c>
      <c r="G3019" t="s">
        <v>5033</v>
      </c>
      <c r="H3019">
        <v>2</v>
      </c>
      <c r="I3019">
        <v>2.98</v>
      </c>
      <c r="J3019">
        <v>1</v>
      </c>
      <c r="K3019">
        <v>6245.77</v>
      </c>
      <c r="L3019">
        <v>2.2000000000000002</v>
      </c>
    </row>
    <row r="3020" spans="1:12" x14ac:dyDescent="0.3">
      <c r="A3020" t="s">
        <v>3035</v>
      </c>
      <c r="B3020" t="s">
        <v>16</v>
      </c>
      <c r="C3020" t="s">
        <v>14</v>
      </c>
      <c r="D3020">
        <v>29</v>
      </c>
      <c r="E3020" s="1">
        <v>43690</v>
      </c>
      <c r="F3020">
        <v>2019</v>
      </c>
      <c r="G3020" t="s">
        <v>5031</v>
      </c>
      <c r="H3020">
        <v>13</v>
      </c>
      <c r="I3020">
        <v>4.68</v>
      </c>
      <c r="J3020">
        <v>7</v>
      </c>
      <c r="K3020">
        <v>4597.0600000000004</v>
      </c>
      <c r="L3020">
        <v>6.2</v>
      </c>
    </row>
    <row r="3021" spans="1:12" x14ac:dyDescent="0.3">
      <c r="A3021" t="s">
        <v>3036</v>
      </c>
      <c r="B3021" t="s">
        <v>10</v>
      </c>
      <c r="C3021" t="s">
        <v>11</v>
      </c>
      <c r="D3021">
        <v>46</v>
      </c>
      <c r="E3021" s="1">
        <v>45753</v>
      </c>
      <c r="F3021">
        <v>2025</v>
      </c>
      <c r="G3021" t="s">
        <v>5040</v>
      </c>
      <c r="H3021">
        <v>6</v>
      </c>
      <c r="I3021">
        <v>3.2</v>
      </c>
      <c r="J3021">
        <v>4</v>
      </c>
      <c r="K3021">
        <v>4774.04</v>
      </c>
      <c r="L3021">
        <v>0.6</v>
      </c>
    </row>
    <row r="3022" spans="1:12" x14ac:dyDescent="0.3">
      <c r="A3022" t="s">
        <v>3037</v>
      </c>
      <c r="B3022" t="s">
        <v>24</v>
      </c>
      <c r="C3022" t="s">
        <v>14</v>
      </c>
      <c r="D3022">
        <v>29</v>
      </c>
      <c r="E3022" s="1">
        <v>40961</v>
      </c>
      <c r="F3022">
        <v>2012</v>
      </c>
      <c r="G3022" t="s">
        <v>5042</v>
      </c>
      <c r="H3022">
        <v>22</v>
      </c>
      <c r="I3022">
        <v>4.5199999999999996</v>
      </c>
      <c r="J3022">
        <v>11</v>
      </c>
      <c r="K3022">
        <v>10420.49</v>
      </c>
      <c r="L3022">
        <v>13.7</v>
      </c>
    </row>
    <row r="3023" spans="1:12" x14ac:dyDescent="0.3">
      <c r="A3023" t="s">
        <v>3038</v>
      </c>
      <c r="B3023" t="s">
        <v>13</v>
      </c>
      <c r="C3023" t="s">
        <v>11</v>
      </c>
      <c r="D3023">
        <v>40</v>
      </c>
      <c r="E3023" s="1">
        <v>45547</v>
      </c>
      <c r="F3023">
        <v>2024</v>
      </c>
      <c r="G3023" t="s">
        <v>5033</v>
      </c>
      <c r="H3023">
        <v>12</v>
      </c>
      <c r="I3023">
        <v>2.72</v>
      </c>
      <c r="J3023">
        <v>7</v>
      </c>
      <c r="K3023">
        <v>6032.28</v>
      </c>
      <c r="L3023">
        <v>1.1000000000000001</v>
      </c>
    </row>
    <row r="3024" spans="1:12" x14ac:dyDescent="0.3">
      <c r="A3024" t="s">
        <v>3039</v>
      </c>
      <c r="B3024" t="s">
        <v>13</v>
      </c>
      <c r="C3024" t="s">
        <v>11</v>
      </c>
      <c r="D3024">
        <v>58</v>
      </c>
      <c r="E3024" s="1">
        <v>42861</v>
      </c>
      <c r="F3024">
        <v>2017</v>
      </c>
      <c r="G3024" t="s">
        <v>5036</v>
      </c>
      <c r="H3024">
        <v>6</v>
      </c>
      <c r="I3024">
        <v>3.19</v>
      </c>
      <c r="J3024">
        <v>9</v>
      </c>
      <c r="K3024">
        <v>6269.78</v>
      </c>
      <c r="L3024">
        <v>8.5</v>
      </c>
    </row>
    <row r="3025" spans="1:12" x14ac:dyDescent="0.3">
      <c r="A3025" t="s">
        <v>3040</v>
      </c>
      <c r="B3025" t="s">
        <v>13</v>
      </c>
      <c r="C3025" t="s">
        <v>14</v>
      </c>
      <c r="D3025">
        <v>59</v>
      </c>
      <c r="E3025" s="1">
        <v>44587</v>
      </c>
      <c r="F3025">
        <v>2022</v>
      </c>
      <c r="G3025" t="s">
        <v>5037</v>
      </c>
      <c r="H3025">
        <v>26</v>
      </c>
      <c r="I3025">
        <v>4.76</v>
      </c>
      <c r="J3025">
        <v>3</v>
      </c>
      <c r="K3025">
        <v>10906.53</v>
      </c>
      <c r="L3025">
        <v>3.8</v>
      </c>
    </row>
    <row r="3026" spans="1:12" x14ac:dyDescent="0.3">
      <c r="A3026" t="s">
        <v>3041</v>
      </c>
      <c r="B3026" t="s">
        <v>34</v>
      </c>
      <c r="C3026" t="s">
        <v>11</v>
      </c>
      <c r="D3026">
        <v>25</v>
      </c>
      <c r="E3026" s="1">
        <v>45712</v>
      </c>
      <c r="F3026">
        <v>2025</v>
      </c>
      <c r="G3026" t="s">
        <v>5042</v>
      </c>
      <c r="H3026">
        <v>24</v>
      </c>
      <c r="I3026">
        <v>3.61</v>
      </c>
      <c r="J3026">
        <v>1</v>
      </c>
      <c r="K3026">
        <v>3389.17</v>
      </c>
      <c r="L3026">
        <v>0.7</v>
      </c>
    </row>
    <row r="3027" spans="1:12" x14ac:dyDescent="0.3">
      <c r="A3027" t="s">
        <v>3042</v>
      </c>
      <c r="B3027" t="s">
        <v>24</v>
      </c>
      <c r="C3027" t="s">
        <v>14</v>
      </c>
      <c r="D3027">
        <v>26</v>
      </c>
      <c r="E3027" s="1">
        <v>42927</v>
      </c>
      <c r="F3027">
        <v>2017</v>
      </c>
      <c r="G3027" t="s">
        <v>5034</v>
      </c>
      <c r="H3027">
        <v>11</v>
      </c>
      <c r="I3027">
        <v>3.5</v>
      </c>
      <c r="J3027">
        <v>1</v>
      </c>
      <c r="K3027">
        <v>9160.85</v>
      </c>
      <c r="L3027">
        <v>8.3000000000000007</v>
      </c>
    </row>
    <row r="3028" spans="1:12" x14ac:dyDescent="0.3">
      <c r="A3028" t="s">
        <v>3043</v>
      </c>
      <c r="B3028" t="s">
        <v>10</v>
      </c>
      <c r="C3028" t="s">
        <v>11</v>
      </c>
      <c r="D3028">
        <v>35</v>
      </c>
      <c r="E3028" s="1">
        <v>44784</v>
      </c>
      <c r="F3028">
        <v>2022</v>
      </c>
      <c r="G3028" t="s">
        <v>5031</v>
      </c>
      <c r="H3028">
        <v>11</v>
      </c>
      <c r="I3028">
        <v>2.97</v>
      </c>
      <c r="J3028">
        <v>0</v>
      </c>
      <c r="K3028">
        <v>4430.54</v>
      </c>
      <c r="L3028">
        <v>3.2</v>
      </c>
    </row>
    <row r="3029" spans="1:12" x14ac:dyDescent="0.3">
      <c r="A3029" t="s">
        <v>3044</v>
      </c>
      <c r="B3029" t="s">
        <v>16</v>
      </c>
      <c r="C3029" t="s">
        <v>14</v>
      </c>
      <c r="D3029">
        <v>25</v>
      </c>
      <c r="E3029" s="1">
        <v>41440</v>
      </c>
      <c r="F3029">
        <v>2013</v>
      </c>
      <c r="G3029" t="s">
        <v>5032</v>
      </c>
      <c r="H3029">
        <v>15</v>
      </c>
      <c r="I3029">
        <v>4.4000000000000004</v>
      </c>
      <c r="J3029">
        <v>15</v>
      </c>
      <c r="K3029">
        <v>4824.1899999999996</v>
      </c>
      <c r="L3029">
        <v>12.4</v>
      </c>
    </row>
    <row r="3030" spans="1:12" x14ac:dyDescent="0.3">
      <c r="A3030" t="s">
        <v>3045</v>
      </c>
      <c r="B3030" t="s">
        <v>13</v>
      </c>
      <c r="C3030" t="s">
        <v>14</v>
      </c>
      <c r="D3030">
        <v>27</v>
      </c>
      <c r="E3030" s="1">
        <v>43788</v>
      </c>
      <c r="F3030">
        <v>2019</v>
      </c>
      <c r="G3030" t="s">
        <v>5038</v>
      </c>
      <c r="H3030">
        <v>19</v>
      </c>
      <c r="I3030">
        <v>2.36</v>
      </c>
      <c r="J3030">
        <v>8</v>
      </c>
      <c r="K3030">
        <v>8612.1</v>
      </c>
      <c r="L3030">
        <v>6</v>
      </c>
    </row>
    <row r="3031" spans="1:12" x14ac:dyDescent="0.3">
      <c r="A3031" t="s">
        <v>3046</v>
      </c>
      <c r="B3031" t="s">
        <v>13</v>
      </c>
      <c r="C3031" t="s">
        <v>11</v>
      </c>
      <c r="D3031">
        <v>49</v>
      </c>
      <c r="E3031" s="1">
        <v>45176</v>
      </c>
      <c r="F3031">
        <v>2023</v>
      </c>
      <c r="G3031" t="s">
        <v>5033</v>
      </c>
      <c r="H3031">
        <v>7</v>
      </c>
      <c r="I3031">
        <v>2.14</v>
      </c>
      <c r="J3031">
        <v>4</v>
      </c>
      <c r="K3031">
        <v>7721.76</v>
      </c>
      <c r="L3031">
        <v>2.2000000000000002</v>
      </c>
    </row>
    <row r="3032" spans="1:12" x14ac:dyDescent="0.3">
      <c r="A3032" t="s">
        <v>3047</v>
      </c>
      <c r="B3032" t="s">
        <v>24</v>
      </c>
      <c r="C3032" t="s">
        <v>14</v>
      </c>
      <c r="D3032">
        <v>52</v>
      </c>
      <c r="E3032" s="1">
        <v>40242</v>
      </c>
      <c r="F3032">
        <v>2010</v>
      </c>
      <c r="G3032" t="s">
        <v>5035</v>
      </c>
      <c r="H3032">
        <v>5</v>
      </c>
      <c r="I3032">
        <v>4.96</v>
      </c>
      <c r="J3032">
        <v>4</v>
      </c>
      <c r="K3032">
        <v>8868.25</v>
      </c>
      <c r="L3032">
        <v>15.7</v>
      </c>
    </row>
    <row r="3033" spans="1:12" x14ac:dyDescent="0.3">
      <c r="A3033" t="s">
        <v>3048</v>
      </c>
      <c r="B3033" t="s">
        <v>24</v>
      </c>
      <c r="C3033" t="s">
        <v>14</v>
      </c>
      <c r="D3033">
        <v>36</v>
      </c>
      <c r="E3033" s="1">
        <v>42339</v>
      </c>
      <c r="F3033">
        <v>2015</v>
      </c>
      <c r="G3033" t="s">
        <v>5041</v>
      </c>
      <c r="H3033">
        <v>1</v>
      </c>
      <c r="I3033">
        <v>2.82</v>
      </c>
      <c r="J3033">
        <v>11</v>
      </c>
      <c r="K3033">
        <v>7410.61</v>
      </c>
      <c r="L3033">
        <v>9.9</v>
      </c>
    </row>
    <row r="3034" spans="1:12" x14ac:dyDescent="0.3">
      <c r="A3034" t="s">
        <v>3049</v>
      </c>
      <c r="B3034" t="s">
        <v>10</v>
      </c>
      <c r="C3034" t="s">
        <v>14</v>
      </c>
      <c r="D3034">
        <v>33</v>
      </c>
      <c r="E3034" s="1">
        <v>40382</v>
      </c>
      <c r="F3034">
        <v>2010</v>
      </c>
      <c r="G3034" t="s">
        <v>5034</v>
      </c>
      <c r="H3034">
        <v>23</v>
      </c>
      <c r="I3034">
        <v>2.09</v>
      </c>
      <c r="J3034">
        <v>5</v>
      </c>
      <c r="K3034">
        <v>8962.9599999999991</v>
      </c>
      <c r="L3034">
        <v>15.3</v>
      </c>
    </row>
    <row r="3035" spans="1:12" x14ac:dyDescent="0.3">
      <c r="A3035" t="s">
        <v>3050</v>
      </c>
      <c r="B3035" t="s">
        <v>10</v>
      </c>
      <c r="C3035" t="s">
        <v>14</v>
      </c>
      <c r="D3035">
        <v>39</v>
      </c>
      <c r="E3035" s="1">
        <v>42143</v>
      </c>
      <c r="F3035">
        <v>2015</v>
      </c>
      <c r="G3035" t="s">
        <v>5036</v>
      </c>
      <c r="H3035">
        <v>19</v>
      </c>
      <c r="I3035">
        <v>3.99</v>
      </c>
      <c r="J3035">
        <v>15</v>
      </c>
      <c r="K3035">
        <v>7766</v>
      </c>
      <c r="L3035">
        <v>10.5</v>
      </c>
    </row>
    <row r="3036" spans="1:12" x14ac:dyDescent="0.3">
      <c r="A3036" t="s">
        <v>3051</v>
      </c>
      <c r="B3036" t="s">
        <v>13</v>
      </c>
      <c r="C3036" t="s">
        <v>11</v>
      </c>
      <c r="D3036">
        <v>43</v>
      </c>
      <c r="E3036" s="1">
        <v>43243</v>
      </c>
      <c r="F3036">
        <v>2018</v>
      </c>
      <c r="G3036" t="s">
        <v>5036</v>
      </c>
      <c r="H3036">
        <v>23</v>
      </c>
      <c r="I3036">
        <v>1.91</v>
      </c>
      <c r="J3036">
        <v>1</v>
      </c>
      <c r="K3036">
        <v>10723.05</v>
      </c>
      <c r="L3036">
        <v>7.4</v>
      </c>
    </row>
    <row r="3037" spans="1:12" x14ac:dyDescent="0.3">
      <c r="A3037" t="s">
        <v>3052</v>
      </c>
      <c r="B3037" t="s">
        <v>10</v>
      </c>
      <c r="C3037" t="s">
        <v>14</v>
      </c>
      <c r="D3037">
        <v>48</v>
      </c>
      <c r="E3037" s="1">
        <v>42632</v>
      </c>
      <c r="F3037">
        <v>2016</v>
      </c>
      <c r="G3037" t="s">
        <v>5033</v>
      </c>
      <c r="H3037">
        <v>19</v>
      </c>
      <c r="I3037">
        <v>4.74</v>
      </c>
      <c r="J3037">
        <v>8</v>
      </c>
      <c r="K3037">
        <v>10590.19</v>
      </c>
      <c r="L3037">
        <v>9.1</v>
      </c>
    </row>
    <row r="3038" spans="1:12" x14ac:dyDescent="0.3">
      <c r="A3038" t="s">
        <v>3053</v>
      </c>
      <c r="B3038" t="s">
        <v>10</v>
      </c>
      <c r="C3038" t="s">
        <v>14</v>
      </c>
      <c r="D3038">
        <v>24</v>
      </c>
      <c r="E3038" s="1">
        <v>43783</v>
      </c>
      <c r="F3038">
        <v>2019</v>
      </c>
      <c r="G3038" t="s">
        <v>5038</v>
      </c>
      <c r="H3038">
        <v>14</v>
      </c>
      <c r="I3038">
        <v>4.38</v>
      </c>
      <c r="J3038">
        <v>11</v>
      </c>
      <c r="K3038">
        <v>13328.21</v>
      </c>
      <c r="L3038">
        <v>6</v>
      </c>
    </row>
    <row r="3039" spans="1:12" x14ac:dyDescent="0.3">
      <c r="A3039" t="s">
        <v>3054</v>
      </c>
      <c r="B3039" t="s">
        <v>24</v>
      </c>
      <c r="C3039" t="s">
        <v>11</v>
      </c>
      <c r="D3039">
        <v>59</v>
      </c>
      <c r="E3039" s="1">
        <v>44696</v>
      </c>
      <c r="F3039">
        <v>2022</v>
      </c>
      <c r="G3039" t="s">
        <v>5036</v>
      </c>
      <c r="H3039">
        <v>15</v>
      </c>
      <c r="I3039">
        <v>3.16</v>
      </c>
      <c r="J3039">
        <v>5</v>
      </c>
      <c r="K3039">
        <v>11029.85</v>
      </c>
      <c r="L3039">
        <v>3.5</v>
      </c>
    </row>
    <row r="3040" spans="1:12" x14ac:dyDescent="0.3">
      <c r="A3040" t="s">
        <v>3055</v>
      </c>
      <c r="B3040" t="s">
        <v>16</v>
      </c>
      <c r="C3040" t="s">
        <v>14</v>
      </c>
      <c r="D3040">
        <v>59</v>
      </c>
      <c r="E3040" s="1">
        <v>44044</v>
      </c>
      <c r="F3040">
        <v>2020</v>
      </c>
      <c r="G3040" t="s">
        <v>5031</v>
      </c>
      <c r="H3040">
        <v>1</v>
      </c>
      <c r="I3040">
        <v>4.01</v>
      </c>
      <c r="J3040">
        <v>15</v>
      </c>
      <c r="K3040">
        <v>7537.07</v>
      </c>
      <c r="L3040">
        <v>5.3</v>
      </c>
    </row>
    <row r="3041" spans="1:12" x14ac:dyDescent="0.3">
      <c r="A3041" t="s">
        <v>3056</v>
      </c>
      <c r="B3041" t="s">
        <v>13</v>
      </c>
      <c r="C3041" t="s">
        <v>11</v>
      </c>
      <c r="D3041">
        <v>59</v>
      </c>
      <c r="E3041" s="1">
        <v>45289</v>
      </c>
      <c r="F3041">
        <v>2023</v>
      </c>
      <c r="G3041" t="s">
        <v>5041</v>
      </c>
      <c r="H3041">
        <v>29</v>
      </c>
      <c r="I3041">
        <v>2.41</v>
      </c>
      <c r="J3041">
        <v>3</v>
      </c>
      <c r="K3041">
        <v>9723.4</v>
      </c>
      <c r="L3041">
        <v>1.8</v>
      </c>
    </row>
    <row r="3042" spans="1:12" x14ac:dyDescent="0.3">
      <c r="A3042" t="s">
        <v>3057</v>
      </c>
      <c r="B3042" t="s">
        <v>24</v>
      </c>
      <c r="C3042" t="s">
        <v>11</v>
      </c>
      <c r="D3042">
        <v>24</v>
      </c>
      <c r="E3042" s="1">
        <v>41098</v>
      </c>
      <c r="F3042">
        <v>2012</v>
      </c>
      <c r="G3042" t="s">
        <v>5034</v>
      </c>
      <c r="H3042">
        <v>8</v>
      </c>
      <c r="I3042">
        <v>2.5499999999999998</v>
      </c>
      <c r="J3042">
        <v>14</v>
      </c>
      <c r="K3042">
        <v>9316.2999999999993</v>
      </c>
      <c r="L3042">
        <v>13.3</v>
      </c>
    </row>
    <row r="3043" spans="1:12" x14ac:dyDescent="0.3">
      <c r="A3043" t="s">
        <v>3058</v>
      </c>
      <c r="B3043" t="s">
        <v>13</v>
      </c>
      <c r="C3043" t="s">
        <v>14</v>
      </c>
      <c r="D3043">
        <v>60</v>
      </c>
      <c r="E3043" s="1">
        <v>41908</v>
      </c>
      <c r="F3043">
        <v>2014</v>
      </c>
      <c r="G3043" t="s">
        <v>5033</v>
      </c>
      <c r="H3043">
        <v>26</v>
      </c>
      <c r="I3043">
        <v>1.8</v>
      </c>
      <c r="J3043">
        <v>3</v>
      </c>
      <c r="K3043">
        <v>11877.73</v>
      </c>
      <c r="L3043">
        <v>11.1</v>
      </c>
    </row>
    <row r="3044" spans="1:12" x14ac:dyDescent="0.3">
      <c r="A3044" t="s">
        <v>3059</v>
      </c>
      <c r="B3044" t="s">
        <v>16</v>
      </c>
      <c r="C3044" t="s">
        <v>11</v>
      </c>
      <c r="D3044">
        <v>41</v>
      </c>
      <c r="E3044" s="1">
        <v>45417</v>
      </c>
      <c r="F3044">
        <v>2024</v>
      </c>
      <c r="G3044" t="s">
        <v>5036</v>
      </c>
      <c r="H3044">
        <v>5</v>
      </c>
      <c r="I3044">
        <v>1.9</v>
      </c>
      <c r="J3044">
        <v>7</v>
      </c>
      <c r="K3044">
        <v>8486.09</v>
      </c>
      <c r="L3044">
        <v>1.5</v>
      </c>
    </row>
    <row r="3045" spans="1:12" x14ac:dyDescent="0.3">
      <c r="A3045" t="s">
        <v>3060</v>
      </c>
      <c r="B3045" t="s">
        <v>10</v>
      </c>
      <c r="C3045" t="s">
        <v>11</v>
      </c>
      <c r="D3045">
        <v>56</v>
      </c>
      <c r="E3045" s="1">
        <v>42758</v>
      </c>
      <c r="F3045">
        <v>2017</v>
      </c>
      <c r="G3045" t="s">
        <v>5037</v>
      </c>
      <c r="H3045">
        <v>23</v>
      </c>
      <c r="I3045">
        <v>4.92</v>
      </c>
      <c r="J3045">
        <v>12</v>
      </c>
      <c r="K3045">
        <v>6720.93</v>
      </c>
      <c r="L3045">
        <v>8.8000000000000007</v>
      </c>
    </row>
    <row r="3046" spans="1:12" x14ac:dyDescent="0.3">
      <c r="A3046" t="s">
        <v>3061</v>
      </c>
      <c r="B3046" t="s">
        <v>10</v>
      </c>
      <c r="C3046" t="s">
        <v>11</v>
      </c>
      <c r="D3046">
        <v>44</v>
      </c>
      <c r="E3046" s="1">
        <v>42042</v>
      </c>
      <c r="F3046">
        <v>2015</v>
      </c>
      <c r="G3046" t="s">
        <v>5042</v>
      </c>
      <c r="H3046">
        <v>7</v>
      </c>
      <c r="I3046">
        <v>4.38</v>
      </c>
      <c r="J3046">
        <v>9</v>
      </c>
      <c r="K3046">
        <v>9993.0499999999993</v>
      </c>
      <c r="L3046">
        <v>10.7</v>
      </c>
    </row>
    <row r="3047" spans="1:12" x14ac:dyDescent="0.3">
      <c r="A3047" t="s">
        <v>3062</v>
      </c>
      <c r="B3047" t="s">
        <v>18</v>
      </c>
      <c r="C3047" t="s">
        <v>14</v>
      </c>
      <c r="D3047">
        <v>28</v>
      </c>
      <c r="E3047" s="1">
        <v>45158</v>
      </c>
      <c r="F3047">
        <v>2023</v>
      </c>
      <c r="G3047" t="s">
        <v>5031</v>
      </c>
      <c r="H3047">
        <v>20</v>
      </c>
      <c r="I3047">
        <v>2.93</v>
      </c>
      <c r="J3047">
        <v>3</v>
      </c>
      <c r="K3047">
        <v>13692.3</v>
      </c>
      <c r="L3047">
        <v>2.2000000000000002</v>
      </c>
    </row>
    <row r="3048" spans="1:12" x14ac:dyDescent="0.3">
      <c r="A3048" t="s">
        <v>3063</v>
      </c>
      <c r="B3048" t="s">
        <v>13</v>
      </c>
      <c r="C3048" t="s">
        <v>14</v>
      </c>
      <c r="D3048">
        <v>57</v>
      </c>
      <c r="E3048" s="1">
        <v>40955</v>
      </c>
      <c r="F3048">
        <v>2012</v>
      </c>
      <c r="G3048" t="s">
        <v>5042</v>
      </c>
      <c r="H3048">
        <v>16</v>
      </c>
      <c r="I3048">
        <v>2.5</v>
      </c>
      <c r="J3048">
        <v>2</v>
      </c>
      <c r="K3048">
        <v>7069.65</v>
      </c>
      <c r="L3048">
        <v>13.7</v>
      </c>
    </row>
    <row r="3049" spans="1:12" x14ac:dyDescent="0.3">
      <c r="A3049" t="s">
        <v>3064</v>
      </c>
      <c r="B3049" t="s">
        <v>34</v>
      </c>
      <c r="C3049" t="s">
        <v>11</v>
      </c>
      <c r="D3049">
        <v>50</v>
      </c>
      <c r="E3049" s="1">
        <v>40335</v>
      </c>
      <c r="F3049">
        <v>2010</v>
      </c>
      <c r="G3049" t="s">
        <v>5032</v>
      </c>
      <c r="H3049">
        <v>6</v>
      </c>
      <c r="I3049">
        <v>4.16</v>
      </c>
      <c r="J3049">
        <v>8</v>
      </c>
      <c r="K3049">
        <v>11593.01</v>
      </c>
      <c r="L3049">
        <v>15.4</v>
      </c>
    </row>
    <row r="3050" spans="1:12" x14ac:dyDescent="0.3">
      <c r="A3050" t="s">
        <v>3065</v>
      </c>
      <c r="B3050" t="s">
        <v>13</v>
      </c>
      <c r="C3050" t="s">
        <v>11</v>
      </c>
      <c r="D3050">
        <v>28</v>
      </c>
      <c r="E3050" s="1">
        <v>40265</v>
      </c>
      <c r="F3050">
        <v>2010</v>
      </c>
      <c r="G3050" t="s">
        <v>5035</v>
      </c>
      <c r="H3050">
        <v>28</v>
      </c>
      <c r="I3050">
        <v>3.57</v>
      </c>
      <c r="J3050">
        <v>6</v>
      </c>
      <c r="K3050">
        <v>12029.65</v>
      </c>
      <c r="L3050">
        <v>15.6</v>
      </c>
    </row>
    <row r="3051" spans="1:12" x14ac:dyDescent="0.3">
      <c r="A3051" t="s">
        <v>3066</v>
      </c>
      <c r="B3051" t="s">
        <v>16</v>
      </c>
      <c r="C3051" t="s">
        <v>11</v>
      </c>
      <c r="D3051">
        <v>27</v>
      </c>
      <c r="E3051" s="1">
        <v>45197</v>
      </c>
      <c r="F3051">
        <v>2023</v>
      </c>
      <c r="G3051" t="s">
        <v>5033</v>
      </c>
      <c r="H3051">
        <v>28</v>
      </c>
      <c r="I3051">
        <v>3.71</v>
      </c>
      <c r="J3051">
        <v>9</v>
      </c>
      <c r="K3051">
        <v>4152.34</v>
      </c>
      <c r="L3051">
        <v>2.1</v>
      </c>
    </row>
    <row r="3052" spans="1:12" x14ac:dyDescent="0.3">
      <c r="A3052" t="s">
        <v>3067</v>
      </c>
      <c r="B3052" t="s">
        <v>13</v>
      </c>
      <c r="C3052" t="s">
        <v>11</v>
      </c>
      <c r="D3052">
        <v>27</v>
      </c>
      <c r="E3052" s="1">
        <v>40268</v>
      </c>
      <c r="F3052">
        <v>2010</v>
      </c>
      <c r="G3052" t="s">
        <v>5035</v>
      </c>
      <c r="H3052">
        <v>31</v>
      </c>
      <c r="I3052">
        <v>2.62</v>
      </c>
      <c r="J3052">
        <v>7</v>
      </c>
      <c r="K3052">
        <v>8625.6200000000008</v>
      </c>
      <c r="L3052">
        <v>15.6</v>
      </c>
    </row>
    <row r="3053" spans="1:12" x14ac:dyDescent="0.3">
      <c r="A3053" t="s">
        <v>3068</v>
      </c>
      <c r="B3053" t="s">
        <v>34</v>
      </c>
      <c r="C3053" t="s">
        <v>14</v>
      </c>
      <c r="D3053">
        <v>32</v>
      </c>
      <c r="E3053" s="1">
        <v>44463</v>
      </c>
      <c r="F3053">
        <v>2021</v>
      </c>
      <c r="G3053" t="s">
        <v>5033</v>
      </c>
      <c r="H3053">
        <v>24</v>
      </c>
      <c r="I3053">
        <v>2.13</v>
      </c>
      <c r="J3053">
        <v>2</v>
      </c>
      <c r="K3053">
        <v>5599.62</v>
      </c>
      <c r="L3053">
        <v>4.0999999999999996</v>
      </c>
    </row>
    <row r="3054" spans="1:12" x14ac:dyDescent="0.3">
      <c r="A3054" t="s">
        <v>3069</v>
      </c>
      <c r="B3054" t="s">
        <v>18</v>
      </c>
      <c r="C3054" t="s">
        <v>14</v>
      </c>
      <c r="D3054">
        <v>37</v>
      </c>
      <c r="E3054" s="1">
        <v>44950</v>
      </c>
      <c r="F3054">
        <v>2023</v>
      </c>
      <c r="G3054" t="s">
        <v>5037</v>
      </c>
      <c r="H3054">
        <v>24</v>
      </c>
      <c r="I3054">
        <v>4.46</v>
      </c>
      <c r="J3054">
        <v>7</v>
      </c>
      <c r="K3054">
        <v>8607.61</v>
      </c>
      <c r="L3054">
        <v>2.8</v>
      </c>
    </row>
    <row r="3055" spans="1:12" x14ac:dyDescent="0.3">
      <c r="A3055" t="s">
        <v>3070</v>
      </c>
      <c r="B3055" t="s">
        <v>24</v>
      </c>
      <c r="C3055" t="s">
        <v>14</v>
      </c>
      <c r="D3055">
        <v>60</v>
      </c>
      <c r="E3055" s="1">
        <v>45890</v>
      </c>
      <c r="F3055">
        <v>2025</v>
      </c>
      <c r="G3055" t="s">
        <v>5031</v>
      </c>
      <c r="H3055">
        <v>21</v>
      </c>
      <c r="I3055">
        <v>2.06</v>
      </c>
      <c r="J3055">
        <v>7</v>
      </c>
      <c r="K3055">
        <v>13829.52</v>
      </c>
      <c r="L3055">
        <v>0.2</v>
      </c>
    </row>
    <row r="3056" spans="1:12" x14ac:dyDescent="0.3">
      <c r="A3056" t="s">
        <v>3071</v>
      </c>
      <c r="B3056" t="s">
        <v>16</v>
      </c>
      <c r="C3056" t="s">
        <v>14</v>
      </c>
      <c r="D3056">
        <v>25</v>
      </c>
      <c r="E3056" s="1">
        <v>43533</v>
      </c>
      <c r="F3056">
        <v>2019</v>
      </c>
      <c r="G3056" t="s">
        <v>5035</v>
      </c>
      <c r="H3056">
        <v>9</v>
      </c>
      <c r="I3056">
        <v>4.54</v>
      </c>
      <c r="J3056">
        <v>12</v>
      </c>
      <c r="K3056">
        <v>8965.6</v>
      </c>
      <c r="L3056">
        <v>6.7</v>
      </c>
    </row>
    <row r="3057" spans="1:12" x14ac:dyDescent="0.3">
      <c r="A3057" t="s">
        <v>3072</v>
      </c>
      <c r="B3057" t="s">
        <v>18</v>
      </c>
      <c r="C3057" t="s">
        <v>11</v>
      </c>
      <c r="D3057">
        <v>56</v>
      </c>
      <c r="E3057" s="1">
        <v>40547</v>
      </c>
      <c r="F3057">
        <v>2011</v>
      </c>
      <c r="G3057" t="s">
        <v>5037</v>
      </c>
      <c r="H3057">
        <v>4</v>
      </c>
      <c r="I3057">
        <v>3.61</v>
      </c>
      <c r="J3057">
        <v>10</v>
      </c>
      <c r="K3057">
        <v>4154.49</v>
      </c>
      <c r="L3057">
        <v>14.8</v>
      </c>
    </row>
    <row r="3058" spans="1:12" x14ac:dyDescent="0.3">
      <c r="A3058" t="s">
        <v>3073</v>
      </c>
      <c r="B3058" t="s">
        <v>13</v>
      </c>
      <c r="C3058" t="s">
        <v>14</v>
      </c>
      <c r="D3058">
        <v>47</v>
      </c>
      <c r="E3058" s="1">
        <v>45138</v>
      </c>
      <c r="F3058">
        <v>2023</v>
      </c>
      <c r="G3058" t="s">
        <v>5034</v>
      </c>
      <c r="H3058">
        <v>31</v>
      </c>
      <c r="I3058">
        <v>2.25</v>
      </c>
      <c r="J3058">
        <v>12</v>
      </c>
      <c r="K3058">
        <v>7739.54</v>
      </c>
      <c r="L3058">
        <v>2.2999999999999998</v>
      </c>
    </row>
    <row r="3059" spans="1:12" x14ac:dyDescent="0.3">
      <c r="A3059" t="s">
        <v>3074</v>
      </c>
      <c r="B3059" t="s">
        <v>16</v>
      </c>
      <c r="C3059" t="s">
        <v>14</v>
      </c>
      <c r="D3059">
        <v>52</v>
      </c>
      <c r="E3059" s="1">
        <v>43718</v>
      </c>
      <c r="F3059">
        <v>2019</v>
      </c>
      <c r="G3059" t="s">
        <v>5033</v>
      </c>
      <c r="H3059">
        <v>10</v>
      </c>
      <c r="I3059">
        <v>4.34</v>
      </c>
      <c r="J3059">
        <v>11</v>
      </c>
      <c r="K3059">
        <v>8840.0400000000009</v>
      </c>
      <c r="L3059">
        <v>6.1</v>
      </c>
    </row>
    <row r="3060" spans="1:12" x14ac:dyDescent="0.3">
      <c r="A3060" t="s">
        <v>3075</v>
      </c>
      <c r="B3060" t="s">
        <v>34</v>
      </c>
      <c r="C3060" t="s">
        <v>14</v>
      </c>
      <c r="D3060">
        <v>27</v>
      </c>
      <c r="E3060" s="1">
        <v>42745</v>
      </c>
      <c r="F3060">
        <v>2017</v>
      </c>
      <c r="G3060" t="s">
        <v>5037</v>
      </c>
      <c r="H3060">
        <v>10</v>
      </c>
      <c r="I3060">
        <v>3.05</v>
      </c>
      <c r="J3060">
        <v>12</v>
      </c>
      <c r="K3060">
        <v>4303.45</v>
      </c>
      <c r="L3060">
        <v>8.8000000000000007</v>
      </c>
    </row>
    <row r="3061" spans="1:12" x14ac:dyDescent="0.3">
      <c r="A3061" t="s">
        <v>3076</v>
      </c>
      <c r="B3061" t="s">
        <v>24</v>
      </c>
      <c r="C3061" t="s">
        <v>14</v>
      </c>
      <c r="D3061">
        <v>48</v>
      </c>
      <c r="E3061" s="1">
        <v>42881</v>
      </c>
      <c r="F3061">
        <v>2017</v>
      </c>
      <c r="G3061" t="s">
        <v>5036</v>
      </c>
      <c r="H3061">
        <v>26</v>
      </c>
      <c r="I3061">
        <v>3.16</v>
      </c>
      <c r="J3061">
        <v>6</v>
      </c>
      <c r="K3061">
        <v>12476.46</v>
      </c>
      <c r="L3061">
        <v>8.4</v>
      </c>
    </row>
    <row r="3062" spans="1:12" x14ac:dyDescent="0.3">
      <c r="A3062" t="s">
        <v>3077</v>
      </c>
      <c r="B3062" t="s">
        <v>13</v>
      </c>
      <c r="C3062" t="s">
        <v>14</v>
      </c>
      <c r="D3062">
        <v>44</v>
      </c>
      <c r="E3062" s="1">
        <v>44007</v>
      </c>
      <c r="F3062">
        <v>2020</v>
      </c>
      <c r="G3062" t="s">
        <v>5032</v>
      </c>
      <c r="H3062">
        <v>25</v>
      </c>
      <c r="I3062">
        <v>3.45</v>
      </c>
      <c r="J3062">
        <v>1</v>
      </c>
      <c r="K3062">
        <v>14997.15</v>
      </c>
      <c r="L3062">
        <v>5.4</v>
      </c>
    </row>
    <row r="3063" spans="1:12" x14ac:dyDescent="0.3">
      <c r="A3063" t="s">
        <v>3078</v>
      </c>
      <c r="B3063" t="s">
        <v>16</v>
      </c>
      <c r="C3063" t="s">
        <v>11</v>
      </c>
      <c r="D3063">
        <v>52</v>
      </c>
      <c r="E3063" s="1">
        <v>42639</v>
      </c>
      <c r="F3063">
        <v>2016</v>
      </c>
      <c r="G3063" t="s">
        <v>5033</v>
      </c>
      <c r="H3063">
        <v>26</v>
      </c>
      <c r="I3063">
        <v>2.82</v>
      </c>
      <c r="J3063">
        <v>6</v>
      </c>
      <c r="K3063">
        <v>14476.63</v>
      </c>
      <c r="L3063">
        <v>9.1</v>
      </c>
    </row>
    <row r="3064" spans="1:12" x14ac:dyDescent="0.3">
      <c r="A3064" t="s">
        <v>3079</v>
      </c>
      <c r="B3064" t="s">
        <v>18</v>
      </c>
      <c r="C3064" t="s">
        <v>14</v>
      </c>
      <c r="D3064">
        <v>60</v>
      </c>
      <c r="E3064" s="1">
        <v>44418</v>
      </c>
      <c r="F3064">
        <v>2021</v>
      </c>
      <c r="G3064" t="s">
        <v>5031</v>
      </c>
      <c r="H3064">
        <v>10</v>
      </c>
      <c r="I3064">
        <v>1.95</v>
      </c>
      <c r="J3064">
        <v>9</v>
      </c>
      <c r="K3064">
        <v>14981.11</v>
      </c>
      <c r="L3064">
        <v>4.2</v>
      </c>
    </row>
    <row r="3065" spans="1:12" x14ac:dyDescent="0.3">
      <c r="A3065" t="s">
        <v>3080</v>
      </c>
      <c r="B3065" t="s">
        <v>10</v>
      </c>
      <c r="C3065" t="s">
        <v>11</v>
      </c>
      <c r="D3065">
        <v>23</v>
      </c>
      <c r="E3065" s="1">
        <v>45623</v>
      </c>
      <c r="F3065">
        <v>2024</v>
      </c>
      <c r="G3065" t="s">
        <v>5038</v>
      </c>
      <c r="H3065">
        <v>27</v>
      </c>
      <c r="I3065">
        <v>4.04</v>
      </c>
      <c r="J3065">
        <v>6</v>
      </c>
      <c r="K3065">
        <v>14503.91</v>
      </c>
      <c r="L3065">
        <v>0.9</v>
      </c>
    </row>
    <row r="3066" spans="1:12" x14ac:dyDescent="0.3">
      <c r="A3066" t="s">
        <v>3081</v>
      </c>
      <c r="B3066" t="s">
        <v>24</v>
      </c>
      <c r="C3066" t="s">
        <v>14</v>
      </c>
      <c r="D3066">
        <v>38</v>
      </c>
      <c r="E3066" s="1">
        <v>40893</v>
      </c>
      <c r="F3066">
        <v>2011</v>
      </c>
      <c r="G3066" t="s">
        <v>5041</v>
      </c>
      <c r="H3066">
        <v>16</v>
      </c>
      <c r="I3066">
        <v>1.79</v>
      </c>
      <c r="J3066">
        <v>2</v>
      </c>
      <c r="K3066">
        <v>5972.24</v>
      </c>
      <c r="L3066">
        <v>13.9</v>
      </c>
    </row>
    <row r="3067" spans="1:12" x14ac:dyDescent="0.3">
      <c r="A3067" t="s">
        <v>3082</v>
      </c>
      <c r="B3067" t="s">
        <v>16</v>
      </c>
      <c r="C3067" t="s">
        <v>11</v>
      </c>
      <c r="D3067">
        <v>37</v>
      </c>
      <c r="E3067" s="1">
        <v>42029</v>
      </c>
      <c r="F3067">
        <v>2015</v>
      </c>
      <c r="G3067" t="s">
        <v>5037</v>
      </c>
      <c r="H3067">
        <v>25</v>
      </c>
      <c r="I3067">
        <v>4.8099999999999996</v>
      </c>
      <c r="J3067">
        <v>11</v>
      </c>
      <c r="K3067">
        <v>7609.3</v>
      </c>
      <c r="L3067">
        <v>10.8</v>
      </c>
    </row>
    <row r="3068" spans="1:12" x14ac:dyDescent="0.3">
      <c r="A3068" t="s">
        <v>3083</v>
      </c>
      <c r="B3068" t="s">
        <v>34</v>
      </c>
      <c r="C3068" t="s">
        <v>14</v>
      </c>
      <c r="D3068">
        <v>27</v>
      </c>
      <c r="E3068" s="1">
        <v>43068</v>
      </c>
      <c r="F3068">
        <v>2017</v>
      </c>
      <c r="G3068" t="s">
        <v>5038</v>
      </c>
      <c r="H3068">
        <v>29</v>
      </c>
      <c r="I3068">
        <v>1.65</v>
      </c>
      <c r="J3068">
        <v>1</v>
      </c>
      <c r="K3068">
        <v>8794.08</v>
      </c>
      <c r="L3068">
        <v>7.9</v>
      </c>
    </row>
    <row r="3069" spans="1:12" x14ac:dyDescent="0.3">
      <c r="A3069" t="s">
        <v>3084</v>
      </c>
      <c r="B3069" t="s">
        <v>34</v>
      </c>
      <c r="C3069" t="s">
        <v>14</v>
      </c>
      <c r="D3069">
        <v>60</v>
      </c>
      <c r="E3069" s="1">
        <v>40680</v>
      </c>
      <c r="F3069">
        <v>2011</v>
      </c>
      <c r="G3069" t="s">
        <v>5036</v>
      </c>
      <c r="H3069">
        <v>17</v>
      </c>
      <c r="I3069">
        <v>3.84</v>
      </c>
      <c r="J3069">
        <v>0</v>
      </c>
      <c r="K3069">
        <v>7457.91</v>
      </c>
      <c r="L3069">
        <v>14.5</v>
      </c>
    </row>
    <row r="3070" spans="1:12" x14ac:dyDescent="0.3">
      <c r="A3070" t="s">
        <v>3085</v>
      </c>
      <c r="B3070" t="s">
        <v>10</v>
      </c>
      <c r="C3070" t="s">
        <v>14</v>
      </c>
      <c r="D3070">
        <v>35</v>
      </c>
      <c r="E3070" s="1">
        <v>45380</v>
      </c>
      <c r="F3070">
        <v>2024</v>
      </c>
      <c r="G3070" t="s">
        <v>5035</v>
      </c>
      <c r="H3070">
        <v>29</v>
      </c>
      <c r="I3070">
        <v>1.86</v>
      </c>
      <c r="J3070">
        <v>12</v>
      </c>
      <c r="K3070">
        <v>9558.36</v>
      </c>
      <c r="L3070">
        <v>1.6</v>
      </c>
    </row>
    <row r="3071" spans="1:12" x14ac:dyDescent="0.3">
      <c r="A3071" t="s">
        <v>3086</v>
      </c>
      <c r="B3071" t="s">
        <v>18</v>
      </c>
      <c r="C3071" t="s">
        <v>14</v>
      </c>
      <c r="D3071">
        <v>46</v>
      </c>
      <c r="E3071" s="1">
        <v>40541</v>
      </c>
      <c r="F3071">
        <v>2010</v>
      </c>
      <c r="G3071" t="s">
        <v>5041</v>
      </c>
      <c r="H3071">
        <v>29</v>
      </c>
      <c r="I3071">
        <v>4.9800000000000004</v>
      </c>
      <c r="J3071">
        <v>1</v>
      </c>
      <c r="K3071">
        <v>3323.79</v>
      </c>
      <c r="L3071">
        <v>14.9</v>
      </c>
    </row>
    <row r="3072" spans="1:12" x14ac:dyDescent="0.3">
      <c r="A3072" t="s">
        <v>3087</v>
      </c>
      <c r="B3072" t="s">
        <v>16</v>
      </c>
      <c r="C3072" t="s">
        <v>14</v>
      </c>
      <c r="D3072">
        <v>46</v>
      </c>
      <c r="E3072" s="1">
        <v>44974</v>
      </c>
      <c r="F3072">
        <v>2023</v>
      </c>
      <c r="G3072" t="s">
        <v>5042</v>
      </c>
      <c r="H3072">
        <v>17</v>
      </c>
      <c r="I3072">
        <v>4.6399999999999997</v>
      </c>
      <c r="J3072">
        <v>3</v>
      </c>
      <c r="K3072">
        <v>11685.19</v>
      </c>
      <c r="L3072">
        <v>2.7</v>
      </c>
    </row>
    <row r="3073" spans="1:12" x14ac:dyDescent="0.3">
      <c r="A3073" t="s">
        <v>3088</v>
      </c>
      <c r="B3073" t="s">
        <v>18</v>
      </c>
      <c r="C3073" t="s">
        <v>11</v>
      </c>
      <c r="D3073">
        <v>49</v>
      </c>
      <c r="E3073" s="1">
        <v>45920</v>
      </c>
      <c r="F3073">
        <v>2025</v>
      </c>
      <c r="G3073" t="s">
        <v>5033</v>
      </c>
      <c r="H3073">
        <v>20</v>
      </c>
      <c r="I3073">
        <v>1.68</v>
      </c>
      <c r="J3073">
        <v>11</v>
      </c>
      <c r="K3073">
        <v>11333.08</v>
      </c>
      <c r="L3073">
        <v>0.1</v>
      </c>
    </row>
    <row r="3074" spans="1:12" x14ac:dyDescent="0.3">
      <c r="A3074" t="s">
        <v>3089</v>
      </c>
      <c r="B3074" t="s">
        <v>16</v>
      </c>
      <c r="C3074" t="s">
        <v>14</v>
      </c>
      <c r="D3074">
        <v>57</v>
      </c>
      <c r="E3074" s="1">
        <v>41756</v>
      </c>
      <c r="F3074">
        <v>2014</v>
      </c>
      <c r="G3074" t="s">
        <v>5040</v>
      </c>
      <c r="H3074">
        <v>27</v>
      </c>
      <c r="I3074">
        <v>4.9400000000000004</v>
      </c>
      <c r="J3074">
        <v>10</v>
      </c>
      <c r="K3074">
        <v>12157.08</v>
      </c>
      <c r="L3074">
        <v>11.5</v>
      </c>
    </row>
    <row r="3075" spans="1:12" x14ac:dyDescent="0.3">
      <c r="A3075" t="s">
        <v>3090</v>
      </c>
      <c r="B3075" t="s">
        <v>24</v>
      </c>
      <c r="C3075" t="s">
        <v>11</v>
      </c>
      <c r="D3075">
        <v>56</v>
      </c>
      <c r="E3075" s="1">
        <v>40768</v>
      </c>
      <c r="F3075">
        <v>2011</v>
      </c>
      <c r="G3075" t="s">
        <v>5031</v>
      </c>
      <c r="H3075">
        <v>13</v>
      </c>
      <c r="I3075">
        <v>3.89</v>
      </c>
      <c r="J3075">
        <v>5</v>
      </c>
      <c r="K3075">
        <v>10810.65</v>
      </c>
      <c r="L3075">
        <v>14.2</v>
      </c>
    </row>
    <row r="3076" spans="1:12" x14ac:dyDescent="0.3">
      <c r="A3076" t="s">
        <v>3091</v>
      </c>
      <c r="B3076" t="s">
        <v>24</v>
      </c>
      <c r="C3076" t="s">
        <v>11</v>
      </c>
      <c r="D3076">
        <v>57</v>
      </c>
      <c r="E3076" s="1">
        <v>41764</v>
      </c>
      <c r="F3076">
        <v>2014</v>
      </c>
      <c r="G3076" t="s">
        <v>5036</v>
      </c>
      <c r="H3076">
        <v>5</v>
      </c>
      <c r="I3076">
        <v>2.8</v>
      </c>
      <c r="J3076">
        <v>2</v>
      </c>
      <c r="K3076">
        <v>14590.52</v>
      </c>
      <c r="L3076">
        <v>11.5</v>
      </c>
    </row>
    <row r="3077" spans="1:12" x14ac:dyDescent="0.3">
      <c r="A3077" t="s">
        <v>3092</v>
      </c>
      <c r="B3077" t="s">
        <v>34</v>
      </c>
      <c r="C3077" t="s">
        <v>11</v>
      </c>
      <c r="D3077">
        <v>22</v>
      </c>
      <c r="E3077" s="1">
        <v>41232</v>
      </c>
      <c r="F3077">
        <v>2012</v>
      </c>
      <c r="G3077" t="s">
        <v>5038</v>
      </c>
      <c r="H3077">
        <v>19</v>
      </c>
      <c r="I3077">
        <v>3.24</v>
      </c>
      <c r="J3077">
        <v>12</v>
      </c>
      <c r="K3077">
        <v>14573.34</v>
      </c>
      <c r="L3077">
        <v>13</v>
      </c>
    </row>
    <row r="3078" spans="1:12" x14ac:dyDescent="0.3">
      <c r="A3078" t="s">
        <v>3093</v>
      </c>
      <c r="B3078" t="s">
        <v>18</v>
      </c>
      <c r="C3078" t="s">
        <v>14</v>
      </c>
      <c r="D3078">
        <v>41</v>
      </c>
      <c r="E3078" s="1">
        <v>45102</v>
      </c>
      <c r="F3078">
        <v>2023</v>
      </c>
      <c r="G3078" t="s">
        <v>5032</v>
      </c>
      <c r="H3078">
        <v>25</v>
      </c>
      <c r="I3078">
        <v>2.2799999999999998</v>
      </c>
      <c r="J3078">
        <v>13</v>
      </c>
      <c r="K3078">
        <v>12466.79</v>
      </c>
      <c r="L3078">
        <v>2.4</v>
      </c>
    </row>
    <row r="3079" spans="1:12" x14ac:dyDescent="0.3">
      <c r="A3079" t="s">
        <v>3094</v>
      </c>
      <c r="B3079" t="s">
        <v>16</v>
      </c>
      <c r="C3079" t="s">
        <v>14</v>
      </c>
      <c r="D3079">
        <v>24</v>
      </c>
      <c r="E3079" s="1">
        <v>41090</v>
      </c>
      <c r="F3079">
        <v>2012</v>
      </c>
      <c r="G3079" t="s">
        <v>5032</v>
      </c>
      <c r="H3079">
        <v>30</v>
      </c>
      <c r="I3079">
        <v>3.69</v>
      </c>
      <c r="J3079">
        <v>12</v>
      </c>
      <c r="K3079">
        <v>7106.07</v>
      </c>
      <c r="L3079">
        <v>13.3</v>
      </c>
    </row>
    <row r="3080" spans="1:12" x14ac:dyDescent="0.3">
      <c r="A3080" t="s">
        <v>3095</v>
      </c>
      <c r="B3080" t="s">
        <v>13</v>
      </c>
      <c r="C3080" t="s">
        <v>11</v>
      </c>
      <c r="D3080">
        <v>30</v>
      </c>
      <c r="E3080" s="1">
        <v>41187</v>
      </c>
      <c r="F3080">
        <v>2012</v>
      </c>
      <c r="G3080" t="s">
        <v>5039</v>
      </c>
      <c r="H3080">
        <v>5</v>
      </c>
      <c r="I3080">
        <v>4.32</v>
      </c>
      <c r="J3080">
        <v>0</v>
      </c>
      <c r="K3080">
        <v>6371.83</v>
      </c>
      <c r="L3080">
        <v>13.1</v>
      </c>
    </row>
    <row r="3081" spans="1:12" x14ac:dyDescent="0.3">
      <c r="A3081" t="s">
        <v>3096</v>
      </c>
      <c r="B3081" t="s">
        <v>18</v>
      </c>
      <c r="C3081" t="s">
        <v>11</v>
      </c>
      <c r="D3081">
        <v>41</v>
      </c>
      <c r="E3081" s="1">
        <v>43884</v>
      </c>
      <c r="F3081">
        <v>2020</v>
      </c>
      <c r="G3081" t="s">
        <v>5042</v>
      </c>
      <c r="H3081">
        <v>23</v>
      </c>
      <c r="I3081">
        <v>2.89</v>
      </c>
      <c r="J3081">
        <v>2</v>
      </c>
      <c r="K3081">
        <v>11826.65</v>
      </c>
      <c r="L3081">
        <v>5.7</v>
      </c>
    </row>
    <row r="3082" spans="1:12" x14ac:dyDescent="0.3">
      <c r="A3082" t="s">
        <v>3097</v>
      </c>
      <c r="B3082" t="s">
        <v>10</v>
      </c>
      <c r="C3082" t="s">
        <v>11</v>
      </c>
      <c r="D3082">
        <v>28</v>
      </c>
      <c r="E3082" s="1">
        <v>43811</v>
      </c>
      <c r="F3082">
        <v>2019</v>
      </c>
      <c r="G3082" t="s">
        <v>5041</v>
      </c>
      <c r="H3082">
        <v>12</v>
      </c>
      <c r="I3082">
        <v>1.99</v>
      </c>
      <c r="J3082">
        <v>14</v>
      </c>
      <c r="K3082">
        <v>10470.64</v>
      </c>
      <c r="L3082">
        <v>5.9</v>
      </c>
    </row>
    <row r="3083" spans="1:12" x14ac:dyDescent="0.3">
      <c r="A3083" t="s">
        <v>3098</v>
      </c>
      <c r="B3083" t="s">
        <v>24</v>
      </c>
      <c r="C3083" t="s">
        <v>11</v>
      </c>
      <c r="D3083">
        <v>60</v>
      </c>
      <c r="E3083" s="1">
        <v>40695</v>
      </c>
      <c r="F3083">
        <v>2011</v>
      </c>
      <c r="G3083" t="s">
        <v>5032</v>
      </c>
      <c r="H3083">
        <v>1</v>
      </c>
      <c r="I3083">
        <v>3.03</v>
      </c>
      <c r="J3083">
        <v>10</v>
      </c>
      <c r="K3083">
        <v>12678.54</v>
      </c>
      <c r="L3083">
        <v>14.4</v>
      </c>
    </row>
    <row r="3084" spans="1:12" x14ac:dyDescent="0.3">
      <c r="A3084" t="s">
        <v>3099</v>
      </c>
      <c r="B3084" t="s">
        <v>18</v>
      </c>
      <c r="C3084" t="s">
        <v>11</v>
      </c>
      <c r="D3084">
        <v>59</v>
      </c>
      <c r="E3084" s="1">
        <v>43574</v>
      </c>
      <c r="F3084">
        <v>2019</v>
      </c>
      <c r="G3084" t="s">
        <v>5040</v>
      </c>
      <c r="H3084">
        <v>19</v>
      </c>
      <c r="I3084">
        <v>1.72</v>
      </c>
      <c r="J3084">
        <v>12</v>
      </c>
      <c r="K3084">
        <v>9960.8799999999992</v>
      </c>
      <c r="L3084">
        <v>6.5</v>
      </c>
    </row>
    <row r="3085" spans="1:12" x14ac:dyDescent="0.3">
      <c r="A3085" t="s">
        <v>3100</v>
      </c>
      <c r="B3085" t="s">
        <v>10</v>
      </c>
      <c r="C3085" t="s">
        <v>11</v>
      </c>
      <c r="D3085">
        <v>56</v>
      </c>
      <c r="E3085" s="1">
        <v>44907</v>
      </c>
      <c r="F3085">
        <v>2022</v>
      </c>
      <c r="G3085" t="s">
        <v>5041</v>
      </c>
      <c r="H3085">
        <v>12</v>
      </c>
      <c r="I3085">
        <v>2.35</v>
      </c>
      <c r="J3085">
        <v>12</v>
      </c>
      <c r="K3085">
        <v>8812.5400000000009</v>
      </c>
      <c r="L3085">
        <v>2.9</v>
      </c>
    </row>
    <row r="3086" spans="1:12" x14ac:dyDescent="0.3">
      <c r="A3086" t="s">
        <v>3101</v>
      </c>
      <c r="B3086" t="s">
        <v>13</v>
      </c>
      <c r="C3086" t="s">
        <v>11</v>
      </c>
      <c r="D3086">
        <v>54</v>
      </c>
      <c r="E3086" s="1">
        <v>45702</v>
      </c>
      <c r="F3086">
        <v>2025</v>
      </c>
      <c r="G3086" t="s">
        <v>5042</v>
      </c>
      <c r="H3086">
        <v>14</v>
      </c>
      <c r="I3086">
        <v>2.44</v>
      </c>
      <c r="J3086">
        <v>15</v>
      </c>
      <c r="K3086">
        <v>4510.83</v>
      </c>
      <c r="L3086">
        <v>0.7</v>
      </c>
    </row>
    <row r="3087" spans="1:12" x14ac:dyDescent="0.3">
      <c r="A3087" t="s">
        <v>3102</v>
      </c>
      <c r="B3087" t="s">
        <v>18</v>
      </c>
      <c r="C3087" t="s">
        <v>11</v>
      </c>
      <c r="D3087">
        <v>28</v>
      </c>
      <c r="E3087" s="1">
        <v>43001</v>
      </c>
      <c r="F3087">
        <v>2017</v>
      </c>
      <c r="G3087" t="s">
        <v>5033</v>
      </c>
      <c r="H3087">
        <v>23</v>
      </c>
      <c r="I3087">
        <v>2.0699999999999998</v>
      </c>
      <c r="J3087">
        <v>1</v>
      </c>
      <c r="K3087">
        <v>12336.06</v>
      </c>
      <c r="L3087">
        <v>8.1</v>
      </c>
    </row>
    <row r="3088" spans="1:12" x14ac:dyDescent="0.3">
      <c r="A3088" t="s">
        <v>3103</v>
      </c>
      <c r="B3088" t="s">
        <v>34</v>
      </c>
      <c r="C3088" t="s">
        <v>11</v>
      </c>
      <c r="D3088">
        <v>25</v>
      </c>
      <c r="E3088" s="1">
        <v>45181</v>
      </c>
      <c r="F3088">
        <v>2023</v>
      </c>
      <c r="G3088" t="s">
        <v>5033</v>
      </c>
      <c r="H3088">
        <v>12</v>
      </c>
      <c r="I3088">
        <v>2</v>
      </c>
      <c r="J3088">
        <v>15</v>
      </c>
      <c r="K3088">
        <v>6904.37</v>
      </c>
      <c r="L3088">
        <v>2.1</v>
      </c>
    </row>
    <row r="3089" spans="1:12" x14ac:dyDescent="0.3">
      <c r="A3089" t="s">
        <v>3104</v>
      </c>
      <c r="B3089" t="s">
        <v>16</v>
      </c>
      <c r="C3089" t="s">
        <v>11</v>
      </c>
      <c r="D3089">
        <v>35</v>
      </c>
      <c r="E3089" s="1">
        <v>41162</v>
      </c>
      <c r="F3089">
        <v>2012</v>
      </c>
      <c r="G3089" t="s">
        <v>5033</v>
      </c>
      <c r="H3089">
        <v>10</v>
      </c>
      <c r="I3089">
        <v>4.3600000000000003</v>
      </c>
      <c r="J3089">
        <v>8</v>
      </c>
      <c r="K3089">
        <v>13341.14</v>
      </c>
      <c r="L3089">
        <v>13.2</v>
      </c>
    </row>
    <row r="3090" spans="1:12" x14ac:dyDescent="0.3">
      <c r="A3090" t="s">
        <v>3105</v>
      </c>
      <c r="B3090" t="s">
        <v>34</v>
      </c>
      <c r="C3090" t="s">
        <v>11</v>
      </c>
      <c r="D3090">
        <v>24</v>
      </c>
      <c r="E3090" s="1">
        <v>42201</v>
      </c>
      <c r="F3090">
        <v>2015</v>
      </c>
      <c r="G3090" t="s">
        <v>5034</v>
      </c>
      <c r="H3090">
        <v>16</v>
      </c>
      <c r="I3090">
        <v>2.1</v>
      </c>
      <c r="J3090">
        <v>9</v>
      </c>
      <c r="K3090">
        <v>4381.09</v>
      </c>
      <c r="L3090">
        <v>10.3</v>
      </c>
    </row>
    <row r="3091" spans="1:12" x14ac:dyDescent="0.3">
      <c r="A3091" t="s">
        <v>3106</v>
      </c>
      <c r="B3091" t="s">
        <v>24</v>
      </c>
      <c r="C3091" t="s">
        <v>14</v>
      </c>
      <c r="D3091">
        <v>46</v>
      </c>
      <c r="E3091" s="1">
        <v>42281</v>
      </c>
      <c r="F3091">
        <v>2015</v>
      </c>
      <c r="G3091" t="s">
        <v>5039</v>
      </c>
      <c r="H3091">
        <v>4</v>
      </c>
      <c r="I3091">
        <v>2.27</v>
      </c>
      <c r="J3091">
        <v>7</v>
      </c>
      <c r="K3091">
        <v>5087.01</v>
      </c>
      <c r="L3091">
        <v>10.1</v>
      </c>
    </row>
    <row r="3092" spans="1:12" x14ac:dyDescent="0.3">
      <c r="A3092" t="s">
        <v>3107</v>
      </c>
      <c r="B3092" t="s">
        <v>24</v>
      </c>
      <c r="C3092" t="s">
        <v>11</v>
      </c>
      <c r="D3092">
        <v>24</v>
      </c>
      <c r="E3092" s="1">
        <v>40903</v>
      </c>
      <c r="F3092">
        <v>2011</v>
      </c>
      <c r="G3092" t="s">
        <v>5041</v>
      </c>
      <c r="H3092">
        <v>26</v>
      </c>
      <c r="I3092">
        <v>3.78</v>
      </c>
      <c r="J3092">
        <v>3</v>
      </c>
      <c r="K3092">
        <v>3104.56</v>
      </c>
      <c r="L3092">
        <v>13.9</v>
      </c>
    </row>
    <row r="3093" spans="1:12" x14ac:dyDescent="0.3">
      <c r="A3093" t="s">
        <v>3108</v>
      </c>
      <c r="B3093" t="s">
        <v>24</v>
      </c>
      <c r="C3093" t="s">
        <v>11</v>
      </c>
      <c r="D3093">
        <v>55</v>
      </c>
      <c r="E3093" s="1">
        <v>41899</v>
      </c>
      <c r="F3093">
        <v>2014</v>
      </c>
      <c r="G3093" t="s">
        <v>5033</v>
      </c>
      <c r="H3093">
        <v>17</v>
      </c>
      <c r="I3093">
        <v>3.36</v>
      </c>
      <c r="J3093">
        <v>7</v>
      </c>
      <c r="K3093">
        <v>4885.3999999999996</v>
      </c>
      <c r="L3093">
        <v>11.1</v>
      </c>
    </row>
    <row r="3094" spans="1:12" x14ac:dyDescent="0.3">
      <c r="A3094" t="s">
        <v>3109</v>
      </c>
      <c r="B3094" t="s">
        <v>10</v>
      </c>
      <c r="C3094" t="s">
        <v>14</v>
      </c>
      <c r="D3094">
        <v>42</v>
      </c>
      <c r="E3094" s="1">
        <v>44414</v>
      </c>
      <c r="F3094">
        <v>2021</v>
      </c>
      <c r="G3094" t="s">
        <v>5031</v>
      </c>
      <c r="H3094">
        <v>6</v>
      </c>
      <c r="I3094">
        <v>4.76</v>
      </c>
      <c r="J3094">
        <v>2</v>
      </c>
      <c r="K3094">
        <v>12978.79</v>
      </c>
      <c r="L3094">
        <v>4.2</v>
      </c>
    </row>
    <row r="3095" spans="1:12" x14ac:dyDescent="0.3">
      <c r="A3095" t="s">
        <v>3110</v>
      </c>
      <c r="B3095" t="s">
        <v>13</v>
      </c>
      <c r="C3095" t="s">
        <v>14</v>
      </c>
      <c r="D3095">
        <v>37</v>
      </c>
      <c r="E3095" s="1">
        <v>42529</v>
      </c>
      <c r="F3095">
        <v>2016</v>
      </c>
      <c r="G3095" t="s">
        <v>5032</v>
      </c>
      <c r="H3095">
        <v>8</v>
      </c>
      <c r="I3095">
        <v>3.67</v>
      </c>
      <c r="J3095">
        <v>11</v>
      </c>
      <c r="K3095">
        <v>10711.85</v>
      </c>
      <c r="L3095">
        <v>9.4</v>
      </c>
    </row>
    <row r="3096" spans="1:12" x14ac:dyDescent="0.3">
      <c r="A3096" t="s">
        <v>3111</v>
      </c>
      <c r="B3096" t="s">
        <v>34</v>
      </c>
      <c r="C3096" t="s">
        <v>14</v>
      </c>
      <c r="D3096">
        <v>48</v>
      </c>
      <c r="E3096" s="1">
        <v>44845</v>
      </c>
      <c r="F3096">
        <v>2022</v>
      </c>
      <c r="G3096" t="s">
        <v>5039</v>
      </c>
      <c r="H3096">
        <v>11</v>
      </c>
      <c r="I3096">
        <v>2.62</v>
      </c>
      <c r="J3096">
        <v>15</v>
      </c>
      <c r="K3096">
        <v>4029.47</v>
      </c>
      <c r="L3096">
        <v>3.1</v>
      </c>
    </row>
    <row r="3097" spans="1:12" x14ac:dyDescent="0.3">
      <c r="A3097" t="s">
        <v>3112</v>
      </c>
      <c r="B3097" t="s">
        <v>34</v>
      </c>
      <c r="C3097" t="s">
        <v>11</v>
      </c>
      <c r="D3097">
        <v>34</v>
      </c>
      <c r="E3097" s="1">
        <v>40955</v>
      </c>
      <c r="F3097">
        <v>2012</v>
      </c>
      <c r="G3097" t="s">
        <v>5042</v>
      </c>
      <c r="H3097">
        <v>16</v>
      </c>
      <c r="I3097">
        <v>3.37</v>
      </c>
      <c r="J3097">
        <v>3</v>
      </c>
      <c r="K3097">
        <v>4392.26</v>
      </c>
      <c r="L3097">
        <v>13.7</v>
      </c>
    </row>
    <row r="3098" spans="1:12" x14ac:dyDescent="0.3">
      <c r="A3098" t="s">
        <v>3113</v>
      </c>
      <c r="B3098" t="s">
        <v>34</v>
      </c>
      <c r="C3098" t="s">
        <v>14</v>
      </c>
      <c r="D3098">
        <v>31</v>
      </c>
      <c r="E3098" s="1">
        <v>43455</v>
      </c>
      <c r="F3098">
        <v>2018</v>
      </c>
      <c r="G3098" t="s">
        <v>5041</v>
      </c>
      <c r="H3098">
        <v>21</v>
      </c>
      <c r="I3098">
        <v>1.7</v>
      </c>
      <c r="J3098">
        <v>4</v>
      </c>
      <c r="K3098">
        <v>4032.78</v>
      </c>
      <c r="L3098">
        <v>6.9</v>
      </c>
    </row>
    <row r="3099" spans="1:12" x14ac:dyDescent="0.3">
      <c r="A3099" t="s">
        <v>3114</v>
      </c>
      <c r="B3099" t="s">
        <v>16</v>
      </c>
      <c r="C3099" t="s">
        <v>11</v>
      </c>
      <c r="D3099">
        <v>50</v>
      </c>
      <c r="E3099" s="1">
        <v>42868</v>
      </c>
      <c r="F3099">
        <v>2017</v>
      </c>
      <c r="G3099" t="s">
        <v>5036</v>
      </c>
      <c r="H3099">
        <v>13</v>
      </c>
      <c r="I3099">
        <v>1.82</v>
      </c>
      <c r="J3099">
        <v>7</v>
      </c>
      <c r="K3099">
        <v>4548.67</v>
      </c>
      <c r="L3099">
        <v>8.5</v>
      </c>
    </row>
    <row r="3100" spans="1:12" x14ac:dyDescent="0.3">
      <c r="A3100" t="s">
        <v>3115</v>
      </c>
      <c r="B3100" t="s">
        <v>10</v>
      </c>
      <c r="C3100" t="s">
        <v>11</v>
      </c>
      <c r="D3100">
        <v>50</v>
      </c>
      <c r="E3100" s="1">
        <v>41133</v>
      </c>
      <c r="F3100">
        <v>2012</v>
      </c>
      <c r="G3100" t="s">
        <v>5031</v>
      </c>
      <c r="H3100">
        <v>12</v>
      </c>
      <c r="I3100">
        <v>4.72</v>
      </c>
      <c r="J3100">
        <v>4</v>
      </c>
      <c r="K3100">
        <v>13035.08</v>
      </c>
      <c r="L3100">
        <v>13.2</v>
      </c>
    </row>
    <row r="3101" spans="1:12" x14ac:dyDescent="0.3">
      <c r="A3101" t="s">
        <v>3116</v>
      </c>
      <c r="B3101" t="s">
        <v>10</v>
      </c>
      <c r="C3101" t="s">
        <v>14</v>
      </c>
      <c r="D3101">
        <v>55</v>
      </c>
      <c r="E3101" s="1">
        <v>42943</v>
      </c>
      <c r="F3101">
        <v>2017</v>
      </c>
      <c r="G3101" t="s">
        <v>5034</v>
      </c>
      <c r="H3101">
        <v>27</v>
      </c>
      <c r="I3101">
        <v>1.71</v>
      </c>
      <c r="J3101">
        <v>11</v>
      </c>
      <c r="K3101">
        <v>13311.94</v>
      </c>
      <c r="L3101">
        <v>8.3000000000000007</v>
      </c>
    </row>
    <row r="3102" spans="1:12" x14ac:dyDescent="0.3">
      <c r="A3102" t="s">
        <v>3117</v>
      </c>
      <c r="B3102" t="s">
        <v>13</v>
      </c>
      <c r="C3102" t="s">
        <v>14</v>
      </c>
      <c r="D3102">
        <v>57</v>
      </c>
      <c r="E3102" s="1">
        <v>43516</v>
      </c>
      <c r="F3102">
        <v>2019</v>
      </c>
      <c r="G3102" t="s">
        <v>5042</v>
      </c>
      <c r="H3102">
        <v>20</v>
      </c>
      <c r="I3102">
        <v>2.91</v>
      </c>
      <c r="J3102">
        <v>5</v>
      </c>
      <c r="K3102">
        <v>9829.0499999999993</v>
      </c>
      <c r="L3102">
        <v>6.7</v>
      </c>
    </row>
    <row r="3103" spans="1:12" x14ac:dyDescent="0.3">
      <c r="A3103" t="s">
        <v>3118</v>
      </c>
      <c r="B3103" t="s">
        <v>16</v>
      </c>
      <c r="C3103" t="s">
        <v>14</v>
      </c>
      <c r="D3103">
        <v>39</v>
      </c>
      <c r="E3103" s="1">
        <v>44701</v>
      </c>
      <c r="F3103">
        <v>2022</v>
      </c>
      <c r="G3103" t="s">
        <v>5036</v>
      </c>
      <c r="H3103">
        <v>20</v>
      </c>
      <c r="I3103">
        <v>4.6100000000000003</v>
      </c>
      <c r="J3103">
        <v>0</v>
      </c>
      <c r="K3103">
        <v>10160.58</v>
      </c>
      <c r="L3103">
        <v>3.5</v>
      </c>
    </row>
    <row r="3104" spans="1:12" x14ac:dyDescent="0.3">
      <c r="A3104" t="s">
        <v>3119</v>
      </c>
      <c r="B3104" t="s">
        <v>10</v>
      </c>
      <c r="C3104" t="s">
        <v>11</v>
      </c>
      <c r="D3104">
        <v>60</v>
      </c>
      <c r="E3104" s="1">
        <v>45293</v>
      </c>
      <c r="F3104">
        <v>2024</v>
      </c>
      <c r="G3104" t="s">
        <v>5037</v>
      </c>
      <c r="H3104">
        <v>2</v>
      </c>
      <c r="I3104">
        <v>2.4900000000000002</v>
      </c>
      <c r="J3104">
        <v>7</v>
      </c>
      <c r="K3104">
        <v>8794.73</v>
      </c>
      <c r="L3104">
        <v>1.8</v>
      </c>
    </row>
    <row r="3105" spans="1:12" x14ac:dyDescent="0.3">
      <c r="A3105" t="s">
        <v>3120</v>
      </c>
      <c r="B3105" t="s">
        <v>13</v>
      </c>
      <c r="C3105" t="s">
        <v>14</v>
      </c>
      <c r="D3105">
        <v>58</v>
      </c>
      <c r="E3105" s="1">
        <v>40466</v>
      </c>
      <c r="F3105">
        <v>2010</v>
      </c>
      <c r="G3105" t="s">
        <v>5039</v>
      </c>
      <c r="H3105">
        <v>15</v>
      </c>
      <c r="I3105">
        <v>4.58</v>
      </c>
      <c r="J3105">
        <v>0</v>
      </c>
      <c r="K3105">
        <v>4035.46</v>
      </c>
      <c r="L3105">
        <v>15.1</v>
      </c>
    </row>
    <row r="3106" spans="1:12" x14ac:dyDescent="0.3">
      <c r="A3106" t="s">
        <v>3121</v>
      </c>
      <c r="B3106" t="s">
        <v>16</v>
      </c>
      <c r="C3106" t="s">
        <v>14</v>
      </c>
      <c r="D3106">
        <v>39</v>
      </c>
      <c r="E3106" s="1">
        <v>42878</v>
      </c>
      <c r="F3106">
        <v>2017</v>
      </c>
      <c r="G3106" t="s">
        <v>5036</v>
      </c>
      <c r="H3106">
        <v>23</v>
      </c>
      <c r="I3106">
        <v>2.42</v>
      </c>
      <c r="J3106">
        <v>14</v>
      </c>
      <c r="K3106">
        <v>12791.66</v>
      </c>
      <c r="L3106">
        <v>8.4</v>
      </c>
    </row>
    <row r="3107" spans="1:12" x14ac:dyDescent="0.3">
      <c r="A3107" t="s">
        <v>3122</v>
      </c>
      <c r="B3107" t="s">
        <v>34</v>
      </c>
      <c r="C3107" t="s">
        <v>14</v>
      </c>
      <c r="D3107">
        <v>28</v>
      </c>
      <c r="E3107" s="1">
        <v>41149</v>
      </c>
      <c r="F3107">
        <v>2012</v>
      </c>
      <c r="G3107" t="s">
        <v>5031</v>
      </c>
      <c r="H3107">
        <v>28</v>
      </c>
      <c r="I3107">
        <v>2.3199999999999998</v>
      </c>
      <c r="J3107">
        <v>8</v>
      </c>
      <c r="K3107">
        <v>4030.07</v>
      </c>
      <c r="L3107">
        <v>13.2</v>
      </c>
    </row>
    <row r="3108" spans="1:12" x14ac:dyDescent="0.3">
      <c r="A3108" t="s">
        <v>3123</v>
      </c>
      <c r="B3108" t="s">
        <v>24</v>
      </c>
      <c r="C3108" t="s">
        <v>11</v>
      </c>
      <c r="D3108">
        <v>57</v>
      </c>
      <c r="E3108" s="1">
        <v>42331</v>
      </c>
      <c r="F3108">
        <v>2015</v>
      </c>
      <c r="G3108" t="s">
        <v>5038</v>
      </c>
      <c r="H3108">
        <v>23</v>
      </c>
      <c r="I3108">
        <v>1.61</v>
      </c>
      <c r="J3108">
        <v>1</v>
      </c>
      <c r="K3108">
        <v>9505.98</v>
      </c>
      <c r="L3108">
        <v>9.9</v>
      </c>
    </row>
    <row r="3109" spans="1:12" x14ac:dyDescent="0.3">
      <c r="A3109" t="s">
        <v>3124</v>
      </c>
      <c r="B3109" t="s">
        <v>24</v>
      </c>
      <c r="C3109" t="s">
        <v>14</v>
      </c>
      <c r="D3109">
        <v>34</v>
      </c>
      <c r="E3109" s="1">
        <v>42040</v>
      </c>
      <c r="F3109">
        <v>2015</v>
      </c>
      <c r="G3109" t="s">
        <v>5042</v>
      </c>
      <c r="H3109">
        <v>5</v>
      </c>
      <c r="I3109">
        <v>2.65</v>
      </c>
      <c r="J3109">
        <v>10</v>
      </c>
      <c r="K3109">
        <v>14104.4</v>
      </c>
      <c r="L3109">
        <v>10.7</v>
      </c>
    </row>
    <row r="3110" spans="1:12" x14ac:dyDescent="0.3">
      <c r="A3110" t="s">
        <v>3125</v>
      </c>
      <c r="B3110" t="s">
        <v>13</v>
      </c>
      <c r="C3110" t="s">
        <v>11</v>
      </c>
      <c r="D3110">
        <v>33</v>
      </c>
      <c r="E3110" s="1">
        <v>40499</v>
      </c>
      <c r="F3110">
        <v>2010</v>
      </c>
      <c r="G3110" t="s">
        <v>5038</v>
      </c>
      <c r="H3110">
        <v>17</v>
      </c>
      <c r="I3110">
        <v>2.91</v>
      </c>
      <c r="J3110">
        <v>7</v>
      </c>
      <c r="K3110">
        <v>13155.25</v>
      </c>
      <c r="L3110">
        <v>15</v>
      </c>
    </row>
    <row r="3111" spans="1:12" x14ac:dyDescent="0.3">
      <c r="A3111" t="s">
        <v>3126</v>
      </c>
      <c r="B3111" t="s">
        <v>16</v>
      </c>
      <c r="C3111" t="s">
        <v>11</v>
      </c>
      <c r="D3111">
        <v>49</v>
      </c>
      <c r="E3111" s="1">
        <v>45606</v>
      </c>
      <c r="F3111">
        <v>2024</v>
      </c>
      <c r="G3111" t="s">
        <v>5038</v>
      </c>
      <c r="H3111">
        <v>10</v>
      </c>
      <c r="I3111">
        <v>4.8600000000000003</v>
      </c>
      <c r="J3111">
        <v>5</v>
      </c>
      <c r="K3111">
        <v>6265.43</v>
      </c>
      <c r="L3111">
        <v>1</v>
      </c>
    </row>
    <row r="3112" spans="1:12" x14ac:dyDescent="0.3">
      <c r="A3112" t="s">
        <v>3127</v>
      </c>
      <c r="B3112" t="s">
        <v>24</v>
      </c>
      <c r="C3112" t="s">
        <v>14</v>
      </c>
      <c r="D3112">
        <v>37</v>
      </c>
      <c r="E3112" s="1">
        <v>41008</v>
      </c>
      <c r="F3112">
        <v>2012</v>
      </c>
      <c r="G3112" t="s">
        <v>5040</v>
      </c>
      <c r="H3112">
        <v>9</v>
      </c>
      <c r="I3112">
        <v>4.07</v>
      </c>
      <c r="J3112">
        <v>0</v>
      </c>
      <c r="K3112">
        <v>11572.03</v>
      </c>
      <c r="L3112">
        <v>13.6</v>
      </c>
    </row>
    <row r="3113" spans="1:12" x14ac:dyDescent="0.3">
      <c r="A3113" t="s">
        <v>3128</v>
      </c>
      <c r="B3113" t="s">
        <v>24</v>
      </c>
      <c r="C3113" t="s">
        <v>11</v>
      </c>
      <c r="D3113">
        <v>50</v>
      </c>
      <c r="E3113" s="1">
        <v>44882</v>
      </c>
      <c r="F3113">
        <v>2022</v>
      </c>
      <c r="G3113" t="s">
        <v>5038</v>
      </c>
      <c r="H3113">
        <v>17</v>
      </c>
      <c r="I3113">
        <v>3.8</v>
      </c>
      <c r="J3113">
        <v>11</v>
      </c>
      <c r="K3113">
        <v>11947.86</v>
      </c>
      <c r="L3113">
        <v>3</v>
      </c>
    </row>
    <row r="3114" spans="1:12" x14ac:dyDescent="0.3">
      <c r="A3114" t="s">
        <v>3129</v>
      </c>
      <c r="B3114" t="s">
        <v>16</v>
      </c>
      <c r="C3114" t="s">
        <v>14</v>
      </c>
      <c r="D3114">
        <v>53</v>
      </c>
      <c r="E3114" s="1">
        <v>44690</v>
      </c>
      <c r="F3114">
        <v>2022</v>
      </c>
      <c r="G3114" t="s">
        <v>5036</v>
      </c>
      <c r="H3114">
        <v>9</v>
      </c>
      <c r="I3114">
        <v>1.68</v>
      </c>
      <c r="J3114">
        <v>2</v>
      </c>
      <c r="K3114">
        <v>13132.39</v>
      </c>
      <c r="L3114">
        <v>3.5</v>
      </c>
    </row>
    <row r="3115" spans="1:12" x14ac:dyDescent="0.3">
      <c r="A3115" t="s">
        <v>3130</v>
      </c>
      <c r="B3115" t="s">
        <v>16</v>
      </c>
      <c r="C3115" t="s">
        <v>11</v>
      </c>
      <c r="D3115">
        <v>44</v>
      </c>
      <c r="E3115" s="1">
        <v>45346</v>
      </c>
      <c r="F3115">
        <v>2024</v>
      </c>
      <c r="G3115" t="s">
        <v>5042</v>
      </c>
      <c r="H3115">
        <v>24</v>
      </c>
      <c r="I3115">
        <v>1.67</v>
      </c>
      <c r="J3115">
        <v>11</v>
      </c>
      <c r="K3115">
        <v>3406.3</v>
      </c>
      <c r="L3115">
        <v>1.7</v>
      </c>
    </row>
    <row r="3116" spans="1:12" x14ac:dyDescent="0.3">
      <c r="A3116" t="s">
        <v>3131</v>
      </c>
      <c r="B3116" t="s">
        <v>13</v>
      </c>
      <c r="C3116" t="s">
        <v>11</v>
      </c>
      <c r="D3116">
        <v>41</v>
      </c>
      <c r="E3116" s="1">
        <v>40570</v>
      </c>
      <c r="F3116">
        <v>2011</v>
      </c>
      <c r="G3116" t="s">
        <v>5037</v>
      </c>
      <c r="H3116">
        <v>27</v>
      </c>
      <c r="I3116">
        <v>3.9</v>
      </c>
      <c r="J3116">
        <v>11</v>
      </c>
      <c r="K3116">
        <v>5594.49</v>
      </c>
      <c r="L3116">
        <v>14.8</v>
      </c>
    </row>
    <row r="3117" spans="1:12" x14ac:dyDescent="0.3">
      <c r="A3117" t="s">
        <v>3132</v>
      </c>
      <c r="B3117" t="s">
        <v>24</v>
      </c>
      <c r="C3117" t="s">
        <v>14</v>
      </c>
      <c r="D3117">
        <v>56</v>
      </c>
      <c r="E3117" s="1">
        <v>45557</v>
      </c>
      <c r="F3117">
        <v>2024</v>
      </c>
      <c r="G3117" t="s">
        <v>5033</v>
      </c>
      <c r="H3117">
        <v>22</v>
      </c>
      <c r="I3117">
        <v>2</v>
      </c>
      <c r="J3117">
        <v>7</v>
      </c>
      <c r="K3117">
        <v>4416.87</v>
      </c>
      <c r="L3117">
        <v>1.1000000000000001</v>
      </c>
    </row>
    <row r="3118" spans="1:12" x14ac:dyDescent="0.3">
      <c r="A3118" t="s">
        <v>3133</v>
      </c>
      <c r="B3118" t="s">
        <v>16</v>
      </c>
      <c r="C3118" t="s">
        <v>11</v>
      </c>
      <c r="D3118">
        <v>43</v>
      </c>
      <c r="E3118" s="1">
        <v>40960</v>
      </c>
      <c r="F3118">
        <v>2012</v>
      </c>
      <c r="G3118" t="s">
        <v>5042</v>
      </c>
      <c r="H3118">
        <v>21</v>
      </c>
      <c r="I3118">
        <v>3.17</v>
      </c>
      <c r="J3118">
        <v>2</v>
      </c>
      <c r="K3118">
        <v>13584.99</v>
      </c>
      <c r="L3118">
        <v>13.7</v>
      </c>
    </row>
    <row r="3119" spans="1:12" x14ac:dyDescent="0.3">
      <c r="A3119" t="s">
        <v>3134</v>
      </c>
      <c r="B3119" t="s">
        <v>13</v>
      </c>
      <c r="C3119" t="s">
        <v>14</v>
      </c>
      <c r="D3119">
        <v>53</v>
      </c>
      <c r="E3119" s="1">
        <v>40657</v>
      </c>
      <c r="F3119">
        <v>2011</v>
      </c>
      <c r="G3119" t="s">
        <v>5040</v>
      </c>
      <c r="H3119">
        <v>24</v>
      </c>
      <c r="I3119">
        <v>4.8600000000000003</v>
      </c>
      <c r="J3119">
        <v>10</v>
      </c>
      <c r="K3119">
        <v>3412.75</v>
      </c>
      <c r="L3119">
        <v>14.5</v>
      </c>
    </row>
    <row r="3120" spans="1:12" x14ac:dyDescent="0.3">
      <c r="A3120" t="s">
        <v>3135</v>
      </c>
      <c r="B3120" t="s">
        <v>13</v>
      </c>
      <c r="C3120" t="s">
        <v>11</v>
      </c>
      <c r="D3120">
        <v>46</v>
      </c>
      <c r="E3120" s="1">
        <v>43877</v>
      </c>
      <c r="F3120">
        <v>2020</v>
      </c>
      <c r="G3120" t="s">
        <v>5042</v>
      </c>
      <c r="H3120">
        <v>16</v>
      </c>
      <c r="I3120">
        <v>3.35</v>
      </c>
      <c r="J3120">
        <v>15</v>
      </c>
      <c r="K3120">
        <v>14674.8</v>
      </c>
      <c r="L3120">
        <v>5.7</v>
      </c>
    </row>
    <row r="3121" spans="1:12" x14ac:dyDescent="0.3">
      <c r="A3121" t="s">
        <v>3136</v>
      </c>
      <c r="B3121" t="s">
        <v>16</v>
      </c>
      <c r="C3121" t="s">
        <v>14</v>
      </c>
      <c r="D3121">
        <v>40</v>
      </c>
      <c r="E3121" s="1">
        <v>40602</v>
      </c>
      <c r="F3121">
        <v>2011</v>
      </c>
      <c r="G3121" t="s">
        <v>5042</v>
      </c>
      <c r="H3121">
        <v>28</v>
      </c>
      <c r="I3121">
        <v>3.78</v>
      </c>
      <c r="J3121">
        <v>6</v>
      </c>
      <c r="K3121">
        <v>11504.46</v>
      </c>
      <c r="L3121">
        <v>14.7</v>
      </c>
    </row>
    <row r="3122" spans="1:12" x14ac:dyDescent="0.3">
      <c r="A3122" t="s">
        <v>3137</v>
      </c>
      <c r="B3122" t="s">
        <v>16</v>
      </c>
      <c r="C3122" t="s">
        <v>11</v>
      </c>
      <c r="D3122">
        <v>60</v>
      </c>
      <c r="E3122" s="1">
        <v>45693</v>
      </c>
      <c r="F3122">
        <v>2025</v>
      </c>
      <c r="G3122" t="s">
        <v>5042</v>
      </c>
      <c r="H3122">
        <v>5</v>
      </c>
      <c r="I3122">
        <v>2.76</v>
      </c>
      <c r="J3122">
        <v>0</v>
      </c>
      <c r="K3122">
        <v>11784.34</v>
      </c>
      <c r="L3122">
        <v>0.7</v>
      </c>
    </row>
    <row r="3123" spans="1:12" x14ac:dyDescent="0.3">
      <c r="A3123" t="s">
        <v>3138</v>
      </c>
      <c r="B3123" t="s">
        <v>10</v>
      </c>
      <c r="C3123" t="s">
        <v>14</v>
      </c>
      <c r="D3123">
        <v>48</v>
      </c>
      <c r="E3123" s="1">
        <v>44197</v>
      </c>
      <c r="F3123">
        <v>2021</v>
      </c>
      <c r="G3123" t="s">
        <v>5037</v>
      </c>
      <c r="H3123">
        <v>1</v>
      </c>
      <c r="I3123">
        <v>2.63</v>
      </c>
      <c r="J3123">
        <v>9</v>
      </c>
      <c r="K3123">
        <v>8213.7199999999993</v>
      </c>
      <c r="L3123">
        <v>4.8</v>
      </c>
    </row>
    <row r="3124" spans="1:12" x14ac:dyDescent="0.3">
      <c r="A3124" t="s">
        <v>3139</v>
      </c>
      <c r="B3124" t="s">
        <v>24</v>
      </c>
      <c r="C3124" t="s">
        <v>14</v>
      </c>
      <c r="D3124">
        <v>38</v>
      </c>
      <c r="E3124" s="1">
        <v>45024</v>
      </c>
      <c r="F3124">
        <v>2023</v>
      </c>
      <c r="G3124" t="s">
        <v>5040</v>
      </c>
      <c r="H3124">
        <v>8</v>
      </c>
      <c r="I3124">
        <v>3.68</v>
      </c>
      <c r="J3124">
        <v>9</v>
      </c>
      <c r="K3124">
        <v>14980.15</v>
      </c>
      <c r="L3124">
        <v>2.6</v>
      </c>
    </row>
    <row r="3125" spans="1:12" x14ac:dyDescent="0.3">
      <c r="A3125" t="s">
        <v>3140</v>
      </c>
      <c r="B3125" t="s">
        <v>24</v>
      </c>
      <c r="C3125" t="s">
        <v>14</v>
      </c>
      <c r="D3125">
        <v>31</v>
      </c>
      <c r="E3125" s="1">
        <v>43633</v>
      </c>
      <c r="F3125">
        <v>2019</v>
      </c>
      <c r="G3125" t="s">
        <v>5032</v>
      </c>
      <c r="H3125">
        <v>17</v>
      </c>
      <c r="I3125">
        <v>3.35</v>
      </c>
      <c r="J3125">
        <v>3</v>
      </c>
      <c r="K3125">
        <v>11085.7</v>
      </c>
      <c r="L3125">
        <v>6.4</v>
      </c>
    </row>
    <row r="3126" spans="1:12" x14ac:dyDescent="0.3">
      <c r="A3126" t="s">
        <v>3141</v>
      </c>
      <c r="B3126" t="s">
        <v>18</v>
      </c>
      <c r="C3126" t="s">
        <v>11</v>
      </c>
      <c r="D3126">
        <v>26</v>
      </c>
      <c r="E3126" s="1">
        <v>43455</v>
      </c>
      <c r="F3126">
        <v>2018</v>
      </c>
      <c r="G3126" t="s">
        <v>5041</v>
      </c>
      <c r="H3126">
        <v>21</v>
      </c>
      <c r="I3126">
        <v>2.08</v>
      </c>
      <c r="J3126">
        <v>13</v>
      </c>
      <c r="K3126">
        <v>6111.33</v>
      </c>
      <c r="L3126">
        <v>6.9</v>
      </c>
    </row>
    <row r="3127" spans="1:12" x14ac:dyDescent="0.3">
      <c r="A3127" t="s">
        <v>3142</v>
      </c>
      <c r="B3127" t="s">
        <v>13</v>
      </c>
      <c r="C3127" t="s">
        <v>11</v>
      </c>
      <c r="D3127">
        <v>22</v>
      </c>
      <c r="E3127" s="1">
        <v>43704</v>
      </c>
      <c r="F3127">
        <v>2019</v>
      </c>
      <c r="G3127" t="s">
        <v>5031</v>
      </c>
      <c r="H3127">
        <v>27</v>
      </c>
      <c r="I3127">
        <v>3.13</v>
      </c>
      <c r="J3127">
        <v>13</v>
      </c>
      <c r="K3127">
        <v>6087.31</v>
      </c>
      <c r="L3127">
        <v>6.2</v>
      </c>
    </row>
    <row r="3128" spans="1:12" x14ac:dyDescent="0.3">
      <c r="A3128" t="s">
        <v>3143</v>
      </c>
      <c r="B3128" t="s">
        <v>24</v>
      </c>
      <c r="C3128" t="s">
        <v>14</v>
      </c>
      <c r="D3128">
        <v>51</v>
      </c>
      <c r="E3128" s="1">
        <v>40543</v>
      </c>
      <c r="F3128">
        <v>2010</v>
      </c>
      <c r="G3128" t="s">
        <v>5041</v>
      </c>
      <c r="H3128">
        <v>31</v>
      </c>
      <c r="I3128">
        <v>4.0599999999999996</v>
      </c>
      <c r="J3128">
        <v>10</v>
      </c>
      <c r="K3128">
        <v>11413.45</v>
      </c>
      <c r="L3128">
        <v>14.8</v>
      </c>
    </row>
    <row r="3129" spans="1:12" x14ac:dyDescent="0.3">
      <c r="A3129" t="s">
        <v>3144</v>
      </c>
      <c r="B3129" t="s">
        <v>13</v>
      </c>
      <c r="C3129" t="s">
        <v>11</v>
      </c>
      <c r="D3129">
        <v>26</v>
      </c>
      <c r="E3129" s="1">
        <v>45637</v>
      </c>
      <c r="F3129">
        <v>2024</v>
      </c>
      <c r="G3129" t="s">
        <v>5041</v>
      </c>
      <c r="H3129">
        <v>11</v>
      </c>
      <c r="I3129">
        <v>3.92</v>
      </c>
      <c r="J3129">
        <v>2</v>
      </c>
      <c r="K3129">
        <v>11872.12</v>
      </c>
      <c r="L3129">
        <v>0.9</v>
      </c>
    </row>
    <row r="3130" spans="1:12" x14ac:dyDescent="0.3">
      <c r="A3130" t="s">
        <v>3145</v>
      </c>
      <c r="B3130" t="s">
        <v>24</v>
      </c>
      <c r="C3130" t="s">
        <v>14</v>
      </c>
      <c r="D3130">
        <v>33</v>
      </c>
      <c r="E3130" s="1">
        <v>42919</v>
      </c>
      <c r="F3130">
        <v>2017</v>
      </c>
      <c r="G3130" t="s">
        <v>5034</v>
      </c>
      <c r="H3130">
        <v>3</v>
      </c>
      <c r="I3130">
        <v>3.96</v>
      </c>
      <c r="J3130">
        <v>3</v>
      </c>
      <c r="K3130">
        <v>9671.9</v>
      </c>
      <c r="L3130">
        <v>8.3000000000000007</v>
      </c>
    </row>
    <row r="3131" spans="1:12" x14ac:dyDescent="0.3">
      <c r="A3131" t="s">
        <v>3146</v>
      </c>
      <c r="B3131" t="s">
        <v>10</v>
      </c>
      <c r="C3131" t="s">
        <v>14</v>
      </c>
      <c r="D3131">
        <v>37</v>
      </c>
      <c r="E3131" s="1">
        <v>42924</v>
      </c>
      <c r="F3131">
        <v>2017</v>
      </c>
      <c r="G3131" t="s">
        <v>5034</v>
      </c>
      <c r="H3131">
        <v>8</v>
      </c>
      <c r="I3131">
        <v>3.6</v>
      </c>
      <c r="J3131">
        <v>15</v>
      </c>
      <c r="K3131">
        <v>9863.5499999999993</v>
      </c>
      <c r="L3131">
        <v>8.3000000000000007</v>
      </c>
    </row>
    <row r="3132" spans="1:12" x14ac:dyDescent="0.3">
      <c r="A3132" t="s">
        <v>3147</v>
      </c>
      <c r="B3132" t="s">
        <v>16</v>
      </c>
      <c r="C3132" t="s">
        <v>14</v>
      </c>
      <c r="D3132">
        <v>25</v>
      </c>
      <c r="E3132" s="1">
        <v>41803</v>
      </c>
      <c r="F3132">
        <v>2014</v>
      </c>
      <c r="G3132" t="s">
        <v>5032</v>
      </c>
      <c r="H3132">
        <v>13</v>
      </c>
      <c r="I3132">
        <v>2.66</v>
      </c>
      <c r="J3132">
        <v>15</v>
      </c>
      <c r="K3132">
        <v>11457.67</v>
      </c>
      <c r="L3132">
        <v>11.4</v>
      </c>
    </row>
    <row r="3133" spans="1:12" x14ac:dyDescent="0.3">
      <c r="A3133" t="s">
        <v>3148</v>
      </c>
      <c r="B3133" t="s">
        <v>24</v>
      </c>
      <c r="C3133" t="s">
        <v>11</v>
      </c>
      <c r="D3133">
        <v>36</v>
      </c>
      <c r="E3133" s="1">
        <v>43156</v>
      </c>
      <c r="F3133">
        <v>2018</v>
      </c>
      <c r="G3133" t="s">
        <v>5042</v>
      </c>
      <c r="H3133">
        <v>25</v>
      </c>
      <c r="I3133">
        <v>3.7</v>
      </c>
      <c r="J3133">
        <v>4</v>
      </c>
      <c r="K3133">
        <v>10131.44</v>
      </c>
      <c r="L3133">
        <v>7.7</v>
      </c>
    </row>
    <row r="3134" spans="1:12" x14ac:dyDescent="0.3">
      <c r="A3134" t="s">
        <v>3149</v>
      </c>
      <c r="B3134" t="s">
        <v>34</v>
      </c>
      <c r="C3134" t="s">
        <v>14</v>
      </c>
      <c r="D3134">
        <v>42</v>
      </c>
      <c r="E3134" s="1">
        <v>41031</v>
      </c>
      <c r="F3134">
        <v>2012</v>
      </c>
      <c r="G3134" t="s">
        <v>5036</v>
      </c>
      <c r="H3134">
        <v>2</v>
      </c>
      <c r="I3134">
        <v>3.06</v>
      </c>
      <c r="J3134">
        <v>4</v>
      </c>
      <c r="K3134">
        <v>6427.84</v>
      </c>
      <c r="L3134">
        <v>13.5</v>
      </c>
    </row>
    <row r="3135" spans="1:12" x14ac:dyDescent="0.3">
      <c r="A3135" t="s">
        <v>3150</v>
      </c>
      <c r="B3135" t="s">
        <v>34</v>
      </c>
      <c r="C3135" t="s">
        <v>11</v>
      </c>
      <c r="D3135">
        <v>27</v>
      </c>
      <c r="E3135" s="1">
        <v>44545</v>
      </c>
      <c r="F3135">
        <v>2021</v>
      </c>
      <c r="G3135" t="s">
        <v>5041</v>
      </c>
      <c r="H3135">
        <v>15</v>
      </c>
      <c r="I3135">
        <v>3.94</v>
      </c>
      <c r="J3135">
        <v>10</v>
      </c>
      <c r="K3135">
        <v>5619.28</v>
      </c>
      <c r="L3135">
        <v>3.9</v>
      </c>
    </row>
    <row r="3136" spans="1:12" x14ac:dyDescent="0.3">
      <c r="A3136" t="s">
        <v>3151</v>
      </c>
      <c r="B3136" t="s">
        <v>10</v>
      </c>
      <c r="C3136" t="s">
        <v>11</v>
      </c>
      <c r="D3136">
        <v>52</v>
      </c>
      <c r="E3136" s="1">
        <v>42035</v>
      </c>
      <c r="F3136">
        <v>2015</v>
      </c>
      <c r="G3136" t="s">
        <v>5037</v>
      </c>
      <c r="H3136">
        <v>31</v>
      </c>
      <c r="I3136">
        <v>2.97</v>
      </c>
      <c r="J3136">
        <v>3</v>
      </c>
      <c r="K3136">
        <v>7891.2</v>
      </c>
      <c r="L3136">
        <v>10.8</v>
      </c>
    </row>
    <row r="3137" spans="1:12" x14ac:dyDescent="0.3">
      <c r="A3137" t="s">
        <v>3152</v>
      </c>
      <c r="B3137" t="s">
        <v>16</v>
      </c>
      <c r="C3137" t="s">
        <v>11</v>
      </c>
      <c r="D3137">
        <v>39</v>
      </c>
      <c r="E3137" s="1">
        <v>45035</v>
      </c>
      <c r="F3137">
        <v>2023</v>
      </c>
      <c r="G3137" t="s">
        <v>5040</v>
      </c>
      <c r="H3137">
        <v>19</v>
      </c>
      <c r="I3137">
        <v>2.27</v>
      </c>
      <c r="J3137">
        <v>0</v>
      </c>
      <c r="K3137">
        <v>7985.9</v>
      </c>
      <c r="L3137">
        <v>2.5</v>
      </c>
    </row>
    <row r="3138" spans="1:12" x14ac:dyDescent="0.3">
      <c r="A3138" t="s">
        <v>3153</v>
      </c>
      <c r="B3138" t="s">
        <v>34</v>
      </c>
      <c r="C3138" t="s">
        <v>11</v>
      </c>
      <c r="D3138">
        <v>37</v>
      </c>
      <c r="E3138" s="1">
        <v>42133</v>
      </c>
      <c r="F3138">
        <v>2015</v>
      </c>
      <c r="G3138" t="s">
        <v>5036</v>
      </c>
      <c r="H3138">
        <v>9</v>
      </c>
      <c r="I3138">
        <v>2.2400000000000002</v>
      </c>
      <c r="J3138">
        <v>12</v>
      </c>
      <c r="K3138">
        <v>13343.17</v>
      </c>
      <c r="L3138">
        <v>10.5</v>
      </c>
    </row>
    <row r="3139" spans="1:12" x14ac:dyDescent="0.3">
      <c r="A3139" t="s">
        <v>3154</v>
      </c>
      <c r="B3139" t="s">
        <v>24</v>
      </c>
      <c r="C3139" t="s">
        <v>11</v>
      </c>
      <c r="D3139">
        <v>22</v>
      </c>
      <c r="E3139" s="1">
        <v>41584</v>
      </c>
      <c r="F3139">
        <v>2013</v>
      </c>
      <c r="G3139" t="s">
        <v>5038</v>
      </c>
      <c r="H3139">
        <v>6</v>
      </c>
      <c r="I3139">
        <v>1.57</v>
      </c>
      <c r="J3139">
        <v>10</v>
      </c>
      <c r="K3139">
        <v>9838.44</v>
      </c>
      <c r="L3139">
        <v>12</v>
      </c>
    </row>
    <row r="3140" spans="1:12" x14ac:dyDescent="0.3">
      <c r="A3140" t="s">
        <v>3155</v>
      </c>
      <c r="B3140" t="s">
        <v>24</v>
      </c>
      <c r="C3140" t="s">
        <v>14</v>
      </c>
      <c r="D3140">
        <v>44</v>
      </c>
      <c r="E3140" s="1">
        <v>45784</v>
      </c>
      <c r="F3140">
        <v>2025</v>
      </c>
      <c r="G3140" t="s">
        <v>5036</v>
      </c>
      <c r="H3140">
        <v>7</v>
      </c>
      <c r="I3140">
        <v>4.5599999999999996</v>
      </c>
      <c r="J3140">
        <v>7</v>
      </c>
      <c r="K3140">
        <v>4620.83</v>
      </c>
      <c r="L3140">
        <v>0.5</v>
      </c>
    </row>
    <row r="3141" spans="1:12" x14ac:dyDescent="0.3">
      <c r="A3141" t="s">
        <v>3156</v>
      </c>
      <c r="B3141" t="s">
        <v>10</v>
      </c>
      <c r="C3141" t="s">
        <v>11</v>
      </c>
      <c r="D3141">
        <v>27</v>
      </c>
      <c r="E3141" s="1">
        <v>44304</v>
      </c>
      <c r="F3141">
        <v>2021</v>
      </c>
      <c r="G3141" t="s">
        <v>5040</v>
      </c>
      <c r="H3141">
        <v>18</v>
      </c>
      <c r="I3141">
        <v>4.09</v>
      </c>
      <c r="J3141">
        <v>12</v>
      </c>
      <c r="K3141">
        <v>8913.77</v>
      </c>
      <c r="L3141">
        <v>4.5</v>
      </c>
    </row>
    <row r="3142" spans="1:12" x14ac:dyDescent="0.3">
      <c r="A3142" t="s">
        <v>3157</v>
      </c>
      <c r="B3142" t="s">
        <v>18</v>
      </c>
      <c r="C3142" t="s">
        <v>11</v>
      </c>
      <c r="D3142">
        <v>27</v>
      </c>
      <c r="E3142" s="1">
        <v>42362</v>
      </c>
      <c r="F3142">
        <v>2015</v>
      </c>
      <c r="G3142" t="s">
        <v>5041</v>
      </c>
      <c r="H3142">
        <v>24</v>
      </c>
      <c r="I3142">
        <v>3.52</v>
      </c>
      <c r="J3142">
        <v>7</v>
      </c>
      <c r="K3142">
        <v>11344.17</v>
      </c>
      <c r="L3142">
        <v>9.9</v>
      </c>
    </row>
    <row r="3143" spans="1:12" x14ac:dyDescent="0.3">
      <c r="A3143" t="s">
        <v>3158</v>
      </c>
      <c r="B3143" t="s">
        <v>18</v>
      </c>
      <c r="C3143" t="s">
        <v>11</v>
      </c>
      <c r="D3143">
        <v>22</v>
      </c>
      <c r="E3143" s="1">
        <v>45332</v>
      </c>
      <c r="F3143">
        <v>2024</v>
      </c>
      <c r="G3143" t="s">
        <v>5042</v>
      </c>
      <c r="H3143">
        <v>10</v>
      </c>
      <c r="I3143">
        <v>3.85</v>
      </c>
      <c r="J3143">
        <v>3</v>
      </c>
      <c r="K3143">
        <v>13340.23</v>
      </c>
      <c r="L3143">
        <v>1.7</v>
      </c>
    </row>
    <row r="3144" spans="1:12" x14ac:dyDescent="0.3">
      <c r="A3144" t="s">
        <v>3159</v>
      </c>
      <c r="B3144" t="s">
        <v>24</v>
      </c>
      <c r="C3144" t="s">
        <v>14</v>
      </c>
      <c r="D3144">
        <v>43</v>
      </c>
      <c r="E3144" s="1">
        <v>43700</v>
      </c>
      <c r="F3144">
        <v>2019</v>
      </c>
      <c r="G3144" t="s">
        <v>5031</v>
      </c>
      <c r="H3144">
        <v>23</v>
      </c>
      <c r="I3144">
        <v>3.13</v>
      </c>
      <c r="J3144">
        <v>12</v>
      </c>
      <c r="K3144">
        <v>11623.56</v>
      </c>
      <c r="L3144">
        <v>6.2</v>
      </c>
    </row>
    <row r="3145" spans="1:12" x14ac:dyDescent="0.3">
      <c r="A3145" t="s">
        <v>3160</v>
      </c>
      <c r="B3145" t="s">
        <v>10</v>
      </c>
      <c r="C3145" t="s">
        <v>14</v>
      </c>
      <c r="D3145">
        <v>59</v>
      </c>
      <c r="E3145" s="1">
        <v>42570</v>
      </c>
      <c r="F3145">
        <v>2016</v>
      </c>
      <c r="G3145" t="s">
        <v>5034</v>
      </c>
      <c r="H3145">
        <v>19</v>
      </c>
      <c r="I3145">
        <v>1.96</v>
      </c>
      <c r="J3145">
        <v>13</v>
      </c>
      <c r="K3145">
        <v>3721.04</v>
      </c>
      <c r="L3145">
        <v>9.3000000000000007</v>
      </c>
    </row>
    <row r="3146" spans="1:12" x14ac:dyDescent="0.3">
      <c r="A3146" t="s">
        <v>3161</v>
      </c>
      <c r="B3146" t="s">
        <v>10</v>
      </c>
      <c r="C3146" t="s">
        <v>14</v>
      </c>
      <c r="D3146">
        <v>52</v>
      </c>
      <c r="E3146" s="1">
        <v>44240</v>
      </c>
      <c r="F3146">
        <v>2021</v>
      </c>
      <c r="G3146" t="s">
        <v>5042</v>
      </c>
      <c r="H3146">
        <v>13</v>
      </c>
      <c r="I3146">
        <v>2.58</v>
      </c>
      <c r="J3146">
        <v>9</v>
      </c>
      <c r="K3146">
        <v>6079.42</v>
      </c>
      <c r="L3146">
        <v>4.7</v>
      </c>
    </row>
    <row r="3147" spans="1:12" x14ac:dyDescent="0.3">
      <c r="A3147" t="s">
        <v>3162</v>
      </c>
      <c r="B3147" t="s">
        <v>18</v>
      </c>
      <c r="C3147" t="s">
        <v>11</v>
      </c>
      <c r="D3147">
        <v>44</v>
      </c>
      <c r="E3147" s="1">
        <v>40333</v>
      </c>
      <c r="F3147">
        <v>2010</v>
      </c>
      <c r="G3147" t="s">
        <v>5032</v>
      </c>
      <c r="H3147">
        <v>4</v>
      </c>
      <c r="I3147">
        <v>3.95</v>
      </c>
      <c r="J3147">
        <v>2</v>
      </c>
      <c r="K3147">
        <v>8408.84</v>
      </c>
      <c r="L3147">
        <v>15.4</v>
      </c>
    </row>
    <row r="3148" spans="1:12" x14ac:dyDescent="0.3">
      <c r="A3148" t="s">
        <v>3163</v>
      </c>
      <c r="B3148" t="s">
        <v>24</v>
      </c>
      <c r="C3148" t="s">
        <v>11</v>
      </c>
      <c r="D3148">
        <v>29</v>
      </c>
      <c r="E3148" s="1">
        <v>41630</v>
      </c>
      <c r="F3148">
        <v>2013</v>
      </c>
      <c r="G3148" t="s">
        <v>5041</v>
      </c>
      <c r="H3148">
        <v>22</v>
      </c>
      <c r="I3148">
        <v>4.5999999999999996</v>
      </c>
      <c r="J3148">
        <v>0</v>
      </c>
      <c r="K3148">
        <v>10355.42</v>
      </c>
      <c r="L3148">
        <v>11.9</v>
      </c>
    </row>
    <row r="3149" spans="1:12" x14ac:dyDescent="0.3">
      <c r="A3149" t="s">
        <v>3164</v>
      </c>
      <c r="B3149" t="s">
        <v>34</v>
      </c>
      <c r="C3149" t="s">
        <v>14</v>
      </c>
      <c r="D3149">
        <v>32</v>
      </c>
      <c r="E3149" s="1">
        <v>41776</v>
      </c>
      <c r="F3149">
        <v>2014</v>
      </c>
      <c r="G3149" t="s">
        <v>5036</v>
      </c>
      <c r="H3149">
        <v>17</v>
      </c>
      <c r="I3149">
        <v>4.9000000000000004</v>
      </c>
      <c r="J3149">
        <v>4</v>
      </c>
      <c r="K3149">
        <v>7018.3</v>
      </c>
      <c r="L3149">
        <v>11.5</v>
      </c>
    </row>
    <row r="3150" spans="1:12" x14ac:dyDescent="0.3">
      <c r="A3150" t="s">
        <v>3165</v>
      </c>
      <c r="B3150" t="s">
        <v>10</v>
      </c>
      <c r="C3150" t="s">
        <v>14</v>
      </c>
      <c r="D3150">
        <v>55</v>
      </c>
      <c r="E3150" s="1">
        <v>41161</v>
      </c>
      <c r="F3150">
        <v>2012</v>
      </c>
      <c r="G3150" t="s">
        <v>5033</v>
      </c>
      <c r="H3150">
        <v>9</v>
      </c>
      <c r="I3150">
        <v>2.76</v>
      </c>
      <c r="J3150">
        <v>0</v>
      </c>
      <c r="K3150">
        <v>13679.38</v>
      </c>
      <c r="L3150">
        <v>13.2</v>
      </c>
    </row>
    <row r="3151" spans="1:12" x14ac:dyDescent="0.3">
      <c r="A3151" t="s">
        <v>3166</v>
      </c>
      <c r="B3151" t="s">
        <v>24</v>
      </c>
      <c r="C3151" t="s">
        <v>11</v>
      </c>
      <c r="D3151">
        <v>25</v>
      </c>
      <c r="E3151" s="1">
        <v>44432</v>
      </c>
      <c r="F3151">
        <v>2021</v>
      </c>
      <c r="G3151" t="s">
        <v>5031</v>
      </c>
      <c r="H3151">
        <v>24</v>
      </c>
      <c r="I3151">
        <v>2.33</v>
      </c>
      <c r="J3151">
        <v>9</v>
      </c>
      <c r="K3151">
        <v>7116.82</v>
      </c>
      <c r="L3151">
        <v>4.2</v>
      </c>
    </row>
    <row r="3152" spans="1:12" x14ac:dyDescent="0.3">
      <c r="A3152" t="s">
        <v>3167</v>
      </c>
      <c r="B3152" t="s">
        <v>13</v>
      </c>
      <c r="C3152" t="s">
        <v>11</v>
      </c>
      <c r="D3152">
        <v>40</v>
      </c>
      <c r="E3152" s="1">
        <v>44390</v>
      </c>
      <c r="F3152">
        <v>2021</v>
      </c>
      <c r="G3152" t="s">
        <v>5034</v>
      </c>
      <c r="H3152">
        <v>13</v>
      </c>
      <c r="I3152">
        <v>4.47</v>
      </c>
      <c r="J3152">
        <v>5</v>
      </c>
      <c r="K3152">
        <v>7296.07</v>
      </c>
      <c r="L3152">
        <v>4.3</v>
      </c>
    </row>
    <row r="3153" spans="1:12" x14ac:dyDescent="0.3">
      <c r="A3153" t="s">
        <v>3168</v>
      </c>
      <c r="B3153" t="s">
        <v>13</v>
      </c>
      <c r="C3153" t="s">
        <v>14</v>
      </c>
      <c r="D3153">
        <v>37</v>
      </c>
      <c r="E3153" s="1">
        <v>41837</v>
      </c>
      <c r="F3153">
        <v>2014</v>
      </c>
      <c r="G3153" t="s">
        <v>5034</v>
      </c>
      <c r="H3153">
        <v>17</v>
      </c>
      <c r="I3153">
        <v>2.11</v>
      </c>
      <c r="J3153">
        <v>5</v>
      </c>
      <c r="K3153">
        <v>7755.15</v>
      </c>
      <c r="L3153">
        <v>11.3</v>
      </c>
    </row>
    <row r="3154" spans="1:12" x14ac:dyDescent="0.3">
      <c r="A3154" t="s">
        <v>3169</v>
      </c>
      <c r="B3154" t="s">
        <v>13</v>
      </c>
      <c r="C3154" t="s">
        <v>14</v>
      </c>
      <c r="D3154">
        <v>51</v>
      </c>
      <c r="E3154" s="1">
        <v>40670</v>
      </c>
      <c r="F3154">
        <v>2011</v>
      </c>
      <c r="G3154" t="s">
        <v>5036</v>
      </c>
      <c r="H3154">
        <v>7</v>
      </c>
      <c r="I3154">
        <v>1.62</v>
      </c>
      <c r="J3154">
        <v>0</v>
      </c>
      <c r="K3154">
        <v>8913.1299999999992</v>
      </c>
      <c r="L3154">
        <v>14.5</v>
      </c>
    </row>
    <row r="3155" spans="1:12" x14ac:dyDescent="0.3">
      <c r="A3155" t="s">
        <v>3170</v>
      </c>
      <c r="B3155" t="s">
        <v>24</v>
      </c>
      <c r="C3155" t="s">
        <v>14</v>
      </c>
      <c r="D3155">
        <v>32</v>
      </c>
      <c r="E3155" s="1">
        <v>42293</v>
      </c>
      <c r="F3155">
        <v>2015</v>
      </c>
      <c r="G3155" t="s">
        <v>5039</v>
      </c>
      <c r="H3155">
        <v>16</v>
      </c>
      <c r="I3155">
        <v>2.59</v>
      </c>
      <c r="J3155">
        <v>1</v>
      </c>
      <c r="K3155">
        <v>6911.21</v>
      </c>
      <c r="L3155">
        <v>10.1</v>
      </c>
    </row>
    <row r="3156" spans="1:12" x14ac:dyDescent="0.3">
      <c r="A3156" t="s">
        <v>3171</v>
      </c>
      <c r="B3156" t="s">
        <v>16</v>
      </c>
      <c r="C3156" t="s">
        <v>14</v>
      </c>
      <c r="D3156">
        <v>49</v>
      </c>
      <c r="E3156" s="1">
        <v>40781</v>
      </c>
      <c r="F3156">
        <v>2011</v>
      </c>
      <c r="G3156" t="s">
        <v>5031</v>
      </c>
      <c r="H3156">
        <v>26</v>
      </c>
      <c r="I3156">
        <v>2.0299999999999998</v>
      </c>
      <c r="J3156">
        <v>5</v>
      </c>
      <c r="K3156">
        <v>12692.95</v>
      </c>
      <c r="L3156">
        <v>14.2</v>
      </c>
    </row>
    <row r="3157" spans="1:12" x14ac:dyDescent="0.3">
      <c r="A3157" t="s">
        <v>3172</v>
      </c>
      <c r="B3157" t="s">
        <v>18</v>
      </c>
      <c r="C3157" t="s">
        <v>11</v>
      </c>
      <c r="D3157">
        <v>30</v>
      </c>
      <c r="E3157" s="1">
        <v>44292</v>
      </c>
      <c r="F3157">
        <v>2021</v>
      </c>
      <c r="G3157" t="s">
        <v>5040</v>
      </c>
      <c r="H3157">
        <v>6</v>
      </c>
      <c r="I3157">
        <v>4.28</v>
      </c>
      <c r="J3157">
        <v>6</v>
      </c>
      <c r="K3157">
        <v>4971.7299999999996</v>
      </c>
      <c r="L3157">
        <v>4.5999999999999996</v>
      </c>
    </row>
    <row r="3158" spans="1:12" x14ac:dyDescent="0.3">
      <c r="A3158" t="s">
        <v>3173</v>
      </c>
      <c r="B3158" t="s">
        <v>18</v>
      </c>
      <c r="C3158" t="s">
        <v>14</v>
      </c>
      <c r="D3158">
        <v>56</v>
      </c>
      <c r="E3158" s="1">
        <v>44688</v>
      </c>
      <c r="F3158">
        <v>2022</v>
      </c>
      <c r="G3158" t="s">
        <v>5036</v>
      </c>
      <c r="H3158">
        <v>7</v>
      </c>
      <c r="I3158">
        <v>2.5099999999999998</v>
      </c>
      <c r="J3158">
        <v>3</v>
      </c>
      <c r="K3158">
        <v>6297.2</v>
      </c>
      <c r="L3158">
        <v>3.5</v>
      </c>
    </row>
    <row r="3159" spans="1:12" x14ac:dyDescent="0.3">
      <c r="A3159" t="s">
        <v>3174</v>
      </c>
      <c r="B3159" t="s">
        <v>13</v>
      </c>
      <c r="C3159" t="s">
        <v>14</v>
      </c>
      <c r="D3159">
        <v>34</v>
      </c>
      <c r="E3159" s="1">
        <v>45194</v>
      </c>
      <c r="F3159">
        <v>2023</v>
      </c>
      <c r="G3159" t="s">
        <v>5033</v>
      </c>
      <c r="H3159">
        <v>25</v>
      </c>
      <c r="I3159">
        <v>3.47</v>
      </c>
      <c r="J3159">
        <v>3</v>
      </c>
      <c r="K3159">
        <v>7450.06</v>
      </c>
      <c r="L3159">
        <v>2.1</v>
      </c>
    </row>
    <row r="3160" spans="1:12" x14ac:dyDescent="0.3">
      <c r="A3160" t="s">
        <v>3175</v>
      </c>
      <c r="B3160" t="s">
        <v>16</v>
      </c>
      <c r="C3160" t="s">
        <v>11</v>
      </c>
      <c r="D3160">
        <v>60</v>
      </c>
      <c r="E3160" s="1">
        <v>41485</v>
      </c>
      <c r="F3160">
        <v>2013</v>
      </c>
      <c r="G3160" t="s">
        <v>5034</v>
      </c>
      <c r="H3160">
        <v>30</v>
      </c>
      <c r="I3160">
        <v>2.36</v>
      </c>
      <c r="J3160">
        <v>3</v>
      </c>
      <c r="K3160">
        <v>4093.9</v>
      </c>
      <c r="L3160">
        <v>12.3</v>
      </c>
    </row>
    <row r="3161" spans="1:12" x14ac:dyDescent="0.3">
      <c r="A3161" t="s">
        <v>3176</v>
      </c>
      <c r="B3161" t="s">
        <v>13</v>
      </c>
      <c r="C3161" t="s">
        <v>11</v>
      </c>
      <c r="D3161">
        <v>49</v>
      </c>
      <c r="E3161" s="1">
        <v>45374</v>
      </c>
      <c r="F3161">
        <v>2024</v>
      </c>
      <c r="G3161" t="s">
        <v>5035</v>
      </c>
      <c r="H3161">
        <v>23</v>
      </c>
      <c r="I3161">
        <v>2.65</v>
      </c>
      <c r="J3161">
        <v>6</v>
      </c>
      <c r="K3161">
        <v>9991.5400000000009</v>
      </c>
      <c r="L3161">
        <v>1.6</v>
      </c>
    </row>
    <row r="3162" spans="1:12" x14ac:dyDescent="0.3">
      <c r="A3162" t="s">
        <v>3177</v>
      </c>
      <c r="B3162" t="s">
        <v>10</v>
      </c>
      <c r="C3162" t="s">
        <v>14</v>
      </c>
      <c r="D3162">
        <v>22</v>
      </c>
      <c r="E3162" s="1">
        <v>45696</v>
      </c>
      <c r="F3162">
        <v>2025</v>
      </c>
      <c r="G3162" t="s">
        <v>5042</v>
      </c>
      <c r="H3162">
        <v>8</v>
      </c>
      <c r="I3162">
        <v>1.73</v>
      </c>
      <c r="J3162">
        <v>14</v>
      </c>
      <c r="K3162">
        <v>5378.78</v>
      </c>
      <c r="L3162">
        <v>0.7</v>
      </c>
    </row>
    <row r="3163" spans="1:12" x14ac:dyDescent="0.3">
      <c r="A3163" t="s">
        <v>3178</v>
      </c>
      <c r="B3163" t="s">
        <v>10</v>
      </c>
      <c r="C3163" t="s">
        <v>14</v>
      </c>
      <c r="D3163">
        <v>24</v>
      </c>
      <c r="E3163" s="1">
        <v>42991</v>
      </c>
      <c r="F3163">
        <v>2017</v>
      </c>
      <c r="G3163" t="s">
        <v>5033</v>
      </c>
      <c r="H3163">
        <v>13</v>
      </c>
      <c r="I3163">
        <v>1.53</v>
      </c>
      <c r="J3163">
        <v>1</v>
      </c>
      <c r="K3163">
        <v>9895.76</v>
      </c>
      <c r="L3163">
        <v>8.1</v>
      </c>
    </row>
    <row r="3164" spans="1:12" x14ac:dyDescent="0.3">
      <c r="A3164" t="s">
        <v>3179</v>
      </c>
      <c r="B3164" t="s">
        <v>10</v>
      </c>
      <c r="C3164" t="s">
        <v>11</v>
      </c>
      <c r="D3164">
        <v>36</v>
      </c>
      <c r="E3164" s="1">
        <v>44227</v>
      </c>
      <c r="F3164">
        <v>2021</v>
      </c>
      <c r="G3164" t="s">
        <v>5037</v>
      </c>
      <c r="H3164">
        <v>31</v>
      </c>
      <c r="I3164">
        <v>4.4800000000000004</v>
      </c>
      <c r="J3164">
        <v>7</v>
      </c>
      <c r="K3164">
        <v>14772.12</v>
      </c>
      <c r="L3164">
        <v>4.8</v>
      </c>
    </row>
    <row r="3165" spans="1:12" x14ac:dyDescent="0.3">
      <c r="A3165" t="s">
        <v>3180</v>
      </c>
      <c r="B3165" t="s">
        <v>18</v>
      </c>
      <c r="C3165" t="s">
        <v>11</v>
      </c>
      <c r="D3165">
        <v>29</v>
      </c>
      <c r="E3165" s="1">
        <v>42080</v>
      </c>
      <c r="F3165">
        <v>2015</v>
      </c>
      <c r="G3165" t="s">
        <v>5035</v>
      </c>
      <c r="H3165">
        <v>17</v>
      </c>
      <c r="I3165">
        <v>2.8</v>
      </c>
      <c r="J3165">
        <v>10</v>
      </c>
      <c r="K3165">
        <v>6819.66</v>
      </c>
      <c r="L3165">
        <v>10.6</v>
      </c>
    </row>
    <row r="3166" spans="1:12" x14ac:dyDescent="0.3">
      <c r="A3166" t="s">
        <v>3181</v>
      </c>
      <c r="B3166" t="s">
        <v>24</v>
      </c>
      <c r="C3166" t="s">
        <v>14</v>
      </c>
      <c r="D3166">
        <v>47</v>
      </c>
      <c r="E3166" s="1">
        <v>41218</v>
      </c>
      <c r="F3166">
        <v>2012</v>
      </c>
      <c r="G3166" t="s">
        <v>5038</v>
      </c>
      <c r="H3166">
        <v>5</v>
      </c>
      <c r="I3166">
        <v>3.9</v>
      </c>
      <c r="J3166">
        <v>6</v>
      </c>
      <c r="K3166">
        <v>12854.66</v>
      </c>
      <c r="L3166">
        <v>13</v>
      </c>
    </row>
    <row r="3167" spans="1:12" x14ac:dyDescent="0.3">
      <c r="A3167" t="s">
        <v>3182</v>
      </c>
      <c r="B3167" t="s">
        <v>34</v>
      </c>
      <c r="C3167" t="s">
        <v>14</v>
      </c>
      <c r="D3167">
        <v>29</v>
      </c>
      <c r="E3167" s="1">
        <v>43392</v>
      </c>
      <c r="F3167">
        <v>2018</v>
      </c>
      <c r="G3167" t="s">
        <v>5039</v>
      </c>
      <c r="H3167">
        <v>19</v>
      </c>
      <c r="I3167">
        <v>4.18</v>
      </c>
      <c r="J3167">
        <v>4</v>
      </c>
      <c r="K3167">
        <v>3474.91</v>
      </c>
      <c r="L3167">
        <v>7</v>
      </c>
    </row>
    <row r="3168" spans="1:12" x14ac:dyDescent="0.3">
      <c r="A3168" t="s">
        <v>3183</v>
      </c>
      <c r="B3168" t="s">
        <v>24</v>
      </c>
      <c r="C3168" t="s">
        <v>14</v>
      </c>
      <c r="D3168">
        <v>55</v>
      </c>
      <c r="E3168" s="1">
        <v>42878</v>
      </c>
      <c r="F3168">
        <v>2017</v>
      </c>
      <c r="G3168" t="s">
        <v>5036</v>
      </c>
      <c r="H3168">
        <v>23</v>
      </c>
      <c r="I3168">
        <v>4.53</v>
      </c>
      <c r="J3168">
        <v>0</v>
      </c>
      <c r="K3168">
        <v>11222.4</v>
      </c>
      <c r="L3168">
        <v>8.4</v>
      </c>
    </row>
    <row r="3169" spans="1:12" x14ac:dyDescent="0.3">
      <c r="A3169" t="s">
        <v>3184</v>
      </c>
      <c r="B3169" t="s">
        <v>10</v>
      </c>
      <c r="C3169" t="s">
        <v>11</v>
      </c>
      <c r="D3169">
        <v>38</v>
      </c>
      <c r="E3169" s="1">
        <v>44474</v>
      </c>
      <c r="F3169">
        <v>2021</v>
      </c>
      <c r="G3169" t="s">
        <v>5039</v>
      </c>
      <c r="H3169">
        <v>5</v>
      </c>
      <c r="I3169">
        <v>2.52</v>
      </c>
      <c r="J3169">
        <v>5</v>
      </c>
      <c r="K3169">
        <v>12721.25</v>
      </c>
      <c r="L3169">
        <v>4.0999999999999996</v>
      </c>
    </row>
    <row r="3170" spans="1:12" x14ac:dyDescent="0.3">
      <c r="A3170" t="s">
        <v>3185</v>
      </c>
      <c r="B3170" t="s">
        <v>10</v>
      </c>
      <c r="C3170" t="s">
        <v>11</v>
      </c>
      <c r="D3170">
        <v>49</v>
      </c>
      <c r="E3170" s="1">
        <v>44289</v>
      </c>
      <c r="F3170">
        <v>2021</v>
      </c>
      <c r="G3170" t="s">
        <v>5040</v>
      </c>
      <c r="H3170">
        <v>3</v>
      </c>
      <c r="I3170">
        <v>1.7</v>
      </c>
      <c r="J3170">
        <v>12</v>
      </c>
      <c r="K3170">
        <v>5906.94</v>
      </c>
      <c r="L3170">
        <v>4.5999999999999996</v>
      </c>
    </row>
    <row r="3171" spans="1:12" x14ac:dyDescent="0.3">
      <c r="A3171" t="s">
        <v>3186</v>
      </c>
      <c r="B3171" t="s">
        <v>16</v>
      </c>
      <c r="C3171" t="s">
        <v>11</v>
      </c>
      <c r="D3171">
        <v>50</v>
      </c>
      <c r="E3171" s="1">
        <v>40490</v>
      </c>
      <c r="F3171">
        <v>2010</v>
      </c>
      <c r="G3171" t="s">
        <v>5038</v>
      </c>
      <c r="H3171">
        <v>8</v>
      </c>
      <c r="I3171">
        <v>4.3600000000000003</v>
      </c>
      <c r="J3171">
        <v>1</v>
      </c>
      <c r="K3171">
        <v>6933.67</v>
      </c>
      <c r="L3171">
        <v>15</v>
      </c>
    </row>
    <row r="3172" spans="1:12" x14ac:dyDescent="0.3">
      <c r="A3172" t="s">
        <v>3187</v>
      </c>
      <c r="B3172" t="s">
        <v>16</v>
      </c>
      <c r="C3172" t="s">
        <v>14</v>
      </c>
      <c r="D3172">
        <v>37</v>
      </c>
      <c r="E3172" s="1">
        <v>42571</v>
      </c>
      <c r="F3172">
        <v>2016</v>
      </c>
      <c r="G3172" t="s">
        <v>5034</v>
      </c>
      <c r="H3172">
        <v>20</v>
      </c>
      <c r="I3172">
        <v>4.6399999999999997</v>
      </c>
      <c r="J3172">
        <v>11</v>
      </c>
      <c r="K3172">
        <v>11650.63</v>
      </c>
      <c r="L3172">
        <v>9.3000000000000007</v>
      </c>
    </row>
    <row r="3173" spans="1:12" x14ac:dyDescent="0.3">
      <c r="A3173" t="s">
        <v>3188</v>
      </c>
      <c r="B3173" t="s">
        <v>18</v>
      </c>
      <c r="C3173" t="s">
        <v>11</v>
      </c>
      <c r="D3173">
        <v>51</v>
      </c>
      <c r="E3173" s="1">
        <v>44325</v>
      </c>
      <c r="F3173">
        <v>2021</v>
      </c>
      <c r="G3173" t="s">
        <v>5036</v>
      </c>
      <c r="H3173">
        <v>9</v>
      </c>
      <c r="I3173">
        <v>2.5</v>
      </c>
      <c r="J3173">
        <v>8</v>
      </c>
      <c r="K3173">
        <v>3301.07</v>
      </c>
      <c r="L3173">
        <v>4.5</v>
      </c>
    </row>
    <row r="3174" spans="1:12" x14ac:dyDescent="0.3">
      <c r="A3174" t="s">
        <v>3189</v>
      </c>
      <c r="B3174" t="s">
        <v>16</v>
      </c>
      <c r="C3174" t="s">
        <v>11</v>
      </c>
      <c r="D3174">
        <v>38</v>
      </c>
      <c r="E3174" s="1">
        <v>45656</v>
      </c>
      <c r="F3174">
        <v>2024</v>
      </c>
      <c r="G3174" t="s">
        <v>5041</v>
      </c>
      <c r="H3174">
        <v>30</v>
      </c>
      <c r="I3174">
        <v>1.55</v>
      </c>
      <c r="J3174">
        <v>5</v>
      </c>
      <c r="K3174">
        <v>14714.41</v>
      </c>
      <c r="L3174">
        <v>0.8</v>
      </c>
    </row>
    <row r="3175" spans="1:12" x14ac:dyDescent="0.3">
      <c r="A3175" t="s">
        <v>3190</v>
      </c>
      <c r="B3175" t="s">
        <v>18</v>
      </c>
      <c r="C3175" t="s">
        <v>11</v>
      </c>
      <c r="D3175">
        <v>28</v>
      </c>
      <c r="E3175" s="1">
        <v>40889</v>
      </c>
      <c r="F3175">
        <v>2011</v>
      </c>
      <c r="G3175" t="s">
        <v>5041</v>
      </c>
      <c r="H3175">
        <v>12</v>
      </c>
      <c r="I3175">
        <v>2.73</v>
      </c>
      <c r="J3175">
        <v>0</v>
      </c>
      <c r="K3175">
        <v>5527.18</v>
      </c>
      <c r="L3175">
        <v>13.9</v>
      </c>
    </row>
    <row r="3176" spans="1:12" x14ac:dyDescent="0.3">
      <c r="A3176" t="s">
        <v>3191</v>
      </c>
      <c r="B3176" t="s">
        <v>24</v>
      </c>
      <c r="C3176" t="s">
        <v>14</v>
      </c>
      <c r="D3176">
        <v>24</v>
      </c>
      <c r="E3176" s="1">
        <v>44952</v>
      </c>
      <c r="F3176">
        <v>2023</v>
      </c>
      <c r="G3176" t="s">
        <v>5037</v>
      </c>
      <c r="H3176">
        <v>26</v>
      </c>
      <c r="I3176">
        <v>3.72</v>
      </c>
      <c r="J3176">
        <v>6</v>
      </c>
      <c r="K3176">
        <v>3904.98</v>
      </c>
      <c r="L3176">
        <v>2.8</v>
      </c>
    </row>
    <row r="3177" spans="1:12" x14ac:dyDescent="0.3">
      <c r="A3177" t="s">
        <v>3192</v>
      </c>
      <c r="B3177" t="s">
        <v>24</v>
      </c>
      <c r="C3177" t="s">
        <v>11</v>
      </c>
      <c r="D3177">
        <v>59</v>
      </c>
      <c r="E3177" s="1">
        <v>45541</v>
      </c>
      <c r="F3177">
        <v>2024</v>
      </c>
      <c r="G3177" t="s">
        <v>5033</v>
      </c>
      <c r="H3177">
        <v>6</v>
      </c>
      <c r="I3177">
        <v>2.29</v>
      </c>
      <c r="J3177">
        <v>12</v>
      </c>
      <c r="K3177">
        <v>6887.86</v>
      </c>
      <c r="L3177">
        <v>1.2</v>
      </c>
    </row>
    <row r="3178" spans="1:12" x14ac:dyDescent="0.3">
      <c r="A3178" t="s">
        <v>3193</v>
      </c>
      <c r="B3178" t="s">
        <v>10</v>
      </c>
      <c r="C3178" t="s">
        <v>11</v>
      </c>
      <c r="D3178">
        <v>57</v>
      </c>
      <c r="E3178" s="1">
        <v>42600</v>
      </c>
      <c r="F3178">
        <v>2016</v>
      </c>
      <c r="G3178" t="s">
        <v>5031</v>
      </c>
      <c r="H3178">
        <v>18</v>
      </c>
      <c r="I3178">
        <v>1.87</v>
      </c>
      <c r="J3178">
        <v>9</v>
      </c>
      <c r="K3178">
        <v>10738.09</v>
      </c>
      <c r="L3178">
        <v>9.1999999999999993</v>
      </c>
    </row>
    <row r="3179" spans="1:12" x14ac:dyDescent="0.3">
      <c r="A3179" t="s">
        <v>3194</v>
      </c>
      <c r="B3179" t="s">
        <v>16</v>
      </c>
      <c r="C3179" t="s">
        <v>11</v>
      </c>
      <c r="D3179">
        <v>42</v>
      </c>
      <c r="E3179" s="1">
        <v>41394</v>
      </c>
      <c r="F3179">
        <v>2013</v>
      </c>
      <c r="G3179" t="s">
        <v>5040</v>
      </c>
      <c r="H3179">
        <v>30</v>
      </c>
      <c r="I3179">
        <v>3.63</v>
      </c>
      <c r="J3179">
        <v>8</v>
      </c>
      <c r="K3179">
        <v>12997.15</v>
      </c>
      <c r="L3179">
        <v>12.5</v>
      </c>
    </row>
    <row r="3180" spans="1:12" x14ac:dyDescent="0.3">
      <c r="A3180" t="s">
        <v>3195</v>
      </c>
      <c r="B3180" t="s">
        <v>34</v>
      </c>
      <c r="C3180" t="s">
        <v>14</v>
      </c>
      <c r="D3180">
        <v>50</v>
      </c>
      <c r="E3180" s="1">
        <v>45711</v>
      </c>
      <c r="F3180">
        <v>2025</v>
      </c>
      <c r="G3180" t="s">
        <v>5042</v>
      </c>
      <c r="H3180">
        <v>23</v>
      </c>
      <c r="I3180">
        <v>4.8099999999999996</v>
      </c>
      <c r="J3180">
        <v>6</v>
      </c>
      <c r="K3180">
        <v>3458.92</v>
      </c>
      <c r="L3180">
        <v>0.7</v>
      </c>
    </row>
    <row r="3181" spans="1:12" x14ac:dyDescent="0.3">
      <c r="A3181" t="s">
        <v>3196</v>
      </c>
      <c r="B3181" t="s">
        <v>34</v>
      </c>
      <c r="C3181" t="s">
        <v>14</v>
      </c>
      <c r="D3181">
        <v>30</v>
      </c>
      <c r="E3181" s="1">
        <v>45622</v>
      </c>
      <c r="F3181">
        <v>2024</v>
      </c>
      <c r="G3181" t="s">
        <v>5038</v>
      </c>
      <c r="H3181">
        <v>26</v>
      </c>
      <c r="I3181">
        <v>1.58</v>
      </c>
      <c r="J3181">
        <v>9</v>
      </c>
      <c r="K3181">
        <v>11467.01</v>
      </c>
      <c r="L3181">
        <v>0.9</v>
      </c>
    </row>
    <row r="3182" spans="1:12" x14ac:dyDescent="0.3">
      <c r="A3182" t="s">
        <v>3197</v>
      </c>
      <c r="B3182" t="s">
        <v>16</v>
      </c>
      <c r="C3182" t="s">
        <v>14</v>
      </c>
      <c r="D3182">
        <v>23</v>
      </c>
      <c r="E3182" s="1">
        <v>44376</v>
      </c>
      <c r="F3182">
        <v>2021</v>
      </c>
      <c r="G3182" t="s">
        <v>5032</v>
      </c>
      <c r="H3182">
        <v>29</v>
      </c>
      <c r="I3182">
        <v>3.83</v>
      </c>
      <c r="J3182">
        <v>13</v>
      </c>
      <c r="K3182">
        <v>4792.12</v>
      </c>
      <c r="L3182">
        <v>4.3</v>
      </c>
    </row>
    <row r="3183" spans="1:12" x14ac:dyDescent="0.3">
      <c r="A3183" t="s">
        <v>3198</v>
      </c>
      <c r="B3183" t="s">
        <v>18</v>
      </c>
      <c r="C3183" t="s">
        <v>11</v>
      </c>
      <c r="D3183">
        <v>39</v>
      </c>
      <c r="E3183" s="1">
        <v>42412</v>
      </c>
      <c r="F3183">
        <v>2016</v>
      </c>
      <c r="G3183" t="s">
        <v>5042</v>
      </c>
      <c r="H3183">
        <v>12</v>
      </c>
      <c r="I3183">
        <v>3.7</v>
      </c>
      <c r="J3183">
        <v>1</v>
      </c>
      <c r="K3183">
        <v>5439.76</v>
      </c>
      <c r="L3183">
        <v>9.6999999999999993</v>
      </c>
    </row>
    <row r="3184" spans="1:12" x14ac:dyDescent="0.3">
      <c r="A3184" t="s">
        <v>3199</v>
      </c>
      <c r="B3184" t="s">
        <v>16</v>
      </c>
      <c r="C3184" t="s">
        <v>14</v>
      </c>
      <c r="D3184">
        <v>28</v>
      </c>
      <c r="E3184" s="1">
        <v>43574</v>
      </c>
      <c r="F3184">
        <v>2019</v>
      </c>
      <c r="G3184" t="s">
        <v>5040</v>
      </c>
      <c r="H3184">
        <v>19</v>
      </c>
      <c r="I3184">
        <v>5</v>
      </c>
      <c r="J3184">
        <v>15</v>
      </c>
      <c r="K3184">
        <v>14785.95</v>
      </c>
      <c r="L3184">
        <v>6.5</v>
      </c>
    </row>
    <row r="3185" spans="1:12" x14ac:dyDescent="0.3">
      <c r="A3185" t="s">
        <v>3200</v>
      </c>
      <c r="B3185" t="s">
        <v>13</v>
      </c>
      <c r="C3185" t="s">
        <v>14</v>
      </c>
      <c r="D3185">
        <v>44</v>
      </c>
      <c r="E3185" s="1">
        <v>40275</v>
      </c>
      <c r="F3185">
        <v>2010</v>
      </c>
      <c r="G3185" t="s">
        <v>5040</v>
      </c>
      <c r="H3185">
        <v>7</v>
      </c>
      <c r="I3185">
        <v>3.85</v>
      </c>
      <c r="J3185">
        <v>4</v>
      </c>
      <c r="K3185">
        <v>11959.9</v>
      </c>
      <c r="L3185">
        <v>15.6</v>
      </c>
    </row>
    <row r="3186" spans="1:12" x14ac:dyDescent="0.3">
      <c r="A3186" t="s">
        <v>3201</v>
      </c>
      <c r="B3186" t="s">
        <v>34</v>
      </c>
      <c r="C3186" t="s">
        <v>14</v>
      </c>
      <c r="D3186">
        <v>25</v>
      </c>
      <c r="E3186" s="1">
        <v>45787</v>
      </c>
      <c r="F3186">
        <v>2025</v>
      </c>
      <c r="G3186" t="s">
        <v>5036</v>
      </c>
      <c r="H3186">
        <v>10</v>
      </c>
      <c r="I3186">
        <v>2.23</v>
      </c>
      <c r="J3186">
        <v>2</v>
      </c>
      <c r="K3186">
        <v>12680.67</v>
      </c>
      <c r="L3186">
        <v>0.5</v>
      </c>
    </row>
    <row r="3187" spans="1:12" x14ac:dyDescent="0.3">
      <c r="A3187" t="s">
        <v>3202</v>
      </c>
      <c r="B3187" t="s">
        <v>24</v>
      </c>
      <c r="C3187" t="s">
        <v>14</v>
      </c>
      <c r="D3187">
        <v>46</v>
      </c>
      <c r="E3187" s="1">
        <v>41190</v>
      </c>
      <c r="F3187">
        <v>2012</v>
      </c>
      <c r="G3187" t="s">
        <v>5039</v>
      </c>
      <c r="H3187">
        <v>8</v>
      </c>
      <c r="I3187">
        <v>4.2300000000000004</v>
      </c>
      <c r="J3187">
        <v>10</v>
      </c>
      <c r="K3187">
        <v>4549.3500000000004</v>
      </c>
      <c r="L3187">
        <v>13.1</v>
      </c>
    </row>
    <row r="3188" spans="1:12" x14ac:dyDescent="0.3">
      <c r="A3188" t="s">
        <v>3203</v>
      </c>
      <c r="B3188" t="s">
        <v>10</v>
      </c>
      <c r="C3188" t="s">
        <v>11</v>
      </c>
      <c r="D3188">
        <v>27</v>
      </c>
      <c r="E3188" s="1">
        <v>43812</v>
      </c>
      <c r="F3188">
        <v>2019</v>
      </c>
      <c r="G3188" t="s">
        <v>5041</v>
      </c>
      <c r="H3188">
        <v>13</v>
      </c>
      <c r="I3188">
        <v>2.69</v>
      </c>
      <c r="J3188">
        <v>0</v>
      </c>
      <c r="K3188">
        <v>3433.27</v>
      </c>
      <c r="L3188">
        <v>5.9</v>
      </c>
    </row>
    <row r="3189" spans="1:12" x14ac:dyDescent="0.3">
      <c r="A3189" t="s">
        <v>3204</v>
      </c>
      <c r="B3189" t="s">
        <v>18</v>
      </c>
      <c r="C3189" t="s">
        <v>11</v>
      </c>
      <c r="D3189">
        <v>27</v>
      </c>
      <c r="E3189" s="1">
        <v>42912</v>
      </c>
      <c r="F3189">
        <v>2017</v>
      </c>
      <c r="G3189" t="s">
        <v>5032</v>
      </c>
      <c r="H3189">
        <v>26</v>
      </c>
      <c r="I3189">
        <v>1.65</v>
      </c>
      <c r="J3189">
        <v>7</v>
      </c>
      <c r="K3189">
        <v>9341.4699999999993</v>
      </c>
      <c r="L3189">
        <v>8.4</v>
      </c>
    </row>
    <row r="3190" spans="1:12" x14ac:dyDescent="0.3">
      <c r="A3190" t="s">
        <v>3205</v>
      </c>
      <c r="B3190" t="s">
        <v>34</v>
      </c>
      <c r="C3190" t="s">
        <v>14</v>
      </c>
      <c r="D3190">
        <v>37</v>
      </c>
      <c r="E3190" s="1">
        <v>42635</v>
      </c>
      <c r="F3190">
        <v>2016</v>
      </c>
      <c r="G3190" t="s">
        <v>5033</v>
      </c>
      <c r="H3190">
        <v>22</v>
      </c>
      <c r="I3190">
        <v>3.94</v>
      </c>
      <c r="J3190">
        <v>2</v>
      </c>
      <c r="K3190">
        <v>9010.39</v>
      </c>
      <c r="L3190">
        <v>9.1</v>
      </c>
    </row>
    <row r="3191" spans="1:12" x14ac:dyDescent="0.3">
      <c r="A3191" t="s">
        <v>3206</v>
      </c>
      <c r="B3191" t="s">
        <v>13</v>
      </c>
      <c r="C3191" t="s">
        <v>11</v>
      </c>
      <c r="D3191">
        <v>28</v>
      </c>
      <c r="E3191" s="1">
        <v>40348</v>
      </c>
      <c r="F3191">
        <v>2010</v>
      </c>
      <c r="G3191" t="s">
        <v>5032</v>
      </c>
      <c r="H3191">
        <v>19</v>
      </c>
      <c r="I3191">
        <v>3.97</v>
      </c>
      <c r="J3191">
        <v>7</v>
      </c>
      <c r="K3191">
        <v>9663.65</v>
      </c>
      <c r="L3191">
        <v>15.4</v>
      </c>
    </row>
    <row r="3192" spans="1:12" x14ac:dyDescent="0.3">
      <c r="A3192" t="s">
        <v>3207</v>
      </c>
      <c r="B3192" t="s">
        <v>16</v>
      </c>
      <c r="C3192" t="s">
        <v>14</v>
      </c>
      <c r="D3192">
        <v>41</v>
      </c>
      <c r="E3192" s="1">
        <v>41586</v>
      </c>
      <c r="F3192">
        <v>2013</v>
      </c>
      <c r="G3192" t="s">
        <v>5038</v>
      </c>
      <c r="H3192">
        <v>8</v>
      </c>
      <c r="I3192">
        <v>2.31</v>
      </c>
      <c r="J3192">
        <v>0</v>
      </c>
      <c r="K3192">
        <v>12155.25</v>
      </c>
      <c r="L3192">
        <v>12</v>
      </c>
    </row>
    <row r="3193" spans="1:12" x14ac:dyDescent="0.3">
      <c r="A3193" t="s">
        <v>3208</v>
      </c>
      <c r="B3193" t="s">
        <v>10</v>
      </c>
      <c r="C3193" t="s">
        <v>11</v>
      </c>
      <c r="D3193">
        <v>33</v>
      </c>
      <c r="E3193" s="1">
        <v>43137</v>
      </c>
      <c r="F3193">
        <v>2018</v>
      </c>
      <c r="G3193" t="s">
        <v>5042</v>
      </c>
      <c r="H3193">
        <v>6</v>
      </c>
      <c r="I3193">
        <v>2.19</v>
      </c>
      <c r="J3193">
        <v>13</v>
      </c>
      <c r="K3193">
        <v>3260.71</v>
      </c>
      <c r="L3193">
        <v>7.7</v>
      </c>
    </row>
    <row r="3194" spans="1:12" x14ac:dyDescent="0.3">
      <c r="A3194" t="s">
        <v>3209</v>
      </c>
      <c r="B3194" t="s">
        <v>18</v>
      </c>
      <c r="C3194" t="s">
        <v>14</v>
      </c>
      <c r="D3194">
        <v>22</v>
      </c>
      <c r="E3194" s="1">
        <v>43869</v>
      </c>
      <c r="F3194">
        <v>2020</v>
      </c>
      <c r="G3194" t="s">
        <v>5042</v>
      </c>
      <c r="H3194">
        <v>8</v>
      </c>
      <c r="I3194">
        <v>4.01</v>
      </c>
      <c r="J3194">
        <v>4</v>
      </c>
      <c r="K3194">
        <v>7636</v>
      </c>
      <c r="L3194">
        <v>5.7</v>
      </c>
    </row>
    <row r="3195" spans="1:12" x14ac:dyDescent="0.3">
      <c r="A3195" t="s">
        <v>3210</v>
      </c>
      <c r="B3195" t="s">
        <v>13</v>
      </c>
      <c r="C3195" t="s">
        <v>11</v>
      </c>
      <c r="D3195">
        <v>33</v>
      </c>
      <c r="E3195" s="1">
        <v>42038</v>
      </c>
      <c r="F3195">
        <v>2015</v>
      </c>
      <c r="G3195" t="s">
        <v>5042</v>
      </c>
      <c r="H3195">
        <v>3</v>
      </c>
      <c r="I3195">
        <v>4.55</v>
      </c>
      <c r="J3195">
        <v>13</v>
      </c>
      <c r="K3195">
        <v>14266.7</v>
      </c>
      <c r="L3195">
        <v>10.8</v>
      </c>
    </row>
    <row r="3196" spans="1:12" x14ac:dyDescent="0.3">
      <c r="A3196" t="s">
        <v>3211</v>
      </c>
      <c r="B3196" t="s">
        <v>24</v>
      </c>
      <c r="C3196" t="s">
        <v>11</v>
      </c>
      <c r="D3196">
        <v>47</v>
      </c>
      <c r="E3196" s="1">
        <v>43582</v>
      </c>
      <c r="F3196">
        <v>2019</v>
      </c>
      <c r="G3196" t="s">
        <v>5040</v>
      </c>
      <c r="H3196">
        <v>27</v>
      </c>
      <c r="I3196">
        <v>4.92</v>
      </c>
      <c r="J3196">
        <v>1</v>
      </c>
      <c r="K3196">
        <v>9934.07</v>
      </c>
      <c r="L3196">
        <v>6.5</v>
      </c>
    </row>
    <row r="3197" spans="1:12" x14ac:dyDescent="0.3">
      <c r="A3197" t="s">
        <v>3212</v>
      </c>
      <c r="B3197" t="s">
        <v>13</v>
      </c>
      <c r="C3197" t="s">
        <v>14</v>
      </c>
      <c r="D3197">
        <v>60</v>
      </c>
      <c r="E3197" s="1">
        <v>44950</v>
      </c>
      <c r="F3197">
        <v>2023</v>
      </c>
      <c r="G3197" t="s">
        <v>5037</v>
      </c>
      <c r="H3197">
        <v>24</v>
      </c>
      <c r="I3197">
        <v>2.6</v>
      </c>
      <c r="J3197">
        <v>7</v>
      </c>
      <c r="K3197">
        <v>12994.57</v>
      </c>
      <c r="L3197">
        <v>2.8</v>
      </c>
    </row>
    <row r="3198" spans="1:12" x14ac:dyDescent="0.3">
      <c r="A3198" t="s">
        <v>3213</v>
      </c>
      <c r="B3198" t="s">
        <v>13</v>
      </c>
      <c r="C3198" t="s">
        <v>11</v>
      </c>
      <c r="D3198">
        <v>24</v>
      </c>
      <c r="E3198" s="1">
        <v>40208</v>
      </c>
      <c r="F3198">
        <v>2010</v>
      </c>
      <c r="G3198" t="s">
        <v>5037</v>
      </c>
      <c r="H3198">
        <v>30</v>
      </c>
      <c r="I3198">
        <v>2.33</v>
      </c>
      <c r="J3198">
        <v>5</v>
      </c>
      <c r="K3198">
        <v>12585.76</v>
      </c>
      <c r="L3198">
        <v>15.8</v>
      </c>
    </row>
    <row r="3199" spans="1:12" x14ac:dyDescent="0.3">
      <c r="A3199" t="s">
        <v>3214</v>
      </c>
      <c r="B3199" t="s">
        <v>18</v>
      </c>
      <c r="C3199" t="s">
        <v>14</v>
      </c>
      <c r="D3199">
        <v>24</v>
      </c>
      <c r="E3199" s="1">
        <v>40270</v>
      </c>
      <c r="F3199">
        <v>2010</v>
      </c>
      <c r="G3199" t="s">
        <v>5040</v>
      </c>
      <c r="H3199">
        <v>2</v>
      </c>
      <c r="I3199">
        <v>4.82</v>
      </c>
      <c r="J3199">
        <v>9</v>
      </c>
      <c r="K3199">
        <v>5194.49</v>
      </c>
      <c r="L3199">
        <v>15.6</v>
      </c>
    </row>
    <row r="3200" spans="1:12" x14ac:dyDescent="0.3">
      <c r="A3200" t="s">
        <v>3215</v>
      </c>
      <c r="B3200" t="s">
        <v>24</v>
      </c>
      <c r="C3200" t="s">
        <v>11</v>
      </c>
      <c r="D3200">
        <v>56</v>
      </c>
      <c r="E3200" s="1">
        <v>45390</v>
      </c>
      <c r="F3200">
        <v>2024</v>
      </c>
      <c r="G3200" t="s">
        <v>5040</v>
      </c>
      <c r="H3200">
        <v>8</v>
      </c>
      <c r="I3200">
        <v>4</v>
      </c>
      <c r="J3200">
        <v>10</v>
      </c>
      <c r="K3200">
        <v>6749.34</v>
      </c>
      <c r="L3200">
        <v>1.6</v>
      </c>
    </row>
    <row r="3201" spans="1:12" x14ac:dyDescent="0.3">
      <c r="A3201" t="s">
        <v>3216</v>
      </c>
      <c r="B3201" t="s">
        <v>16</v>
      </c>
      <c r="C3201" t="s">
        <v>14</v>
      </c>
      <c r="D3201">
        <v>60</v>
      </c>
      <c r="E3201" s="1">
        <v>45618</v>
      </c>
      <c r="F3201">
        <v>2024</v>
      </c>
      <c r="G3201" t="s">
        <v>5038</v>
      </c>
      <c r="H3201">
        <v>22</v>
      </c>
      <c r="I3201">
        <v>4.71</v>
      </c>
      <c r="J3201">
        <v>2</v>
      </c>
      <c r="K3201">
        <v>8733.52</v>
      </c>
      <c r="L3201">
        <v>0.9</v>
      </c>
    </row>
    <row r="3202" spans="1:12" x14ac:dyDescent="0.3">
      <c r="A3202" t="s">
        <v>3217</v>
      </c>
      <c r="B3202" t="s">
        <v>18</v>
      </c>
      <c r="C3202" t="s">
        <v>14</v>
      </c>
      <c r="D3202">
        <v>25</v>
      </c>
      <c r="E3202" s="1">
        <v>41418</v>
      </c>
      <c r="F3202">
        <v>2013</v>
      </c>
      <c r="G3202" t="s">
        <v>5036</v>
      </c>
      <c r="H3202">
        <v>24</v>
      </c>
      <c r="I3202">
        <v>4.43</v>
      </c>
      <c r="J3202">
        <v>15</v>
      </c>
      <c r="K3202">
        <v>6057.53</v>
      </c>
      <c r="L3202">
        <v>12.4</v>
      </c>
    </row>
    <row r="3203" spans="1:12" x14ac:dyDescent="0.3">
      <c r="A3203" t="s">
        <v>3218</v>
      </c>
      <c r="B3203" t="s">
        <v>18</v>
      </c>
      <c r="C3203" t="s">
        <v>11</v>
      </c>
      <c r="D3203">
        <v>24</v>
      </c>
      <c r="E3203" s="1">
        <v>44964</v>
      </c>
      <c r="F3203">
        <v>2023</v>
      </c>
      <c r="G3203" t="s">
        <v>5042</v>
      </c>
      <c r="H3203">
        <v>7</v>
      </c>
      <c r="I3203">
        <v>4.76</v>
      </c>
      <c r="J3203">
        <v>9</v>
      </c>
      <c r="K3203">
        <v>4706.58</v>
      </c>
      <c r="L3203">
        <v>2.7</v>
      </c>
    </row>
    <row r="3204" spans="1:12" x14ac:dyDescent="0.3">
      <c r="A3204" t="s">
        <v>3219</v>
      </c>
      <c r="B3204" t="s">
        <v>13</v>
      </c>
      <c r="C3204" t="s">
        <v>11</v>
      </c>
      <c r="D3204">
        <v>26</v>
      </c>
      <c r="E3204" s="1">
        <v>44399</v>
      </c>
      <c r="F3204">
        <v>2021</v>
      </c>
      <c r="G3204" t="s">
        <v>5034</v>
      </c>
      <c r="H3204">
        <v>22</v>
      </c>
      <c r="I3204">
        <v>4.1399999999999997</v>
      </c>
      <c r="J3204">
        <v>8</v>
      </c>
      <c r="K3204">
        <v>9091.91</v>
      </c>
      <c r="L3204">
        <v>4.3</v>
      </c>
    </row>
    <row r="3205" spans="1:12" x14ac:dyDescent="0.3">
      <c r="A3205" t="s">
        <v>3220</v>
      </c>
      <c r="B3205" t="s">
        <v>13</v>
      </c>
      <c r="C3205" t="s">
        <v>14</v>
      </c>
      <c r="D3205">
        <v>31</v>
      </c>
      <c r="E3205" s="1">
        <v>45600</v>
      </c>
      <c r="F3205">
        <v>2024</v>
      </c>
      <c r="G3205" t="s">
        <v>5038</v>
      </c>
      <c r="H3205">
        <v>4</v>
      </c>
      <c r="I3205">
        <v>1.81</v>
      </c>
      <c r="J3205">
        <v>10</v>
      </c>
      <c r="K3205">
        <v>8361.9</v>
      </c>
      <c r="L3205">
        <v>1</v>
      </c>
    </row>
    <row r="3206" spans="1:12" x14ac:dyDescent="0.3">
      <c r="A3206" t="s">
        <v>3221</v>
      </c>
      <c r="B3206" t="s">
        <v>24</v>
      </c>
      <c r="C3206" t="s">
        <v>11</v>
      </c>
      <c r="D3206">
        <v>43</v>
      </c>
      <c r="E3206" s="1">
        <v>42743</v>
      </c>
      <c r="F3206">
        <v>2017</v>
      </c>
      <c r="G3206" t="s">
        <v>5037</v>
      </c>
      <c r="H3206">
        <v>8</v>
      </c>
      <c r="I3206">
        <v>3.64</v>
      </c>
      <c r="J3206">
        <v>3</v>
      </c>
      <c r="K3206">
        <v>12662.1</v>
      </c>
      <c r="L3206">
        <v>8.8000000000000007</v>
      </c>
    </row>
    <row r="3207" spans="1:12" x14ac:dyDescent="0.3">
      <c r="A3207" t="s">
        <v>3222</v>
      </c>
      <c r="B3207" t="s">
        <v>18</v>
      </c>
      <c r="C3207" t="s">
        <v>14</v>
      </c>
      <c r="D3207">
        <v>59</v>
      </c>
      <c r="E3207" s="1">
        <v>44488</v>
      </c>
      <c r="F3207">
        <v>2021</v>
      </c>
      <c r="G3207" t="s">
        <v>5039</v>
      </c>
      <c r="H3207">
        <v>19</v>
      </c>
      <c r="I3207">
        <v>1.79</v>
      </c>
      <c r="J3207">
        <v>1</v>
      </c>
      <c r="K3207">
        <v>6084.11</v>
      </c>
      <c r="L3207">
        <v>4</v>
      </c>
    </row>
    <row r="3208" spans="1:12" x14ac:dyDescent="0.3">
      <c r="A3208" t="s">
        <v>3223</v>
      </c>
      <c r="B3208" t="s">
        <v>13</v>
      </c>
      <c r="C3208" t="s">
        <v>14</v>
      </c>
      <c r="D3208">
        <v>60</v>
      </c>
      <c r="E3208" s="1">
        <v>41601</v>
      </c>
      <c r="F3208">
        <v>2013</v>
      </c>
      <c r="G3208" t="s">
        <v>5038</v>
      </c>
      <c r="H3208">
        <v>23</v>
      </c>
      <c r="I3208">
        <v>3.93</v>
      </c>
      <c r="J3208">
        <v>12</v>
      </c>
      <c r="K3208">
        <v>6419.79</v>
      </c>
      <c r="L3208">
        <v>11.9</v>
      </c>
    </row>
    <row r="3209" spans="1:12" x14ac:dyDescent="0.3">
      <c r="A3209" t="s">
        <v>3224</v>
      </c>
      <c r="B3209" t="s">
        <v>34</v>
      </c>
      <c r="C3209" t="s">
        <v>11</v>
      </c>
      <c r="D3209">
        <v>41</v>
      </c>
      <c r="E3209" s="1">
        <v>45763</v>
      </c>
      <c r="F3209">
        <v>2025</v>
      </c>
      <c r="G3209" t="s">
        <v>5040</v>
      </c>
      <c r="H3209">
        <v>16</v>
      </c>
      <c r="I3209">
        <v>1.63</v>
      </c>
      <c r="J3209">
        <v>8</v>
      </c>
      <c r="K3209">
        <v>14165.82</v>
      </c>
      <c r="L3209">
        <v>0.5</v>
      </c>
    </row>
    <row r="3210" spans="1:12" x14ac:dyDescent="0.3">
      <c r="A3210" t="s">
        <v>3225</v>
      </c>
      <c r="B3210" t="s">
        <v>34</v>
      </c>
      <c r="C3210" t="s">
        <v>14</v>
      </c>
      <c r="D3210">
        <v>42</v>
      </c>
      <c r="E3210" s="1">
        <v>41337</v>
      </c>
      <c r="F3210">
        <v>2013</v>
      </c>
      <c r="G3210" t="s">
        <v>5035</v>
      </c>
      <c r="H3210">
        <v>4</v>
      </c>
      <c r="I3210">
        <v>2.08</v>
      </c>
      <c r="J3210">
        <v>0</v>
      </c>
      <c r="K3210">
        <v>11313.87</v>
      </c>
      <c r="L3210">
        <v>12.7</v>
      </c>
    </row>
    <row r="3211" spans="1:12" x14ac:dyDescent="0.3">
      <c r="A3211" t="s">
        <v>3226</v>
      </c>
      <c r="B3211" t="s">
        <v>10</v>
      </c>
      <c r="C3211" t="s">
        <v>11</v>
      </c>
      <c r="D3211">
        <v>46</v>
      </c>
      <c r="E3211" s="1">
        <v>43902</v>
      </c>
      <c r="F3211">
        <v>2020</v>
      </c>
      <c r="G3211" t="s">
        <v>5035</v>
      </c>
      <c r="H3211">
        <v>12</v>
      </c>
      <c r="I3211">
        <v>2.4700000000000002</v>
      </c>
      <c r="J3211">
        <v>6</v>
      </c>
      <c r="K3211">
        <v>7099.18</v>
      </c>
      <c r="L3211">
        <v>5.6</v>
      </c>
    </row>
    <row r="3212" spans="1:12" x14ac:dyDescent="0.3">
      <c r="A3212" t="s">
        <v>3227</v>
      </c>
      <c r="B3212" t="s">
        <v>16</v>
      </c>
      <c r="C3212" t="s">
        <v>11</v>
      </c>
      <c r="D3212">
        <v>37</v>
      </c>
      <c r="E3212" s="1">
        <v>45936</v>
      </c>
      <c r="F3212">
        <v>2025</v>
      </c>
      <c r="G3212" t="s">
        <v>5039</v>
      </c>
      <c r="H3212">
        <v>6</v>
      </c>
      <c r="I3212">
        <v>2.0699999999999998</v>
      </c>
      <c r="J3212">
        <v>11</v>
      </c>
      <c r="K3212">
        <v>4700.4799999999996</v>
      </c>
      <c r="L3212">
        <v>0.1</v>
      </c>
    </row>
    <row r="3213" spans="1:12" x14ac:dyDescent="0.3">
      <c r="A3213" t="s">
        <v>3228</v>
      </c>
      <c r="B3213" t="s">
        <v>18</v>
      </c>
      <c r="C3213" t="s">
        <v>14</v>
      </c>
      <c r="D3213">
        <v>43</v>
      </c>
      <c r="E3213" s="1">
        <v>44820</v>
      </c>
      <c r="F3213">
        <v>2022</v>
      </c>
      <c r="G3213" t="s">
        <v>5033</v>
      </c>
      <c r="H3213">
        <v>16</v>
      </c>
      <c r="I3213">
        <v>2.5299999999999998</v>
      </c>
      <c r="J3213">
        <v>11</v>
      </c>
      <c r="K3213">
        <v>10148.51</v>
      </c>
      <c r="L3213">
        <v>3.1</v>
      </c>
    </row>
    <row r="3214" spans="1:12" x14ac:dyDescent="0.3">
      <c r="A3214" t="s">
        <v>3229</v>
      </c>
      <c r="B3214" t="s">
        <v>13</v>
      </c>
      <c r="C3214" t="s">
        <v>14</v>
      </c>
      <c r="D3214">
        <v>44</v>
      </c>
      <c r="E3214" s="1">
        <v>40351</v>
      </c>
      <c r="F3214">
        <v>2010</v>
      </c>
      <c r="G3214" t="s">
        <v>5032</v>
      </c>
      <c r="H3214">
        <v>22</v>
      </c>
      <c r="I3214">
        <v>2.57</v>
      </c>
      <c r="J3214">
        <v>5</v>
      </c>
      <c r="K3214">
        <v>9093.76</v>
      </c>
      <c r="L3214">
        <v>15.4</v>
      </c>
    </row>
    <row r="3215" spans="1:12" x14ac:dyDescent="0.3">
      <c r="A3215" t="s">
        <v>3230</v>
      </c>
      <c r="B3215" t="s">
        <v>34</v>
      </c>
      <c r="C3215" t="s">
        <v>11</v>
      </c>
      <c r="D3215">
        <v>48</v>
      </c>
      <c r="E3215" s="1">
        <v>43632</v>
      </c>
      <c r="F3215">
        <v>2019</v>
      </c>
      <c r="G3215" t="s">
        <v>5032</v>
      </c>
      <c r="H3215">
        <v>16</v>
      </c>
      <c r="I3215">
        <v>3.92</v>
      </c>
      <c r="J3215">
        <v>10</v>
      </c>
      <c r="K3215">
        <v>3896.81</v>
      </c>
      <c r="L3215">
        <v>6.4</v>
      </c>
    </row>
    <row r="3216" spans="1:12" x14ac:dyDescent="0.3">
      <c r="A3216" t="s">
        <v>3231</v>
      </c>
      <c r="B3216" t="s">
        <v>34</v>
      </c>
      <c r="C3216" t="s">
        <v>14</v>
      </c>
      <c r="D3216">
        <v>56</v>
      </c>
      <c r="E3216" s="1">
        <v>40611</v>
      </c>
      <c r="F3216">
        <v>2011</v>
      </c>
      <c r="G3216" t="s">
        <v>5035</v>
      </c>
      <c r="H3216">
        <v>9</v>
      </c>
      <c r="I3216">
        <v>3.52</v>
      </c>
      <c r="J3216">
        <v>11</v>
      </c>
      <c r="K3216">
        <v>11237.3</v>
      </c>
      <c r="L3216">
        <v>14.7</v>
      </c>
    </row>
    <row r="3217" spans="1:12" x14ac:dyDescent="0.3">
      <c r="A3217" t="s">
        <v>3232</v>
      </c>
      <c r="B3217" t="s">
        <v>13</v>
      </c>
      <c r="C3217" t="s">
        <v>11</v>
      </c>
      <c r="D3217">
        <v>55</v>
      </c>
      <c r="E3217" s="1">
        <v>45550</v>
      </c>
      <c r="F3217">
        <v>2024</v>
      </c>
      <c r="G3217" t="s">
        <v>5033</v>
      </c>
      <c r="H3217">
        <v>15</v>
      </c>
      <c r="I3217">
        <v>2.35</v>
      </c>
      <c r="J3217">
        <v>15</v>
      </c>
      <c r="K3217">
        <v>11071.95</v>
      </c>
      <c r="L3217">
        <v>1.1000000000000001</v>
      </c>
    </row>
    <row r="3218" spans="1:12" x14ac:dyDescent="0.3">
      <c r="A3218" t="s">
        <v>3233</v>
      </c>
      <c r="B3218" t="s">
        <v>16</v>
      </c>
      <c r="C3218" t="s">
        <v>14</v>
      </c>
      <c r="D3218">
        <v>58</v>
      </c>
      <c r="E3218" s="1">
        <v>41798</v>
      </c>
      <c r="F3218">
        <v>2014</v>
      </c>
      <c r="G3218" t="s">
        <v>5032</v>
      </c>
      <c r="H3218">
        <v>8</v>
      </c>
      <c r="I3218">
        <v>2.88</v>
      </c>
      <c r="J3218">
        <v>10</v>
      </c>
      <c r="K3218">
        <v>7782.6</v>
      </c>
      <c r="L3218">
        <v>11.4</v>
      </c>
    </row>
    <row r="3219" spans="1:12" x14ac:dyDescent="0.3">
      <c r="A3219" t="s">
        <v>3234</v>
      </c>
      <c r="B3219" t="s">
        <v>34</v>
      </c>
      <c r="C3219" t="s">
        <v>14</v>
      </c>
      <c r="D3219">
        <v>45</v>
      </c>
      <c r="E3219" s="1">
        <v>43475</v>
      </c>
      <c r="F3219">
        <v>2019</v>
      </c>
      <c r="G3219" t="s">
        <v>5037</v>
      </c>
      <c r="H3219">
        <v>10</v>
      </c>
      <c r="I3219">
        <v>2.17</v>
      </c>
      <c r="J3219">
        <v>10</v>
      </c>
      <c r="K3219">
        <v>14740.83</v>
      </c>
      <c r="L3219">
        <v>6.8</v>
      </c>
    </row>
    <row r="3220" spans="1:12" x14ac:dyDescent="0.3">
      <c r="A3220" t="s">
        <v>3235</v>
      </c>
      <c r="B3220" t="s">
        <v>24</v>
      </c>
      <c r="C3220" t="s">
        <v>14</v>
      </c>
      <c r="D3220">
        <v>59</v>
      </c>
      <c r="E3220" s="1">
        <v>44144</v>
      </c>
      <c r="F3220">
        <v>2020</v>
      </c>
      <c r="G3220" t="s">
        <v>5038</v>
      </c>
      <c r="H3220">
        <v>9</v>
      </c>
      <c r="I3220">
        <v>2.0499999999999998</v>
      </c>
      <c r="J3220">
        <v>3</v>
      </c>
      <c r="K3220">
        <v>14481.49</v>
      </c>
      <c r="L3220">
        <v>5</v>
      </c>
    </row>
    <row r="3221" spans="1:12" x14ac:dyDescent="0.3">
      <c r="A3221" t="s">
        <v>3236</v>
      </c>
      <c r="B3221" t="s">
        <v>16</v>
      </c>
      <c r="C3221" t="s">
        <v>14</v>
      </c>
      <c r="D3221">
        <v>55</v>
      </c>
      <c r="E3221" s="1">
        <v>42627</v>
      </c>
      <c r="F3221">
        <v>2016</v>
      </c>
      <c r="G3221" t="s">
        <v>5033</v>
      </c>
      <c r="H3221">
        <v>14</v>
      </c>
      <c r="I3221">
        <v>2.44</v>
      </c>
      <c r="J3221">
        <v>8</v>
      </c>
      <c r="K3221">
        <v>11849.47</v>
      </c>
      <c r="L3221">
        <v>9.1</v>
      </c>
    </row>
    <row r="3222" spans="1:12" x14ac:dyDescent="0.3">
      <c r="A3222" t="s">
        <v>3237</v>
      </c>
      <c r="B3222" t="s">
        <v>18</v>
      </c>
      <c r="C3222" t="s">
        <v>11</v>
      </c>
      <c r="D3222">
        <v>47</v>
      </c>
      <c r="E3222" s="1">
        <v>40326</v>
      </c>
      <c r="F3222">
        <v>2010</v>
      </c>
      <c r="G3222" t="s">
        <v>5036</v>
      </c>
      <c r="H3222">
        <v>28</v>
      </c>
      <c r="I3222">
        <v>2.54</v>
      </c>
      <c r="J3222">
        <v>12</v>
      </c>
      <c r="K3222">
        <v>10855.17</v>
      </c>
      <c r="L3222">
        <v>15.4</v>
      </c>
    </row>
    <row r="3223" spans="1:12" x14ac:dyDescent="0.3">
      <c r="A3223" t="s">
        <v>3238</v>
      </c>
      <c r="B3223" t="s">
        <v>18</v>
      </c>
      <c r="C3223" t="s">
        <v>11</v>
      </c>
      <c r="D3223">
        <v>31</v>
      </c>
      <c r="E3223" s="1">
        <v>41339</v>
      </c>
      <c r="F3223">
        <v>2013</v>
      </c>
      <c r="G3223" t="s">
        <v>5035</v>
      </c>
      <c r="H3223">
        <v>6</v>
      </c>
      <c r="I3223">
        <v>3.09</v>
      </c>
      <c r="J3223">
        <v>15</v>
      </c>
      <c r="K3223">
        <v>7713.75</v>
      </c>
      <c r="L3223">
        <v>12.7</v>
      </c>
    </row>
    <row r="3224" spans="1:12" x14ac:dyDescent="0.3">
      <c r="A3224" t="s">
        <v>3239</v>
      </c>
      <c r="B3224" t="s">
        <v>16</v>
      </c>
      <c r="C3224" t="s">
        <v>11</v>
      </c>
      <c r="D3224">
        <v>50</v>
      </c>
      <c r="E3224" s="1">
        <v>40466</v>
      </c>
      <c r="F3224">
        <v>2010</v>
      </c>
      <c r="G3224" t="s">
        <v>5039</v>
      </c>
      <c r="H3224">
        <v>15</v>
      </c>
      <c r="I3224">
        <v>4.45</v>
      </c>
      <c r="J3224">
        <v>14</v>
      </c>
      <c r="K3224">
        <v>12819.57</v>
      </c>
      <c r="L3224">
        <v>15.1</v>
      </c>
    </row>
    <row r="3225" spans="1:12" x14ac:dyDescent="0.3">
      <c r="A3225" t="s">
        <v>3240</v>
      </c>
      <c r="B3225" t="s">
        <v>24</v>
      </c>
      <c r="C3225" t="s">
        <v>14</v>
      </c>
      <c r="D3225">
        <v>41</v>
      </c>
      <c r="E3225" s="1">
        <v>45146</v>
      </c>
      <c r="F3225">
        <v>2023</v>
      </c>
      <c r="G3225" t="s">
        <v>5031</v>
      </c>
      <c r="H3225">
        <v>8</v>
      </c>
      <c r="I3225">
        <v>3.68</v>
      </c>
      <c r="J3225">
        <v>15</v>
      </c>
      <c r="K3225">
        <v>5956.23</v>
      </c>
      <c r="L3225">
        <v>2.2000000000000002</v>
      </c>
    </row>
    <row r="3226" spans="1:12" x14ac:dyDescent="0.3">
      <c r="A3226" t="s">
        <v>3241</v>
      </c>
      <c r="B3226" t="s">
        <v>13</v>
      </c>
      <c r="C3226" t="s">
        <v>14</v>
      </c>
      <c r="D3226">
        <v>55</v>
      </c>
      <c r="E3226" s="1">
        <v>45531</v>
      </c>
      <c r="F3226">
        <v>2024</v>
      </c>
      <c r="G3226" t="s">
        <v>5031</v>
      </c>
      <c r="H3226">
        <v>27</v>
      </c>
      <c r="I3226">
        <v>1.55</v>
      </c>
      <c r="J3226">
        <v>9</v>
      </c>
      <c r="K3226">
        <v>11766.27</v>
      </c>
      <c r="L3226">
        <v>1.2</v>
      </c>
    </row>
    <row r="3227" spans="1:12" x14ac:dyDescent="0.3">
      <c r="A3227" t="s">
        <v>3242</v>
      </c>
      <c r="B3227" t="s">
        <v>24</v>
      </c>
      <c r="C3227" t="s">
        <v>11</v>
      </c>
      <c r="D3227">
        <v>38</v>
      </c>
      <c r="E3227" s="1">
        <v>45053</v>
      </c>
      <c r="F3227">
        <v>2023</v>
      </c>
      <c r="G3227" t="s">
        <v>5036</v>
      </c>
      <c r="H3227">
        <v>7</v>
      </c>
      <c r="I3227">
        <v>2.11</v>
      </c>
      <c r="J3227">
        <v>3</v>
      </c>
      <c r="K3227">
        <v>5965.43</v>
      </c>
      <c r="L3227">
        <v>2.5</v>
      </c>
    </row>
    <row r="3228" spans="1:12" x14ac:dyDescent="0.3">
      <c r="A3228" t="s">
        <v>3243</v>
      </c>
      <c r="B3228" t="s">
        <v>13</v>
      </c>
      <c r="C3228" t="s">
        <v>11</v>
      </c>
      <c r="D3228">
        <v>29</v>
      </c>
      <c r="E3228" s="1">
        <v>43566</v>
      </c>
      <c r="F3228">
        <v>2019</v>
      </c>
      <c r="G3228" t="s">
        <v>5040</v>
      </c>
      <c r="H3228">
        <v>11</v>
      </c>
      <c r="I3228">
        <v>2.61</v>
      </c>
      <c r="J3228">
        <v>8</v>
      </c>
      <c r="K3228">
        <v>10629.83</v>
      </c>
      <c r="L3228">
        <v>6.6</v>
      </c>
    </row>
    <row r="3229" spans="1:12" x14ac:dyDescent="0.3">
      <c r="A3229" t="s">
        <v>3244</v>
      </c>
      <c r="B3229" t="s">
        <v>34</v>
      </c>
      <c r="C3229" t="s">
        <v>14</v>
      </c>
      <c r="D3229">
        <v>54</v>
      </c>
      <c r="E3229" s="1">
        <v>43274</v>
      </c>
      <c r="F3229">
        <v>2018</v>
      </c>
      <c r="G3229" t="s">
        <v>5032</v>
      </c>
      <c r="H3229">
        <v>23</v>
      </c>
      <c r="I3229">
        <v>3.27</v>
      </c>
      <c r="J3229">
        <v>11</v>
      </c>
      <c r="K3229">
        <v>7051.27</v>
      </c>
      <c r="L3229">
        <v>7.4</v>
      </c>
    </row>
    <row r="3230" spans="1:12" x14ac:dyDescent="0.3">
      <c r="A3230" t="s">
        <v>3245</v>
      </c>
      <c r="B3230" t="s">
        <v>10</v>
      </c>
      <c r="C3230" t="s">
        <v>11</v>
      </c>
      <c r="D3230">
        <v>60</v>
      </c>
      <c r="E3230" s="1">
        <v>45861</v>
      </c>
      <c r="F3230">
        <v>2025</v>
      </c>
      <c r="G3230" t="s">
        <v>5034</v>
      </c>
      <c r="H3230">
        <v>23</v>
      </c>
      <c r="I3230">
        <v>3.21</v>
      </c>
      <c r="J3230">
        <v>0</v>
      </c>
      <c r="K3230">
        <v>14012.99</v>
      </c>
      <c r="L3230">
        <v>0.3</v>
      </c>
    </row>
    <row r="3231" spans="1:12" x14ac:dyDescent="0.3">
      <c r="A3231" t="s">
        <v>3246</v>
      </c>
      <c r="B3231" t="s">
        <v>34</v>
      </c>
      <c r="C3231" t="s">
        <v>11</v>
      </c>
      <c r="D3231">
        <v>26</v>
      </c>
      <c r="E3231" s="1">
        <v>43573</v>
      </c>
      <c r="F3231">
        <v>2019</v>
      </c>
      <c r="G3231" t="s">
        <v>5040</v>
      </c>
      <c r="H3231">
        <v>18</v>
      </c>
      <c r="I3231">
        <v>1.54</v>
      </c>
      <c r="J3231">
        <v>6</v>
      </c>
      <c r="K3231">
        <v>14687.72</v>
      </c>
      <c r="L3231">
        <v>6.5</v>
      </c>
    </row>
    <row r="3232" spans="1:12" x14ac:dyDescent="0.3">
      <c r="A3232" t="s">
        <v>3247</v>
      </c>
      <c r="B3232" t="s">
        <v>18</v>
      </c>
      <c r="C3232" t="s">
        <v>14</v>
      </c>
      <c r="D3232">
        <v>56</v>
      </c>
      <c r="E3232" s="1">
        <v>43943</v>
      </c>
      <c r="F3232">
        <v>2020</v>
      </c>
      <c r="G3232" t="s">
        <v>5040</v>
      </c>
      <c r="H3232">
        <v>22</v>
      </c>
      <c r="I3232">
        <v>4.3099999999999996</v>
      </c>
      <c r="J3232">
        <v>15</v>
      </c>
      <c r="K3232">
        <v>3170.8</v>
      </c>
      <c r="L3232">
        <v>5.5</v>
      </c>
    </row>
    <row r="3233" spans="1:12" x14ac:dyDescent="0.3">
      <c r="A3233" t="s">
        <v>3248</v>
      </c>
      <c r="B3233" t="s">
        <v>13</v>
      </c>
      <c r="C3233" t="s">
        <v>11</v>
      </c>
      <c r="D3233">
        <v>49</v>
      </c>
      <c r="E3233" s="1">
        <v>40330</v>
      </c>
      <c r="F3233">
        <v>2010</v>
      </c>
      <c r="G3233" t="s">
        <v>5032</v>
      </c>
      <c r="H3233">
        <v>1</v>
      </c>
      <c r="I3233">
        <v>2.85</v>
      </c>
      <c r="J3233">
        <v>13</v>
      </c>
      <c r="K3233">
        <v>7944.66</v>
      </c>
      <c r="L3233">
        <v>15.4</v>
      </c>
    </row>
    <row r="3234" spans="1:12" x14ac:dyDescent="0.3">
      <c r="A3234" t="s">
        <v>3249</v>
      </c>
      <c r="B3234" t="s">
        <v>10</v>
      </c>
      <c r="C3234" t="s">
        <v>14</v>
      </c>
      <c r="D3234">
        <v>45</v>
      </c>
      <c r="E3234" s="1">
        <v>41689</v>
      </c>
      <c r="F3234">
        <v>2014</v>
      </c>
      <c r="G3234" t="s">
        <v>5042</v>
      </c>
      <c r="H3234">
        <v>19</v>
      </c>
      <c r="I3234">
        <v>3.89</v>
      </c>
      <c r="J3234">
        <v>10</v>
      </c>
      <c r="K3234">
        <v>6058.42</v>
      </c>
      <c r="L3234">
        <v>11.7</v>
      </c>
    </row>
    <row r="3235" spans="1:12" x14ac:dyDescent="0.3">
      <c r="A3235" t="s">
        <v>3250</v>
      </c>
      <c r="B3235" t="s">
        <v>18</v>
      </c>
      <c r="C3235" t="s">
        <v>11</v>
      </c>
      <c r="D3235">
        <v>59</v>
      </c>
      <c r="E3235" s="1">
        <v>43476</v>
      </c>
      <c r="F3235">
        <v>2019</v>
      </c>
      <c r="G3235" t="s">
        <v>5037</v>
      </c>
      <c r="H3235">
        <v>11</v>
      </c>
      <c r="I3235">
        <v>2.5099999999999998</v>
      </c>
      <c r="J3235">
        <v>13</v>
      </c>
      <c r="K3235">
        <v>14043.12</v>
      </c>
      <c r="L3235">
        <v>6.8</v>
      </c>
    </row>
    <row r="3236" spans="1:12" x14ac:dyDescent="0.3">
      <c r="A3236" t="s">
        <v>3251</v>
      </c>
      <c r="B3236" t="s">
        <v>18</v>
      </c>
      <c r="C3236" t="s">
        <v>11</v>
      </c>
      <c r="D3236">
        <v>57</v>
      </c>
      <c r="E3236" s="1">
        <v>41751</v>
      </c>
      <c r="F3236">
        <v>2014</v>
      </c>
      <c r="G3236" t="s">
        <v>5040</v>
      </c>
      <c r="H3236">
        <v>22</v>
      </c>
      <c r="I3236">
        <v>4.2300000000000004</v>
      </c>
      <c r="J3236">
        <v>4</v>
      </c>
      <c r="K3236">
        <v>13136.66</v>
      </c>
      <c r="L3236">
        <v>11.5</v>
      </c>
    </row>
    <row r="3237" spans="1:12" x14ac:dyDescent="0.3">
      <c r="A3237" t="s">
        <v>3252</v>
      </c>
      <c r="B3237" t="s">
        <v>34</v>
      </c>
      <c r="C3237" t="s">
        <v>11</v>
      </c>
      <c r="D3237">
        <v>47</v>
      </c>
      <c r="E3237" s="1">
        <v>44902</v>
      </c>
      <c r="F3237">
        <v>2022</v>
      </c>
      <c r="G3237" t="s">
        <v>5041</v>
      </c>
      <c r="H3237">
        <v>7</v>
      </c>
      <c r="I3237">
        <v>3.79</v>
      </c>
      <c r="J3237">
        <v>11</v>
      </c>
      <c r="K3237">
        <v>5288.39</v>
      </c>
      <c r="L3237">
        <v>2.9</v>
      </c>
    </row>
    <row r="3238" spans="1:12" x14ac:dyDescent="0.3">
      <c r="A3238" t="s">
        <v>3253</v>
      </c>
      <c r="B3238" t="s">
        <v>18</v>
      </c>
      <c r="C3238" t="s">
        <v>14</v>
      </c>
      <c r="D3238">
        <v>31</v>
      </c>
      <c r="E3238" s="1">
        <v>43585</v>
      </c>
      <c r="F3238">
        <v>2019</v>
      </c>
      <c r="G3238" t="s">
        <v>5040</v>
      </c>
      <c r="H3238">
        <v>30</v>
      </c>
      <c r="I3238">
        <v>1.62</v>
      </c>
      <c r="J3238">
        <v>3</v>
      </c>
      <c r="K3238">
        <v>8760.7000000000007</v>
      </c>
      <c r="L3238">
        <v>6.5</v>
      </c>
    </row>
    <row r="3239" spans="1:12" x14ac:dyDescent="0.3">
      <c r="A3239" t="s">
        <v>3254</v>
      </c>
      <c r="B3239" t="s">
        <v>18</v>
      </c>
      <c r="C3239" t="s">
        <v>11</v>
      </c>
      <c r="D3239">
        <v>50</v>
      </c>
      <c r="E3239" s="1">
        <v>40818</v>
      </c>
      <c r="F3239">
        <v>2011</v>
      </c>
      <c r="G3239" t="s">
        <v>5039</v>
      </c>
      <c r="H3239">
        <v>2</v>
      </c>
      <c r="I3239">
        <v>3.36</v>
      </c>
      <c r="J3239">
        <v>12</v>
      </c>
      <c r="K3239">
        <v>9039.4699999999993</v>
      </c>
      <c r="L3239">
        <v>14.1</v>
      </c>
    </row>
    <row r="3240" spans="1:12" x14ac:dyDescent="0.3">
      <c r="A3240" t="s">
        <v>3255</v>
      </c>
      <c r="B3240" t="s">
        <v>18</v>
      </c>
      <c r="C3240" t="s">
        <v>14</v>
      </c>
      <c r="D3240">
        <v>46</v>
      </c>
      <c r="E3240" s="1">
        <v>45104</v>
      </c>
      <c r="F3240">
        <v>2023</v>
      </c>
      <c r="G3240" t="s">
        <v>5032</v>
      </c>
      <c r="H3240">
        <v>27</v>
      </c>
      <c r="I3240">
        <v>4.6500000000000004</v>
      </c>
      <c r="J3240">
        <v>15</v>
      </c>
      <c r="K3240">
        <v>3583.49</v>
      </c>
      <c r="L3240">
        <v>2.4</v>
      </c>
    </row>
    <row r="3241" spans="1:12" x14ac:dyDescent="0.3">
      <c r="A3241" t="s">
        <v>3256</v>
      </c>
      <c r="B3241" t="s">
        <v>18</v>
      </c>
      <c r="C3241" t="s">
        <v>11</v>
      </c>
      <c r="D3241">
        <v>25</v>
      </c>
      <c r="E3241" s="1">
        <v>43737</v>
      </c>
      <c r="F3241">
        <v>2019</v>
      </c>
      <c r="G3241" t="s">
        <v>5033</v>
      </c>
      <c r="H3241">
        <v>29</v>
      </c>
      <c r="I3241">
        <v>2.85</v>
      </c>
      <c r="J3241">
        <v>7</v>
      </c>
      <c r="K3241">
        <v>11329.45</v>
      </c>
      <c r="L3241">
        <v>6.1</v>
      </c>
    </row>
    <row r="3242" spans="1:12" x14ac:dyDescent="0.3">
      <c r="A3242" t="s">
        <v>3257</v>
      </c>
      <c r="B3242" t="s">
        <v>16</v>
      </c>
      <c r="C3242" t="s">
        <v>14</v>
      </c>
      <c r="D3242">
        <v>31</v>
      </c>
      <c r="E3242" s="1">
        <v>43233</v>
      </c>
      <c r="F3242">
        <v>2018</v>
      </c>
      <c r="G3242" t="s">
        <v>5036</v>
      </c>
      <c r="H3242">
        <v>13</v>
      </c>
      <c r="I3242">
        <v>3.97</v>
      </c>
      <c r="J3242">
        <v>1</v>
      </c>
      <c r="K3242">
        <v>7249.35</v>
      </c>
      <c r="L3242">
        <v>7.5</v>
      </c>
    </row>
    <row r="3243" spans="1:12" x14ac:dyDescent="0.3">
      <c r="A3243" t="s">
        <v>3258</v>
      </c>
      <c r="B3243" t="s">
        <v>16</v>
      </c>
      <c r="C3243" t="s">
        <v>11</v>
      </c>
      <c r="D3243">
        <v>25</v>
      </c>
      <c r="E3243" s="1">
        <v>45424</v>
      </c>
      <c r="F3243">
        <v>2024</v>
      </c>
      <c r="G3243" t="s">
        <v>5036</v>
      </c>
      <c r="H3243">
        <v>12</v>
      </c>
      <c r="I3243">
        <v>2.94</v>
      </c>
      <c r="J3243">
        <v>4</v>
      </c>
      <c r="K3243">
        <v>11765.25</v>
      </c>
      <c r="L3243">
        <v>1.5</v>
      </c>
    </row>
    <row r="3244" spans="1:12" x14ac:dyDescent="0.3">
      <c r="A3244" t="s">
        <v>3259</v>
      </c>
      <c r="B3244" t="s">
        <v>18</v>
      </c>
      <c r="C3244" t="s">
        <v>11</v>
      </c>
      <c r="D3244">
        <v>58</v>
      </c>
      <c r="E3244" s="1">
        <v>42157</v>
      </c>
      <c r="F3244">
        <v>2015</v>
      </c>
      <c r="G3244" t="s">
        <v>5032</v>
      </c>
      <c r="H3244">
        <v>2</v>
      </c>
      <c r="I3244">
        <v>2.16</v>
      </c>
      <c r="J3244">
        <v>0</v>
      </c>
      <c r="K3244">
        <v>13056.72</v>
      </c>
      <c r="L3244">
        <v>10.4</v>
      </c>
    </row>
    <row r="3245" spans="1:12" x14ac:dyDescent="0.3">
      <c r="A3245" t="s">
        <v>3260</v>
      </c>
      <c r="B3245" t="s">
        <v>34</v>
      </c>
      <c r="C3245" t="s">
        <v>11</v>
      </c>
      <c r="D3245">
        <v>46</v>
      </c>
      <c r="E3245" s="1">
        <v>44092</v>
      </c>
      <c r="F3245">
        <v>2020</v>
      </c>
      <c r="G3245" t="s">
        <v>5033</v>
      </c>
      <c r="H3245">
        <v>18</v>
      </c>
      <c r="I3245">
        <v>1.69</v>
      </c>
      <c r="J3245">
        <v>1</v>
      </c>
      <c r="K3245">
        <v>9992.2900000000009</v>
      </c>
      <c r="L3245">
        <v>5.0999999999999996</v>
      </c>
    </row>
    <row r="3246" spans="1:12" x14ac:dyDescent="0.3">
      <c r="A3246" t="s">
        <v>3261</v>
      </c>
      <c r="B3246" t="s">
        <v>24</v>
      </c>
      <c r="C3246" t="s">
        <v>14</v>
      </c>
      <c r="D3246">
        <v>47</v>
      </c>
      <c r="E3246" s="1">
        <v>43674</v>
      </c>
      <c r="F3246">
        <v>2019</v>
      </c>
      <c r="G3246" t="s">
        <v>5034</v>
      </c>
      <c r="H3246">
        <v>28</v>
      </c>
      <c r="I3246">
        <v>2.52</v>
      </c>
      <c r="J3246">
        <v>4</v>
      </c>
      <c r="K3246">
        <v>7011.62</v>
      </c>
      <c r="L3246">
        <v>6.3</v>
      </c>
    </row>
    <row r="3247" spans="1:12" x14ac:dyDescent="0.3">
      <c r="A3247" t="s">
        <v>3262</v>
      </c>
      <c r="B3247" t="s">
        <v>13</v>
      </c>
      <c r="C3247" t="s">
        <v>14</v>
      </c>
      <c r="D3247">
        <v>59</v>
      </c>
      <c r="E3247" s="1">
        <v>41279</v>
      </c>
      <c r="F3247">
        <v>2013</v>
      </c>
      <c r="G3247" t="s">
        <v>5037</v>
      </c>
      <c r="H3247">
        <v>5</v>
      </c>
      <c r="I3247">
        <v>2.4900000000000002</v>
      </c>
      <c r="J3247">
        <v>10</v>
      </c>
      <c r="K3247">
        <v>11226.27</v>
      </c>
      <c r="L3247">
        <v>12.8</v>
      </c>
    </row>
    <row r="3248" spans="1:12" x14ac:dyDescent="0.3">
      <c r="A3248" t="s">
        <v>3263</v>
      </c>
      <c r="B3248" t="s">
        <v>24</v>
      </c>
      <c r="C3248" t="s">
        <v>11</v>
      </c>
      <c r="D3248">
        <v>46</v>
      </c>
      <c r="E3248" s="1">
        <v>41063</v>
      </c>
      <c r="F3248">
        <v>2012</v>
      </c>
      <c r="G3248" t="s">
        <v>5032</v>
      </c>
      <c r="H3248">
        <v>3</v>
      </c>
      <c r="I3248">
        <v>4.6100000000000003</v>
      </c>
      <c r="J3248">
        <v>0</v>
      </c>
      <c r="K3248">
        <v>12203.88</v>
      </c>
      <c r="L3248">
        <v>13.4</v>
      </c>
    </row>
    <row r="3249" spans="1:12" x14ac:dyDescent="0.3">
      <c r="A3249" t="s">
        <v>3264</v>
      </c>
      <c r="B3249" t="s">
        <v>18</v>
      </c>
      <c r="C3249" t="s">
        <v>14</v>
      </c>
      <c r="D3249">
        <v>49</v>
      </c>
      <c r="E3249" s="1">
        <v>45302</v>
      </c>
      <c r="F3249">
        <v>2024</v>
      </c>
      <c r="G3249" t="s">
        <v>5037</v>
      </c>
      <c r="H3249">
        <v>11</v>
      </c>
      <c r="I3249">
        <v>3.43</v>
      </c>
      <c r="J3249">
        <v>9</v>
      </c>
      <c r="K3249">
        <v>6699.23</v>
      </c>
      <c r="L3249">
        <v>1.8</v>
      </c>
    </row>
    <row r="3250" spans="1:12" x14ac:dyDescent="0.3">
      <c r="A3250" t="s">
        <v>3265</v>
      </c>
      <c r="B3250" t="s">
        <v>13</v>
      </c>
      <c r="C3250" t="s">
        <v>14</v>
      </c>
      <c r="D3250">
        <v>38</v>
      </c>
      <c r="E3250" s="1">
        <v>45754</v>
      </c>
      <c r="F3250">
        <v>2025</v>
      </c>
      <c r="G3250" t="s">
        <v>5040</v>
      </c>
      <c r="H3250">
        <v>7</v>
      </c>
      <c r="I3250">
        <v>3.47</v>
      </c>
      <c r="J3250">
        <v>7</v>
      </c>
      <c r="K3250">
        <v>9439.77</v>
      </c>
      <c r="L3250">
        <v>0.6</v>
      </c>
    </row>
    <row r="3251" spans="1:12" x14ac:dyDescent="0.3">
      <c r="A3251" t="s">
        <v>3266</v>
      </c>
      <c r="B3251" t="s">
        <v>18</v>
      </c>
      <c r="C3251" t="s">
        <v>14</v>
      </c>
      <c r="D3251">
        <v>47</v>
      </c>
      <c r="E3251" s="1">
        <v>44936</v>
      </c>
      <c r="F3251">
        <v>2023</v>
      </c>
      <c r="G3251" t="s">
        <v>5037</v>
      </c>
      <c r="H3251">
        <v>10</v>
      </c>
      <c r="I3251">
        <v>1.72</v>
      </c>
      <c r="J3251">
        <v>11</v>
      </c>
      <c r="K3251">
        <v>4288.5600000000004</v>
      </c>
      <c r="L3251">
        <v>2.8</v>
      </c>
    </row>
    <row r="3252" spans="1:12" x14ac:dyDescent="0.3">
      <c r="A3252" t="s">
        <v>3267</v>
      </c>
      <c r="B3252" t="s">
        <v>24</v>
      </c>
      <c r="C3252" t="s">
        <v>11</v>
      </c>
      <c r="D3252">
        <v>36</v>
      </c>
      <c r="E3252" s="1">
        <v>42931</v>
      </c>
      <c r="F3252">
        <v>2017</v>
      </c>
      <c r="G3252" t="s">
        <v>5034</v>
      </c>
      <c r="H3252">
        <v>15</v>
      </c>
      <c r="I3252">
        <v>4.66</v>
      </c>
      <c r="J3252">
        <v>6</v>
      </c>
      <c r="K3252">
        <v>13793.78</v>
      </c>
      <c r="L3252">
        <v>8.3000000000000007</v>
      </c>
    </row>
    <row r="3253" spans="1:12" x14ac:dyDescent="0.3">
      <c r="A3253" t="s">
        <v>3268</v>
      </c>
      <c r="B3253" t="s">
        <v>18</v>
      </c>
      <c r="C3253" t="s">
        <v>14</v>
      </c>
      <c r="D3253">
        <v>49</v>
      </c>
      <c r="E3253" s="1">
        <v>41055</v>
      </c>
      <c r="F3253">
        <v>2012</v>
      </c>
      <c r="G3253" t="s">
        <v>5036</v>
      </c>
      <c r="H3253">
        <v>26</v>
      </c>
      <c r="I3253">
        <v>4.29</v>
      </c>
      <c r="J3253">
        <v>15</v>
      </c>
      <c r="K3253">
        <v>10416.74</v>
      </c>
      <c r="L3253">
        <v>13.4</v>
      </c>
    </row>
    <row r="3254" spans="1:12" x14ac:dyDescent="0.3">
      <c r="A3254" t="s">
        <v>3269</v>
      </c>
      <c r="B3254" t="s">
        <v>13</v>
      </c>
      <c r="C3254" t="s">
        <v>14</v>
      </c>
      <c r="D3254">
        <v>28</v>
      </c>
      <c r="E3254" s="1">
        <v>41021</v>
      </c>
      <c r="F3254">
        <v>2012</v>
      </c>
      <c r="G3254" t="s">
        <v>5040</v>
      </c>
      <c r="H3254">
        <v>22</v>
      </c>
      <c r="I3254">
        <v>1.55</v>
      </c>
      <c r="J3254">
        <v>9</v>
      </c>
      <c r="K3254">
        <v>8960.7900000000009</v>
      </c>
      <c r="L3254">
        <v>13.5</v>
      </c>
    </row>
    <row r="3255" spans="1:12" x14ac:dyDescent="0.3">
      <c r="A3255" t="s">
        <v>3270</v>
      </c>
      <c r="B3255" t="s">
        <v>16</v>
      </c>
      <c r="C3255" t="s">
        <v>14</v>
      </c>
      <c r="D3255">
        <v>58</v>
      </c>
      <c r="E3255" s="1">
        <v>42926</v>
      </c>
      <c r="F3255">
        <v>2017</v>
      </c>
      <c r="G3255" t="s">
        <v>5034</v>
      </c>
      <c r="H3255">
        <v>10</v>
      </c>
      <c r="I3255">
        <v>2.59</v>
      </c>
      <c r="J3255">
        <v>9</v>
      </c>
      <c r="K3255">
        <v>5160.12</v>
      </c>
      <c r="L3255">
        <v>8.3000000000000007</v>
      </c>
    </row>
    <row r="3256" spans="1:12" x14ac:dyDescent="0.3">
      <c r="A3256" t="s">
        <v>3271</v>
      </c>
      <c r="B3256" t="s">
        <v>10</v>
      </c>
      <c r="C3256" t="s">
        <v>11</v>
      </c>
      <c r="D3256">
        <v>51</v>
      </c>
      <c r="E3256" s="1">
        <v>40383</v>
      </c>
      <c r="F3256">
        <v>2010</v>
      </c>
      <c r="G3256" t="s">
        <v>5034</v>
      </c>
      <c r="H3256">
        <v>24</v>
      </c>
      <c r="I3256">
        <v>2.73</v>
      </c>
      <c r="J3256">
        <v>0</v>
      </c>
      <c r="K3256">
        <v>9012.94</v>
      </c>
      <c r="L3256">
        <v>15.3</v>
      </c>
    </row>
    <row r="3257" spans="1:12" x14ac:dyDescent="0.3">
      <c r="A3257" t="s">
        <v>3272</v>
      </c>
      <c r="B3257" t="s">
        <v>18</v>
      </c>
      <c r="C3257" t="s">
        <v>14</v>
      </c>
      <c r="D3257">
        <v>37</v>
      </c>
      <c r="E3257" s="1">
        <v>43709</v>
      </c>
      <c r="F3257">
        <v>2019</v>
      </c>
      <c r="G3257" t="s">
        <v>5033</v>
      </c>
      <c r="H3257">
        <v>1</v>
      </c>
      <c r="I3257">
        <v>4.3899999999999997</v>
      </c>
      <c r="J3257">
        <v>8</v>
      </c>
      <c r="K3257">
        <v>9692.52</v>
      </c>
      <c r="L3257">
        <v>6.2</v>
      </c>
    </row>
    <row r="3258" spans="1:12" x14ac:dyDescent="0.3">
      <c r="A3258" t="s">
        <v>3273</v>
      </c>
      <c r="B3258" t="s">
        <v>13</v>
      </c>
      <c r="C3258" t="s">
        <v>11</v>
      </c>
      <c r="D3258">
        <v>40</v>
      </c>
      <c r="E3258" s="1">
        <v>45224</v>
      </c>
      <c r="F3258">
        <v>2023</v>
      </c>
      <c r="G3258" t="s">
        <v>5039</v>
      </c>
      <c r="H3258">
        <v>25</v>
      </c>
      <c r="I3258">
        <v>2.16</v>
      </c>
      <c r="J3258">
        <v>0</v>
      </c>
      <c r="K3258">
        <v>10920.66</v>
      </c>
      <c r="L3258">
        <v>2</v>
      </c>
    </row>
    <row r="3259" spans="1:12" x14ac:dyDescent="0.3">
      <c r="A3259" t="s">
        <v>3274</v>
      </c>
      <c r="B3259" t="s">
        <v>18</v>
      </c>
      <c r="C3259" t="s">
        <v>14</v>
      </c>
      <c r="D3259">
        <v>24</v>
      </c>
      <c r="E3259" s="1">
        <v>41332</v>
      </c>
      <c r="F3259">
        <v>2013</v>
      </c>
      <c r="G3259" t="s">
        <v>5042</v>
      </c>
      <c r="H3259">
        <v>27</v>
      </c>
      <c r="I3259">
        <v>2.57</v>
      </c>
      <c r="J3259">
        <v>7</v>
      </c>
      <c r="K3259">
        <v>6912.46</v>
      </c>
      <c r="L3259">
        <v>12.7</v>
      </c>
    </row>
    <row r="3260" spans="1:12" x14ac:dyDescent="0.3">
      <c r="A3260" t="s">
        <v>3275</v>
      </c>
      <c r="B3260" t="s">
        <v>16</v>
      </c>
      <c r="C3260" t="s">
        <v>14</v>
      </c>
      <c r="D3260">
        <v>45</v>
      </c>
      <c r="E3260" s="1">
        <v>44197</v>
      </c>
      <c r="F3260">
        <v>2021</v>
      </c>
      <c r="G3260" t="s">
        <v>5037</v>
      </c>
      <c r="H3260">
        <v>1</v>
      </c>
      <c r="I3260">
        <v>1.81</v>
      </c>
      <c r="J3260">
        <v>15</v>
      </c>
      <c r="K3260">
        <v>12974.78</v>
      </c>
      <c r="L3260">
        <v>4.8</v>
      </c>
    </row>
    <row r="3261" spans="1:12" x14ac:dyDescent="0.3">
      <c r="A3261" t="s">
        <v>3276</v>
      </c>
      <c r="B3261" t="s">
        <v>24</v>
      </c>
      <c r="C3261" t="s">
        <v>14</v>
      </c>
      <c r="D3261">
        <v>31</v>
      </c>
      <c r="E3261" s="1">
        <v>41787</v>
      </c>
      <c r="F3261">
        <v>2014</v>
      </c>
      <c r="G3261" t="s">
        <v>5036</v>
      </c>
      <c r="H3261">
        <v>28</v>
      </c>
      <c r="I3261">
        <v>4.6399999999999997</v>
      </c>
      <c r="J3261">
        <v>5</v>
      </c>
      <c r="K3261">
        <v>6505.58</v>
      </c>
      <c r="L3261">
        <v>11.4</v>
      </c>
    </row>
    <row r="3262" spans="1:12" x14ac:dyDescent="0.3">
      <c r="A3262" t="s">
        <v>3277</v>
      </c>
      <c r="B3262" t="s">
        <v>24</v>
      </c>
      <c r="C3262" t="s">
        <v>14</v>
      </c>
      <c r="D3262">
        <v>22</v>
      </c>
      <c r="E3262" s="1">
        <v>40221</v>
      </c>
      <c r="F3262">
        <v>2010</v>
      </c>
      <c r="G3262" t="s">
        <v>5042</v>
      </c>
      <c r="H3262">
        <v>12</v>
      </c>
      <c r="I3262">
        <v>1.53</v>
      </c>
      <c r="J3262">
        <v>7</v>
      </c>
      <c r="K3262">
        <v>8246.77</v>
      </c>
      <c r="L3262">
        <v>15.7</v>
      </c>
    </row>
    <row r="3263" spans="1:12" x14ac:dyDescent="0.3">
      <c r="A3263" t="s">
        <v>3278</v>
      </c>
      <c r="B3263" t="s">
        <v>16</v>
      </c>
      <c r="C3263" t="s">
        <v>14</v>
      </c>
      <c r="D3263">
        <v>27</v>
      </c>
      <c r="E3263" s="1">
        <v>41424</v>
      </c>
      <c r="F3263">
        <v>2013</v>
      </c>
      <c r="G3263" t="s">
        <v>5036</v>
      </c>
      <c r="H3263">
        <v>30</v>
      </c>
      <c r="I3263">
        <v>2.17</v>
      </c>
      <c r="J3263">
        <v>2</v>
      </c>
      <c r="K3263">
        <v>9706.0300000000007</v>
      </c>
      <c r="L3263">
        <v>12.4</v>
      </c>
    </row>
    <row r="3264" spans="1:12" x14ac:dyDescent="0.3">
      <c r="A3264" t="s">
        <v>3279</v>
      </c>
      <c r="B3264" t="s">
        <v>16</v>
      </c>
      <c r="C3264" t="s">
        <v>11</v>
      </c>
      <c r="D3264">
        <v>53</v>
      </c>
      <c r="E3264" s="1">
        <v>42609</v>
      </c>
      <c r="F3264">
        <v>2016</v>
      </c>
      <c r="G3264" t="s">
        <v>5031</v>
      </c>
      <c r="H3264">
        <v>27</v>
      </c>
      <c r="I3264">
        <v>3.17</v>
      </c>
      <c r="J3264">
        <v>15</v>
      </c>
      <c r="K3264">
        <v>14982.14</v>
      </c>
      <c r="L3264">
        <v>9.1999999999999993</v>
      </c>
    </row>
    <row r="3265" spans="1:12" x14ac:dyDescent="0.3">
      <c r="A3265" t="s">
        <v>3280</v>
      </c>
      <c r="B3265" t="s">
        <v>16</v>
      </c>
      <c r="C3265" t="s">
        <v>14</v>
      </c>
      <c r="D3265">
        <v>60</v>
      </c>
      <c r="E3265" s="1">
        <v>43564</v>
      </c>
      <c r="F3265">
        <v>2019</v>
      </c>
      <c r="G3265" t="s">
        <v>5040</v>
      </c>
      <c r="H3265">
        <v>9</v>
      </c>
      <c r="I3265">
        <v>4.7300000000000004</v>
      </c>
      <c r="J3265">
        <v>13</v>
      </c>
      <c r="K3265">
        <v>11540.97</v>
      </c>
      <c r="L3265">
        <v>6.6</v>
      </c>
    </row>
    <row r="3266" spans="1:12" x14ac:dyDescent="0.3">
      <c r="A3266" t="s">
        <v>3281</v>
      </c>
      <c r="B3266" t="s">
        <v>10</v>
      </c>
      <c r="C3266" t="s">
        <v>14</v>
      </c>
      <c r="D3266">
        <v>58</v>
      </c>
      <c r="E3266" s="1">
        <v>44849</v>
      </c>
      <c r="F3266">
        <v>2022</v>
      </c>
      <c r="G3266" t="s">
        <v>5039</v>
      </c>
      <c r="H3266">
        <v>15</v>
      </c>
      <c r="I3266">
        <v>2.17</v>
      </c>
      <c r="J3266">
        <v>1</v>
      </c>
      <c r="K3266">
        <v>10070.35</v>
      </c>
      <c r="L3266">
        <v>3</v>
      </c>
    </row>
    <row r="3267" spans="1:12" x14ac:dyDescent="0.3">
      <c r="A3267" t="s">
        <v>3282</v>
      </c>
      <c r="B3267" t="s">
        <v>10</v>
      </c>
      <c r="C3267" t="s">
        <v>11</v>
      </c>
      <c r="D3267">
        <v>55</v>
      </c>
      <c r="E3267" s="1">
        <v>41201</v>
      </c>
      <c r="F3267">
        <v>2012</v>
      </c>
      <c r="G3267" t="s">
        <v>5039</v>
      </c>
      <c r="H3267">
        <v>19</v>
      </c>
      <c r="I3267">
        <v>3.72</v>
      </c>
      <c r="J3267">
        <v>5</v>
      </c>
      <c r="K3267">
        <v>3963.46</v>
      </c>
      <c r="L3267">
        <v>13</v>
      </c>
    </row>
    <row r="3268" spans="1:12" x14ac:dyDescent="0.3">
      <c r="A3268" t="s">
        <v>3283</v>
      </c>
      <c r="B3268" t="s">
        <v>13</v>
      </c>
      <c r="C3268" t="s">
        <v>11</v>
      </c>
      <c r="D3268">
        <v>51</v>
      </c>
      <c r="E3268" s="1">
        <v>43278</v>
      </c>
      <c r="F3268">
        <v>2018</v>
      </c>
      <c r="G3268" t="s">
        <v>5032</v>
      </c>
      <c r="H3268">
        <v>27</v>
      </c>
      <c r="I3268">
        <v>3.03</v>
      </c>
      <c r="J3268">
        <v>6</v>
      </c>
      <c r="K3268">
        <v>8554.69</v>
      </c>
      <c r="L3268">
        <v>7.4</v>
      </c>
    </row>
    <row r="3269" spans="1:12" x14ac:dyDescent="0.3">
      <c r="A3269" t="s">
        <v>3284</v>
      </c>
      <c r="B3269" t="s">
        <v>10</v>
      </c>
      <c r="C3269" t="s">
        <v>11</v>
      </c>
      <c r="D3269">
        <v>52</v>
      </c>
      <c r="E3269" s="1">
        <v>45026</v>
      </c>
      <c r="F3269">
        <v>2023</v>
      </c>
      <c r="G3269" t="s">
        <v>5040</v>
      </c>
      <c r="H3269">
        <v>10</v>
      </c>
      <c r="I3269">
        <v>4.7</v>
      </c>
      <c r="J3269">
        <v>1</v>
      </c>
      <c r="K3269">
        <v>10707.34</v>
      </c>
      <c r="L3269">
        <v>2.6</v>
      </c>
    </row>
    <row r="3270" spans="1:12" x14ac:dyDescent="0.3">
      <c r="A3270" t="s">
        <v>3285</v>
      </c>
      <c r="B3270" t="s">
        <v>34</v>
      </c>
      <c r="C3270" t="s">
        <v>14</v>
      </c>
      <c r="D3270">
        <v>58</v>
      </c>
      <c r="E3270" s="1">
        <v>43723</v>
      </c>
      <c r="F3270">
        <v>2019</v>
      </c>
      <c r="G3270" t="s">
        <v>5033</v>
      </c>
      <c r="H3270">
        <v>15</v>
      </c>
      <c r="I3270">
        <v>1.61</v>
      </c>
      <c r="J3270">
        <v>1</v>
      </c>
      <c r="K3270">
        <v>9743.36</v>
      </c>
      <c r="L3270">
        <v>6.1</v>
      </c>
    </row>
    <row r="3271" spans="1:12" x14ac:dyDescent="0.3">
      <c r="A3271" t="s">
        <v>3286</v>
      </c>
      <c r="B3271" t="s">
        <v>24</v>
      </c>
      <c r="C3271" t="s">
        <v>11</v>
      </c>
      <c r="D3271">
        <v>40</v>
      </c>
      <c r="E3271" s="1">
        <v>41315</v>
      </c>
      <c r="F3271">
        <v>2013</v>
      </c>
      <c r="G3271" t="s">
        <v>5042</v>
      </c>
      <c r="H3271">
        <v>10</v>
      </c>
      <c r="I3271">
        <v>1.97</v>
      </c>
      <c r="J3271">
        <v>9</v>
      </c>
      <c r="K3271">
        <v>14358.8</v>
      </c>
      <c r="L3271">
        <v>12.7</v>
      </c>
    </row>
    <row r="3272" spans="1:12" x14ac:dyDescent="0.3">
      <c r="A3272" t="s">
        <v>3287</v>
      </c>
      <c r="B3272" t="s">
        <v>13</v>
      </c>
      <c r="C3272" t="s">
        <v>11</v>
      </c>
      <c r="D3272">
        <v>24</v>
      </c>
      <c r="E3272" s="1">
        <v>43042</v>
      </c>
      <c r="F3272">
        <v>2017</v>
      </c>
      <c r="G3272" t="s">
        <v>5038</v>
      </c>
      <c r="H3272">
        <v>3</v>
      </c>
      <c r="I3272">
        <v>4.2300000000000004</v>
      </c>
      <c r="J3272">
        <v>8</v>
      </c>
      <c r="K3272">
        <v>11877.39</v>
      </c>
      <c r="L3272">
        <v>8</v>
      </c>
    </row>
    <row r="3273" spans="1:12" x14ac:dyDescent="0.3">
      <c r="A3273" t="s">
        <v>3288</v>
      </c>
      <c r="B3273" t="s">
        <v>16</v>
      </c>
      <c r="C3273" t="s">
        <v>14</v>
      </c>
      <c r="D3273">
        <v>59</v>
      </c>
      <c r="E3273" s="1">
        <v>45662</v>
      </c>
      <c r="F3273">
        <v>2025</v>
      </c>
      <c r="G3273" t="s">
        <v>5037</v>
      </c>
      <c r="H3273">
        <v>5</v>
      </c>
      <c r="I3273">
        <v>4.7699999999999996</v>
      </c>
      <c r="J3273">
        <v>12</v>
      </c>
      <c r="K3273">
        <v>9468.1200000000008</v>
      </c>
      <c r="L3273">
        <v>0.8</v>
      </c>
    </row>
    <row r="3274" spans="1:12" x14ac:dyDescent="0.3">
      <c r="A3274" t="s">
        <v>3289</v>
      </c>
      <c r="B3274" t="s">
        <v>16</v>
      </c>
      <c r="C3274" t="s">
        <v>14</v>
      </c>
      <c r="D3274">
        <v>25</v>
      </c>
      <c r="E3274" s="1">
        <v>43658</v>
      </c>
      <c r="F3274">
        <v>2019</v>
      </c>
      <c r="G3274" t="s">
        <v>5034</v>
      </c>
      <c r="H3274">
        <v>12</v>
      </c>
      <c r="I3274">
        <v>1.72</v>
      </c>
      <c r="J3274">
        <v>14</v>
      </c>
      <c r="K3274">
        <v>5590.19</v>
      </c>
      <c r="L3274">
        <v>6.3</v>
      </c>
    </row>
    <row r="3275" spans="1:12" x14ac:dyDescent="0.3">
      <c r="A3275" t="s">
        <v>3290</v>
      </c>
      <c r="B3275" t="s">
        <v>34</v>
      </c>
      <c r="C3275" t="s">
        <v>14</v>
      </c>
      <c r="D3275">
        <v>29</v>
      </c>
      <c r="E3275" s="1">
        <v>41952</v>
      </c>
      <c r="F3275">
        <v>2014</v>
      </c>
      <c r="G3275" t="s">
        <v>5038</v>
      </c>
      <c r="H3275">
        <v>9</v>
      </c>
      <c r="I3275">
        <v>2.36</v>
      </c>
      <c r="J3275">
        <v>15</v>
      </c>
      <c r="K3275">
        <v>8851.74</v>
      </c>
      <c r="L3275">
        <v>11</v>
      </c>
    </row>
    <row r="3276" spans="1:12" x14ac:dyDescent="0.3">
      <c r="A3276" t="s">
        <v>3291</v>
      </c>
      <c r="B3276" t="s">
        <v>16</v>
      </c>
      <c r="C3276" t="s">
        <v>14</v>
      </c>
      <c r="D3276">
        <v>55</v>
      </c>
      <c r="E3276" s="1">
        <v>45527</v>
      </c>
      <c r="F3276">
        <v>2024</v>
      </c>
      <c r="G3276" t="s">
        <v>5031</v>
      </c>
      <c r="H3276">
        <v>23</v>
      </c>
      <c r="I3276">
        <v>4.1900000000000004</v>
      </c>
      <c r="J3276">
        <v>6</v>
      </c>
      <c r="K3276">
        <v>13753.18</v>
      </c>
      <c r="L3276">
        <v>1.2</v>
      </c>
    </row>
    <row r="3277" spans="1:12" x14ac:dyDescent="0.3">
      <c r="A3277" t="s">
        <v>3292</v>
      </c>
      <c r="B3277" t="s">
        <v>24</v>
      </c>
      <c r="C3277" t="s">
        <v>11</v>
      </c>
      <c r="D3277">
        <v>43</v>
      </c>
      <c r="E3277" s="1">
        <v>44311</v>
      </c>
      <c r="F3277">
        <v>2021</v>
      </c>
      <c r="G3277" t="s">
        <v>5040</v>
      </c>
      <c r="H3277">
        <v>25</v>
      </c>
      <c r="I3277">
        <v>1.57</v>
      </c>
      <c r="J3277">
        <v>15</v>
      </c>
      <c r="K3277">
        <v>10839.36</v>
      </c>
      <c r="L3277">
        <v>4.5</v>
      </c>
    </row>
    <row r="3278" spans="1:12" x14ac:dyDescent="0.3">
      <c r="A3278" t="s">
        <v>3293</v>
      </c>
      <c r="B3278" t="s">
        <v>10</v>
      </c>
      <c r="C3278" t="s">
        <v>11</v>
      </c>
      <c r="D3278">
        <v>56</v>
      </c>
      <c r="E3278" s="1">
        <v>45094</v>
      </c>
      <c r="F3278">
        <v>2023</v>
      </c>
      <c r="G3278" t="s">
        <v>5032</v>
      </c>
      <c r="H3278">
        <v>17</v>
      </c>
      <c r="I3278">
        <v>1.97</v>
      </c>
      <c r="J3278">
        <v>14</v>
      </c>
      <c r="K3278">
        <v>3651.49</v>
      </c>
      <c r="L3278">
        <v>2.4</v>
      </c>
    </row>
    <row r="3279" spans="1:12" x14ac:dyDescent="0.3">
      <c r="A3279" t="s">
        <v>3294</v>
      </c>
      <c r="B3279" t="s">
        <v>18</v>
      </c>
      <c r="C3279" t="s">
        <v>14</v>
      </c>
      <c r="D3279">
        <v>41</v>
      </c>
      <c r="E3279" s="1">
        <v>41119</v>
      </c>
      <c r="F3279">
        <v>2012</v>
      </c>
      <c r="G3279" t="s">
        <v>5034</v>
      </c>
      <c r="H3279">
        <v>29</v>
      </c>
      <c r="I3279">
        <v>1.8</v>
      </c>
      <c r="J3279">
        <v>10</v>
      </c>
      <c r="K3279">
        <v>5033.51</v>
      </c>
      <c r="L3279">
        <v>13.3</v>
      </c>
    </row>
    <row r="3280" spans="1:12" x14ac:dyDescent="0.3">
      <c r="A3280" t="s">
        <v>3295</v>
      </c>
      <c r="B3280" t="s">
        <v>18</v>
      </c>
      <c r="C3280" t="s">
        <v>11</v>
      </c>
      <c r="D3280">
        <v>37</v>
      </c>
      <c r="E3280" s="1">
        <v>40544</v>
      </c>
      <c r="F3280">
        <v>2011</v>
      </c>
      <c r="G3280" t="s">
        <v>5037</v>
      </c>
      <c r="H3280">
        <v>1</v>
      </c>
      <c r="I3280">
        <v>3.23</v>
      </c>
      <c r="J3280">
        <v>13</v>
      </c>
      <c r="K3280">
        <v>11067.24</v>
      </c>
      <c r="L3280">
        <v>14.8</v>
      </c>
    </row>
    <row r="3281" spans="1:12" x14ac:dyDescent="0.3">
      <c r="A3281" t="s">
        <v>3296</v>
      </c>
      <c r="B3281" t="s">
        <v>18</v>
      </c>
      <c r="C3281" t="s">
        <v>14</v>
      </c>
      <c r="D3281">
        <v>42</v>
      </c>
      <c r="E3281" s="1">
        <v>43215</v>
      </c>
      <c r="F3281">
        <v>2018</v>
      </c>
      <c r="G3281" t="s">
        <v>5040</v>
      </c>
      <c r="H3281">
        <v>25</v>
      </c>
      <c r="I3281">
        <v>2.2200000000000002</v>
      </c>
      <c r="J3281">
        <v>4</v>
      </c>
      <c r="K3281">
        <v>4165.6899999999996</v>
      </c>
      <c r="L3281">
        <v>7.5</v>
      </c>
    </row>
    <row r="3282" spans="1:12" x14ac:dyDescent="0.3">
      <c r="A3282" t="s">
        <v>3297</v>
      </c>
      <c r="B3282" t="s">
        <v>34</v>
      </c>
      <c r="C3282" t="s">
        <v>14</v>
      </c>
      <c r="D3282">
        <v>37</v>
      </c>
      <c r="E3282" s="1">
        <v>40464</v>
      </c>
      <c r="F3282">
        <v>2010</v>
      </c>
      <c r="G3282" t="s">
        <v>5039</v>
      </c>
      <c r="H3282">
        <v>13</v>
      </c>
      <c r="I3282">
        <v>4.88</v>
      </c>
      <c r="J3282">
        <v>4</v>
      </c>
      <c r="K3282">
        <v>12009.23</v>
      </c>
      <c r="L3282">
        <v>15.1</v>
      </c>
    </row>
    <row r="3283" spans="1:12" x14ac:dyDescent="0.3">
      <c r="A3283" t="s">
        <v>3298</v>
      </c>
      <c r="B3283" t="s">
        <v>16</v>
      </c>
      <c r="C3283" t="s">
        <v>14</v>
      </c>
      <c r="D3283">
        <v>28</v>
      </c>
      <c r="E3283" s="1">
        <v>40336</v>
      </c>
      <c r="F3283">
        <v>2010</v>
      </c>
      <c r="G3283" t="s">
        <v>5032</v>
      </c>
      <c r="H3283">
        <v>7</v>
      </c>
      <c r="I3283">
        <v>3.01</v>
      </c>
      <c r="J3283">
        <v>0</v>
      </c>
      <c r="K3283">
        <v>3332.85</v>
      </c>
      <c r="L3283">
        <v>15.4</v>
      </c>
    </row>
    <row r="3284" spans="1:12" x14ac:dyDescent="0.3">
      <c r="A3284" t="s">
        <v>3299</v>
      </c>
      <c r="B3284" t="s">
        <v>16</v>
      </c>
      <c r="C3284" t="s">
        <v>11</v>
      </c>
      <c r="D3284">
        <v>38</v>
      </c>
      <c r="E3284" s="1">
        <v>40758</v>
      </c>
      <c r="F3284">
        <v>2011</v>
      </c>
      <c r="G3284" t="s">
        <v>5031</v>
      </c>
      <c r="H3284">
        <v>3</v>
      </c>
      <c r="I3284">
        <v>2.82</v>
      </c>
      <c r="J3284">
        <v>5</v>
      </c>
      <c r="K3284">
        <v>12437.55</v>
      </c>
      <c r="L3284">
        <v>14.3</v>
      </c>
    </row>
    <row r="3285" spans="1:12" x14ac:dyDescent="0.3">
      <c r="A3285" t="s">
        <v>3300</v>
      </c>
      <c r="B3285" t="s">
        <v>10</v>
      </c>
      <c r="C3285" t="s">
        <v>14</v>
      </c>
      <c r="D3285">
        <v>36</v>
      </c>
      <c r="E3285" s="1">
        <v>45279</v>
      </c>
      <c r="F3285">
        <v>2023</v>
      </c>
      <c r="G3285" t="s">
        <v>5041</v>
      </c>
      <c r="H3285">
        <v>19</v>
      </c>
      <c r="I3285">
        <v>2.76</v>
      </c>
      <c r="J3285">
        <v>14</v>
      </c>
      <c r="K3285">
        <v>13221.98</v>
      </c>
      <c r="L3285">
        <v>1.9</v>
      </c>
    </row>
    <row r="3286" spans="1:12" x14ac:dyDescent="0.3">
      <c r="A3286" t="s">
        <v>3301</v>
      </c>
      <c r="B3286" t="s">
        <v>24</v>
      </c>
      <c r="C3286" t="s">
        <v>11</v>
      </c>
      <c r="D3286">
        <v>42</v>
      </c>
      <c r="E3286" s="1">
        <v>41335</v>
      </c>
      <c r="F3286">
        <v>2013</v>
      </c>
      <c r="G3286" t="s">
        <v>5035</v>
      </c>
      <c r="H3286">
        <v>2</v>
      </c>
      <c r="I3286">
        <v>1.69</v>
      </c>
      <c r="J3286">
        <v>0</v>
      </c>
      <c r="K3286">
        <v>10650.8</v>
      </c>
      <c r="L3286">
        <v>12.7</v>
      </c>
    </row>
    <row r="3287" spans="1:12" x14ac:dyDescent="0.3">
      <c r="A3287" t="s">
        <v>3302</v>
      </c>
      <c r="B3287" t="s">
        <v>13</v>
      </c>
      <c r="C3287" t="s">
        <v>14</v>
      </c>
      <c r="D3287">
        <v>28</v>
      </c>
      <c r="E3287" s="1">
        <v>44367</v>
      </c>
      <c r="F3287">
        <v>2021</v>
      </c>
      <c r="G3287" t="s">
        <v>5032</v>
      </c>
      <c r="H3287">
        <v>20</v>
      </c>
      <c r="I3287">
        <v>2.0299999999999998</v>
      </c>
      <c r="J3287">
        <v>1</v>
      </c>
      <c r="K3287">
        <v>3803.81</v>
      </c>
      <c r="L3287">
        <v>4.4000000000000004</v>
      </c>
    </row>
    <row r="3288" spans="1:12" x14ac:dyDescent="0.3">
      <c r="A3288" t="s">
        <v>3303</v>
      </c>
      <c r="B3288" t="s">
        <v>10</v>
      </c>
      <c r="C3288" t="s">
        <v>11</v>
      </c>
      <c r="D3288">
        <v>37</v>
      </c>
      <c r="E3288" s="1">
        <v>45195</v>
      </c>
      <c r="F3288">
        <v>2023</v>
      </c>
      <c r="G3288" t="s">
        <v>5033</v>
      </c>
      <c r="H3288">
        <v>26</v>
      </c>
      <c r="I3288">
        <v>2.72</v>
      </c>
      <c r="J3288">
        <v>10</v>
      </c>
      <c r="K3288">
        <v>6146.72</v>
      </c>
      <c r="L3288">
        <v>2.1</v>
      </c>
    </row>
    <row r="3289" spans="1:12" x14ac:dyDescent="0.3">
      <c r="A3289" t="s">
        <v>3304</v>
      </c>
      <c r="B3289" t="s">
        <v>16</v>
      </c>
      <c r="C3289" t="s">
        <v>11</v>
      </c>
      <c r="D3289">
        <v>44</v>
      </c>
      <c r="E3289" s="1">
        <v>40481</v>
      </c>
      <c r="F3289">
        <v>2010</v>
      </c>
      <c r="G3289" t="s">
        <v>5039</v>
      </c>
      <c r="H3289">
        <v>30</v>
      </c>
      <c r="I3289">
        <v>4.46</v>
      </c>
      <c r="J3289">
        <v>7</v>
      </c>
      <c r="K3289">
        <v>13889.23</v>
      </c>
      <c r="L3289">
        <v>15</v>
      </c>
    </row>
    <row r="3290" spans="1:12" x14ac:dyDescent="0.3">
      <c r="A3290" t="s">
        <v>3305</v>
      </c>
      <c r="B3290" t="s">
        <v>10</v>
      </c>
      <c r="C3290" t="s">
        <v>14</v>
      </c>
      <c r="D3290">
        <v>22</v>
      </c>
      <c r="E3290" s="1">
        <v>41328</v>
      </c>
      <c r="F3290">
        <v>2013</v>
      </c>
      <c r="G3290" t="s">
        <v>5042</v>
      </c>
      <c r="H3290">
        <v>23</v>
      </c>
      <c r="I3290">
        <v>3.02</v>
      </c>
      <c r="J3290">
        <v>2</v>
      </c>
      <c r="K3290">
        <v>9517.6299999999992</v>
      </c>
      <c r="L3290">
        <v>12.7</v>
      </c>
    </row>
    <row r="3291" spans="1:12" x14ac:dyDescent="0.3">
      <c r="A3291" t="s">
        <v>3306</v>
      </c>
      <c r="B3291" t="s">
        <v>34</v>
      </c>
      <c r="C3291" t="s">
        <v>11</v>
      </c>
      <c r="D3291">
        <v>30</v>
      </c>
      <c r="E3291" s="1">
        <v>44864</v>
      </c>
      <c r="F3291">
        <v>2022</v>
      </c>
      <c r="G3291" t="s">
        <v>5039</v>
      </c>
      <c r="H3291">
        <v>30</v>
      </c>
      <c r="I3291">
        <v>4.47</v>
      </c>
      <c r="J3291">
        <v>9</v>
      </c>
      <c r="K3291">
        <v>11367.76</v>
      </c>
      <c r="L3291">
        <v>3</v>
      </c>
    </row>
    <row r="3292" spans="1:12" x14ac:dyDescent="0.3">
      <c r="A3292" t="s">
        <v>3307</v>
      </c>
      <c r="B3292" t="s">
        <v>10</v>
      </c>
      <c r="C3292" t="s">
        <v>11</v>
      </c>
      <c r="D3292">
        <v>50</v>
      </c>
      <c r="E3292" s="1">
        <v>44202</v>
      </c>
      <c r="F3292">
        <v>2021</v>
      </c>
      <c r="G3292" t="s">
        <v>5037</v>
      </c>
      <c r="H3292">
        <v>6</v>
      </c>
      <c r="I3292">
        <v>4.63</v>
      </c>
      <c r="J3292">
        <v>13</v>
      </c>
      <c r="K3292">
        <v>3967.04</v>
      </c>
      <c r="L3292">
        <v>4.8</v>
      </c>
    </row>
    <row r="3293" spans="1:12" x14ac:dyDescent="0.3">
      <c r="A3293" t="s">
        <v>3308</v>
      </c>
      <c r="B3293" t="s">
        <v>24</v>
      </c>
      <c r="C3293" t="s">
        <v>11</v>
      </c>
      <c r="D3293">
        <v>46</v>
      </c>
      <c r="E3293" s="1">
        <v>40676</v>
      </c>
      <c r="F3293">
        <v>2011</v>
      </c>
      <c r="G3293" t="s">
        <v>5036</v>
      </c>
      <c r="H3293">
        <v>13</v>
      </c>
      <c r="I3293">
        <v>3.83</v>
      </c>
      <c r="J3293">
        <v>8</v>
      </c>
      <c r="K3293">
        <v>14913.02</v>
      </c>
      <c r="L3293">
        <v>14.5</v>
      </c>
    </row>
    <row r="3294" spans="1:12" x14ac:dyDescent="0.3">
      <c r="A3294" t="s">
        <v>3309</v>
      </c>
      <c r="B3294" t="s">
        <v>24</v>
      </c>
      <c r="C3294" t="s">
        <v>14</v>
      </c>
      <c r="D3294">
        <v>38</v>
      </c>
      <c r="E3294" s="1">
        <v>41077</v>
      </c>
      <c r="F3294">
        <v>2012</v>
      </c>
      <c r="G3294" t="s">
        <v>5032</v>
      </c>
      <c r="H3294">
        <v>17</v>
      </c>
      <c r="I3294">
        <v>4.63</v>
      </c>
      <c r="J3294">
        <v>6</v>
      </c>
      <c r="K3294">
        <v>8857.39</v>
      </c>
      <c r="L3294">
        <v>13.4</v>
      </c>
    </row>
    <row r="3295" spans="1:12" x14ac:dyDescent="0.3">
      <c r="A3295" t="s">
        <v>3310</v>
      </c>
      <c r="B3295" t="s">
        <v>24</v>
      </c>
      <c r="C3295" t="s">
        <v>14</v>
      </c>
      <c r="D3295">
        <v>28</v>
      </c>
      <c r="E3295" s="1">
        <v>43454</v>
      </c>
      <c r="F3295">
        <v>2018</v>
      </c>
      <c r="G3295" t="s">
        <v>5041</v>
      </c>
      <c r="H3295">
        <v>20</v>
      </c>
      <c r="I3295">
        <v>1.87</v>
      </c>
      <c r="J3295">
        <v>1</v>
      </c>
      <c r="K3295">
        <v>3136.46</v>
      </c>
      <c r="L3295">
        <v>6.9</v>
      </c>
    </row>
    <row r="3296" spans="1:12" x14ac:dyDescent="0.3">
      <c r="A3296" t="s">
        <v>3311</v>
      </c>
      <c r="B3296" t="s">
        <v>13</v>
      </c>
      <c r="C3296" t="s">
        <v>11</v>
      </c>
      <c r="D3296">
        <v>36</v>
      </c>
      <c r="E3296" s="1">
        <v>40647</v>
      </c>
      <c r="F3296">
        <v>2011</v>
      </c>
      <c r="G3296" t="s">
        <v>5040</v>
      </c>
      <c r="H3296">
        <v>14</v>
      </c>
      <c r="I3296">
        <v>4.1900000000000004</v>
      </c>
      <c r="J3296">
        <v>2</v>
      </c>
      <c r="K3296">
        <v>10500.66</v>
      </c>
      <c r="L3296">
        <v>14.6</v>
      </c>
    </row>
    <row r="3297" spans="1:12" x14ac:dyDescent="0.3">
      <c r="A3297" t="s">
        <v>3312</v>
      </c>
      <c r="B3297" t="s">
        <v>16</v>
      </c>
      <c r="C3297" t="s">
        <v>11</v>
      </c>
      <c r="D3297">
        <v>59</v>
      </c>
      <c r="E3297" s="1">
        <v>44808</v>
      </c>
      <c r="F3297">
        <v>2022</v>
      </c>
      <c r="G3297" t="s">
        <v>5033</v>
      </c>
      <c r="H3297">
        <v>4</v>
      </c>
      <c r="I3297">
        <v>3.64</v>
      </c>
      <c r="J3297">
        <v>13</v>
      </c>
      <c r="K3297">
        <v>9636.5499999999993</v>
      </c>
      <c r="L3297">
        <v>3.2</v>
      </c>
    </row>
    <row r="3298" spans="1:12" x14ac:dyDescent="0.3">
      <c r="A3298" t="s">
        <v>3313</v>
      </c>
      <c r="B3298" t="s">
        <v>16</v>
      </c>
      <c r="C3298" t="s">
        <v>14</v>
      </c>
      <c r="D3298">
        <v>46</v>
      </c>
      <c r="E3298" s="1">
        <v>44601</v>
      </c>
      <c r="F3298">
        <v>2022</v>
      </c>
      <c r="G3298" t="s">
        <v>5042</v>
      </c>
      <c r="H3298">
        <v>9</v>
      </c>
      <c r="I3298">
        <v>4.62</v>
      </c>
      <c r="J3298">
        <v>14</v>
      </c>
      <c r="K3298">
        <v>6789.42</v>
      </c>
      <c r="L3298">
        <v>3.7</v>
      </c>
    </row>
    <row r="3299" spans="1:12" x14ac:dyDescent="0.3">
      <c r="A3299" t="s">
        <v>3314</v>
      </c>
      <c r="B3299" t="s">
        <v>16</v>
      </c>
      <c r="C3299" t="s">
        <v>11</v>
      </c>
      <c r="D3299">
        <v>31</v>
      </c>
      <c r="E3299" s="1">
        <v>44580</v>
      </c>
      <c r="F3299">
        <v>2022</v>
      </c>
      <c r="G3299" t="s">
        <v>5037</v>
      </c>
      <c r="H3299">
        <v>19</v>
      </c>
      <c r="I3299">
        <v>3.65</v>
      </c>
      <c r="J3299">
        <v>14</v>
      </c>
      <c r="K3299">
        <v>8012.92</v>
      </c>
      <c r="L3299">
        <v>3.8</v>
      </c>
    </row>
    <row r="3300" spans="1:12" x14ac:dyDescent="0.3">
      <c r="A3300" t="s">
        <v>3315</v>
      </c>
      <c r="B3300" t="s">
        <v>13</v>
      </c>
      <c r="C3300" t="s">
        <v>11</v>
      </c>
      <c r="D3300">
        <v>60</v>
      </c>
      <c r="E3300" s="1">
        <v>41227</v>
      </c>
      <c r="F3300">
        <v>2012</v>
      </c>
      <c r="G3300" t="s">
        <v>5038</v>
      </c>
      <c r="H3300">
        <v>14</v>
      </c>
      <c r="I3300">
        <v>3.99</v>
      </c>
      <c r="J3300">
        <v>11</v>
      </c>
      <c r="K3300">
        <v>7801.97</v>
      </c>
      <c r="L3300">
        <v>13</v>
      </c>
    </row>
    <row r="3301" spans="1:12" x14ac:dyDescent="0.3">
      <c r="A3301" t="s">
        <v>3316</v>
      </c>
      <c r="B3301" t="s">
        <v>34</v>
      </c>
      <c r="C3301" t="s">
        <v>14</v>
      </c>
      <c r="D3301">
        <v>38</v>
      </c>
      <c r="E3301" s="1">
        <v>44652</v>
      </c>
      <c r="F3301">
        <v>2022</v>
      </c>
      <c r="G3301" t="s">
        <v>5040</v>
      </c>
      <c r="H3301">
        <v>1</v>
      </c>
      <c r="I3301">
        <v>4.53</v>
      </c>
      <c r="J3301">
        <v>6</v>
      </c>
      <c r="K3301">
        <v>5593.67</v>
      </c>
      <c r="L3301">
        <v>3.6</v>
      </c>
    </row>
    <row r="3302" spans="1:12" x14ac:dyDescent="0.3">
      <c r="A3302" t="s">
        <v>3317</v>
      </c>
      <c r="B3302" t="s">
        <v>16</v>
      </c>
      <c r="C3302" t="s">
        <v>14</v>
      </c>
      <c r="D3302">
        <v>56</v>
      </c>
      <c r="E3302" s="1">
        <v>43770</v>
      </c>
      <c r="F3302">
        <v>2019</v>
      </c>
      <c r="G3302" t="s">
        <v>5038</v>
      </c>
      <c r="H3302">
        <v>1</v>
      </c>
      <c r="I3302">
        <v>1.95</v>
      </c>
      <c r="J3302">
        <v>8</v>
      </c>
      <c r="K3302">
        <v>10005.24</v>
      </c>
      <c r="L3302">
        <v>6</v>
      </c>
    </row>
    <row r="3303" spans="1:12" x14ac:dyDescent="0.3">
      <c r="A3303" t="s">
        <v>3318</v>
      </c>
      <c r="B3303" t="s">
        <v>18</v>
      </c>
      <c r="C3303" t="s">
        <v>14</v>
      </c>
      <c r="D3303">
        <v>52</v>
      </c>
      <c r="E3303" s="1">
        <v>41985</v>
      </c>
      <c r="F3303">
        <v>2014</v>
      </c>
      <c r="G3303" t="s">
        <v>5041</v>
      </c>
      <c r="H3303">
        <v>12</v>
      </c>
      <c r="I3303">
        <v>4.1399999999999997</v>
      </c>
      <c r="J3303">
        <v>1</v>
      </c>
      <c r="K3303">
        <v>7052.81</v>
      </c>
      <c r="L3303">
        <v>10.9</v>
      </c>
    </row>
    <row r="3304" spans="1:12" x14ac:dyDescent="0.3">
      <c r="A3304" t="s">
        <v>3319</v>
      </c>
      <c r="B3304" t="s">
        <v>16</v>
      </c>
      <c r="C3304" t="s">
        <v>14</v>
      </c>
      <c r="D3304">
        <v>23</v>
      </c>
      <c r="E3304" s="1">
        <v>40851</v>
      </c>
      <c r="F3304">
        <v>2011</v>
      </c>
      <c r="G3304" t="s">
        <v>5038</v>
      </c>
      <c r="H3304">
        <v>4</v>
      </c>
      <c r="I3304">
        <v>3.48</v>
      </c>
      <c r="J3304">
        <v>15</v>
      </c>
      <c r="K3304">
        <v>9093.18</v>
      </c>
      <c r="L3304">
        <v>14</v>
      </c>
    </row>
    <row r="3305" spans="1:12" x14ac:dyDescent="0.3">
      <c r="A3305" t="s">
        <v>3320</v>
      </c>
      <c r="B3305" t="s">
        <v>18</v>
      </c>
      <c r="C3305" t="s">
        <v>11</v>
      </c>
      <c r="D3305">
        <v>42</v>
      </c>
      <c r="E3305" s="1">
        <v>43417</v>
      </c>
      <c r="F3305">
        <v>2018</v>
      </c>
      <c r="G3305" t="s">
        <v>5038</v>
      </c>
      <c r="H3305">
        <v>13</v>
      </c>
      <c r="I3305">
        <v>2.7</v>
      </c>
      <c r="J3305">
        <v>11</v>
      </c>
      <c r="K3305">
        <v>9338.9500000000007</v>
      </c>
      <c r="L3305">
        <v>7</v>
      </c>
    </row>
    <row r="3306" spans="1:12" x14ac:dyDescent="0.3">
      <c r="A3306" t="s">
        <v>3321</v>
      </c>
      <c r="B3306" t="s">
        <v>24</v>
      </c>
      <c r="C3306" t="s">
        <v>14</v>
      </c>
      <c r="D3306">
        <v>45</v>
      </c>
      <c r="E3306" s="1">
        <v>40745</v>
      </c>
      <c r="F3306">
        <v>2011</v>
      </c>
      <c r="G3306" t="s">
        <v>5034</v>
      </c>
      <c r="H3306">
        <v>21</v>
      </c>
      <c r="I3306">
        <v>2.04</v>
      </c>
      <c r="J3306">
        <v>3</v>
      </c>
      <c r="K3306">
        <v>10340.870000000001</v>
      </c>
      <c r="L3306">
        <v>14.3</v>
      </c>
    </row>
    <row r="3307" spans="1:12" x14ac:dyDescent="0.3">
      <c r="A3307" t="s">
        <v>3322</v>
      </c>
      <c r="B3307" t="s">
        <v>13</v>
      </c>
      <c r="C3307" t="s">
        <v>11</v>
      </c>
      <c r="D3307">
        <v>32</v>
      </c>
      <c r="E3307" s="1">
        <v>44295</v>
      </c>
      <c r="F3307">
        <v>2021</v>
      </c>
      <c r="G3307" t="s">
        <v>5040</v>
      </c>
      <c r="H3307">
        <v>9</v>
      </c>
      <c r="I3307">
        <v>4.03</v>
      </c>
      <c r="J3307">
        <v>0</v>
      </c>
      <c r="K3307">
        <v>14957.88</v>
      </c>
      <c r="L3307">
        <v>4.5999999999999996</v>
      </c>
    </row>
    <row r="3308" spans="1:12" x14ac:dyDescent="0.3">
      <c r="A3308" t="s">
        <v>3323</v>
      </c>
      <c r="B3308" t="s">
        <v>18</v>
      </c>
      <c r="C3308" t="s">
        <v>14</v>
      </c>
      <c r="D3308">
        <v>44</v>
      </c>
      <c r="E3308" s="1">
        <v>42319</v>
      </c>
      <c r="F3308">
        <v>2015</v>
      </c>
      <c r="G3308" t="s">
        <v>5038</v>
      </c>
      <c r="H3308">
        <v>11</v>
      </c>
      <c r="I3308">
        <v>3.89</v>
      </c>
      <c r="J3308">
        <v>13</v>
      </c>
      <c r="K3308">
        <v>8812.0499999999993</v>
      </c>
      <c r="L3308">
        <v>10</v>
      </c>
    </row>
    <row r="3309" spans="1:12" x14ac:dyDescent="0.3">
      <c r="A3309" t="s">
        <v>3324</v>
      </c>
      <c r="B3309" t="s">
        <v>34</v>
      </c>
      <c r="C3309" t="s">
        <v>14</v>
      </c>
      <c r="D3309">
        <v>45</v>
      </c>
      <c r="E3309" s="1">
        <v>45910</v>
      </c>
      <c r="F3309">
        <v>2025</v>
      </c>
      <c r="G3309" t="s">
        <v>5033</v>
      </c>
      <c r="H3309">
        <v>10</v>
      </c>
      <c r="I3309">
        <v>3.05</v>
      </c>
      <c r="J3309">
        <v>3</v>
      </c>
      <c r="K3309">
        <v>12160.25</v>
      </c>
      <c r="L3309">
        <v>0.1</v>
      </c>
    </row>
    <row r="3310" spans="1:12" x14ac:dyDescent="0.3">
      <c r="A3310" t="s">
        <v>3325</v>
      </c>
      <c r="B3310" t="s">
        <v>13</v>
      </c>
      <c r="C3310" t="s">
        <v>11</v>
      </c>
      <c r="D3310">
        <v>48</v>
      </c>
      <c r="E3310" s="1">
        <v>45390</v>
      </c>
      <c r="F3310">
        <v>2024</v>
      </c>
      <c r="G3310" t="s">
        <v>5040</v>
      </c>
      <c r="H3310">
        <v>8</v>
      </c>
      <c r="I3310">
        <v>2.79</v>
      </c>
      <c r="J3310">
        <v>3</v>
      </c>
      <c r="K3310">
        <v>10339.790000000001</v>
      </c>
      <c r="L3310">
        <v>1.6</v>
      </c>
    </row>
    <row r="3311" spans="1:12" x14ac:dyDescent="0.3">
      <c r="A3311" t="s">
        <v>3326</v>
      </c>
      <c r="B3311" t="s">
        <v>34</v>
      </c>
      <c r="C3311" t="s">
        <v>11</v>
      </c>
      <c r="D3311">
        <v>39</v>
      </c>
      <c r="E3311" s="1">
        <v>41496</v>
      </c>
      <c r="F3311">
        <v>2013</v>
      </c>
      <c r="G3311" t="s">
        <v>5031</v>
      </c>
      <c r="H3311">
        <v>10</v>
      </c>
      <c r="I3311">
        <v>2.09</v>
      </c>
      <c r="J3311">
        <v>4</v>
      </c>
      <c r="K3311">
        <v>5616.21</v>
      </c>
      <c r="L3311">
        <v>12.2</v>
      </c>
    </row>
    <row r="3312" spans="1:12" x14ac:dyDescent="0.3">
      <c r="A3312" t="s">
        <v>3327</v>
      </c>
      <c r="B3312" t="s">
        <v>13</v>
      </c>
      <c r="C3312" t="s">
        <v>14</v>
      </c>
      <c r="D3312">
        <v>49</v>
      </c>
      <c r="E3312" s="1">
        <v>40960</v>
      </c>
      <c r="F3312">
        <v>2012</v>
      </c>
      <c r="G3312" t="s">
        <v>5042</v>
      </c>
      <c r="H3312">
        <v>21</v>
      </c>
      <c r="I3312">
        <v>3.29</v>
      </c>
      <c r="J3312">
        <v>0</v>
      </c>
      <c r="K3312">
        <v>10274.99</v>
      </c>
      <c r="L3312">
        <v>13.7</v>
      </c>
    </row>
    <row r="3313" spans="1:12" x14ac:dyDescent="0.3">
      <c r="A3313" t="s">
        <v>3328</v>
      </c>
      <c r="B3313" t="s">
        <v>13</v>
      </c>
      <c r="C3313" t="s">
        <v>11</v>
      </c>
      <c r="D3313">
        <v>51</v>
      </c>
      <c r="E3313" s="1">
        <v>40572</v>
      </c>
      <c r="F3313">
        <v>2011</v>
      </c>
      <c r="G3313" t="s">
        <v>5037</v>
      </c>
      <c r="H3313">
        <v>29</v>
      </c>
      <c r="I3313">
        <v>2.37</v>
      </c>
      <c r="J3313">
        <v>15</v>
      </c>
      <c r="K3313">
        <v>7431.2</v>
      </c>
      <c r="L3313">
        <v>14.8</v>
      </c>
    </row>
    <row r="3314" spans="1:12" x14ac:dyDescent="0.3">
      <c r="A3314" t="s">
        <v>3329</v>
      </c>
      <c r="B3314" t="s">
        <v>18</v>
      </c>
      <c r="C3314" t="s">
        <v>14</v>
      </c>
      <c r="D3314">
        <v>45</v>
      </c>
      <c r="E3314" s="1">
        <v>40410</v>
      </c>
      <c r="F3314">
        <v>2010</v>
      </c>
      <c r="G3314" t="s">
        <v>5031</v>
      </c>
      <c r="H3314">
        <v>20</v>
      </c>
      <c r="I3314">
        <v>1.64</v>
      </c>
      <c r="J3314">
        <v>2</v>
      </c>
      <c r="K3314">
        <v>13781.53</v>
      </c>
      <c r="L3314">
        <v>15.2</v>
      </c>
    </row>
    <row r="3315" spans="1:12" x14ac:dyDescent="0.3">
      <c r="A3315" t="s">
        <v>3330</v>
      </c>
      <c r="B3315" t="s">
        <v>13</v>
      </c>
      <c r="C3315" t="s">
        <v>11</v>
      </c>
      <c r="D3315">
        <v>25</v>
      </c>
      <c r="E3315" s="1">
        <v>43843</v>
      </c>
      <c r="F3315">
        <v>2020</v>
      </c>
      <c r="G3315" t="s">
        <v>5037</v>
      </c>
      <c r="H3315">
        <v>13</v>
      </c>
      <c r="I3315">
        <v>2.5</v>
      </c>
      <c r="J3315">
        <v>0</v>
      </c>
      <c r="K3315">
        <v>8055.29</v>
      </c>
      <c r="L3315">
        <v>5.8</v>
      </c>
    </row>
    <row r="3316" spans="1:12" x14ac:dyDescent="0.3">
      <c r="A3316" t="s">
        <v>3331</v>
      </c>
      <c r="B3316" t="s">
        <v>13</v>
      </c>
      <c r="C3316" t="s">
        <v>11</v>
      </c>
      <c r="D3316">
        <v>22</v>
      </c>
      <c r="E3316" s="1">
        <v>40692</v>
      </c>
      <c r="F3316">
        <v>2011</v>
      </c>
      <c r="G3316" t="s">
        <v>5036</v>
      </c>
      <c r="H3316">
        <v>29</v>
      </c>
      <c r="I3316">
        <v>3.66</v>
      </c>
      <c r="J3316">
        <v>15</v>
      </c>
      <c r="K3316">
        <v>6116.72</v>
      </c>
      <c r="L3316">
        <v>14.4</v>
      </c>
    </row>
    <row r="3317" spans="1:12" x14ac:dyDescent="0.3">
      <c r="A3317" t="s">
        <v>3332</v>
      </c>
      <c r="B3317" t="s">
        <v>34</v>
      </c>
      <c r="C3317" t="s">
        <v>11</v>
      </c>
      <c r="D3317">
        <v>59</v>
      </c>
      <c r="E3317" s="1">
        <v>44509</v>
      </c>
      <c r="F3317">
        <v>2021</v>
      </c>
      <c r="G3317" t="s">
        <v>5038</v>
      </c>
      <c r="H3317">
        <v>9</v>
      </c>
      <c r="I3317">
        <v>1.96</v>
      </c>
      <c r="J3317">
        <v>15</v>
      </c>
      <c r="K3317">
        <v>10838.11</v>
      </c>
      <c r="L3317">
        <v>4</v>
      </c>
    </row>
    <row r="3318" spans="1:12" x14ac:dyDescent="0.3">
      <c r="A3318" t="s">
        <v>3333</v>
      </c>
      <c r="B3318" t="s">
        <v>10</v>
      </c>
      <c r="C3318" t="s">
        <v>14</v>
      </c>
      <c r="D3318">
        <v>26</v>
      </c>
      <c r="E3318" s="1">
        <v>43893</v>
      </c>
      <c r="F3318">
        <v>2020</v>
      </c>
      <c r="G3318" t="s">
        <v>5035</v>
      </c>
      <c r="H3318">
        <v>3</v>
      </c>
      <c r="I3318">
        <v>1.55</v>
      </c>
      <c r="J3318">
        <v>4</v>
      </c>
      <c r="K3318">
        <v>14481.27</v>
      </c>
      <c r="L3318">
        <v>5.7</v>
      </c>
    </row>
    <row r="3319" spans="1:12" x14ac:dyDescent="0.3">
      <c r="A3319" t="s">
        <v>3334</v>
      </c>
      <c r="B3319" t="s">
        <v>13</v>
      </c>
      <c r="C3319" t="s">
        <v>14</v>
      </c>
      <c r="D3319">
        <v>32</v>
      </c>
      <c r="E3319" s="1">
        <v>45733</v>
      </c>
      <c r="F3319">
        <v>2025</v>
      </c>
      <c r="G3319" t="s">
        <v>5035</v>
      </c>
      <c r="H3319">
        <v>17</v>
      </c>
      <c r="I3319">
        <v>3.63</v>
      </c>
      <c r="J3319">
        <v>5</v>
      </c>
      <c r="K3319">
        <v>11897.82</v>
      </c>
      <c r="L3319">
        <v>0.6</v>
      </c>
    </row>
    <row r="3320" spans="1:12" x14ac:dyDescent="0.3">
      <c r="A3320" t="s">
        <v>3335</v>
      </c>
      <c r="B3320" t="s">
        <v>34</v>
      </c>
      <c r="C3320" t="s">
        <v>11</v>
      </c>
      <c r="D3320">
        <v>55</v>
      </c>
      <c r="E3320" s="1">
        <v>43207</v>
      </c>
      <c r="F3320">
        <v>2018</v>
      </c>
      <c r="G3320" t="s">
        <v>5040</v>
      </c>
      <c r="H3320">
        <v>17</v>
      </c>
      <c r="I3320">
        <v>1.7</v>
      </c>
      <c r="J3320">
        <v>11</v>
      </c>
      <c r="K3320">
        <v>7086.97</v>
      </c>
      <c r="L3320">
        <v>7.5</v>
      </c>
    </row>
    <row r="3321" spans="1:12" x14ac:dyDescent="0.3">
      <c r="A3321" t="s">
        <v>3336</v>
      </c>
      <c r="B3321" t="s">
        <v>18</v>
      </c>
      <c r="C3321" t="s">
        <v>11</v>
      </c>
      <c r="D3321">
        <v>28</v>
      </c>
      <c r="E3321" s="1">
        <v>43868</v>
      </c>
      <c r="F3321">
        <v>2020</v>
      </c>
      <c r="G3321" t="s">
        <v>5042</v>
      </c>
      <c r="H3321">
        <v>7</v>
      </c>
      <c r="I3321">
        <v>2.38</v>
      </c>
      <c r="J3321">
        <v>15</v>
      </c>
      <c r="K3321">
        <v>5714.83</v>
      </c>
      <c r="L3321">
        <v>5.7</v>
      </c>
    </row>
    <row r="3322" spans="1:12" x14ac:dyDescent="0.3">
      <c r="A3322" t="s">
        <v>3337</v>
      </c>
      <c r="B3322" t="s">
        <v>34</v>
      </c>
      <c r="C3322" t="s">
        <v>11</v>
      </c>
      <c r="D3322">
        <v>39</v>
      </c>
      <c r="E3322" s="1">
        <v>42240</v>
      </c>
      <c r="F3322">
        <v>2015</v>
      </c>
      <c r="G3322" t="s">
        <v>5031</v>
      </c>
      <c r="H3322">
        <v>24</v>
      </c>
      <c r="I3322">
        <v>4.68</v>
      </c>
      <c r="J3322">
        <v>12</v>
      </c>
      <c r="K3322">
        <v>3111.16</v>
      </c>
      <c r="L3322">
        <v>10.199999999999999</v>
      </c>
    </row>
    <row r="3323" spans="1:12" x14ac:dyDescent="0.3">
      <c r="A3323" t="s">
        <v>3338</v>
      </c>
      <c r="B3323" t="s">
        <v>18</v>
      </c>
      <c r="C3323" t="s">
        <v>14</v>
      </c>
      <c r="D3323">
        <v>42</v>
      </c>
      <c r="E3323" s="1">
        <v>41413</v>
      </c>
      <c r="F3323">
        <v>2013</v>
      </c>
      <c r="G3323" t="s">
        <v>5036</v>
      </c>
      <c r="H3323">
        <v>19</v>
      </c>
      <c r="I3323">
        <v>3.29</v>
      </c>
      <c r="J3323">
        <v>7</v>
      </c>
      <c r="K3323">
        <v>9202.68</v>
      </c>
      <c r="L3323">
        <v>12.5</v>
      </c>
    </row>
    <row r="3324" spans="1:12" x14ac:dyDescent="0.3">
      <c r="A3324" t="s">
        <v>3339</v>
      </c>
      <c r="B3324" t="s">
        <v>18</v>
      </c>
      <c r="C3324" t="s">
        <v>14</v>
      </c>
      <c r="D3324">
        <v>60</v>
      </c>
      <c r="E3324" s="1">
        <v>41892</v>
      </c>
      <c r="F3324">
        <v>2014</v>
      </c>
      <c r="G3324" t="s">
        <v>5033</v>
      </c>
      <c r="H3324">
        <v>10</v>
      </c>
      <c r="I3324">
        <v>4.79</v>
      </c>
      <c r="J3324">
        <v>2</v>
      </c>
      <c r="K3324">
        <v>11178.58</v>
      </c>
      <c r="L3324">
        <v>11.2</v>
      </c>
    </row>
    <row r="3325" spans="1:12" x14ac:dyDescent="0.3">
      <c r="A3325" t="s">
        <v>3340</v>
      </c>
      <c r="B3325" t="s">
        <v>24</v>
      </c>
      <c r="C3325" t="s">
        <v>14</v>
      </c>
      <c r="D3325">
        <v>57</v>
      </c>
      <c r="E3325" s="1">
        <v>42774</v>
      </c>
      <c r="F3325">
        <v>2017</v>
      </c>
      <c r="G3325" t="s">
        <v>5042</v>
      </c>
      <c r="H3325">
        <v>8</v>
      </c>
      <c r="I3325">
        <v>2.97</v>
      </c>
      <c r="J3325">
        <v>14</v>
      </c>
      <c r="K3325">
        <v>7966.51</v>
      </c>
      <c r="L3325">
        <v>8.6999999999999993</v>
      </c>
    </row>
    <row r="3326" spans="1:12" x14ac:dyDescent="0.3">
      <c r="A3326" t="s">
        <v>3341</v>
      </c>
      <c r="B3326" t="s">
        <v>18</v>
      </c>
      <c r="C3326" t="s">
        <v>11</v>
      </c>
      <c r="D3326">
        <v>47</v>
      </c>
      <c r="E3326" s="1">
        <v>44529</v>
      </c>
      <c r="F3326">
        <v>2021</v>
      </c>
      <c r="G3326" t="s">
        <v>5038</v>
      </c>
      <c r="H3326">
        <v>29</v>
      </c>
      <c r="I3326">
        <v>2.0699999999999998</v>
      </c>
      <c r="J3326">
        <v>11</v>
      </c>
      <c r="K3326">
        <v>4012.55</v>
      </c>
      <c r="L3326">
        <v>3.9</v>
      </c>
    </row>
    <row r="3327" spans="1:12" x14ac:dyDescent="0.3">
      <c r="A3327" t="s">
        <v>3342</v>
      </c>
      <c r="B3327" t="s">
        <v>18</v>
      </c>
      <c r="C3327" t="s">
        <v>11</v>
      </c>
      <c r="D3327">
        <v>37</v>
      </c>
      <c r="E3327" s="1">
        <v>43332</v>
      </c>
      <c r="F3327">
        <v>2018</v>
      </c>
      <c r="G3327" t="s">
        <v>5031</v>
      </c>
      <c r="H3327">
        <v>20</v>
      </c>
      <c r="I3327">
        <v>3.18</v>
      </c>
      <c r="J3327">
        <v>2</v>
      </c>
      <c r="K3327">
        <v>3820.47</v>
      </c>
      <c r="L3327">
        <v>7.2</v>
      </c>
    </row>
    <row r="3328" spans="1:12" x14ac:dyDescent="0.3">
      <c r="A3328" t="s">
        <v>3343</v>
      </c>
      <c r="B3328" t="s">
        <v>10</v>
      </c>
      <c r="C3328" t="s">
        <v>11</v>
      </c>
      <c r="D3328">
        <v>42</v>
      </c>
      <c r="E3328" s="1">
        <v>45391</v>
      </c>
      <c r="F3328">
        <v>2024</v>
      </c>
      <c r="G3328" t="s">
        <v>5040</v>
      </c>
      <c r="H3328">
        <v>9</v>
      </c>
      <c r="I3328">
        <v>3.45</v>
      </c>
      <c r="J3328">
        <v>9</v>
      </c>
      <c r="K3328">
        <v>10666.35</v>
      </c>
      <c r="L3328">
        <v>1.6</v>
      </c>
    </row>
    <row r="3329" spans="1:12" x14ac:dyDescent="0.3">
      <c r="A3329" t="s">
        <v>3344</v>
      </c>
      <c r="B3329" t="s">
        <v>24</v>
      </c>
      <c r="C3329" t="s">
        <v>11</v>
      </c>
      <c r="D3329">
        <v>22</v>
      </c>
      <c r="E3329" s="1">
        <v>40321</v>
      </c>
      <c r="F3329">
        <v>2010</v>
      </c>
      <c r="G3329" t="s">
        <v>5036</v>
      </c>
      <c r="H3329">
        <v>23</v>
      </c>
      <c r="I3329">
        <v>3.47</v>
      </c>
      <c r="J3329">
        <v>10</v>
      </c>
      <c r="K3329">
        <v>3152.49</v>
      </c>
      <c r="L3329">
        <v>15.5</v>
      </c>
    </row>
    <row r="3330" spans="1:12" x14ac:dyDescent="0.3">
      <c r="A3330" t="s">
        <v>3345</v>
      </c>
      <c r="B3330" t="s">
        <v>10</v>
      </c>
      <c r="C3330" t="s">
        <v>11</v>
      </c>
      <c r="D3330">
        <v>26</v>
      </c>
      <c r="E3330" s="1">
        <v>45599</v>
      </c>
      <c r="F3330">
        <v>2024</v>
      </c>
      <c r="G3330" t="s">
        <v>5038</v>
      </c>
      <c r="H3330">
        <v>3</v>
      </c>
      <c r="I3330">
        <v>3.55</v>
      </c>
      <c r="J3330">
        <v>8</v>
      </c>
      <c r="K3330">
        <v>11336.34</v>
      </c>
      <c r="L3330">
        <v>1</v>
      </c>
    </row>
    <row r="3331" spans="1:12" x14ac:dyDescent="0.3">
      <c r="A3331" t="s">
        <v>3346</v>
      </c>
      <c r="B3331" t="s">
        <v>24</v>
      </c>
      <c r="C3331" t="s">
        <v>14</v>
      </c>
      <c r="D3331">
        <v>33</v>
      </c>
      <c r="E3331" s="1">
        <v>40685</v>
      </c>
      <c r="F3331">
        <v>2011</v>
      </c>
      <c r="G3331" t="s">
        <v>5036</v>
      </c>
      <c r="H3331">
        <v>22</v>
      </c>
      <c r="I3331">
        <v>4.63</v>
      </c>
      <c r="J3331">
        <v>4</v>
      </c>
      <c r="K3331">
        <v>14087.42</v>
      </c>
      <c r="L3331">
        <v>14.5</v>
      </c>
    </row>
    <row r="3332" spans="1:12" x14ac:dyDescent="0.3">
      <c r="A3332" t="s">
        <v>3347</v>
      </c>
      <c r="B3332" t="s">
        <v>18</v>
      </c>
      <c r="C3332" t="s">
        <v>11</v>
      </c>
      <c r="D3332">
        <v>27</v>
      </c>
      <c r="E3332" s="1">
        <v>41598</v>
      </c>
      <c r="F3332">
        <v>2013</v>
      </c>
      <c r="G3332" t="s">
        <v>5038</v>
      </c>
      <c r="H3332">
        <v>20</v>
      </c>
      <c r="I3332">
        <v>3.35</v>
      </c>
      <c r="J3332">
        <v>4</v>
      </c>
      <c r="K3332">
        <v>10009.9</v>
      </c>
      <c r="L3332">
        <v>12</v>
      </c>
    </row>
    <row r="3333" spans="1:12" x14ac:dyDescent="0.3">
      <c r="A3333" t="s">
        <v>3348</v>
      </c>
      <c r="B3333" t="s">
        <v>24</v>
      </c>
      <c r="C3333" t="s">
        <v>11</v>
      </c>
      <c r="D3333">
        <v>34</v>
      </c>
      <c r="E3333" s="1">
        <v>40255</v>
      </c>
      <c r="F3333">
        <v>2010</v>
      </c>
      <c r="G3333" t="s">
        <v>5035</v>
      </c>
      <c r="H3333">
        <v>18</v>
      </c>
      <c r="I3333">
        <v>1.97</v>
      </c>
      <c r="J3333">
        <v>0</v>
      </c>
      <c r="K3333">
        <v>4452.1899999999996</v>
      </c>
      <c r="L3333">
        <v>15.6</v>
      </c>
    </row>
    <row r="3334" spans="1:12" x14ac:dyDescent="0.3">
      <c r="A3334" t="s">
        <v>3349</v>
      </c>
      <c r="B3334" t="s">
        <v>18</v>
      </c>
      <c r="C3334" t="s">
        <v>11</v>
      </c>
      <c r="D3334">
        <v>60</v>
      </c>
      <c r="E3334" s="1">
        <v>44734</v>
      </c>
      <c r="F3334">
        <v>2022</v>
      </c>
      <c r="G3334" t="s">
        <v>5032</v>
      </c>
      <c r="H3334">
        <v>22</v>
      </c>
      <c r="I3334">
        <v>3.64</v>
      </c>
      <c r="J3334">
        <v>14</v>
      </c>
      <c r="K3334">
        <v>6974.3</v>
      </c>
      <c r="L3334">
        <v>3.4</v>
      </c>
    </row>
    <row r="3335" spans="1:12" x14ac:dyDescent="0.3">
      <c r="A3335" t="s">
        <v>3350</v>
      </c>
      <c r="B3335" t="s">
        <v>18</v>
      </c>
      <c r="C3335" t="s">
        <v>14</v>
      </c>
      <c r="D3335">
        <v>23</v>
      </c>
      <c r="E3335" s="1">
        <v>44108</v>
      </c>
      <c r="F3335">
        <v>2020</v>
      </c>
      <c r="G3335" t="s">
        <v>5039</v>
      </c>
      <c r="H3335">
        <v>4</v>
      </c>
      <c r="I3335">
        <v>4.97</v>
      </c>
      <c r="J3335">
        <v>8</v>
      </c>
      <c r="K3335">
        <v>14569.32</v>
      </c>
      <c r="L3335">
        <v>5.0999999999999996</v>
      </c>
    </row>
    <row r="3336" spans="1:12" x14ac:dyDescent="0.3">
      <c r="A3336" t="s">
        <v>3351</v>
      </c>
      <c r="B3336" t="s">
        <v>13</v>
      </c>
      <c r="C3336" t="s">
        <v>14</v>
      </c>
      <c r="D3336">
        <v>55</v>
      </c>
      <c r="E3336" s="1">
        <v>44904</v>
      </c>
      <c r="F3336">
        <v>2022</v>
      </c>
      <c r="G3336" t="s">
        <v>5041</v>
      </c>
      <c r="H3336">
        <v>9</v>
      </c>
      <c r="I3336">
        <v>3.49</v>
      </c>
      <c r="J3336">
        <v>15</v>
      </c>
      <c r="K3336">
        <v>3550.72</v>
      </c>
      <c r="L3336">
        <v>2.9</v>
      </c>
    </row>
    <row r="3337" spans="1:12" x14ac:dyDescent="0.3">
      <c r="A3337" t="s">
        <v>3352</v>
      </c>
      <c r="B3337" t="s">
        <v>34</v>
      </c>
      <c r="C3337" t="s">
        <v>14</v>
      </c>
      <c r="D3337">
        <v>52</v>
      </c>
      <c r="E3337" s="1">
        <v>44938</v>
      </c>
      <c r="F3337">
        <v>2023</v>
      </c>
      <c r="G3337" t="s">
        <v>5037</v>
      </c>
      <c r="H3337">
        <v>12</v>
      </c>
      <c r="I3337">
        <v>2.83</v>
      </c>
      <c r="J3337">
        <v>10</v>
      </c>
      <c r="K3337">
        <v>10182.64</v>
      </c>
      <c r="L3337">
        <v>2.8</v>
      </c>
    </row>
    <row r="3338" spans="1:12" x14ac:dyDescent="0.3">
      <c r="A3338" t="s">
        <v>3353</v>
      </c>
      <c r="B3338" t="s">
        <v>10</v>
      </c>
      <c r="C3338" t="s">
        <v>14</v>
      </c>
      <c r="D3338">
        <v>40</v>
      </c>
      <c r="E3338" s="1">
        <v>41736</v>
      </c>
      <c r="F3338">
        <v>2014</v>
      </c>
      <c r="G3338" t="s">
        <v>5040</v>
      </c>
      <c r="H3338">
        <v>7</v>
      </c>
      <c r="I3338">
        <v>2.69</v>
      </c>
      <c r="J3338">
        <v>8</v>
      </c>
      <c r="K3338">
        <v>10824.43</v>
      </c>
      <c r="L3338">
        <v>11.6</v>
      </c>
    </row>
    <row r="3339" spans="1:12" x14ac:dyDescent="0.3">
      <c r="A3339" t="s">
        <v>3354</v>
      </c>
      <c r="B3339" t="s">
        <v>10</v>
      </c>
      <c r="C3339" t="s">
        <v>11</v>
      </c>
      <c r="D3339">
        <v>31</v>
      </c>
      <c r="E3339" s="1">
        <v>43446</v>
      </c>
      <c r="F3339">
        <v>2018</v>
      </c>
      <c r="G3339" t="s">
        <v>5041</v>
      </c>
      <c r="H3339">
        <v>12</v>
      </c>
      <c r="I3339">
        <v>3.89</v>
      </c>
      <c r="J3339">
        <v>0</v>
      </c>
      <c r="K3339">
        <v>5398.06</v>
      </c>
      <c r="L3339">
        <v>6.9</v>
      </c>
    </row>
    <row r="3340" spans="1:12" x14ac:dyDescent="0.3">
      <c r="A3340" t="s">
        <v>3355</v>
      </c>
      <c r="B3340" t="s">
        <v>24</v>
      </c>
      <c r="C3340" t="s">
        <v>14</v>
      </c>
      <c r="D3340">
        <v>49</v>
      </c>
      <c r="E3340" s="1">
        <v>42209</v>
      </c>
      <c r="F3340">
        <v>2015</v>
      </c>
      <c r="G3340" t="s">
        <v>5034</v>
      </c>
      <c r="H3340">
        <v>24</v>
      </c>
      <c r="I3340">
        <v>3.26</v>
      </c>
      <c r="J3340">
        <v>8</v>
      </c>
      <c r="K3340">
        <v>8564.0499999999993</v>
      </c>
      <c r="L3340">
        <v>10.3</v>
      </c>
    </row>
    <row r="3341" spans="1:12" x14ac:dyDescent="0.3">
      <c r="A3341" t="s">
        <v>3356</v>
      </c>
      <c r="B3341" t="s">
        <v>18</v>
      </c>
      <c r="C3341" t="s">
        <v>11</v>
      </c>
      <c r="D3341">
        <v>24</v>
      </c>
      <c r="E3341" s="1">
        <v>45752</v>
      </c>
      <c r="F3341">
        <v>2025</v>
      </c>
      <c r="G3341" t="s">
        <v>5040</v>
      </c>
      <c r="H3341">
        <v>5</v>
      </c>
      <c r="I3341">
        <v>2.38</v>
      </c>
      <c r="J3341">
        <v>9</v>
      </c>
      <c r="K3341">
        <v>6321.12</v>
      </c>
      <c r="L3341">
        <v>0.6</v>
      </c>
    </row>
    <row r="3342" spans="1:12" x14ac:dyDescent="0.3">
      <c r="A3342" t="s">
        <v>3357</v>
      </c>
      <c r="B3342" t="s">
        <v>13</v>
      </c>
      <c r="C3342" t="s">
        <v>11</v>
      </c>
      <c r="D3342">
        <v>49</v>
      </c>
      <c r="E3342" s="1">
        <v>42699</v>
      </c>
      <c r="F3342">
        <v>2016</v>
      </c>
      <c r="G3342" t="s">
        <v>5038</v>
      </c>
      <c r="H3342">
        <v>25</v>
      </c>
      <c r="I3342">
        <v>2.99</v>
      </c>
      <c r="J3342">
        <v>12</v>
      </c>
      <c r="K3342">
        <v>6410.23</v>
      </c>
      <c r="L3342">
        <v>8.9</v>
      </c>
    </row>
    <row r="3343" spans="1:12" x14ac:dyDescent="0.3">
      <c r="A3343" t="s">
        <v>3358</v>
      </c>
      <c r="B3343" t="s">
        <v>24</v>
      </c>
      <c r="C3343" t="s">
        <v>14</v>
      </c>
      <c r="D3343">
        <v>56</v>
      </c>
      <c r="E3343" s="1">
        <v>42982</v>
      </c>
      <c r="F3343">
        <v>2017</v>
      </c>
      <c r="G3343" t="s">
        <v>5033</v>
      </c>
      <c r="H3343">
        <v>4</v>
      </c>
      <c r="I3343">
        <v>3.38</v>
      </c>
      <c r="J3343">
        <v>9</v>
      </c>
      <c r="K3343">
        <v>6144.16</v>
      </c>
      <c r="L3343">
        <v>8.1999999999999993</v>
      </c>
    </row>
    <row r="3344" spans="1:12" x14ac:dyDescent="0.3">
      <c r="A3344" t="s">
        <v>3359</v>
      </c>
      <c r="B3344" t="s">
        <v>18</v>
      </c>
      <c r="C3344" t="s">
        <v>14</v>
      </c>
      <c r="D3344">
        <v>51</v>
      </c>
      <c r="E3344" s="1">
        <v>45863</v>
      </c>
      <c r="F3344">
        <v>2025</v>
      </c>
      <c r="G3344" t="s">
        <v>5034</v>
      </c>
      <c r="H3344">
        <v>25</v>
      </c>
      <c r="I3344">
        <v>2.5</v>
      </c>
      <c r="J3344">
        <v>5</v>
      </c>
      <c r="K3344">
        <v>6215.65</v>
      </c>
      <c r="L3344">
        <v>0.3</v>
      </c>
    </row>
    <row r="3345" spans="1:12" x14ac:dyDescent="0.3">
      <c r="A3345" t="s">
        <v>3360</v>
      </c>
      <c r="B3345" t="s">
        <v>34</v>
      </c>
      <c r="C3345" t="s">
        <v>11</v>
      </c>
      <c r="D3345">
        <v>37</v>
      </c>
      <c r="E3345" s="1">
        <v>44720</v>
      </c>
      <c r="F3345">
        <v>2022</v>
      </c>
      <c r="G3345" t="s">
        <v>5032</v>
      </c>
      <c r="H3345">
        <v>8</v>
      </c>
      <c r="I3345">
        <v>4.08</v>
      </c>
      <c r="J3345">
        <v>1</v>
      </c>
      <c r="K3345">
        <v>8775.59</v>
      </c>
      <c r="L3345">
        <v>3.4</v>
      </c>
    </row>
    <row r="3346" spans="1:12" x14ac:dyDescent="0.3">
      <c r="A3346" t="s">
        <v>3361</v>
      </c>
      <c r="B3346" t="s">
        <v>34</v>
      </c>
      <c r="C3346" t="s">
        <v>11</v>
      </c>
      <c r="D3346">
        <v>32</v>
      </c>
      <c r="E3346" s="1">
        <v>43361</v>
      </c>
      <c r="F3346">
        <v>2018</v>
      </c>
      <c r="G3346" t="s">
        <v>5033</v>
      </c>
      <c r="H3346">
        <v>18</v>
      </c>
      <c r="I3346">
        <v>3.07</v>
      </c>
      <c r="J3346">
        <v>11</v>
      </c>
      <c r="K3346">
        <v>14867.75</v>
      </c>
      <c r="L3346">
        <v>7.1</v>
      </c>
    </row>
    <row r="3347" spans="1:12" x14ac:dyDescent="0.3">
      <c r="A3347" t="s">
        <v>3362</v>
      </c>
      <c r="B3347" t="s">
        <v>13</v>
      </c>
      <c r="C3347" t="s">
        <v>14</v>
      </c>
      <c r="D3347">
        <v>27</v>
      </c>
      <c r="E3347" s="1">
        <v>41803</v>
      </c>
      <c r="F3347">
        <v>2014</v>
      </c>
      <c r="G3347" t="s">
        <v>5032</v>
      </c>
      <c r="H3347">
        <v>13</v>
      </c>
      <c r="I3347">
        <v>4.41</v>
      </c>
      <c r="J3347">
        <v>0</v>
      </c>
      <c r="K3347">
        <v>12068.42</v>
      </c>
      <c r="L3347">
        <v>11.4</v>
      </c>
    </row>
    <row r="3348" spans="1:12" x14ac:dyDescent="0.3">
      <c r="A3348" t="s">
        <v>3363</v>
      </c>
      <c r="B3348" t="s">
        <v>24</v>
      </c>
      <c r="C3348" t="s">
        <v>11</v>
      </c>
      <c r="D3348">
        <v>45</v>
      </c>
      <c r="E3348" s="1">
        <v>43685</v>
      </c>
      <c r="F3348">
        <v>2019</v>
      </c>
      <c r="G3348" t="s">
        <v>5031</v>
      </c>
      <c r="H3348">
        <v>8</v>
      </c>
      <c r="I3348">
        <v>2.19</v>
      </c>
      <c r="J3348">
        <v>7</v>
      </c>
      <c r="K3348">
        <v>6322.7</v>
      </c>
      <c r="L3348">
        <v>6.2</v>
      </c>
    </row>
    <row r="3349" spans="1:12" x14ac:dyDescent="0.3">
      <c r="A3349" t="s">
        <v>3364</v>
      </c>
      <c r="B3349" t="s">
        <v>16</v>
      </c>
      <c r="C3349" t="s">
        <v>14</v>
      </c>
      <c r="D3349">
        <v>29</v>
      </c>
      <c r="E3349" s="1">
        <v>43434</v>
      </c>
      <c r="F3349">
        <v>2018</v>
      </c>
      <c r="G3349" t="s">
        <v>5038</v>
      </c>
      <c r="H3349">
        <v>30</v>
      </c>
      <c r="I3349">
        <v>4.04</v>
      </c>
      <c r="J3349">
        <v>3</v>
      </c>
      <c r="K3349">
        <v>8747.9599999999991</v>
      </c>
      <c r="L3349">
        <v>6.9</v>
      </c>
    </row>
    <row r="3350" spans="1:12" x14ac:dyDescent="0.3">
      <c r="A3350" t="s">
        <v>3365</v>
      </c>
      <c r="B3350" t="s">
        <v>18</v>
      </c>
      <c r="C3350" t="s">
        <v>14</v>
      </c>
      <c r="D3350">
        <v>51</v>
      </c>
      <c r="E3350" s="1">
        <v>45092</v>
      </c>
      <c r="F3350">
        <v>2023</v>
      </c>
      <c r="G3350" t="s">
        <v>5032</v>
      </c>
      <c r="H3350">
        <v>15</v>
      </c>
      <c r="I3350">
        <v>1.83</v>
      </c>
      <c r="J3350">
        <v>11</v>
      </c>
      <c r="K3350">
        <v>3944.6</v>
      </c>
      <c r="L3350">
        <v>2.4</v>
      </c>
    </row>
    <row r="3351" spans="1:12" x14ac:dyDescent="0.3">
      <c r="A3351" t="s">
        <v>3366</v>
      </c>
      <c r="B3351" t="s">
        <v>18</v>
      </c>
      <c r="C3351" t="s">
        <v>14</v>
      </c>
      <c r="D3351">
        <v>33</v>
      </c>
      <c r="E3351" s="1">
        <v>41690</v>
      </c>
      <c r="F3351">
        <v>2014</v>
      </c>
      <c r="G3351" t="s">
        <v>5042</v>
      </c>
      <c r="H3351">
        <v>20</v>
      </c>
      <c r="I3351">
        <v>2.79</v>
      </c>
      <c r="J3351">
        <v>5</v>
      </c>
      <c r="K3351">
        <v>5951.37</v>
      </c>
      <c r="L3351">
        <v>11.7</v>
      </c>
    </row>
    <row r="3352" spans="1:12" x14ac:dyDescent="0.3">
      <c r="A3352" t="s">
        <v>3367</v>
      </c>
      <c r="B3352" t="s">
        <v>18</v>
      </c>
      <c r="C3352" t="s">
        <v>11</v>
      </c>
      <c r="D3352">
        <v>34</v>
      </c>
      <c r="E3352" s="1">
        <v>44563</v>
      </c>
      <c r="F3352">
        <v>2022</v>
      </c>
      <c r="G3352" t="s">
        <v>5037</v>
      </c>
      <c r="H3352">
        <v>2</v>
      </c>
      <c r="I3352">
        <v>3.04</v>
      </c>
      <c r="J3352">
        <v>11</v>
      </c>
      <c r="K3352">
        <v>8081.78</v>
      </c>
      <c r="L3352">
        <v>3.8</v>
      </c>
    </row>
    <row r="3353" spans="1:12" x14ac:dyDescent="0.3">
      <c r="A3353" t="s">
        <v>3368</v>
      </c>
      <c r="B3353" t="s">
        <v>10</v>
      </c>
      <c r="C3353" t="s">
        <v>14</v>
      </c>
      <c r="D3353">
        <v>35</v>
      </c>
      <c r="E3353" s="1">
        <v>42704</v>
      </c>
      <c r="F3353">
        <v>2016</v>
      </c>
      <c r="G3353" t="s">
        <v>5038</v>
      </c>
      <c r="H3353">
        <v>30</v>
      </c>
      <c r="I3353">
        <v>4.76</v>
      </c>
      <c r="J3353">
        <v>12</v>
      </c>
      <c r="K3353">
        <v>13400.85</v>
      </c>
      <c r="L3353">
        <v>8.9</v>
      </c>
    </row>
    <row r="3354" spans="1:12" x14ac:dyDescent="0.3">
      <c r="A3354" t="s">
        <v>3369</v>
      </c>
      <c r="B3354" t="s">
        <v>34</v>
      </c>
      <c r="C3354" t="s">
        <v>14</v>
      </c>
      <c r="D3354">
        <v>57</v>
      </c>
      <c r="E3354" s="1">
        <v>45090</v>
      </c>
      <c r="F3354">
        <v>2023</v>
      </c>
      <c r="G3354" t="s">
        <v>5032</v>
      </c>
      <c r="H3354">
        <v>13</v>
      </c>
      <c r="I3354">
        <v>3.84</v>
      </c>
      <c r="J3354">
        <v>1</v>
      </c>
      <c r="K3354">
        <v>5014.2</v>
      </c>
      <c r="L3354">
        <v>2.4</v>
      </c>
    </row>
    <row r="3355" spans="1:12" x14ac:dyDescent="0.3">
      <c r="A3355" t="s">
        <v>3370</v>
      </c>
      <c r="B3355" t="s">
        <v>13</v>
      </c>
      <c r="C3355" t="s">
        <v>11</v>
      </c>
      <c r="D3355">
        <v>29</v>
      </c>
      <c r="E3355" s="1">
        <v>40813</v>
      </c>
      <c r="F3355">
        <v>2011</v>
      </c>
      <c r="G3355" t="s">
        <v>5033</v>
      </c>
      <c r="H3355">
        <v>27</v>
      </c>
      <c r="I3355">
        <v>2.95</v>
      </c>
      <c r="J3355">
        <v>13</v>
      </c>
      <c r="K3355">
        <v>6367.36</v>
      </c>
      <c r="L3355">
        <v>14.1</v>
      </c>
    </row>
    <row r="3356" spans="1:12" x14ac:dyDescent="0.3">
      <c r="A3356" t="s">
        <v>3371</v>
      </c>
      <c r="B3356" t="s">
        <v>34</v>
      </c>
      <c r="C3356" t="s">
        <v>14</v>
      </c>
      <c r="D3356">
        <v>41</v>
      </c>
      <c r="E3356" s="1">
        <v>43071</v>
      </c>
      <c r="F3356">
        <v>2017</v>
      </c>
      <c r="G3356" t="s">
        <v>5041</v>
      </c>
      <c r="H3356">
        <v>2</v>
      </c>
      <c r="I3356">
        <v>3.21</v>
      </c>
      <c r="J3356">
        <v>4</v>
      </c>
      <c r="K3356">
        <v>5586</v>
      </c>
      <c r="L3356">
        <v>7.9</v>
      </c>
    </row>
    <row r="3357" spans="1:12" x14ac:dyDescent="0.3">
      <c r="A3357" t="s">
        <v>3372</v>
      </c>
      <c r="B3357" t="s">
        <v>16</v>
      </c>
      <c r="C3357" t="s">
        <v>14</v>
      </c>
      <c r="D3357">
        <v>36</v>
      </c>
      <c r="E3357" s="1">
        <v>45453</v>
      </c>
      <c r="F3357">
        <v>2024</v>
      </c>
      <c r="G3357" t="s">
        <v>5032</v>
      </c>
      <c r="H3357">
        <v>10</v>
      </c>
      <c r="I3357">
        <v>1.9</v>
      </c>
      <c r="J3357">
        <v>4</v>
      </c>
      <c r="K3357">
        <v>3789.19</v>
      </c>
      <c r="L3357">
        <v>1.4</v>
      </c>
    </row>
    <row r="3358" spans="1:12" x14ac:dyDescent="0.3">
      <c r="A3358" t="s">
        <v>3373</v>
      </c>
      <c r="B3358" t="s">
        <v>18</v>
      </c>
      <c r="C3358" t="s">
        <v>14</v>
      </c>
      <c r="D3358">
        <v>37</v>
      </c>
      <c r="E3358" s="1">
        <v>41822</v>
      </c>
      <c r="F3358">
        <v>2014</v>
      </c>
      <c r="G3358" t="s">
        <v>5034</v>
      </c>
      <c r="H3358">
        <v>2</v>
      </c>
      <c r="I3358">
        <v>1.58</v>
      </c>
      <c r="J3358">
        <v>11</v>
      </c>
      <c r="K3358">
        <v>13470.32</v>
      </c>
      <c r="L3358">
        <v>11.3</v>
      </c>
    </row>
    <row r="3359" spans="1:12" x14ac:dyDescent="0.3">
      <c r="A3359" t="s">
        <v>3374</v>
      </c>
      <c r="B3359" t="s">
        <v>13</v>
      </c>
      <c r="C3359" t="s">
        <v>14</v>
      </c>
      <c r="D3359">
        <v>54</v>
      </c>
      <c r="E3359" s="1">
        <v>42179</v>
      </c>
      <c r="F3359">
        <v>2015</v>
      </c>
      <c r="G3359" t="s">
        <v>5032</v>
      </c>
      <c r="H3359">
        <v>24</v>
      </c>
      <c r="I3359">
        <v>2.4300000000000002</v>
      </c>
      <c r="J3359">
        <v>9</v>
      </c>
      <c r="K3359">
        <v>8141.84</v>
      </c>
      <c r="L3359">
        <v>10.4</v>
      </c>
    </row>
    <row r="3360" spans="1:12" x14ac:dyDescent="0.3">
      <c r="A3360" t="s">
        <v>3375</v>
      </c>
      <c r="B3360" t="s">
        <v>18</v>
      </c>
      <c r="C3360" t="s">
        <v>11</v>
      </c>
      <c r="D3360">
        <v>26</v>
      </c>
      <c r="E3360" s="1">
        <v>44460</v>
      </c>
      <c r="F3360">
        <v>2021</v>
      </c>
      <c r="G3360" t="s">
        <v>5033</v>
      </c>
      <c r="H3360">
        <v>21</v>
      </c>
      <c r="I3360">
        <v>1.78</v>
      </c>
      <c r="J3360">
        <v>9</v>
      </c>
      <c r="K3360">
        <v>7848.92</v>
      </c>
      <c r="L3360">
        <v>4.0999999999999996</v>
      </c>
    </row>
    <row r="3361" spans="1:12" x14ac:dyDescent="0.3">
      <c r="A3361" t="s">
        <v>3376</v>
      </c>
      <c r="B3361" t="s">
        <v>18</v>
      </c>
      <c r="C3361" t="s">
        <v>11</v>
      </c>
      <c r="D3361">
        <v>24</v>
      </c>
      <c r="E3361" s="1">
        <v>40726</v>
      </c>
      <c r="F3361">
        <v>2011</v>
      </c>
      <c r="G3361" t="s">
        <v>5034</v>
      </c>
      <c r="H3361">
        <v>2</v>
      </c>
      <c r="I3361">
        <v>4.1399999999999997</v>
      </c>
      <c r="J3361">
        <v>6</v>
      </c>
      <c r="K3361">
        <v>8054.58</v>
      </c>
      <c r="L3361">
        <v>14.3</v>
      </c>
    </row>
    <row r="3362" spans="1:12" x14ac:dyDescent="0.3">
      <c r="A3362" t="s">
        <v>3377</v>
      </c>
      <c r="B3362" t="s">
        <v>16</v>
      </c>
      <c r="C3362" t="s">
        <v>14</v>
      </c>
      <c r="D3362">
        <v>26</v>
      </c>
      <c r="E3362" s="1">
        <v>44924</v>
      </c>
      <c r="F3362">
        <v>2022</v>
      </c>
      <c r="G3362" t="s">
        <v>5041</v>
      </c>
      <c r="H3362">
        <v>29</v>
      </c>
      <c r="I3362">
        <v>4</v>
      </c>
      <c r="J3362">
        <v>13</v>
      </c>
      <c r="K3362">
        <v>11166.18</v>
      </c>
      <c r="L3362">
        <v>2.8</v>
      </c>
    </row>
    <row r="3363" spans="1:12" x14ac:dyDescent="0.3">
      <c r="A3363" t="s">
        <v>3378</v>
      </c>
      <c r="B3363" t="s">
        <v>10</v>
      </c>
      <c r="C3363" t="s">
        <v>11</v>
      </c>
      <c r="D3363">
        <v>48</v>
      </c>
      <c r="E3363" s="1">
        <v>45756</v>
      </c>
      <c r="F3363">
        <v>2025</v>
      </c>
      <c r="G3363" t="s">
        <v>5040</v>
      </c>
      <c r="H3363">
        <v>9</v>
      </c>
      <c r="I3363">
        <v>3.15</v>
      </c>
      <c r="J3363">
        <v>4</v>
      </c>
      <c r="K3363">
        <v>14097.87</v>
      </c>
      <c r="L3363">
        <v>0.6</v>
      </c>
    </row>
    <row r="3364" spans="1:12" x14ac:dyDescent="0.3">
      <c r="A3364" t="s">
        <v>3379</v>
      </c>
      <c r="B3364" t="s">
        <v>18</v>
      </c>
      <c r="C3364" t="s">
        <v>14</v>
      </c>
      <c r="D3364">
        <v>29</v>
      </c>
      <c r="E3364" s="1">
        <v>41287</v>
      </c>
      <c r="F3364">
        <v>2013</v>
      </c>
      <c r="G3364" t="s">
        <v>5037</v>
      </c>
      <c r="H3364">
        <v>13</v>
      </c>
      <c r="I3364">
        <v>4.17</v>
      </c>
      <c r="J3364">
        <v>12</v>
      </c>
      <c r="K3364">
        <v>5868.27</v>
      </c>
      <c r="L3364">
        <v>12.8</v>
      </c>
    </row>
    <row r="3365" spans="1:12" x14ac:dyDescent="0.3">
      <c r="A3365" t="s">
        <v>3380</v>
      </c>
      <c r="B3365" t="s">
        <v>18</v>
      </c>
      <c r="C3365" t="s">
        <v>14</v>
      </c>
      <c r="D3365">
        <v>32</v>
      </c>
      <c r="E3365" s="1">
        <v>42354</v>
      </c>
      <c r="F3365">
        <v>2015</v>
      </c>
      <c r="G3365" t="s">
        <v>5041</v>
      </c>
      <c r="H3365">
        <v>16</v>
      </c>
      <c r="I3365">
        <v>4.46</v>
      </c>
      <c r="J3365">
        <v>1</v>
      </c>
      <c r="K3365">
        <v>7368.22</v>
      </c>
      <c r="L3365">
        <v>9.9</v>
      </c>
    </row>
    <row r="3366" spans="1:12" x14ac:dyDescent="0.3">
      <c r="A3366" t="s">
        <v>3381</v>
      </c>
      <c r="B3366" t="s">
        <v>16</v>
      </c>
      <c r="C3366" t="s">
        <v>14</v>
      </c>
      <c r="D3366">
        <v>37</v>
      </c>
      <c r="E3366" s="1">
        <v>40957</v>
      </c>
      <c r="F3366">
        <v>2012</v>
      </c>
      <c r="G3366" t="s">
        <v>5042</v>
      </c>
      <c r="H3366">
        <v>18</v>
      </c>
      <c r="I3366">
        <v>3.66</v>
      </c>
      <c r="J3366">
        <v>5</v>
      </c>
      <c r="K3366">
        <v>5267.35</v>
      </c>
      <c r="L3366">
        <v>13.7</v>
      </c>
    </row>
    <row r="3367" spans="1:12" x14ac:dyDescent="0.3">
      <c r="A3367" t="s">
        <v>3382</v>
      </c>
      <c r="B3367" t="s">
        <v>16</v>
      </c>
      <c r="C3367" t="s">
        <v>14</v>
      </c>
      <c r="D3367">
        <v>49</v>
      </c>
      <c r="E3367" s="1">
        <v>43311</v>
      </c>
      <c r="F3367">
        <v>2018</v>
      </c>
      <c r="G3367" t="s">
        <v>5034</v>
      </c>
      <c r="H3367">
        <v>30</v>
      </c>
      <c r="I3367">
        <v>3.05</v>
      </c>
      <c r="J3367">
        <v>10</v>
      </c>
      <c r="K3367">
        <v>4690.88</v>
      </c>
      <c r="L3367">
        <v>7.3</v>
      </c>
    </row>
    <row r="3368" spans="1:12" x14ac:dyDescent="0.3">
      <c r="A3368" t="s">
        <v>3383</v>
      </c>
      <c r="B3368" t="s">
        <v>18</v>
      </c>
      <c r="C3368" t="s">
        <v>11</v>
      </c>
      <c r="D3368">
        <v>24</v>
      </c>
      <c r="E3368" s="1">
        <v>45884</v>
      </c>
      <c r="F3368">
        <v>2025</v>
      </c>
      <c r="G3368" t="s">
        <v>5031</v>
      </c>
      <c r="H3368">
        <v>15</v>
      </c>
      <c r="I3368">
        <v>4.1500000000000004</v>
      </c>
      <c r="J3368">
        <v>10</v>
      </c>
      <c r="K3368">
        <v>6285.68</v>
      </c>
      <c r="L3368">
        <v>0.2</v>
      </c>
    </row>
    <row r="3369" spans="1:12" x14ac:dyDescent="0.3">
      <c r="A3369" t="s">
        <v>3384</v>
      </c>
      <c r="B3369" t="s">
        <v>18</v>
      </c>
      <c r="C3369" t="s">
        <v>11</v>
      </c>
      <c r="D3369">
        <v>45</v>
      </c>
      <c r="E3369" s="1">
        <v>44183</v>
      </c>
      <c r="F3369">
        <v>2020</v>
      </c>
      <c r="G3369" t="s">
        <v>5041</v>
      </c>
      <c r="H3369">
        <v>18</v>
      </c>
      <c r="I3369">
        <v>4.41</v>
      </c>
      <c r="J3369">
        <v>14</v>
      </c>
      <c r="K3369">
        <v>4583.07</v>
      </c>
      <c r="L3369">
        <v>4.9000000000000004</v>
      </c>
    </row>
    <row r="3370" spans="1:12" x14ac:dyDescent="0.3">
      <c r="A3370" t="s">
        <v>3385</v>
      </c>
      <c r="B3370" t="s">
        <v>34</v>
      </c>
      <c r="C3370" t="s">
        <v>14</v>
      </c>
      <c r="D3370">
        <v>43</v>
      </c>
      <c r="E3370" s="1">
        <v>40311</v>
      </c>
      <c r="F3370">
        <v>2010</v>
      </c>
      <c r="G3370" t="s">
        <v>5036</v>
      </c>
      <c r="H3370">
        <v>13</v>
      </c>
      <c r="I3370">
        <v>3.05</v>
      </c>
      <c r="J3370">
        <v>10</v>
      </c>
      <c r="K3370">
        <v>6122.36</v>
      </c>
      <c r="L3370">
        <v>15.5</v>
      </c>
    </row>
    <row r="3371" spans="1:12" x14ac:dyDescent="0.3">
      <c r="A3371" t="s">
        <v>3386</v>
      </c>
      <c r="B3371" t="s">
        <v>18</v>
      </c>
      <c r="C3371" t="s">
        <v>11</v>
      </c>
      <c r="D3371">
        <v>35</v>
      </c>
      <c r="E3371" s="1">
        <v>41615</v>
      </c>
      <c r="F3371">
        <v>2013</v>
      </c>
      <c r="G3371" t="s">
        <v>5041</v>
      </c>
      <c r="H3371">
        <v>7</v>
      </c>
      <c r="I3371">
        <v>2.0299999999999998</v>
      </c>
      <c r="J3371">
        <v>8</v>
      </c>
      <c r="K3371">
        <v>5057.1899999999996</v>
      </c>
      <c r="L3371">
        <v>11.9</v>
      </c>
    </row>
    <row r="3372" spans="1:12" x14ac:dyDescent="0.3">
      <c r="A3372" t="s">
        <v>3387</v>
      </c>
      <c r="B3372" t="s">
        <v>24</v>
      </c>
      <c r="C3372" t="s">
        <v>11</v>
      </c>
      <c r="D3372">
        <v>24</v>
      </c>
      <c r="E3372" s="1">
        <v>43854</v>
      </c>
      <c r="F3372">
        <v>2020</v>
      </c>
      <c r="G3372" t="s">
        <v>5037</v>
      </c>
      <c r="H3372">
        <v>24</v>
      </c>
      <c r="I3372">
        <v>4.82</v>
      </c>
      <c r="J3372">
        <v>8</v>
      </c>
      <c r="K3372">
        <v>5232.5600000000004</v>
      </c>
      <c r="L3372">
        <v>5.8</v>
      </c>
    </row>
    <row r="3373" spans="1:12" x14ac:dyDescent="0.3">
      <c r="A3373" t="s">
        <v>3388</v>
      </c>
      <c r="B3373" t="s">
        <v>34</v>
      </c>
      <c r="C3373" t="s">
        <v>14</v>
      </c>
      <c r="D3373">
        <v>22</v>
      </c>
      <c r="E3373" s="1">
        <v>42500</v>
      </c>
      <c r="F3373">
        <v>2016</v>
      </c>
      <c r="G3373" t="s">
        <v>5036</v>
      </c>
      <c r="H3373">
        <v>10</v>
      </c>
      <c r="I3373">
        <v>2.6</v>
      </c>
      <c r="J3373">
        <v>15</v>
      </c>
      <c r="K3373">
        <v>14032.02</v>
      </c>
      <c r="L3373">
        <v>9.5</v>
      </c>
    </row>
    <row r="3374" spans="1:12" x14ac:dyDescent="0.3">
      <c r="A3374" t="s">
        <v>3389</v>
      </c>
      <c r="B3374" t="s">
        <v>16</v>
      </c>
      <c r="C3374" t="s">
        <v>14</v>
      </c>
      <c r="D3374">
        <v>52</v>
      </c>
      <c r="E3374" s="1">
        <v>40479</v>
      </c>
      <c r="F3374">
        <v>2010</v>
      </c>
      <c r="G3374" t="s">
        <v>5039</v>
      </c>
      <c r="H3374">
        <v>28</v>
      </c>
      <c r="I3374">
        <v>4.18</v>
      </c>
      <c r="J3374">
        <v>3</v>
      </c>
      <c r="K3374">
        <v>9901.59</v>
      </c>
      <c r="L3374">
        <v>15</v>
      </c>
    </row>
    <row r="3375" spans="1:12" x14ac:dyDescent="0.3">
      <c r="A3375" t="s">
        <v>3390</v>
      </c>
      <c r="B3375" t="s">
        <v>10</v>
      </c>
      <c r="C3375" t="s">
        <v>11</v>
      </c>
      <c r="D3375">
        <v>51</v>
      </c>
      <c r="E3375" s="1">
        <v>42337</v>
      </c>
      <c r="F3375">
        <v>2015</v>
      </c>
      <c r="G3375" t="s">
        <v>5038</v>
      </c>
      <c r="H3375">
        <v>29</v>
      </c>
      <c r="I3375">
        <v>2.04</v>
      </c>
      <c r="J3375">
        <v>1</v>
      </c>
      <c r="K3375">
        <v>9720.0400000000009</v>
      </c>
      <c r="L3375">
        <v>9.9</v>
      </c>
    </row>
    <row r="3376" spans="1:12" x14ac:dyDescent="0.3">
      <c r="A3376" t="s">
        <v>3391</v>
      </c>
      <c r="B3376" t="s">
        <v>10</v>
      </c>
      <c r="C3376" t="s">
        <v>11</v>
      </c>
      <c r="D3376">
        <v>33</v>
      </c>
      <c r="E3376" s="1">
        <v>43957</v>
      </c>
      <c r="F3376">
        <v>2020</v>
      </c>
      <c r="G3376" t="s">
        <v>5036</v>
      </c>
      <c r="H3376">
        <v>6</v>
      </c>
      <c r="I3376">
        <v>3.61</v>
      </c>
      <c r="J3376">
        <v>6</v>
      </c>
      <c r="K3376">
        <v>4447.28</v>
      </c>
      <c r="L3376">
        <v>5.5</v>
      </c>
    </row>
    <row r="3377" spans="1:12" x14ac:dyDescent="0.3">
      <c r="A3377" t="s">
        <v>3392</v>
      </c>
      <c r="B3377" t="s">
        <v>18</v>
      </c>
      <c r="C3377" t="s">
        <v>14</v>
      </c>
      <c r="D3377">
        <v>35</v>
      </c>
      <c r="E3377" s="1">
        <v>42023</v>
      </c>
      <c r="F3377">
        <v>2015</v>
      </c>
      <c r="G3377" t="s">
        <v>5037</v>
      </c>
      <c r="H3377">
        <v>19</v>
      </c>
      <c r="I3377">
        <v>2.34</v>
      </c>
      <c r="J3377">
        <v>6</v>
      </c>
      <c r="K3377">
        <v>12112.83</v>
      </c>
      <c r="L3377">
        <v>10.8</v>
      </c>
    </row>
    <row r="3378" spans="1:12" x14ac:dyDescent="0.3">
      <c r="A3378" t="s">
        <v>3393</v>
      </c>
      <c r="B3378" t="s">
        <v>10</v>
      </c>
      <c r="C3378" t="s">
        <v>14</v>
      </c>
      <c r="D3378">
        <v>47</v>
      </c>
      <c r="E3378" s="1">
        <v>42195</v>
      </c>
      <c r="F3378">
        <v>2015</v>
      </c>
      <c r="G3378" t="s">
        <v>5034</v>
      </c>
      <c r="H3378">
        <v>10</v>
      </c>
      <c r="I3378">
        <v>4.3499999999999996</v>
      </c>
      <c r="J3378">
        <v>0</v>
      </c>
      <c r="K3378">
        <v>14932.58</v>
      </c>
      <c r="L3378">
        <v>10.3</v>
      </c>
    </row>
    <row r="3379" spans="1:12" x14ac:dyDescent="0.3">
      <c r="A3379" t="s">
        <v>3394</v>
      </c>
      <c r="B3379" t="s">
        <v>24</v>
      </c>
      <c r="C3379" t="s">
        <v>14</v>
      </c>
      <c r="D3379">
        <v>22</v>
      </c>
      <c r="E3379" s="1">
        <v>41899</v>
      </c>
      <c r="F3379">
        <v>2014</v>
      </c>
      <c r="G3379" t="s">
        <v>5033</v>
      </c>
      <c r="H3379">
        <v>17</v>
      </c>
      <c r="I3379">
        <v>3.6</v>
      </c>
      <c r="J3379">
        <v>8</v>
      </c>
      <c r="K3379">
        <v>8677.4</v>
      </c>
      <c r="L3379">
        <v>11.1</v>
      </c>
    </row>
    <row r="3380" spans="1:12" x14ac:dyDescent="0.3">
      <c r="A3380" t="s">
        <v>3395</v>
      </c>
      <c r="B3380" t="s">
        <v>34</v>
      </c>
      <c r="C3380" t="s">
        <v>11</v>
      </c>
      <c r="D3380">
        <v>51</v>
      </c>
      <c r="E3380" s="1">
        <v>41369</v>
      </c>
      <c r="F3380">
        <v>2013</v>
      </c>
      <c r="G3380" t="s">
        <v>5040</v>
      </c>
      <c r="H3380">
        <v>5</v>
      </c>
      <c r="I3380">
        <v>2.38</v>
      </c>
      <c r="J3380">
        <v>6</v>
      </c>
      <c r="K3380">
        <v>3996.95</v>
      </c>
      <c r="L3380">
        <v>12.6</v>
      </c>
    </row>
    <row r="3381" spans="1:12" x14ac:dyDescent="0.3">
      <c r="A3381" t="s">
        <v>3396</v>
      </c>
      <c r="B3381" t="s">
        <v>34</v>
      </c>
      <c r="C3381" t="s">
        <v>14</v>
      </c>
      <c r="D3381">
        <v>33</v>
      </c>
      <c r="E3381" s="1">
        <v>41480</v>
      </c>
      <c r="F3381">
        <v>2013</v>
      </c>
      <c r="G3381" t="s">
        <v>5034</v>
      </c>
      <c r="H3381">
        <v>25</v>
      </c>
      <c r="I3381">
        <v>1.64</v>
      </c>
      <c r="J3381">
        <v>11</v>
      </c>
      <c r="K3381">
        <v>12147.51</v>
      </c>
      <c r="L3381">
        <v>12.3</v>
      </c>
    </row>
    <row r="3382" spans="1:12" x14ac:dyDescent="0.3">
      <c r="A3382" t="s">
        <v>3397</v>
      </c>
      <c r="B3382" t="s">
        <v>16</v>
      </c>
      <c r="C3382" t="s">
        <v>11</v>
      </c>
      <c r="D3382">
        <v>33</v>
      </c>
      <c r="E3382" s="1">
        <v>41621</v>
      </c>
      <c r="F3382">
        <v>2013</v>
      </c>
      <c r="G3382" t="s">
        <v>5041</v>
      </c>
      <c r="H3382">
        <v>13</v>
      </c>
      <c r="I3382">
        <v>3.6</v>
      </c>
      <c r="J3382">
        <v>9</v>
      </c>
      <c r="K3382">
        <v>4830.55</v>
      </c>
      <c r="L3382">
        <v>11.9</v>
      </c>
    </row>
    <row r="3383" spans="1:12" x14ac:dyDescent="0.3">
      <c r="A3383" t="s">
        <v>3398</v>
      </c>
      <c r="B3383" t="s">
        <v>34</v>
      </c>
      <c r="C3383" t="s">
        <v>14</v>
      </c>
      <c r="D3383">
        <v>46</v>
      </c>
      <c r="E3383" s="1">
        <v>44142</v>
      </c>
      <c r="F3383">
        <v>2020</v>
      </c>
      <c r="G3383" t="s">
        <v>5038</v>
      </c>
      <c r="H3383">
        <v>7</v>
      </c>
      <c r="I3383">
        <v>1.85</v>
      </c>
      <c r="J3383">
        <v>7</v>
      </c>
      <c r="K3383">
        <v>14371</v>
      </c>
      <c r="L3383">
        <v>5</v>
      </c>
    </row>
    <row r="3384" spans="1:12" x14ac:dyDescent="0.3">
      <c r="A3384" t="s">
        <v>3399</v>
      </c>
      <c r="B3384" t="s">
        <v>18</v>
      </c>
      <c r="C3384" t="s">
        <v>14</v>
      </c>
      <c r="D3384">
        <v>40</v>
      </c>
      <c r="E3384" s="1">
        <v>42979</v>
      </c>
      <c r="F3384">
        <v>2017</v>
      </c>
      <c r="G3384" t="s">
        <v>5033</v>
      </c>
      <c r="H3384">
        <v>1</v>
      </c>
      <c r="I3384">
        <v>4.03</v>
      </c>
      <c r="J3384">
        <v>15</v>
      </c>
      <c r="K3384">
        <v>14956.32</v>
      </c>
      <c r="L3384">
        <v>8.1999999999999993</v>
      </c>
    </row>
    <row r="3385" spans="1:12" x14ac:dyDescent="0.3">
      <c r="A3385" t="s">
        <v>3400</v>
      </c>
      <c r="B3385" t="s">
        <v>10</v>
      </c>
      <c r="C3385" t="s">
        <v>11</v>
      </c>
      <c r="D3385">
        <v>39</v>
      </c>
      <c r="E3385" s="1">
        <v>41209</v>
      </c>
      <c r="F3385">
        <v>2012</v>
      </c>
      <c r="G3385" t="s">
        <v>5039</v>
      </c>
      <c r="H3385">
        <v>27</v>
      </c>
      <c r="I3385">
        <v>4.16</v>
      </c>
      <c r="J3385">
        <v>6</v>
      </c>
      <c r="K3385">
        <v>3704.35</v>
      </c>
      <c r="L3385">
        <v>13</v>
      </c>
    </row>
    <row r="3386" spans="1:12" x14ac:dyDescent="0.3">
      <c r="A3386" t="s">
        <v>3401</v>
      </c>
      <c r="B3386" t="s">
        <v>24</v>
      </c>
      <c r="C3386" t="s">
        <v>14</v>
      </c>
      <c r="D3386">
        <v>50</v>
      </c>
      <c r="E3386" s="1">
        <v>42252</v>
      </c>
      <c r="F3386">
        <v>2015</v>
      </c>
      <c r="G3386" t="s">
        <v>5033</v>
      </c>
      <c r="H3386">
        <v>5</v>
      </c>
      <c r="I3386">
        <v>2.1</v>
      </c>
      <c r="J3386">
        <v>13</v>
      </c>
      <c r="K3386">
        <v>5861.3</v>
      </c>
      <c r="L3386">
        <v>10.199999999999999</v>
      </c>
    </row>
    <row r="3387" spans="1:12" x14ac:dyDescent="0.3">
      <c r="A3387" t="s">
        <v>3402</v>
      </c>
      <c r="B3387" t="s">
        <v>10</v>
      </c>
      <c r="C3387" t="s">
        <v>14</v>
      </c>
      <c r="D3387">
        <v>30</v>
      </c>
      <c r="E3387" s="1">
        <v>40986</v>
      </c>
      <c r="F3387">
        <v>2012</v>
      </c>
      <c r="G3387" t="s">
        <v>5035</v>
      </c>
      <c r="H3387">
        <v>18</v>
      </c>
      <c r="I3387">
        <v>1.73</v>
      </c>
      <c r="J3387">
        <v>10</v>
      </c>
      <c r="K3387">
        <v>9279.09</v>
      </c>
      <c r="L3387">
        <v>13.6</v>
      </c>
    </row>
    <row r="3388" spans="1:12" x14ac:dyDescent="0.3">
      <c r="A3388" t="s">
        <v>3403</v>
      </c>
      <c r="B3388" t="s">
        <v>24</v>
      </c>
      <c r="C3388" t="s">
        <v>11</v>
      </c>
      <c r="D3388">
        <v>46</v>
      </c>
      <c r="E3388" s="1">
        <v>45733</v>
      </c>
      <c r="F3388">
        <v>2025</v>
      </c>
      <c r="G3388" t="s">
        <v>5035</v>
      </c>
      <c r="H3388">
        <v>17</v>
      </c>
      <c r="I3388">
        <v>3.29</v>
      </c>
      <c r="J3388">
        <v>0</v>
      </c>
      <c r="K3388">
        <v>8939.4599999999991</v>
      </c>
      <c r="L3388">
        <v>0.6</v>
      </c>
    </row>
    <row r="3389" spans="1:12" x14ac:dyDescent="0.3">
      <c r="A3389" t="s">
        <v>3404</v>
      </c>
      <c r="B3389" t="s">
        <v>18</v>
      </c>
      <c r="C3389" t="s">
        <v>14</v>
      </c>
      <c r="D3389">
        <v>48</v>
      </c>
      <c r="E3389" s="1">
        <v>41530</v>
      </c>
      <c r="F3389">
        <v>2013</v>
      </c>
      <c r="G3389" t="s">
        <v>5033</v>
      </c>
      <c r="H3389">
        <v>13</v>
      </c>
      <c r="I3389">
        <v>4.87</v>
      </c>
      <c r="J3389">
        <v>8</v>
      </c>
      <c r="K3389">
        <v>8640.16</v>
      </c>
      <c r="L3389">
        <v>12.1</v>
      </c>
    </row>
    <row r="3390" spans="1:12" x14ac:dyDescent="0.3">
      <c r="A3390" t="s">
        <v>3405</v>
      </c>
      <c r="B3390" t="s">
        <v>16</v>
      </c>
      <c r="C3390" t="s">
        <v>11</v>
      </c>
      <c r="D3390">
        <v>42</v>
      </c>
      <c r="E3390" s="1">
        <v>43632</v>
      </c>
      <c r="F3390">
        <v>2019</v>
      </c>
      <c r="G3390" t="s">
        <v>5032</v>
      </c>
      <c r="H3390">
        <v>16</v>
      </c>
      <c r="I3390">
        <v>1.86</v>
      </c>
      <c r="J3390">
        <v>1</v>
      </c>
      <c r="K3390">
        <v>5972.47</v>
      </c>
      <c r="L3390">
        <v>6.4</v>
      </c>
    </row>
    <row r="3391" spans="1:12" x14ac:dyDescent="0.3">
      <c r="A3391" t="s">
        <v>3406</v>
      </c>
      <c r="B3391" t="s">
        <v>24</v>
      </c>
      <c r="C3391" t="s">
        <v>11</v>
      </c>
      <c r="D3391">
        <v>56</v>
      </c>
      <c r="E3391" s="1">
        <v>45520</v>
      </c>
      <c r="F3391">
        <v>2024</v>
      </c>
      <c r="G3391" t="s">
        <v>5031</v>
      </c>
      <c r="H3391">
        <v>16</v>
      </c>
      <c r="I3391">
        <v>4.4400000000000004</v>
      </c>
      <c r="J3391">
        <v>10</v>
      </c>
      <c r="K3391">
        <v>3489.52</v>
      </c>
      <c r="L3391">
        <v>1.2</v>
      </c>
    </row>
    <row r="3392" spans="1:12" x14ac:dyDescent="0.3">
      <c r="A3392" t="s">
        <v>3407</v>
      </c>
      <c r="B3392" t="s">
        <v>24</v>
      </c>
      <c r="C3392" t="s">
        <v>11</v>
      </c>
      <c r="D3392">
        <v>34</v>
      </c>
      <c r="E3392" s="1">
        <v>45327</v>
      </c>
      <c r="F3392">
        <v>2024</v>
      </c>
      <c r="G3392" t="s">
        <v>5042</v>
      </c>
      <c r="H3392">
        <v>5</v>
      </c>
      <c r="I3392">
        <v>4.7699999999999996</v>
      </c>
      <c r="J3392">
        <v>6</v>
      </c>
      <c r="K3392">
        <v>10333.709999999999</v>
      </c>
      <c r="L3392">
        <v>1.7</v>
      </c>
    </row>
    <row r="3393" spans="1:12" x14ac:dyDescent="0.3">
      <c r="A3393" t="s">
        <v>3408</v>
      </c>
      <c r="B3393" t="s">
        <v>24</v>
      </c>
      <c r="C3393" t="s">
        <v>11</v>
      </c>
      <c r="D3393">
        <v>33</v>
      </c>
      <c r="E3393" s="1">
        <v>42397</v>
      </c>
      <c r="F3393">
        <v>2016</v>
      </c>
      <c r="G3393" t="s">
        <v>5037</v>
      </c>
      <c r="H3393">
        <v>28</v>
      </c>
      <c r="I3393">
        <v>1.87</v>
      </c>
      <c r="J3393">
        <v>13</v>
      </c>
      <c r="K3393">
        <v>13468.9</v>
      </c>
      <c r="L3393">
        <v>9.8000000000000007</v>
      </c>
    </row>
    <row r="3394" spans="1:12" x14ac:dyDescent="0.3">
      <c r="A3394" t="s">
        <v>3409</v>
      </c>
      <c r="B3394" t="s">
        <v>24</v>
      </c>
      <c r="C3394" t="s">
        <v>14</v>
      </c>
      <c r="D3394">
        <v>37</v>
      </c>
      <c r="E3394" s="1">
        <v>40901</v>
      </c>
      <c r="F3394">
        <v>2011</v>
      </c>
      <c r="G3394" t="s">
        <v>5041</v>
      </c>
      <c r="H3394">
        <v>24</v>
      </c>
      <c r="I3394">
        <v>4.82</v>
      </c>
      <c r="J3394">
        <v>13</v>
      </c>
      <c r="K3394">
        <v>11183.28</v>
      </c>
      <c r="L3394">
        <v>13.9</v>
      </c>
    </row>
    <row r="3395" spans="1:12" x14ac:dyDescent="0.3">
      <c r="A3395" t="s">
        <v>3410</v>
      </c>
      <c r="B3395" t="s">
        <v>16</v>
      </c>
      <c r="C3395" t="s">
        <v>14</v>
      </c>
      <c r="D3395">
        <v>51</v>
      </c>
      <c r="E3395" s="1">
        <v>43030</v>
      </c>
      <c r="F3395">
        <v>2017</v>
      </c>
      <c r="G3395" t="s">
        <v>5039</v>
      </c>
      <c r="H3395">
        <v>22</v>
      </c>
      <c r="I3395">
        <v>2.84</v>
      </c>
      <c r="J3395">
        <v>5</v>
      </c>
      <c r="K3395">
        <v>12099.8</v>
      </c>
      <c r="L3395">
        <v>8</v>
      </c>
    </row>
    <row r="3396" spans="1:12" x14ac:dyDescent="0.3">
      <c r="A3396" t="s">
        <v>3411</v>
      </c>
      <c r="B3396" t="s">
        <v>24</v>
      </c>
      <c r="C3396" t="s">
        <v>14</v>
      </c>
      <c r="D3396">
        <v>51</v>
      </c>
      <c r="E3396" s="1">
        <v>45398</v>
      </c>
      <c r="F3396">
        <v>2024</v>
      </c>
      <c r="G3396" t="s">
        <v>5040</v>
      </c>
      <c r="H3396">
        <v>16</v>
      </c>
      <c r="I3396">
        <v>3.52</v>
      </c>
      <c r="J3396">
        <v>4</v>
      </c>
      <c r="K3396">
        <v>4368.21</v>
      </c>
      <c r="L3396">
        <v>1.5</v>
      </c>
    </row>
    <row r="3397" spans="1:12" x14ac:dyDescent="0.3">
      <c r="A3397" t="s">
        <v>3412</v>
      </c>
      <c r="B3397" t="s">
        <v>34</v>
      </c>
      <c r="C3397" t="s">
        <v>11</v>
      </c>
      <c r="D3397">
        <v>39</v>
      </c>
      <c r="E3397" s="1">
        <v>42065</v>
      </c>
      <c r="F3397">
        <v>2015</v>
      </c>
      <c r="G3397" t="s">
        <v>5035</v>
      </c>
      <c r="H3397">
        <v>2</v>
      </c>
      <c r="I3397">
        <v>1.56</v>
      </c>
      <c r="J3397">
        <v>13</v>
      </c>
      <c r="K3397">
        <v>12943.25</v>
      </c>
      <c r="L3397">
        <v>10.7</v>
      </c>
    </row>
    <row r="3398" spans="1:12" x14ac:dyDescent="0.3">
      <c r="A3398" t="s">
        <v>3413</v>
      </c>
      <c r="B3398" t="s">
        <v>16</v>
      </c>
      <c r="C3398" t="s">
        <v>14</v>
      </c>
      <c r="D3398">
        <v>55</v>
      </c>
      <c r="E3398" s="1">
        <v>44720</v>
      </c>
      <c r="F3398">
        <v>2022</v>
      </c>
      <c r="G3398" t="s">
        <v>5032</v>
      </c>
      <c r="H3398">
        <v>8</v>
      </c>
      <c r="I3398">
        <v>4.04</v>
      </c>
      <c r="J3398">
        <v>1</v>
      </c>
      <c r="K3398">
        <v>14154.71</v>
      </c>
      <c r="L3398">
        <v>3.4</v>
      </c>
    </row>
    <row r="3399" spans="1:12" x14ac:dyDescent="0.3">
      <c r="A3399" t="s">
        <v>3414</v>
      </c>
      <c r="B3399" t="s">
        <v>18</v>
      </c>
      <c r="C3399" t="s">
        <v>11</v>
      </c>
      <c r="D3399">
        <v>44</v>
      </c>
      <c r="E3399" s="1">
        <v>43713</v>
      </c>
      <c r="F3399">
        <v>2019</v>
      </c>
      <c r="G3399" t="s">
        <v>5033</v>
      </c>
      <c r="H3399">
        <v>5</v>
      </c>
      <c r="I3399">
        <v>4.38</v>
      </c>
      <c r="J3399">
        <v>10</v>
      </c>
      <c r="K3399">
        <v>8981.4500000000007</v>
      </c>
      <c r="L3399">
        <v>6.2</v>
      </c>
    </row>
    <row r="3400" spans="1:12" x14ac:dyDescent="0.3">
      <c r="A3400" t="s">
        <v>3415</v>
      </c>
      <c r="B3400" t="s">
        <v>16</v>
      </c>
      <c r="C3400" t="s">
        <v>11</v>
      </c>
      <c r="D3400">
        <v>39</v>
      </c>
      <c r="E3400" s="1">
        <v>40957</v>
      </c>
      <c r="F3400">
        <v>2012</v>
      </c>
      <c r="G3400" t="s">
        <v>5042</v>
      </c>
      <c r="H3400">
        <v>18</v>
      </c>
      <c r="I3400">
        <v>1.69</v>
      </c>
      <c r="J3400">
        <v>14</v>
      </c>
      <c r="K3400">
        <v>12213.61</v>
      </c>
      <c r="L3400">
        <v>13.7</v>
      </c>
    </row>
    <row r="3401" spans="1:12" x14ac:dyDescent="0.3">
      <c r="A3401" t="s">
        <v>3416</v>
      </c>
      <c r="B3401" t="s">
        <v>13</v>
      </c>
      <c r="C3401" t="s">
        <v>11</v>
      </c>
      <c r="D3401">
        <v>49</v>
      </c>
      <c r="E3401" s="1">
        <v>44140</v>
      </c>
      <c r="F3401">
        <v>2020</v>
      </c>
      <c r="G3401" t="s">
        <v>5038</v>
      </c>
      <c r="H3401">
        <v>5</v>
      </c>
      <c r="I3401">
        <v>2.87</v>
      </c>
      <c r="J3401">
        <v>8</v>
      </c>
      <c r="K3401">
        <v>3899.14</v>
      </c>
      <c r="L3401">
        <v>5</v>
      </c>
    </row>
    <row r="3402" spans="1:12" x14ac:dyDescent="0.3">
      <c r="A3402" t="s">
        <v>3417</v>
      </c>
      <c r="B3402" t="s">
        <v>18</v>
      </c>
      <c r="C3402" t="s">
        <v>11</v>
      </c>
      <c r="D3402">
        <v>28</v>
      </c>
      <c r="E3402" s="1">
        <v>44190</v>
      </c>
      <c r="F3402">
        <v>2020</v>
      </c>
      <c r="G3402" t="s">
        <v>5041</v>
      </c>
      <c r="H3402">
        <v>25</v>
      </c>
      <c r="I3402">
        <v>1.75</v>
      </c>
      <c r="J3402">
        <v>8</v>
      </c>
      <c r="K3402">
        <v>5664.25</v>
      </c>
      <c r="L3402">
        <v>4.9000000000000004</v>
      </c>
    </row>
    <row r="3403" spans="1:12" x14ac:dyDescent="0.3">
      <c r="A3403" t="s">
        <v>3418</v>
      </c>
      <c r="B3403" t="s">
        <v>13</v>
      </c>
      <c r="C3403" t="s">
        <v>14</v>
      </c>
      <c r="D3403">
        <v>52</v>
      </c>
      <c r="E3403" s="1">
        <v>43368</v>
      </c>
      <c r="F3403">
        <v>2018</v>
      </c>
      <c r="G3403" t="s">
        <v>5033</v>
      </c>
      <c r="H3403">
        <v>25</v>
      </c>
      <c r="I3403">
        <v>3.11</v>
      </c>
      <c r="J3403">
        <v>4</v>
      </c>
      <c r="K3403">
        <v>4139.18</v>
      </c>
      <c r="L3403">
        <v>7.1</v>
      </c>
    </row>
    <row r="3404" spans="1:12" x14ac:dyDescent="0.3">
      <c r="A3404" t="s">
        <v>3419</v>
      </c>
      <c r="B3404" t="s">
        <v>13</v>
      </c>
      <c r="C3404" t="s">
        <v>11</v>
      </c>
      <c r="D3404">
        <v>40</v>
      </c>
      <c r="E3404" s="1">
        <v>42341</v>
      </c>
      <c r="F3404">
        <v>2015</v>
      </c>
      <c r="G3404" t="s">
        <v>5041</v>
      </c>
      <c r="H3404">
        <v>3</v>
      </c>
      <c r="I3404">
        <v>1.53</v>
      </c>
      <c r="J3404">
        <v>1</v>
      </c>
      <c r="K3404">
        <v>4822.37</v>
      </c>
      <c r="L3404">
        <v>9.9</v>
      </c>
    </row>
    <row r="3405" spans="1:12" x14ac:dyDescent="0.3">
      <c r="A3405" t="s">
        <v>3420</v>
      </c>
      <c r="B3405" t="s">
        <v>16</v>
      </c>
      <c r="C3405" t="s">
        <v>14</v>
      </c>
      <c r="D3405">
        <v>27</v>
      </c>
      <c r="E3405" s="1">
        <v>45856</v>
      </c>
      <c r="F3405">
        <v>2025</v>
      </c>
      <c r="G3405" t="s">
        <v>5034</v>
      </c>
      <c r="H3405">
        <v>18</v>
      </c>
      <c r="I3405">
        <v>4.8899999999999997</v>
      </c>
      <c r="J3405">
        <v>9</v>
      </c>
      <c r="K3405">
        <v>11489.53</v>
      </c>
      <c r="L3405">
        <v>0.3</v>
      </c>
    </row>
    <row r="3406" spans="1:12" x14ac:dyDescent="0.3">
      <c r="A3406" t="s">
        <v>3421</v>
      </c>
      <c r="B3406" t="s">
        <v>18</v>
      </c>
      <c r="C3406" t="s">
        <v>11</v>
      </c>
      <c r="D3406">
        <v>54</v>
      </c>
      <c r="E3406" s="1">
        <v>44701</v>
      </c>
      <c r="F3406">
        <v>2022</v>
      </c>
      <c r="G3406" t="s">
        <v>5036</v>
      </c>
      <c r="H3406">
        <v>20</v>
      </c>
      <c r="I3406">
        <v>2.61</v>
      </c>
      <c r="J3406">
        <v>15</v>
      </c>
      <c r="K3406">
        <v>6222.75</v>
      </c>
      <c r="L3406">
        <v>3.5</v>
      </c>
    </row>
    <row r="3407" spans="1:12" x14ac:dyDescent="0.3">
      <c r="A3407" t="s">
        <v>3422</v>
      </c>
      <c r="B3407" t="s">
        <v>18</v>
      </c>
      <c r="C3407" t="s">
        <v>11</v>
      </c>
      <c r="D3407">
        <v>25</v>
      </c>
      <c r="E3407" s="1">
        <v>41632</v>
      </c>
      <c r="F3407">
        <v>2013</v>
      </c>
      <c r="G3407" t="s">
        <v>5041</v>
      </c>
      <c r="H3407">
        <v>24</v>
      </c>
      <c r="I3407">
        <v>4.38</v>
      </c>
      <c r="J3407">
        <v>5</v>
      </c>
      <c r="K3407">
        <v>8168.83</v>
      </c>
      <c r="L3407">
        <v>11.9</v>
      </c>
    </row>
    <row r="3408" spans="1:12" x14ac:dyDescent="0.3">
      <c r="A3408" t="s">
        <v>3423</v>
      </c>
      <c r="B3408" t="s">
        <v>10</v>
      </c>
      <c r="C3408" t="s">
        <v>11</v>
      </c>
      <c r="D3408">
        <v>44</v>
      </c>
      <c r="E3408" s="1">
        <v>44949</v>
      </c>
      <c r="F3408">
        <v>2023</v>
      </c>
      <c r="G3408" t="s">
        <v>5037</v>
      </c>
      <c r="H3408">
        <v>23</v>
      </c>
      <c r="I3408">
        <v>4.16</v>
      </c>
      <c r="J3408">
        <v>2</v>
      </c>
      <c r="K3408">
        <v>7947.31</v>
      </c>
      <c r="L3408">
        <v>2.8</v>
      </c>
    </row>
    <row r="3409" spans="1:12" x14ac:dyDescent="0.3">
      <c r="A3409" t="s">
        <v>3424</v>
      </c>
      <c r="B3409" t="s">
        <v>34</v>
      </c>
      <c r="C3409" t="s">
        <v>14</v>
      </c>
      <c r="D3409">
        <v>38</v>
      </c>
      <c r="E3409" s="1">
        <v>40743</v>
      </c>
      <c r="F3409">
        <v>2011</v>
      </c>
      <c r="G3409" t="s">
        <v>5034</v>
      </c>
      <c r="H3409">
        <v>19</v>
      </c>
      <c r="I3409">
        <v>1.74</v>
      </c>
      <c r="J3409">
        <v>10</v>
      </c>
      <c r="K3409">
        <v>7066.96</v>
      </c>
      <c r="L3409">
        <v>14.3</v>
      </c>
    </row>
    <row r="3410" spans="1:12" x14ac:dyDescent="0.3">
      <c r="A3410" t="s">
        <v>3425</v>
      </c>
      <c r="B3410" t="s">
        <v>18</v>
      </c>
      <c r="C3410" t="s">
        <v>14</v>
      </c>
      <c r="D3410">
        <v>39</v>
      </c>
      <c r="E3410" s="1">
        <v>45680</v>
      </c>
      <c r="F3410">
        <v>2025</v>
      </c>
      <c r="G3410" t="s">
        <v>5037</v>
      </c>
      <c r="H3410">
        <v>23</v>
      </c>
      <c r="I3410">
        <v>4.3</v>
      </c>
      <c r="J3410">
        <v>4</v>
      </c>
      <c r="K3410">
        <v>7494.55</v>
      </c>
      <c r="L3410">
        <v>0.8</v>
      </c>
    </row>
    <row r="3411" spans="1:12" x14ac:dyDescent="0.3">
      <c r="A3411" t="s">
        <v>3426</v>
      </c>
      <c r="B3411" t="s">
        <v>13</v>
      </c>
      <c r="C3411" t="s">
        <v>14</v>
      </c>
      <c r="D3411">
        <v>53</v>
      </c>
      <c r="E3411" s="1">
        <v>45709</v>
      </c>
      <c r="F3411">
        <v>2025</v>
      </c>
      <c r="G3411" t="s">
        <v>5042</v>
      </c>
      <c r="H3411">
        <v>21</v>
      </c>
      <c r="I3411">
        <v>2.17</v>
      </c>
      <c r="J3411">
        <v>4</v>
      </c>
      <c r="K3411">
        <v>14480.37</v>
      </c>
      <c r="L3411">
        <v>0.7</v>
      </c>
    </row>
    <row r="3412" spans="1:12" x14ac:dyDescent="0.3">
      <c r="A3412" t="s">
        <v>3427</v>
      </c>
      <c r="B3412" t="s">
        <v>16</v>
      </c>
      <c r="C3412" t="s">
        <v>14</v>
      </c>
      <c r="D3412">
        <v>37</v>
      </c>
      <c r="E3412" s="1">
        <v>42111</v>
      </c>
      <c r="F3412">
        <v>2015</v>
      </c>
      <c r="G3412" t="s">
        <v>5040</v>
      </c>
      <c r="H3412">
        <v>17</v>
      </c>
      <c r="I3412">
        <v>3.75</v>
      </c>
      <c r="J3412">
        <v>10</v>
      </c>
      <c r="K3412">
        <v>8821.0499999999993</v>
      </c>
      <c r="L3412">
        <v>10.6</v>
      </c>
    </row>
    <row r="3413" spans="1:12" x14ac:dyDescent="0.3">
      <c r="A3413" t="s">
        <v>3428</v>
      </c>
      <c r="B3413" t="s">
        <v>24</v>
      </c>
      <c r="C3413" t="s">
        <v>11</v>
      </c>
      <c r="D3413">
        <v>34</v>
      </c>
      <c r="E3413" s="1">
        <v>40351</v>
      </c>
      <c r="F3413">
        <v>2010</v>
      </c>
      <c r="G3413" t="s">
        <v>5032</v>
      </c>
      <c r="H3413">
        <v>22</v>
      </c>
      <c r="I3413">
        <v>4.95</v>
      </c>
      <c r="J3413">
        <v>0</v>
      </c>
      <c r="K3413">
        <v>9037.06</v>
      </c>
      <c r="L3413">
        <v>15.4</v>
      </c>
    </row>
    <row r="3414" spans="1:12" x14ac:dyDescent="0.3">
      <c r="A3414" t="s">
        <v>3429</v>
      </c>
      <c r="B3414" t="s">
        <v>13</v>
      </c>
      <c r="C3414" t="s">
        <v>11</v>
      </c>
      <c r="D3414">
        <v>24</v>
      </c>
      <c r="E3414" s="1">
        <v>42142</v>
      </c>
      <c r="F3414">
        <v>2015</v>
      </c>
      <c r="G3414" t="s">
        <v>5036</v>
      </c>
      <c r="H3414">
        <v>18</v>
      </c>
      <c r="I3414">
        <v>2.93</v>
      </c>
      <c r="J3414">
        <v>0</v>
      </c>
      <c r="K3414">
        <v>3366.4</v>
      </c>
      <c r="L3414">
        <v>10.5</v>
      </c>
    </row>
    <row r="3415" spans="1:12" x14ac:dyDescent="0.3">
      <c r="A3415" t="s">
        <v>3430</v>
      </c>
      <c r="B3415" t="s">
        <v>16</v>
      </c>
      <c r="C3415" t="s">
        <v>14</v>
      </c>
      <c r="D3415">
        <v>22</v>
      </c>
      <c r="E3415" s="1">
        <v>44427</v>
      </c>
      <c r="F3415">
        <v>2021</v>
      </c>
      <c r="G3415" t="s">
        <v>5031</v>
      </c>
      <c r="H3415">
        <v>19</v>
      </c>
      <c r="I3415">
        <v>4.38</v>
      </c>
      <c r="J3415">
        <v>0</v>
      </c>
      <c r="K3415">
        <v>14731.49</v>
      </c>
      <c r="L3415">
        <v>4.2</v>
      </c>
    </row>
    <row r="3416" spans="1:12" x14ac:dyDescent="0.3">
      <c r="A3416" t="s">
        <v>3431</v>
      </c>
      <c r="B3416" t="s">
        <v>16</v>
      </c>
      <c r="C3416" t="s">
        <v>11</v>
      </c>
      <c r="D3416">
        <v>38</v>
      </c>
      <c r="E3416" s="1">
        <v>42984</v>
      </c>
      <c r="F3416">
        <v>2017</v>
      </c>
      <c r="G3416" t="s">
        <v>5033</v>
      </c>
      <c r="H3416">
        <v>6</v>
      </c>
      <c r="I3416">
        <v>3.6</v>
      </c>
      <c r="J3416">
        <v>15</v>
      </c>
      <c r="K3416">
        <v>13070.14</v>
      </c>
      <c r="L3416">
        <v>8.1999999999999993</v>
      </c>
    </row>
    <row r="3417" spans="1:12" x14ac:dyDescent="0.3">
      <c r="A3417" t="s">
        <v>3432</v>
      </c>
      <c r="B3417" t="s">
        <v>10</v>
      </c>
      <c r="C3417" t="s">
        <v>14</v>
      </c>
      <c r="D3417">
        <v>59</v>
      </c>
      <c r="E3417" s="1">
        <v>41747</v>
      </c>
      <c r="F3417">
        <v>2014</v>
      </c>
      <c r="G3417" t="s">
        <v>5040</v>
      </c>
      <c r="H3417">
        <v>18</v>
      </c>
      <c r="I3417">
        <v>3.57</v>
      </c>
      <c r="J3417">
        <v>6</v>
      </c>
      <c r="K3417">
        <v>8189.32</v>
      </c>
      <c r="L3417">
        <v>11.5</v>
      </c>
    </row>
    <row r="3418" spans="1:12" x14ac:dyDescent="0.3">
      <c r="A3418" t="s">
        <v>3433</v>
      </c>
      <c r="B3418" t="s">
        <v>18</v>
      </c>
      <c r="C3418" t="s">
        <v>11</v>
      </c>
      <c r="D3418">
        <v>58</v>
      </c>
      <c r="E3418" s="1">
        <v>44993</v>
      </c>
      <c r="F3418">
        <v>2023</v>
      </c>
      <c r="G3418" t="s">
        <v>5035</v>
      </c>
      <c r="H3418">
        <v>8</v>
      </c>
      <c r="I3418">
        <v>4.1399999999999997</v>
      </c>
      <c r="J3418">
        <v>15</v>
      </c>
      <c r="K3418">
        <v>5432.13</v>
      </c>
      <c r="L3418">
        <v>2.7</v>
      </c>
    </row>
    <row r="3419" spans="1:12" x14ac:dyDescent="0.3">
      <c r="A3419" t="s">
        <v>3434</v>
      </c>
      <c r="B3419" t="s">
        <v>10</v>
      </c>
      <c r="C3419" t="s">
        <v>11</v>
      </c>
      <c r="D3419">
        <v>37</v>
      </c>
      <c r="E3419" s="1">
        <v>44249</v>
      </c>
      <c r="F3419">
        <v>2021</v>
      </c>
      <c r="G3419" t="s">
        <v>5042</v>
      </c>
      <c r="H3419">
        <v>22</v>
      </c>
      <c r="I3419">
        <v>2.88</v>
      </c>
      <c r="J3419">
        <v>12</v>
      </c>
      <c r="K3419">
        <v>6791.09</v>
      </c>
      <c r="L3419">
        <v>4.7</v>
      </c>
    </row>
    <row r="3420" spans="1:12" x14ac:dyDescent="0.3">
      <c r="A3420" t="s">
        <v>3435</v>
      </c>
      <c r="B3420" t="s">
        <v>10</v>
      </c>
      <c r="C3420" t="s">
        <v>14</v>
      </c>
      <c r="D3420">
        <v>25</v>
      </c>
      <c r="E3420" s="1">
        <v>41809</v>
      </c>
      <c r="F3420">
        <v>2014</v>
      </c>
      <c r="G3420" t="s">
        <v>5032</v>
      </c>
      <c r="H3420">
        <v>19</v>
      </c>
      <c r="I3420">
        <v>4.53</v>
      </c>
      <c r="J3420">
        <v>10</v>
      </c>
      <c r="K3420">
        <v>6154.52</v>
      </c>
      <c r="L3420">
        <v>11.4</v>
      </c>
    </row>
    <row r="3421" spans="1:12" x14ac:dyDescent="0.3">
      <c r="A3421" t="s">
        <v>3436</v>
      </c>
      <c r="B3421" t="s">
        <v>24</v>
      </c>
      <c r="C3421" t="s">
        <v>14</v>
      </c>
      <c r="D3421">
        <v>30</v>
      </c>
      <c r="E3421" s="1">
        <v>40856</v>
      </c>
      <c r="F3421">
        <v>2011</v>
      </c>
      <c r="G3421" t="s">
        <v>5038</v>
      </c>
      <c r="H3421">
        <v>9</v>
      </c>
      <c r="I3421">
        <v>4.3899999999999997</v>
      </c>
      <c r="J3421">
        <v>3</v>
      </c>
      <c r="K3421">
        <v>7813.52</v>
      </c>
      <c r="L3421">
        <v>14</v>
      </c>
    </row>
    <row r="3422" spans="1:12" x14ac:dyDescent="0.3">
      <c r="A3422" t="s">
        <v>3437</v>
      </c>
      <c r="B3422" t="s">
        <v>18</v>
      </c>
      <c r="C3422" t="s">
        <v>11</v>
      </c>
      <c r="D3422">
        <v>49</v>
      </c>
      <c r="E3422" s="1">
        <v>44946</v>
      </c>
      <c r="F3422">
        <v>2023</v>
      </c>
      <c r="G3422" t="s">
        <v>5037</v>
      </c>
      <c r="H3422">
        <v>20</v>
      </c>
      <c r="I3422">
        <v>2.52</v>
      </c>
      <c r="J3422">
        <v>8</v>
      </c>
      <c r="K3422">
        <v>13751.23</v>
      </c>
      <c r="L3422">
        <v>2.8</v>
      </c>
    </row>
    <row r="3423" spans="1:12" x14ac:dyDescent="0.3">
      <c r="A3423" t="s">
        <v>3438</v>
      </c>
      <c r="B3423" t="s">
        <v>16</v>
      </c>
      <c r="C3423" t="s">
        <v>11</v>
      </c>
      <c r="D3423">
        <v>42</v>
      </c>
      <c r="E3423" s="1">
        <v>45824</v>
      </c>
      <c r="F3423">
        <v>2025</v>
      </c>
      <c r="G3423" t="s">
        <v>5032</v>
      </c>
      <c r="H3423">
        <v>16</v>
      </c>
      <c r="I3423">
        <v>3.4</v>
      </c>
      <c r="J3423">
        <v>11</v>
      </c>
      <c r="K3423">
        <v>7657.89</v>
      </c>
      <c r="L3423">
        <v>0.4</v>
      </c>
    </row>
    <row r="3424" spans="1:12" x14ac:dyDescent="0.3">
      <c r="A3424" t="s">
        <v>3439</v>
      </c>
      <c r="B3424" t="s">
        <v>18</v>
      </c>
      <c r="C3424" t="s">
        <v>14</v>
      </c>
      <c r="D3424">
        <v>53</v>
      </c>
      <c r="E3424" s="1">
        <v>43885</v>
      </c>
      <c r="F3424">
        <v>2020</v>
      </c>
      <c r="G3424" t="s">
        <v>5042</v>
      </c>
      <c r="H3424">
        <v>24</v>
      </c>
      <c r="I3424">
        <v>1.78</v>
      </c>
      <c r="J3424">
        <v>7</v>
      </c>
      <c r="K3424">
        <v>7420.55</v>
      </c>
      <c r="L3424">
        <v>5.7</v>
      </c>
    </row>
    <row r="3425" spans="1:12" x14ac:dyDescent="0.3">
      <c r="A3425" t="s">
        <v>3440</v>
      </c>
      <c r="B3425" t="s">
        <v>10</v>
      </c>
      <c r="C3425" t="s">
        <v>11</v>
      </c>
      <c r="D3425">
        <v>53</v>
      </c>
      <c r="E3425" s="1">
        <v>41447</v>
      </c>
      <c r="F3425">
        <v>2013</v>
      </c>
      <c r="G3425" t="s">
        <v>5032</v>
      </c>
      <c r="H3425">
        <v>22</v>
      </c>
      <c r="I3425">
        <v>4.5999999999999996</v>
      </c>
      <c r="J3425">
        <v>1</v>
      </c>
      <c r="K3425">
        <v>12539.42</v>
      </c>
      <c r="L3425">
        <v>12.4</v>
      </c>
    </row>
    <row r="3426" spans="1:12" x14ac:dyDescent="0.3">
      <c r="A3426" t="s">
        <v>3441</v>
      </c>
      <c r="B3426" t="s">
        <v>10</v>
      </c>
      <c r="C3426" t="s">
        <v>14</v>
      </c>
      <c r="D3426">
        <v>53</v>
      </c>
      <c r="E3426" s="1">
        <v>41050</v>
      </c>
      <c r="F3426">
        <v>2012</v>
      </c>
      <c r="G3426" t="s">
        <v>5036</v>
      </c>
      <c r="H3426">
        <v>21</v>
      </c>
      <c r="I3426">
        <v>1.78</v>
      </c>
      <c r="J3426">
        <v>11</v>
      </c>
      <c r="K3426">
        <v>6397.09</v>
      </c>
      <c r="L3426">
        <v>13.5</v>
      </c>
    </row>
    <row r="3427" spans="1:12" x14ac:dyDescent="0.3">
      <c r="A3427" t="s">
        <v>3442</v>
      </c>
      <c r="B3427" t="s">
        <v>10</v>
      </c>
      <c r="C3427" t="s">
        <v>14</v>
      </c>
      <c r="D3427">
        <v>42</v>
      </c>
      <c r="E3427" s="1">
        <v>42244</v>
      </c>
      <c r="F3427">
        <v>2015</v>
      </c>
      <c r="G3427" t="s">
        <v>5031</v>
      </c>
      <c r="H3427">
        <v>28</v>
      </c>
      <c r="I3427">
        <v>3.54</v>
      </c>
      <c r="J3427">
        <v>2</v>
      </c>
      <c r="K3427">
        <v>14734.9</v>
      </c>
      <c r="L3427">
        <v>10.199999999999999</v>
      </c>
    </row>
    <row r="3428" spans="1:12" x14ac:dyDescent="0.3">
      <c r="A3428" t="s">
        <v>3443</v>
      </c>
      <c r="B3428" t="s">
        <v>24</v>
      </c>
      <c r="C3428" t="s">
        <v>14</v>
      </c>
      <c r="D3428">
        <v>36</v>
      </c>
      <c r="E3428" s="1">
        <v>44317</v>
      </c>
      <c r="F3428">
        <v>2021</v>
      </c>
      <c r="G3428" t="s">
        <v>5036</v>
      </c>
      <c r="H3428">
        <v>1</v>
      </c>
      <c r="I3428">
        <v>3.15</v>
      </c>
      <c r="J3428">
        <v>4</v>
      </c>
      <c r="K3428">
        <v>12134.8</v>
      </c>
      <c r="L3428">
        <v>4.5</v>
      </c>
    </row>
    <row r="3429" spans="1:12" x14ac:dyDescent="0.3">
      <c r="A3429" t="s">
        <v>3444</v>
      </c>
      <c r="B3429" t="s">
        <v>16</v>
      </c>
      <c r="C3429" t="s">
        <v>14</v>
      </c>
      <c r="D3429">
        <v>25</v>
      </c>
      <c r="E3429" s="1">
        <v>42601</v>
      </c>
      <c r="F3429">
        <v>2016</v>
      </c>
      <c r="G3429" t="s">
        <v>5031</v>
      </c>
      <c r="H3429">
        <v>19</v>
      </c>
      <c r="I3429">
        <v>2.85</v>
      </c>
      <c r="J3429">
        <v>3</v>
      </c>
      <c r="K3429">
        <v>14243.23</v>
      </c>
      <c r="L3429">
        <v>9.1999999999999993</v>
      </c>
    </row>
    <row r="3430" spans="1:12" x14ac:dyDescent="0.3">
      <c r="A3430" t="s">
        <v>3445</v>
      </c>
      <c r="B3430" t="s">
        <v>16</v>
      </c>
      <c r="C3430" t="s">
        <v>14</v>
      </c>
      <c r="D3430">
        <v>22</v>
      </c>
      <c r="E3430" s="1">
        <v>42763</v>
      </c>
      <c r="F3430">
        <v>2017</v>
      </c>
      <c r="G3430" t="s">
        <v>5037</v>
      </c>
      <c r="H3430">
        <v>28</v>
      </c>
      <c r="I3430">
        <v>4.38</v>
      </c>
      <c r="J3430">
        <v>12</v>
      </c>
      <c r="K3430">
        <v>12756.6</v>
      </c>
      <c r="L3430">
        <v>8.8000000000000007</v>
      </c>
    </row>
    <row r="3431" spans="1:12" x14ac:dyDescent="0.3">
      <c r="A3431" t="s">
        <v>3446</v>
      </c>
      <c r="B3431" t="s">
        <v>34</v>
      </c>
      <c r="C3431" t="s">
        <v>14</v>
      </c>
      <c r="D3431">
        <v>32</v>
      </c>
      <c r="E3431" s="1">
        <v>42962</v>
      </c>
      <c r="F3431">
        <v>2017</v>
      </c>
      <c r="G3431" t="s">
        <v>5031</v>
      </c>
      <c r="H3431">
        <v>15</v>
      </c>
      <c r="I3431">
        <v>4.16</v>
      </c>
      <c r="J3431">
        <v>4</v>
      </c>
      <c r="K3431">
        <v>4955.8</v>
      </c>
      <c r="L3431">
        <v>8.1999999999999993</v>
      </c>
    </row>
    <row r="3432" spans="1:12" x14ac:dyDescent="0.3">
      <c r="A3432" t="s">
        <v>3447</v>
      </c>
      <c r="B3432" t="s">
        <v>24</v>
      </c>
      <c r="C3432" t="s">
        <v>11</v>
      </c>
      <c r="D3432">
        <v>32</v>
      </c>
      <c r="E3432" s="1">
        <v>41006</v>
      </c>
      <c r="F3432">
        <v>2012</v>
      </c>
      <c r="G3432" t="s">
        <v>5040</v>
      </c>
      <c r="H3432">
        <v>7</v>
      </c>
      <c r="I3432">
        <v>1.97</v>
      </c>
      <c r="J3432">
        <v>3</v>
      </c>
      <c r="K3432">
        <v>4034.3</v>
      </c>
      <c r="L3432">
        <v>13.6</v>
      </c>
    </row>
    <row r="3433" spans="1:12" x14ac:dyDescent="0.3">
      <c r="A3433" t="s">
        <v>3448</v>
      </c>
      <c r="B3433" t="s">
        <v>13</v>
      </c>
      <c r="C3433" t="s">
        <v>14</v>
      </c>
      <c r="D3433">
        <v>46</v>
      </c>
      <c r="E3433" s="1">
        <v>43104</v>
      </c>
      <c r="F3433">
        <v>2018</v>
      </c>
      <c r="G3433" t="s">
        <v>5037</v>
      </c>
      <c r="H3433">
        <v>4</v>
      </c>
      <c r="I3433">
        <v>4.03</v>
      </c>
      <c r="J3433">
        <v>10</v>
      </c>
      <c r="K3433">
        <v>3671.13</v>
      </c>
      <c r="L3433">
        <v>7.8</v>
      </c>
    </row>
    <row r="3434" spans="1:12" x14ac:dyDescent="0.3">
      <c r="A3434" t="s">
        <v>3449</v>
      </c>
      <c r="B3434" t="s">
        <v>13</v>
      </c>
      <c r="C3434" t="s">
        <v>14</v>
      </c>
      <c r="D3434">
        <v>49</v>
      </c>
      <c r="E3434" s="1">
        <v>40290</v>
      </c>
      <c r="F3434">
        <v>2010</v>
      </c>
      <c r="G3434" t="s">
        <v>5040</v>
      </c>
      <c r="H3434">
        <v>22</v>
      </c>
      <c r="I3434">
        <v>3.38</v>
      </c>
      <c r="J3434">
        <v>11</v>
      </c>
      <c r="K3434">
        <v>7084.66</v>
      </c>
      <c r="L3434">
        <v>15.5</v>
      </c>
    </row>
    <row r="3435" spans="1:12" x14ac:dyDescent="0.3">
      <c r="A3435" t="s">
        <v>3450</v>
      </c>
      <c r="B3435" t="s">
        <v>10</v>
      </c>
      <c r="C3435" t="s">
        <v>11</v>
      </c>
      <c r="D3435">
        <v>43</v>
      </c>
      <c r="E3435" s="1">
        <v>40357</v>
      </c>
      <c r="F3435">
        <v>2010</v>
      </c>
      <c r="G3435" t="s">
        <v>5032</v>
      </c>
      <c r="H3435">
        <v>28</v>
      </c>
      <c r="I3435">
        <v>4.26</v>
      </c>
      <c r="J3435">
        <v>2</v>
      </c>
      <c r="K3435">
        <v>3591.24</v>
      </c>
      <c r="L3435">
        <v>15.4</v>
      </c>
    </row>
    <row r="3436" spans="1:12" x14ac:dyDescent="0.3">
      <c r="A3436" t="s">
        <v>3451</v>
      </c>
      <c r="B3436" t="s">
        <v>10</v>
      </c>
      <c r="C3436" t="s">
        <v>14</v>
      </c>
      <c r="D3436">
        <v>49</v>
      </c>
      <c r="E3436" s="1">
        <v>43499</v>
      </c>
      <c r="F3436">
        <v>2019</v>
      </c>
      <c r="G3436" t="s">
        <v>5042</v>
      </c>
      <c r="H3436">
        <v>3</v>
      </c>
      <c r="I3436">
        <v>2.17</v>
      </c>
      <c r="J3436">
        <v>10</v>
      </c>
      <c r="K3436">
        <v>14558.26</v>
      </c>
      <c r="L3436">
        <v>6.7</v>
      </c>
    </row>
    <row r="3437" spans="1:12" x14ac:dyDescent="0.3">
      <c r="A3437" t="s">
        <v>3452</v>
      </c>
      <c r="B3437" t="s">
        <v>13</v>
      </c>
      <c r="C3437" t="s">
        <v>11</v>
      </c>
      <c r="D3437">
        <v>38</v>
      </c>
      <c r="E3437" s="1">
        <v>42503</v>
      </c>
      <c r="F3437">
        <v>2016</v>
      </c>
      <c r="G3437" t="s">
        <v>5036</v>
      </c>
      <c r="H3437">
        <v>13</v>
      </c>
      <c r="I3437">
        <v>1.62</v>
      </c>
      <c r="J3437">
        <v>7</v>
      </c>
      <c r="K3437">
        <v>3812.5</v>
      </c>
      <c r="L3437">
        <v>9.5</v>
      </c>
    </row>
    <row r="3438" spans="1:12" x14ac:dyDescent="0.3">
      <c r="A3438" t="s">
        <v>3453</v>
      </c>
      <c r="B3438" t="s">
        <v>24</v>
      </c>
      <c r="C3438" t="s">
        <v>14</v>
      </c>
      <c r="D3438">
        <v>27</v>
      </c>
      <c r="E3438" s="1">
        <v>43989</v>
      </c>
      <c r="F3438">
        <v>2020</v>
      </c>
      <c r="G3438" t="s">
        <v>5032</v>
      </c>
      <c r="H3438">
        <v>7</v>
      </c>
      <c r="I3438">
        <v>3.75</v>
      </c>
      <c r="J3438">
        <v>1</v>
      </c>
      <c r="K3438">
        <v>5416.34</v>
      </c>
      <c r="L3438">
        <v>5.4</v>
      </c>
    </row>
    <row r="3439" spans="1:12" x14ac:dyDescent="0.3">
      <c r="A3439" t="s">
        <v>3454</v>
      </c>
      <c r="B3439" t="s">
        <v>34</v>
      </c>
      <c r="C3439" t="s">
        <v>11</v>
      </c>
      <c r="D3439">
        <v>28</v>
      </c>
      <c r="E3439" s="1">
        <v>42577</v>
      </c>
      <c r="F3439">
        <v>2016</v>
      </c>
      <c r="G3439" t="s">
        <v>5034</v>
      </c>
      <c r="H3439">
        <v>26</v>
      </c>
      <c r="I3439">
        <v>4.2300000000000004</v>
      </c>
      <c r="J3439">
        <v>4</v>
      </c>
      <c r="K3439">
        <v>8750.49</v>
      </c>
      <c r="L3439">
        <v>9.3000000000000007</v>
      </c>
    </row>
    <row r="3440" spans="1:12" x14ac:dyDescent="0.3">
      <c r="A3440" t="s">
        <v>3455</v>
      </c>
      <c r="B3440" t="s">
        <v>24</v>
      </c>
      <c r="C3440" t="s">
        <v>11</v>
      </c>
      <c r="D3440">
        <v>54</v>
      </c>
      <c r="E3440" s="1">
        <v>41996</v>
      </c>
      <c r="F3440">
        <v>2014</v>
      </c>
      <c r="G3440" t="s">
        <v>5041</v>
      </c>
      <c r="H3440">
        <v>23</v>
      </c>
      <c r="I3440">
        <v>4.05</v>
      </c>
      <c r="J3440">
        <v>3</v>
      </c>
      <c r="K3440">
        <v>4400.76</v>
      </c>
      <c r="L3440">
        <v>10.9</v>
      </c>
    </row>
    <row r="3441" spans="1:12" x14ac:dyDescent="0.3">
      <c r="A3441" t="s">
        <v>3456</v>
      </c>
      <c r="B3441" t="s">
        <v>34</v>
      </c>
      <c r="C3441" t="s">
        <v>11</v>
      </c>
      <c r="D3441">
        <v>36</v>
      </c>
      <c r="E3441" s="1">
        <v>42771</v>
      </c>
      <c r="F3441">
        <v>2017</v>
      </c>
      <c r="G3441" t="s">
        <v>5042</v>
      </c>
      <c r="H3441">
        <v>5</v>
      </c>
      <c r="I3441">
        <v>3.21</v>
      </c>
      <c r="J3441">
        <v>2</v>
      </c>
      <c r="K3441">
        <v>3944.08</v>
      </c>
      <c r="L3441">
        <v>8.6999999999999993</v>
      </c>
    </row>
    <row r="3442" spans="1:12" x14ac:dyDescent="0.3">
      <c r="A3442" t="s">
        <v>3457</v>
      </c>
      <c r="B3442" t="s">
        <v>13</v>
      </c>
      <c r="C3442" t="s">
        <v>11</v>
      </c>
      <c r="D3442">
        <v>56</v>
      </c>
      <c r="E3442" s="1">
        <v>45217</v>
      </c>
      <c r="F3442">
        <v>2023</v>
      </c>
      <c r="G3442" t="s">
        <v>5039</v>
      </c>
      <c r="H3442">
        <v>18</v>
      </c>
      <c r="I3442">
        <v>2.06</v>
      </c>
      <c r="J3442">
        <v>8</v>
      </c>
      <c r="K3442">
        <v>8079.15</v>
      </c>
      <c r="L3442">
        <v>2</v>
      </c>
    </row>
    <row r="3443" spans="1:12" x14ac:dyDescent="0.3">
      <c r="A3443" t="s">
        <v>3458</v>
      </c>
      <c r="B3443" t="s">
        <v>16</v>
      </c>
      <c r="C3443" t="s">
        <v>14</v>
      </c>
      <c r="D3443">
        <v>41</v>
      </c>
      <c r="E3443" s="1">
        <v>41302</v>
      </c>
      <c r="F3443">
        <v>2013</v>
      </c>
      <c r="G3443" t="s">
        <v>5037</v>
      </c>
      <c r="H3443">
        <v>28</v>
      </c>
      <c r="I3443">
        <v>4.3899999999999997</v>
      </c>
      <c r="J3443">
        <v>7</v>
      </c>
      <c r="K3443">
        <v>7824.88</v>
      </c>
      <c r="L3443">
        <v>12.8</v>
      </c>
    </row>
    <row r="3444" spans="1:12" x14ac:dyDescent="0.3">
      <c r="A3444" t="s">
        <v>3459</v>
      </c>
      <c r="B3444" t="s">
        <v>13</v>
      </c>
      <c r="C3444" t="s">
        <v>11</v>
      </c>
      <c r="D3444">
        <v>56</v>
      </c>
      <c r="E3444" s="1">
        <v>41122</v>
      </c>
      <c r="F3444">
        <v>2012</v>
      </c>
      <c r="G3444" t="s">
        <v>5031</v>
      </c>
      <c r="H3444">
        <v>1</v>
      </c>
      <c r="I3444">
        <v>3.9</v>
      </c>
      <c r="J3444">
        <v>5</v>
      </c>
      <c r="K3444">
        <v>8061.58</v>
      </c>
      <c r="L3444">
        <v>13.3</v>
      </c>
    </row>
    <row r="3445" spans="1:12" x14ac:dyDescent="0.3">
      <c r="A3445" t="s">
        <v>3460</v>
      </c>
      <c r="B3445" t="s">
        <v>10</v>
      </c>
      <c r="C3445" t="s">
        <v>14</v>
      </c>
      <c r="D3445">
        <v>33</v>
      </c>
      <c r="E3445" s="1">
        <v>44380</v>
      </c>
      <c r="F3445">
        <v>2021</v>
      </c>
      <c r="G3445" t="s">
        <v>5034</v>
      </c>
      <c r="H3445">
        <v>3</v>
      </c>
      <c r="I3445">
        <v>2.71</v>
      </c>
      <c r="J3445">
        <v>9</v>
      </c>
      <c r="K3445">
        <v>3326.97</v>
      </c>
      <c r="L3445">
        <v>4.3</v>
      </c>
    </row>
    <row r="3446" spans="1:12" x14ac:dyDescent="0.3">
      <c r="A3446" t="s">
        <v>3461</v>
      </c>
      <c r="B3446" t="s">
        <v>10</v>
      </c>
      <c r="C3446" t="s">
        <v>11</v>
      </c>
      <c r="D3446">
        <v>37</v>
      </c>
      <c r="E3446" s="1">
        <v>42566</v>
      </c>
      <c r="F3446">
        <v>2016</v>
      </c>
      <c r="G3446" t="s">
        <v>5034</v>
      </c>
      <c r="H3446">
        <v>15</v>
      </c>
      <c r="I3446">
        <v>3.55</v>
      </c>
      <c r="J3446">
        <v>3</v>
      </c>
      <c r="K3446">
        <v>12268.42</v>
      </c>
      <c r="L3446">
        <v>9.3000000000000007</v>
      </c>
    </row>
    <row r="3447" spans="1:12" x14ac:dyDescent="0.3">
      <c r="A3447" t="s">
        <v>3462</v>
      </c>
      <c r="B3447" t="s">
        <v>18</v>
      </c>
      <c r="C3447" t="s">
        <v>14</v>
      </c>
      <c r="D3447">
        <v>46</v>
      </c>
      <c r="E3447" s="1">
        <v>44007</v>
      </c>
      <c r="F3447">
        <v>2020</v>
      </c>
      <c r="G3447" t="s">
        <v>5032</v>
      </c>
      <c r="H3447">
        <v>25</v>
      </c>
      <c r="I3447">
        <v>3.95</v>
      </c>
      <c r="J3447">
        <v>10</v>
      </c>
      <c r="K3447">
        <v>14118.25</v>
      </c>
      <c r="L3447">
        <v>5.4</v>
      </c>
    </row>
    <row r="3448" spans="1:12" x14ac:dyDescent="0.3">
      <c r="A3448" t="s">
        <v>3463</v>
      </c>
      <c r="B3448" t="s">
        <v>16</v>
      </c>
      <c r="C3448" t="s">
        <v>11</v>
      </c>
      <c r="D3448">
        <v>55</v>
      </c>
      <c r="E3448" s="1">
        <v>43633</v>
      </c>
      <c r="F3448">
        <v>2019</v>
      </c>
      <c r="G3448" t="s">
        <v>5032</v>
      </c>
      <c r="H3448">
        <v>17</v>
      </c>
      <c r="I3448">
        <v>4.6500000000000004</v>
      </c>
      <c r="J3448">
        <v>4</v>
      </c>
      <c r="K3448">
        <v>10951.85</v>
      </c>
      <c r="L3448">
        <v>6.4</v>
      </c>
    </row>
    <row r="3449" spans="1:12" x14ac:dyDescent="0.3">
      <c r="A3449" t="s">
        <v>3464</v>
      </c>
      <c r="B3449" t="s">
        <v>10</v>
      </c>
      <c r="C3449" t="s">
        <v>14</v>
      </c>
      <c r="D3449">
        <v>45</v>
      </c>
      <c r="E3449" s="1">
        <v>44844</v>
      </c>
      <c r="F3449">
        <v>2022</v>
      </c>
      <c r="G3449" t="s">
        <v>5039</v>
      </c>
      <c r="H3449">
        <v>10</v>
      </c>
      <c r="I3449">
        <v>4.3</v>
      </c>
      <c r="J3449">
        <v>10</v>
      </c>
      <c r="K3449">
        <v>10919.33</v>
      </c>
      <c r="L3449">
        <v>3.1</v>
      </c>
    </row>
    <row r="3450" spans="1:12" x14ac:dyDescent="0.3">
      <c r="A3450" t="s">
        <v>3465</v>
      </c>
      <c r="B3450" t="s">
        <v>24</v>
      </c>
      <c r="C3450" t="s">
        <v>11</v>
      </c>
      <c r="D3450">
        <v>39</v>
      </c>
      <c r="E3450" s="1">
        <v>41722</v>
      </c>
      <c r="F3450">
        <v>2014</v>
      </c>
      <c r="G3450" t="s">
        <v>5035</v>
      </c>
      <c r="H3450">
        <v>24</v>
      </c>
      <c r="I3450">
        <v>2.98</v>
      </c>
      <c r="J3450">
        <v>5</v>
      </c>
      <c r="K3450">
        <v>14934.3</v>
      </c>
      <c r="L3450">
        <v>11.6</v>
      </c>
    </row>
    <row r="3451" spans="1:12" x14ac:dyDescent="0.3">
      <c r="A3451" t="s">
        <v>3466</v>
      </c>
      <c r="B3451" t="s">
        <v>18</v>
      </c>
      <c r="C3451" t="s">
        <v>11</v>
      </c>
      <c r="D3451">
        <v>60</v>
      </c>
      <c r="E3451" s="1">
        <v>42607</v>
      </c>
      <c r="F3451">
        <v>2016</v>
      </c>
      <c r="G3451" t="s">
        <v>5031</v>
      </c>
      <c r="H3451">
        <v>25</v>
      </c>
      <c r="I3451">
        <v>4.12</v>
      </c>
      <c r="J3451">
        <v>9</v>
      </c>
      <c r="K3451">
        <v>5339.37</v>
      </c>
      <c r="L3451">
        <v>9.1999999999999993</v>
      </c>
    </row>
    <row r="3452" spans="1:12" x14ac:dyDescent="0.3">
      <c r="A3452" t="s">
        <v>3467</v>
      </c>
      <c r="B3452" t="s">
        <v>18</v>
      </c>
      <c r="C3452" t="s">
        <v>14</v>
      </c>
      <c r="D3452">
        <v>29</v>
      </c>
      <c r="E3452" s="1">
        <v>42371</v>
      </c>
      <c r="F3452">
        <v>2016</v>
      </c>
      <c r="G3452" t="s">
        <v>5037</v>
      </c>
      <c r="H3452">
        <v>2</v>
      </c>
      <c r="I3452">
        <v>2.92</v>
      </c>
      <c r="J3452">
        <v>4</v>
      </c>
      <c r="K3452">
        <v>5018.08</v>
      </c>
      <c r="L3452">
        <v>9.8000000000000007</v>
      </c>
    </row>
    <row r="3453" spans="1:12" x14ac:dyDescent="0.3">
      <c r="A3453" t="s">
        <v>3468</v>
      </c>
      <c r="B3453" t="s">
        <v>34</v>
      </c>
      <c r="C3453" t="s">
        <v>14</v>
      </c>
      <c r="D3453">
        <v>54</v>
      </c>
      <c r="E3453" s="1">
        <v>43807</v>
      </c>
      <c r="F3453">
        <v>2019</v>
      </c>
      <c r="G3453" t="s">
        <v>5041</v>
      </c>
      <c r="H3453">
        <v>8</v>
      </c>
      <c r="I3453">
        <v>4.5199999999999996</v>
      </c>
      <c r="J3453">
        <v>14</v>
      </c>
      <c r="K3453">
        <v>5606.24</v>
      </c>
      <c r="L3453">
        <v>5.9</v>
      </c>
    </row>
    <row r="3454" spans="1:12" x14ac:dyDescent="0.3">
      <c r="A3454" t="s">
        <v>3469</v>
      </c>
      <c r="B3454" t="s">
        <v>24</v>
      </c>
      <c r="C3454" t="s">
        <v>11</v>
      </c>
      <c r="D3454">
        <v>53</v>
      </c>
      <c r="E3454" s="1">
        <v>41584</v>
      </c>
      <c r="F3454">
        <v>2013</v>
      </c>
      <c r="G3454" t="s">
        <v>5038</v>
      </c>
      <c r="H3454">
        <v>6</v>
      </c>
      <c r="I3454">
        <v>4.75</v>
      </c>
      <c r="J3454">
        <v>12</v>
      </c>
      <c r="K3454">
        <v>3815.92</v>
      </c>
      <c r="L3454">
        <v>12</v>
      </c>
    </row>
    <row r="3455" spans="1:12" x14ac:dyDescent="0.3">
      <c r="A3455" t="s">
        <v>3470</v>
      </c>
      <c r="B3455" t="s">
        <v>13</v>
      </c>
      <c r="C3455" t="s">
        <v>14</v>
      </c>
      <c r="D3455">
        <v>32</v>
      </c>
      <c r="E3455" s="1">
        <v>45797</v>
      </c>
      <c r="F3455">
        <v>2025</v>
      </c>
      <c r="G3455" t="s">
        <v>5036</v>
      </c>
      <c r="H3455">
        <v>20</v>
      </c>
      <c r="I3455">
        <v>1.85</v>
      </c>
      <c r="J3455">
        <v>3</v>
      </c>
      <c r="K3455">
        <v>10851.1</v>
      </c>
      <c r="L3455">
        <v>0.5</v>
      </c>
    </row>
    <row r="3456" spans="1:12" x14ac:dyDescent="0.3">
      <c r="A3456" t="s">
        <v>3471</v>
      </c>
      <c r="B3456" t="s">
        <v>18</v>
      </c>
      <c r="C3456" t="s">
        <v>11</v>
      </c>
      <c r="D3456">
        <v>48</v>
      </c>
      <c r="E3456" s="1">
        <v>44760</v>
      </c>
      <c r="F3456">
        <v>2022</v>
      </c>
      <c r="G3456" t="s">
        <v>5034</v>
      </c>
      <c r="H3456">
        <v>18</v>
      </c>
      <c r="I3456">
        <v>4.12</v>
      </c>
      <c r="J3456">
        <v>12</v>
      </c>
      <c r="K3456">
        <v>4660.84</v>
      </c>
      <c r="L3456">
        <v>3.3</v>
      </c>
    </row>
    <row r="3457" spans="1:12" x14ac:dyDescent="0.3">
      <c r="A3457" t="s">
        <v>3472</v>
      </c>
      <c r="B3457" t="s">
        <v>13</v>
      </c>
      <c r="C3457" t="s">
        <v>14</v>
      </c>
      <c r="D3457">
        <v>57</v>
      </c>
      <c r="E3457" s="1">
        <v>40977</v>
      </c>
      <c r="F3457">
        <v>2012</v>
      </c>
      <c r="G3457" t="s">
        <v>5035</v>
      </c>
      <c r="H3457">
        <v>9</v>
      </c>
      <c r="I3457">
        <v>2.34</v>
      </c>
      <c r="J3457">
        <v>7</v>
      </c>
      <c r="K3457">
        <v>5637.22</v>
      </c>
      <c r="L3457">
        <v>13.7</v>
      </c>
    </row>
    <row r="3458" spans="1:12" x14ac:dyDescent="0.3">
      <c r="A3458" t="s">
        <v>3473</v>
      </c>
      <c r="B3458" t="s">
        <v>16</v>
      </c>
      <c r="C3458" t="s">
        <v>14</v>
      </c>
      <c r="D3458">
        <v>31</v>
      </c>
      <c r="E3458" s="1">
        <v>41787</v>
      </c>
      <c r="F3458">
        <v>2014</v>
      </c>
      <c r="G3458" t="s">
        <v>5036</v>
      </c>
      <c r="H3458">
        <v>28</v>
      </c>
      <c r="I3458">
        <v>2.57</v>
      </c>
      <c r="J3458">
        <v>3</v>
      </c>
      <c r="K3458">
        <v>7056.96</v>
      </c>
      <c r="L3458">
        <v>11.4</v>
      </c>
    </row>
    <row r="3459" spans="1:12" x14ac:dyDescent="0.3">
      <c r="A3459" t="s">
        <v>3474</v>
      </c>
      <c r="B3459" t="s">
        <v>24</v>
      </c>
      <c r="C3459" t="s">
        <v>14</v>
      </c>
      <c r="D3459">
        <v>53</v>
      </c>
      <c r="E3459" s="1">
        <v>43024</v>
      </c>
      <c r="F3459">
        <v>2017</v>
      </c>
      <c r="G3459" t="s">
        <v>5039</v>
      </c>
      <c r="H3459">
        <v>16</v>
      </c>
      <c r="I3459">
        <v>4.91</v>
      </c>
      <c r="J3459">
        <v>5</v>
      </c>
      <c r="K3459">
        <v>11635.98</v>
      </c>
      <c r="L3459">
        <v>8</v>
      </c>
    </row>
    <row r="3460" spans="1:12" x14ac:dyDescent="0.3">
      <c r="A3460" t="s">
        <v>3475</v>
      </c>
      <c r="B3460" t="s">
        <v>10</v>
      </c>
      <c r="C3460" t="s">
        <v>14</v>
      </c>
      <c r="D3460">
        <v>39</v>
      </c>
      <c r="E3460" s="1">
        <v>41315</v>
      </c>
      <c r="F3460">
        <v>2013</v>
      </c>
      <c r="G3460" t="s">
        <v>5042</v>
      </c>
      <c r="H3460">
        <v>10</v>
      </c>
      <c r="I3460">
        <v>2.76</v>
      </c>
      <c r="J3460">
        <v>1</v>
      </c>
      <c r="K3460">
        <v>12116.54</v>
      </c>
      <c r="L3460">
        <v>12.7</v>
      </c>
    </row>
    <row r="3461" spans="1:12" x14ac:dyDescent="0.3">
      <c r="A3461" t="s">
        <v>3476</v>
      </c>
      <c r="B3461" t="s">
        <v>34</v>
      </c>
      <c r="C3461" t="s">
        <v>14</v>
      </c>
      <c r="D3461">
        <v>51</v>
      </c>
      <c r="E3461" s="1">
        <v>41639</v>
      </c>
      <c r="F3461">
        <v>2013</v>
      </c>
      <c r="G3461" t="s">
        <v>5041</v>
      </c>
      <c r="H3461">
        <v>31</v>
      </c>
      <c r="I3461">
        <v>4.29</v>
      </c>
      <c r="J3461">
        <v>1</v>
      </c>
      <c r="K3461">
        <v>6543.9</v>
      </c>
      <c r="L3461">
        <v>11.8</v>
      </c>
    </row>
    <row r="3462" spans="1:12" x14ac:dyDescent="0.3">
      <c r="A3462" t="s">
        <v>3477</v>
      </c>
      <c r="B3462" t="s">
        <v>13</v>
      </c>
      <c r="C3462" t="s">
        <v>11</v>
      </c>
      <c r="D3462">
        <v>52</v>
      </c>
      <c r="E3462" s="1">
        <v>45609</v>
      </c>
      <c r="F3462">
        <v>2024</v>
      </c>
      <c r="G3462" t="s">
        <v>5038</v>
      </c>
      <c r="H3462">
        <v>13</v>
      </c>
      <c r="I3462">
        <v>3.15</v>
      </c>
      <c r="J3462">
        <v>12</v>
      </c>
      <c r="K3462">
        <v>11042.19</v>
      </c>
      <c r="L3462">
        <v>1</v>
      </c>
    </row>
    <row r="3463" spans="1:12" x14ac:dyDescent="0.3">
      <c r="A3463" t="s">
        <v>3478</v>
      </c>
      <c r="B3463" t="s">
        <v>24</v>
      </c>
      <c r="C3463" t="s">
        <v>11</v>
      </c>
      <c r="D3463">
        <v>42</v>
      </c>
      <c r="E3463" s="1">
        <v>44060</v>
      </c>
      <c r="F3463">
        <v>2020</v>
      </c>
      <c r="G3463" t="s">
        <v>5031</v>
      </c>
      <c r="H3463">
        <v>17</v>
      </c>
      <c r="I3463">
        <v>2.71</v>
      </c>
      <c r="J3463">
        <v>2</v>
      </c>
      <c r="K3463">
        <v>9431.2800000000007</v>
      </c>
      <c r="L3463">
        <v>5.2</v>
      </c>
    </row>
    <row r="3464" spans="1:12" x14ac:dyDescent="0.3">
      <c r="A3464" t="s">
        <v>3479</v>
      </c>
      <c r="B3464" t="s">
        <v>18</v>
      </c>
      <c r="C3464" t="s">
        <v>11</v>
      </c>
      <c r="D3464">
        <v>45</v>
      </c>
      <c r="E3464" s="1">
        <v>43943</v>
      </c>
      <c r="F3464">
        <v>2020</v>
      </c>
      <c r="G3464" t="s">
        <v>5040</v>
      </c>
      <c r="H3464">
        <v>22</v>
      </c>
      <c r="I3464">
        <v>1.8</v>
      </c>
      <c r="J3464">
        <v>4</v>
      </c>
      <c r="K3464">
        <v>11743.77</v>
      </c>
      <c r="L3464">
        <v>5.5</v>
      </c>
    </row>
    <row r="3465" spans="1:12" x14ac:dyDescent="0.3">
      <c r="A3465" t="s">
        <v>3480</v>
      </c>
      <c r="B3465" t="s">
        <v>24</v>
      </c>
      <c r="C3465" t="s">
        <v>14</v>
      </c>
      <c r="D3465">
        <v>27</v>
      </c>
      <c r="E3465" s="1">
        <v>44469</v>
      </c>
      <c r="F3465">
        <v>2021</v>
      </c>
      <c r="G3465" t="s">
        <v>5033</v>
      </c>
      <c r="H3465">
        <v>30</v>
      </c>
      <c r="I3465">
        <v>4.34</v>
      </c>
      <c r="J3465">
        <v>0</v>
      </c>
      <c r="K3465">
        <v>12540.33</v>
      </c>
      <c r="L3465">
        <v>4.0999999999999996</v>
      </c>
    </row>
    <row r="3466" spans="1:12" x14ac:dyDescent="0.3">
      <c r="A3466" t="s">
        <v>3481</v>
      </c>
      <c r="B3466" t="s">
        <v>18</v>
      </c>
      <c r="C3466" t="s">
        <v>11</v>
      </c>
      <c r="D3466">
        <v>55</v>
      </c>
      <c r="E3466" s="1">
        <v>45141</v>
      </c>
      <c r="F3466">
        <v>2023</v>
      </c>
      <c r="G3466" t="s">
        <v>5031</v>
      </c>
      <c r="H3466">
        <v>3</v>
      </c>
      <c r="I3466">
        <v>1.76</v>
      </c>
      <c r="J3466">
        <v>11</v>
      </c>
      <c r="K3466">
        <v>7144.35</v>
      </c>
      <c r="L3466">
        <v>2.2000000000000002</v>
      </c>
    </row>
    <row r="3467" spans="1:12" x14ac:dyDescent="0.3">
      <c r="A3467" t="s">
        <v>3482</v>
      </c>
      <c r="B3467" t="s">
        <v>18</v>
      </c>
      <c r="C3467" t="s">
        <v>11</v>
      </c>
      <c r="D3467">
        <v>49</v>
      </c>
      <c r="E3467" s="1">
        <v>43746</v>
      </c>
      <c r="F3467">
        <v>2019</v>
      </c>
      <c r="G3467" t="s">
        <v>5039</v>
      </c>
      <c r="H3467">
        <v>8</v>
      </c>
      <c r="I3467">
        <v>2.92</v>
      </c>
      <c r="J3467">
        <v>5</v>
      </c>
      <c r="K3467">
        <v>4335.32</v>
      </c>
      <c r="L3467">
        <v>6.1</v>
      </c>
    </row>
    <row r="3468" spans="1:12" x14ac:dyDescent="0.3">
      <c r="A3468" t="s">
        <v>3483</v>
      </c>
      <c r="B3468" t="s">
        <v>24</v>
      </c>
      <c r="C3468" t="s">
        <v>11</v>
      </c>
      <c r="D3468">
        <v>37</v>
      </c>
      <c r="E3468" s="1">
        <v>40623</v>
      </c>
      <c r="F3468">
        <v>2011</v>
      </c>
      <c r="G3468" t="s">
        <v>5035</v>
      </c>
      <c r="H3468">
        <v>21</v>
      </c>
      <c r="I3468">
        <v>1.77</v>
      </c>
      <c r="J3468">
        <v>10</v>
      </c>
      <c r="K3468">
        <v>13200.4</v>
      </c>
      <c r="L3468">
        <v>14.6</v>
      </c>
    </row>
    <row r="3469" spans="1:12" x14ac:dyDescent="0.3">
      <c r="A3469" t="s">
        <v>3484</v>
      </c>
      <c r="B3469" t="s">
        <v>34</v>
      </c>
      <c r="C3469" t="s">
        <v>14</v>
      </c>
      <c r="D3469">
        <v>33</v>
      </c>
      <c r="E3469" s="1">
        <v>40843</v>
      </c>
      <c r="F3469">
        <v>2011</v>
      </c>
      <c r="G3469" t="s">
        <v>5039</v>
      </c>
      <c r="H3469">
        <v>27</v>
      </c>
      <c r="I3469">
        <v>4.9800000000000004</v>
      </c>
      <c r="J3469">
        <v>6</v>
      </c>
      <c r="K3469">
        <v>4752.16</v>
      </c>
      <c r="L3469">
        <v>14</v>
      </c>
    </row>
    <row r="3470" spans="1:12" x14ac:dyDescent="0.3">
      <c r="A3470" t="s">
        <v>3485</v>
      </c>
      <c r="B3470" t="s">
        <v>16</v>
      </c>
      <c r="C3470" t="s">
        <v>14</v>
      </c>
      <c r="D3470">
        <v>30</v>
      </c>
      <c r="E3470" s="1">
        <v>44163</v>
      </c>
      <c r="F3470">
        <v>2020</v>
      </c>
      <c r="G3470" t="s">
        <v>5038</v>
      </c>
      <c r="H3470">
        <v>28</v>
      </c>
      <c r="I3470">
        <v>3.1</v>
      </c>
      <c r="J3470">
        <v>13</v>
      </c>
      <c r="K3470">
        <v>6747.71</v>
      </c>
      <c r="L3470">
        <v>4.9000000000000004</v>
      </c>
    </row>
    <row r="3471" spans="1:12" x14ac:dyDescent="0.3">
      <c r="A3471" t="s">
        <v>3486</v>
      </c>
      <c r="B3471" t="s">
        <v>34</v>
      </c>
      <c r="C3471" t="s">
        <v>11</v>
      </c>
      <c r="D3471">
        <v>33</v>
      </c>
      <c r="E3471" s="1">
        <v>41247</v>
      </c>
      <c r="F3471">
        <v>2012</v>
      </c>
      <c r="G3471" t="s">
        <v>5041</v>
      </c>
      <c r="H3471">
        <v>4</v>
      </c>
      <c r="I3471">
        <v>2.16</v>
      </c>
      <c r="J3471">
        <v>11</v>
      </c>
      <c r="K3471">
        <v>9212.7099999999991</v>
      </c>
      <c r="L3471">
        <v>12.9</v>
      </c>
    </row>
    <row r="3472" spans="1:12" x14ac:dyDescent="0.3">
      <c r="A3472" t="s">
        <v>3487</v>
      </c>
      <c r="B3472" t="s">
        <v>24</v>
      </c>
      <c r="C3472" t="s">
        <v>14</v>
      </c>
      <c r="D3472">
        <v>28</v>
      </c>
      <c r="E3472" s="1">
        <v>40567</v>
      </c>
      <c r="F3472">
        <v>2011</v>
      </c>
      <c r="G3472" t="s">
        <v>5037</v>
      </c>
      <c r="H3472">
        <v>24</v>
      </c>
      <c r="I3472">
        <v>4.71</v>
      </c>
      <c r="J3472">
        <v>14</v>
      </c>
      <c r="K3472">
        <v>10780.55</v>
      </c>
      <c r="L3472">
        <v>14.8</v>
      </c>
    </row>
    <row r="3473" spans="1:12" x14ac:dyDescent="0.3">
      <c r="A3473" t="s">
        <v>3488</v>
      </c>
      <c r="B3473" t="s">
        <v>18</v>
      </c>
      <c r="C3473" t="s">
        <v>14</v>
      </c>
      <c r="D3473">
        <v>57</v>
      </c>
      <c r="E3473" s="1">
        <v>43066</v>
      </c>
      <c r="F3473">
        <v>2017</v>
      </c>
      <c r="G3473" t="s">
        <v>5038</v>
      </c>
      <c r="H3473">
        <v>27</v>
      </c>
      <c r="I3473">
        <v>3.87</v>
      </c>
      <c r="J3473">
        <v>7</v>
      </c>
      <c r="K3473">
        <v>8998.6299999999992</v>
      </c>
      <c r="L3473">
        <v>7.9</v>
      </c>
    </row>
    <row r="3474" spans="1:12" x14ac:dyDescent="0.3">
      <c r="A3474" t="s">
        <v>3489</v>
      </c>
      <c r="B3474" t="s">
        <v>10</v>
      </c>
      <c r="C3474" t="s">
        <v>11</v>
      </c>
      <c r="D3474">
        <v>49</v>
      </c>
      <c r="E3474" s="1">
        <v>45160</v>
      </c>
      <c r="F3474">
        <v>2023</v>
      </c>
      <c r="G3474" t="s">
        <v>5031</v>
      </c>
      <c r="H3474">
        <v>22</v>
      </c>
      <c r="I3474">
        <v>4.9000000000000004</v>
      </c>
      <c r="J3474">
        <v>2</v>
      </c>
      <c r="K3474">
        <v>7084.42</v>
      </c>
      <c r="L3474">
        <v>2.2000000000000002</v>
      </c>
    </row>
    <row r="3475" spans="1:12" x14ac:dyDescent="0.3">
      <c r="A3475" t="s">
        <v>3490</v>
      </c>
      <c r="B3475" t="s">
        <v>34</v>
      </c>
      <c r="C3475" t="s">
        <v>11</v>
      </c>
      <c r="D3475">
        <v>55</v>
      </c>
      <c r="E3475" s="1">
        <v>41678</v>
      </c>
      <c r="F3475">
        <v>2014</v>
      </c>
      <c r="G3475" t="s">
        <v>5042</v>
      </c>
      <c r="H3475">
        <v>8</v>
      </c>
      <c r="I3475">
        <v>4.78</v>
      </c>
      <c r="J3475">
        <v>10</v>
      </c>
      <c r="K3475">
        <v>13955.16</v>
      </c>
      <c r="L3475">
        <v>11.7</v>
      </c>
    </row>
    <row r="3476" spans="1:12" x14ac:dyDescent="0.3">
      <c r="A3476" t="s">
        <v>3491</v>
      </c>
      <c r="B3476" t="s">
        <v>18</v>
      </c>
      <c r="C3476" t="s">
        <v>11</v>
      </c>
      <c r="D3476">
        <v>54</v>
      </c>
      <c r="E3476" s="1">
        <v>44200</v>
      </c>
      <c r="F3476">
        <v>2021</v>
      </c>
      <c r="G3476" t="s">
        <v>5037</v>
      </c>
      <c r="H3476">
        <v>4</v>
      </c>
      <c r="I3476">
        <v>4.58</v>
      </c>
      <c r="J3476">
        <v>3</v>
      </c>
      <c r="K3476">
        <v>4670.5600000000004</v>
      </c>
      <c r="L3476">
        <v>4.8</v>
      </c>
    </row>
    <row r="3477" spans="1:12" x14ac:dyDescent="0.3">
      <c r="A3477" t="s">
        <v>3492</v>
      </c>
      <c r="B3477" t="s">
        <v>13</v>
      </c>
      <c r="C3477" t="s">
        <v>11</v>
      </c>
      <c r="D3477">
        <v>30</v>
      </c>
      <c r="E3477" s="1">
        <v>44283</v>
      </c>
      <c r="F3477">
        <v>2021</v>
      </c>
      <c r="G3477" t="s">
        <v>5035</v>
      </c>
      <c r="H3477">
        <v>28</v>
      </c>
      <c r="I3477">
        <v>3.95</v>
      </c>
      <c r="J3477">
        <v>10</v>
      </c>
      <c r="K3477">
        <v>3814.46</v>
      </c>
      <c r="L3477">
        <v>4.5999999999999996</v>
      </c>
    </row>
    <row r="3478" spans="1:12" x14ac:dyDescent="0.3">
      <c r="A3478" t="s">
        <v>3493</v>
      </c>
      <c r="B3478" t="s">
        <v>24</v>
      </c>
      <c r="C3478" t="s">
        <v>14</v>
      </c>
      <c r="D3478">
        <v>49</v>
      </c>
      <c r="E3478" s="1">
        <v>44492</v>
      </c>
      <c r="F3478">
        <v>2021</v>
      </c>
      <c r="G3478" t="s">
        <v>5039</v>
      </c>
      <c r="H3478">
        <v>23</v>
      </c>
      <c r="I3478">
        <v>3.2</v>
      </c>
      <c r="J3478">
        <v>5</v>
      </c>
      <c r="K3478">
        <v>11241.06</v>
      </c>
      <c r="L3478">
        <v>4</v>
      </c>
    </row>
    <row r="3479" spans="1:12" x14ac:dyDescent="0.3">
      <c r="A3479" t="s">
        <v>3494</v>
      </c>
      <c r="B3479" t="s">
        <v>18</v>
      </c>
      <c r="C3479" t="s">
        <v>11</v>
      </c>
      <c r="D3479">
        <v>26</v>
      </c>
      <c r="E3479" s="1">
        <v>41761</v>
      </c>
      <c r="F3479">
        <v>2014</v>
      </c>
      <c r="G3479" t="s">
        <v>5036</v>
      </c>
      <c r="H3479">
        <v>2</v>
      </c>
      <c r="I3479">
        <v>3.05</v>
      </c>
      <c r="J3479">
        <v>8</v>
      </c>
      <c r="K3479">
        <v>5301.07</v>
      </c>
      <c r="L3479">
        <v>11.5</v>
      </c>
    </row>
    <row r="3480" spans="1:12" x14ac:dyDescent="0.3">
      <c r="A3480" t="s">
        <v>3495</v>
      </c>
      <c r="B3480" t="s">
        <v>18</v>
      </c>
      <c r="C3480" t="s">
        <v>11</v>
      </c>
      <c r="D3480">
        <v>54</v>
      </c>
      <c r="E3480" s="1">
        <v>40520</v>
      </c>
      <c r="F3480">
        <v>2010</v>
      </c>
      <c r="G3480" t="s">
        <v>5041</v>
      </c>
      <c r="H3480">
        <v>8</v>
      </c>
      <c r="I3480">
        <v>4.43</v>
      </c>
      <c r="J3480">
        <v>11</v>
      </c>
      <c r="K3480">
        <v>10067.66</v>
      </c>
      <c r="L3480">
        <v>14.9</v>
      </c>
    </row>
    <row r="3481" spans="1:12" x14ac:dyDescent="0.3">
      <c r="A3481" t="s">
        <v>3496</v>
      </c>
      <c r="B3481" t="s">
        <v>18</v>
      </c>
      <c r="C3481" t="s">
        <v>14</v>
      </c>
      <c r="D3481">
        <v>37</v>
      </c>
      <c r="E3481" s="1">
        <v>43418</v>
      </c>
      <c r="F3481">
        <v>2018</v>
      </c>
      <c r="G3481" t="s">
        <v>5038</v>
      </c>
      <c r="H3481">
        <v>14</v>
      </c>
      <c r="I3481">
        <v>2.71</v>
      </c>
      <c r="J3481">
        <v>3</v>
      </c>
      <c r="K3481">
        <v>10007</v>
      </c>
      <c r="L3481">
        <v>7</v>
      </c>
    </row>
    <row r="3482" spans="1:12" x14ac:dyDescent="0.3">
      <c r="A3482" t="s">
        <v>3497</v>
      </c>
      <c r="B3482" t="s">
        <v>18</v>
      </c>
      <c r="C3482" t="s">
        <v>11</v>
      </c>
      <c r="D3482">
        <v>41</v>
      </c>
      <c r="E3482" s="1">
        <v>41774</v>
      </c>
      <c r="F3482">
        <v>2014</v>
      </c>
      <c r="G3482" t="s">
        <v>5036</v>
      </c>
      <c r="H3482">
        <v>15</v>
      </c>
      <c r="I3482">
        <v>4.79</v>
      </c>
      <c r="J3482">
        <v>10</v>
      </c>
      <c r="K3482">
        <v>8144.99</v>
      </c>
      <c r="L3482">
        <v>11.5</v>
      </c>
    </row>
    <row r="3483" spans="1:12" x14ac:dyDescent="0.3">
      <c r="A3483" t="s">
        <v>3498</v>
      </c>
      <c r="B3483" t="s">
        <v>16</v>
      </c>
      <c r="C3483" t="s">
        <v>11</v>
      </c>
      <c r="D3483">
        <v>27</v>
      </c>
      <c r="E3483" s="1">
        <v>41773</v>
      </c>
      <c r="F3483">
        <v>2014</v>
      </c>
      <c r="G3483" t="s">
        <v>5036</v>
      </c>
      <c r="H3483">
        <v>14</v>
      </c>
      <c r="I3483">
        <v>1.53</v>
      </c>
      <c r="J3483">
        <v>6</v>
      </c>
      <c r="K3483">
        <v>9805.0400000000009</v>
      </c>
      <c r="L3483">
        <v>11.5</v>
      </c>
    </row>
    <row r="3484" spans="1:12" x14ac:dyDescent="0.3">
      <c r="A3484" t="s">
        <v>3499</v>
      </c>
      <c r="B3484" t="s">
        <v>10</v>
      </c>
      <c r="C3484" t="s">
        <v>14</v>
      </c>
      <c r="D3484">
        <v>28</v>
      </c>
      <c r="E3484" s="1">
        <v>41780</v>
      </c>
      <c r="F3484">
        <v>2014</v>
      </c>
      <c r="G3484" t="s">
        <v>5036</v>
      </c>
      <c r="H3484">
        <v>21</v>
      </c>
      <c r="I3484">
        <v>4.8499999999999996</v>
      </c>
      <c r="J3484">
        <v>1</v>
      </c>
      <c r="K3484">
        <v>13815.03</v>
      </c>
      <c r="L3484">
        <v>11.5</v>
      </c>
    </row>
    <row r="3485" spans="1:12" x14ac:dyDescent="0.3">
      <c r="A3485" t="s">
        <v>3500</v>
      </c>
      <c r="B3485" t="s">
        <v>16</v>
      </c>
      <c r="C3485" t="s">
        <v>11</v>
      </c>
      <c r="D3485">
        <v>52</v>
      </c>
      <c r="E3485" s="1">
        <v>43484</v>
      </c>
      <c r="F3485">
        <v>2019</v>
      </c>
      <c r="G3485" t="s">
        <v>5037</v>
      </c>
      <c r="H3485">
        <v>19</v>
      </c>
      <c r="I3485">
        <v>4.09</v>
      </c>
      <c r="J3485">
        <v>4</v>
      </c>
      <c r="K3485">
        <v>8384.1</v>
      </c>
      <c r="L3485">
        <v>6.8</v>
      </c>
    </row>
    <row r="3486" spans="1:12" x14ac:dyDescent="0.3">
      <c r="A3486" t="s">
        <v>3501</v>
      </c>
      <c r="B3486" t="s">
        <v>24</v>
      </c>
      <c r="C3486" t="s">
        <v>14</v>
      </c>
      <c r="D3486">
        <v>32</v>
      </c>
      <c r="E3486" s="1">
        <v>45383</v>
      </c>
      <c r="F3486">
        <v>2024</v>
      </c>
      <c r="G3486" t="s">
        <v>5040</v>
      </c>
      <c r="H3486">
        <v>1</v>
      </c>
      <c r="I3486">
        <v>4.8499999999999996</v>
      </c>
      <c r="J3486">
        <v>2</v>
      </c>
      <c r="K3486">
        <v>8255.7000000000007</v>
      </c>
      <c r="L3486">
        <v>1.6</v>
      </c>
    </row>
    <row r="3487" spans="1:12" x14ac:dyDescent="0.3">
      <c r="A3487" t="s">
        <v>3502</v>
      </c>
      <c r="B3487" t="s">
        <v>24</v>
      </c>
      <c r="C3487" t="s">
        <v>14</v>
      </c>
      <c r="D3487">
        <v>32</v>
      </c>
      <c r="E3487" s="1">
        <v>42788</v>
      </c>
      <c r="F3487">
        <v>2017</v>
      </c>
      <c r="G3487" t="s">
        <v>5042</v>
      </c>
      <c r="H3487">
        <v>22</v>
      </c>
      <c r="I3487">
        <v>1.71</v>
      </c>
      <c r="J3487">
        <v>5</v>
      </c>
      <c r="K3487">
        <v>10478.33</v>
      </c>
      <c r="L3487">
        <v>8.6999999999999993</v>
      </c>
    </row>
    <row r="3488" spans="1:12" x14ac:dyDescent="0.3">
      <c r="A3488" t="s">
        <v>3503</v>
      </c>
      <c r="B3488" t="s">
        <v>24</v>
      </c>
      <c r="C3488" t="s">
        <v>11</v>
      </c>
      <c r="D3488">
        <v>50</v>
      </c>
      <c r="E3488" s="1">
        <v>42985</v>
      </c>
      <c r="F3488">
        <v>2017</v>
      </c>
      <c r="G3488" t="s">
        <v>5033</v>
      </c>
      <c r="H3488">
        <v>7</v>
      </c>
      <c r="I3488">
        <v>2.04</v>
      </c>
      <c r="J3488">
        <v>7</v>
      </c>
      <c r="K3488">
        <v>14902.38</v>
      </c>
      <c r="L3488">
        <v>8.1999999999999993</v>
      </c>
    </row>
    <row r="3489" spans="1:12" x14ac:dyDescent="0.3">
      <c r="A3489" t="s">
        <v>3504</v>
      </c>
      <c r="B3489" t="s">
        <v>16</v>
      </c>
      <c r="C3489" t="s">
        <v>11</v>
      </c>
      <c r="D3489">
        <v>51</v>
      </c>
      <c r="E3489" s="1">
        <v>43628</v>
      </c>
      <c r="F3489">
        <v>2019</v>
      </c>
      <c r="G3489" t="s">
        <v>5032</v>
      </c>
      <c r="H3489">
        <v>12</v>
      </c>
      <c r="I3489">
        <v>4.4800000000000004</v>
      </c>
      <c r="J3489">
        <v>4</v>
      </c>
      <c r="K3489">
        <v>8321.02</v>
      </c>
      <c r="L3489">
        <v>6.4</v>
      </c>
    </row>
    <row r="3490" spans="1:12" x14ac:dyDescent="0.3">
      <c r="A3490" t="s">
        <v>3505</v>
      </c>
      <c r="B3490" t="s">
        <v>13</v>
      </c>
      <c r="C3490" t="s">
        <v>11</v>
      </c>
      <c r="D3490">
        <v>26</v>
      </c>
      <c r="E3490" s="1">
        <v>44523</v>
      </c>
      <c r="F3490">
        <v>2021</v>
      </c>
      <c r="G3490" t="s">
        <v>5038</v>
      </c>
      <c r="H3490">
        <v>23</v>
      </c>
      <c r="I3490">
        <v>2.12</v>
      </c>
      <c r="J3490">
        <v>3</v>
      </c>
      <c r="K3490">
        <v>12682.52</v>
      </c>
      <c r="L3490">
        <v>3.9</v>
      </c>
    </row>
    <row r="3491" spans="1:12" x14ac:dyDescent="0.3">
      <c r="A3491" t="s">
        <v>3506</v>
      </c>
      <c r="B3491" t="s">
        <v>16</v>
      </c>
      <c r="C3491" t="s">
        <v>14</v>
      </c>
      <c r="D3491">
        <v>39</v>
      </c>
      <c r="E3491" s="1">
        <v>42949</v>
      </c>
      <c r="F3491">
        <v>2017</v>
      </c>
      <c r="G3491" t="s">
        <v>5031</v>
      </c>
      <c r="H3491">
        <v>2</v>
      </c>
      <c r="I3491">
        <v>1.76</v>
      </c>
      <c r="J3491">
        <v>7</v>
      </c>
      <c r="K3491">
        <v>13006.93</v>
      </c>
      <c r="L3491">
        <v>8.3000000000000007</v>
      </c>
    </row>
    <row r="3492" spans="1:12" x14ac:dyDescent="0.3">
      <c r="A3492" t="s">
        <v>3507</v>
      </c>
      <c r="B3492" t="s">
        <v>34</v>
      </c>
      <c r="C3492" t="s">
        <v>11</v>
      </c>
      <c r="D3492">
        <v>48</v>
      </c>
      <c r="E3492" s="1">
        <v>41553</v>
      </c>
      <c r="F3492">
        <v>2013</v>
      </c>
      <c r="G3492" t="s">
        <v>5039</v>
      </c>
      <c r="H3492">
        <v>6</v>
      </c>
      <c r="I3492">
        <v>3.71</v>
      </c>
      <c r="J3492">
        <v>13</v>
      </c>
      <c r="K3492">
        <v>6714.46</v>
      </c>
      <c r="L3492">
        <v>12.1</v>
      </c>
    </row>
    <row r="3493" spans="1:12" x14ac:dyDescent="0.3">
      <c r="A3493" t="s">
        <v>3508</v>
      </c>
      <c r="B3493" t="s">
        <v>34</v>
      </c>
      <c r="C3493" t="s">
        <v>11</v>
      </c>
      <c r="D3493">
        <v>30</v>
      </c>
      <c r="E3493" s="1">
        <v>44514</v>
      </c>
      <c r="F3493">
        <v>2021</v>
      </c>
      <c r="G3493" t="s">
        <v>5038</v>
      </c>
      <c r="H3493">
        <v>14</v>
      </c>
      <c r="I3493">
        <v>3.6</v>
      </c>
      <c r="J3493">
        <v>2</v>
      </c>
      <c r="K3493">
        <v>8946.27</v>
      </c>
      <c r="L3493">
        <v>4</v>
      </c>
    </row>
    <row r="3494" spans="1:12" x14ac:dyDescent="0.3">
      <c r="A3494" t="s">
        <v>3509</v>
      </c>
      <c r="B3494" t="s">
        <v>18</v>
      </c>
      <c r="C3494" t="s">
        <v>14</v>
      </c>
      <c r="D3494">
        <v>29</v>
      </c>
      <c r="E3494" s="1">
        <v>42106</v>
      </c>
      <c r="F3494">
        <v>2015</v>
      </c>
      <c r="G3494" t="s">
        <v>5040</v>
      </c>
      <c r="H3494">
        <v>12</v>
      </c>
      <c r="I3494">
        <v>3.02</v>
      </c>
      <c r="J3494">
        <v>2</v>
      </c>
      <c r="K3494">
        <v>11414.88</v>
      </c>
      <c r="L3494">
        <v>10.6</v>
      </c>
    </row>
    <row r="3495" spans="1:12" x14ac:dyDescent="0.3">
      <c r="A3495" t="s">
        <v>3510</v>
      </c>
      <c r="B3495" t="s">
        <v>24</v>
      </c>
      <c r="C3495" t="s">
        <v>14</v>
      </c>
      <c r="D3495">
        <v>54</v>
      </c>
      <c r="E3495" s="1">
        <v>41015</v>
      </c>
      <c r="F3495">
        <v>2012</v>
      </c>
      <c r="G3495" t="s">
        <v>5040</v>
      </c>
      <c r="H3495">
        <v>16</v>
      </c>
      <c r="I3495">
        <v>2.02</v>
      </c>
      <c r="J3495">
        <v>6</v>
      </c>
      <c r="K3495">
        <v>14100.67</v>
      </c>
      <c r="L3495">
        <v>13.6</v>
      </c>
    </row>
    <row r="3496" spans="1:12" x14ac:dyDescent="0.3">
      <c r="A3496" t="s">
        <v>3511</v>
      </c>
      <c r="B3496" t="s">
        <v>16</v>
      </c>
      <c r="C3496" t="s">
        <v>14</v>
      </c>
      <c r="D3496">
        <v>60</v>
      </c>
      <c r="E3496" s="1">
        <v>43173</v>
      </c>
      <c r="F3496">
        <v>2018</v>
      </c>
      <c r="G3496" t="s">
        <v>5035</v>
      </c>
      <c r="H3496">
        <v>14</v>
      </c>
      <c r="I3496">
        <v>4.5199999999999996</v>
      </c>
      <c r="J3496">
        <v>13</v>
      </c>
      <c r="K3496">
        <v>11330.33</v>
      </c>
      <c r="L3496">
        <v>7.6</v>
      </c>
    </row>
    <row r="3497" spans="1:12" x14ac:dyDescent="0.3">
      <c r="A3497" t="s">
        <v>3512</v>
      </c>
      <c r="B3497" t="s">
        <v>18</v>
      </c>
      <c r="C3497" t="s">
        <v>11</v>
      </c>
      <c r="D3497">
        <v>30</v>
      </c>
      <c r="E3497" s="1">
        <v>44388</v>
      </c>
      <c r="F3497">
        <v>2021</v>
      </c>
      <c r="G3497" t="s">
        <v>5034</v>
      </c>
      <c r="H3497">
        <v>11</v>
      </c>
      <c r="I3497">
        <v>3.88</v>
      </c>
      <c r="J3497">
        <v>3</v>
      </c>
      <c r="K3497">
        <v>11998.4</v>
      </c>
      <c r="L3497">
        <v>4.3</v>
      </c>
    </row>
    <row r="3498" spans="1:12" x14ac:dyDescent="0.3">
      <c r="A3498" t="s">
        <v>3513</v>
      </c>
      <c r="B3498" t="s">
        <v>18</v>
      </c>
      <c r="C3498" t="s">
        <v>14</v>
      </c>
      <c r="D3498">
        <v>26</v>
      </c>
      <c r="E3498" s="1">
        <v>43425</v>
      </c>
      <c r="F3498">
        <v>2018</v>
      </c>
      <c r="G3498" t="s">
        <v>5038</v>
      </c>
      <c r="H3498">
        <v>21</v>
      </c>
      <c r="I3498">
        <v>2.12</v>
      </c>
      <c r="J3498">
        <v>8</v>
      </c>
      <c r="K3498">
        <v>10771.35</v>
      </c>
      <c r="L3498">
        <v>7</v>
      </c>
    </row>
    <row r="3499" spans="1:12" x14ac:dyDescent="0.3">
      <c r="A3499" t="s">
        <v>3514</v>
      </c>
      <c r="B3499" t="s">
        <v>34</v>
      </c>
      <c r="C3499" t="s">
        <v>14</v>
      </c>
      <c r="D3499">
        <v>42</v>
      </c>
      <c r="E3499" s="1">
        <v>41567</v>
      </c>
      <c r="F3499">
        <v>2013</v>
      </c>
      <c r="G3499" t="s">
        <v>5039</v>
      </c>
      <c r="H3499">
        <v>20</v>
      </c>
      <c r="I3499">
        <v>4.99</v>
      </c>
      <c r="J3499">
        <v>10</v>
      </c>
      <c r="K3499">
        <v>14005.46</v>
      </c>
      <c r="L3499">
        <v>12</v>
      </c>
    </row>
    <row r="3500" spans="1:12" x14ac:dyDescent="0.3">
      <c r="A3500" t="s">
        <v>3515</v>
      </c>
      <c r="B3500" t="s">
        <v>24</v>
      </c>
      <c r="C3500" t="s">
        <v>14</v>
      </c>
      <c r="D3500">
        <v>47</v>
      </c>
      <c r="E3500" s="1">
        <v>44871</v>
      </c>
      <c r="F3500">
        <v>2022</v>
      </c>
      <c r="G3500" t="s">
        <v>5038</v>
      </c>
      <c r="H3500">
        <v>6</v>
      </c>
      <c r="I3500">
        <v>1.58</v>
      </c>
      <c r="J3500">
        <v>7</v>
      </c>
      <c r="K3500">
        <v>10858.65</v>
      </c>
      <c r="L3500">
        <v>3</v>
      </c>
    </row>
    <row r="3501" spans="1:12" x14ac:dyDescent="0.3">
      <c r="A3501" t="s">
        <v>3516</v>
      </c>
      <c r="B3501" t="s">
        <v>24</v>
      </c>
      <c r="C3501" t="s">
        <v>14</v>
      </c>
      <c r="D3501">
        <v>56</v>
      </c>
      <c r="E3501" s="1">
        <v>44696</v>
      </c>
      <c r="F3501">
        <v>2022</v>
      </c>
      <c r="G3501" t="s">
        <v>5036</v>
      </c>
      <c r="H3501">
        <v>15</v>
      </c>
      <c r="I3501">
        <v>2.94</v>
      </c>
      <c r="J3501">
        <v>10</v>
      </c>
      <c r="K3501">
        <v>14781.81</v>
      </c>
      <c r="L3501">
        <v>3.5</v>
      </c>
    </row>
    <row r="3502" spans="1:12" x14ac:dyDescent="0.3">
      <c r="A3502" t="s">
        <v>3517</v>
      </c>
      <c r="B3502" t="s">
        <v>18</v>
      </c>
      <c r="C3502" t="s">
        <v>14</v>
      </c>
      <c r="D3502">
        <v>46</v>
      </c>
      <c r="E3502" s="1">
        <v>43131</v>
      </c>
      <c r="F3502">
        <v>2018</v>
      </c>
      <c r="G3502" t="s">
        <v>5037</v>
      </c>
      <c r="H3502">
        <v>31</v>
      </c>
      <c r="I3502">
        <v>2.08</v>
      </c>
      <c r="J3502">
        <v>15</v>
      </c>
      <c r="K3502">
        <v>9071.32</v>
      </c>
      <c r="L3502">
        <v>7.8</v>
      </c>
    </row>
    <row r="3503" spans="1:12" x14ac:dyDescent="0.3">
      <c r="A3503" t="s">
        <v>3518</v>
      </c>
      <c r="B3503" t="s">
        <v>24</v>
      </c>
      <c r="C3503" t="s">
        <v>14</v>
      </c>
      <c r="D3503">
        <v>54</v>
      </c>
      <c r="E3503" s="1">
        <v>45867</v>
      </c>
      <c r="F3503">
        <v>2025</v>
      </c>
      <c r="G3503" t="s">
        <v>5034</v>
      </c>
      <c r="H3503">
        <v>29</v>
      </c>
      <c r="I3503">
        <v>4.29</v>
      </c>
      <c r="J3503">
        <v>15</v>
      </c>
      <c r="K3503">
        <v>6981.77</v>
      </c>
      <c r="L3503">
        <v>0.3</v>
      </c>
    </row>
    <row r="3504" spans="1:12" x14ac:dyDescent="0.3">
      <c r="A3504" t="s">
        <v>3519</v>
      </c>
      <c r="B3504" t="s">
        <v>10</v>
      </c>
      <c r="C3504" t="s">
        <v>11</v>
      </c>
      <c r="D3504">
        <v>52</v>
      </c>
      <c r="E3504" s="1">
        <v>45731</v>
      </c>
      <c r="F3504">
        <v>2025</v>
      </c>
      <c r="G3504" t="s">
        <v>5035</v>
      </c>
      <c r="H3504">
        <v>15</v>
      </c>
      <c r="I3504">
        <v>4.99</v>
      </c>
      <c r="J3504">
        <v>4</v>
      </c>
      <c r="K3504">
        <v>8142.15</v>
      </c>
      <c r="L3504">
        <v>0.6</v>
      </c>
    </row>
    <row r="3505" spans="1:12" x14ac:dyDescent="0.3">
      <c r="A3505" t="s">
        <v>3520</v>
      </c>
      <c r="B3505" t="s">
        <v>13</v>
      </c>
      <c r="C3505" t="s">
        <v>14</v>
      </c>
      <c r="D3505">
        <v>32</v>
      </c>
      <c r="E3505" s="1">
        <v>40669</v>
      </c>
      <c r="F3505">
        <v>2011</v>
      </c>
      <c r="G3505" t="s">
        <v>5036</v>
      </c>
      <c r="H3505">
        <v>6</v>
      </c>
      <c r="I3505">
        <v>3.14</v>
      </c>
      <c r="J3505">
        <v>5</v>
      </c>
      <c r="K3505">
        <v>9940.7900000000009</v>
      </c>
      <c r="L3505">
        <v>14.5</v>
      </c>
    </row>
    <row r="3506" spans="1:12" x14ac:dyDescent="0.3">
      <c r="A3506" t="s">
        <v>3521</v>
      </c>
      <c r="B3506" t="s">
        <v>34</v>
      </c>
      <c r="C3506" t="s">
        <v>14</v>
      </c>
      <c r="D3506">
        <v>49</v>
      </c>
      <c r="E3506" s="1">
        <v>45914</v>
      </c>
      <c r="F3506">
        <v>2025</v>
      </c>
      <c r="G3506" t="s">
        <v>5033</v>
      </c>
      <c r="H3506">
        <v>14</v>
      </c>
      <c r="I3506">
        <v>3.32</v>
      </c>
      <c r="J3506">
        <v>8</v>
      </c>
      <c r="K3506">
        <v>14146.93</v>
      </c>
      <c r="L3506">
        <v>0.1</v>
      </c>
    </row>
    <row r="3507" spans="1:12" x14ac:dyDescent="0.3">
      <c r="A3507" t="s">
        <v>3522</v>
      </c>
      <c r="B3507" t="s">
        <v>13</v>
      </c>
      <c r="C3507" t="s">
        <v>14</v>
      </c>
      <c r="D3507">
        <v>36</v>
      </c>
      <c r="E3507" s="1">
        <v>40419</v>
      </c>
      <c r="F3507">
        <v>2010</v>
      </c>
      <c r="G3507" t="s">
        <v>5031</v>
      </c>
      <c r="H3507">
        <v>29</v>
      </c>
      <c r="I3507">
        <v>4.43</v>
      </c>
      <c r="J3507">
        <v>8</v>
      </c>
      <c r="K3507">
        <v>5803.64</v>
      </c>
      <c r="L3507">
        <v>15.2</v>
      </c>
    </row>
    <row r="3508" spans="1:12" x14ac:dyDescent="0.3">
      <c r="A3508" t="s">
        <v>3523</v>
      </c>
      <c r="B3508" t="s">
        <v>34</v>
      </c>
      <c r="C3508" t="s">
        <v>11</v>
      </c>
      <c r="D3508">
        <v>51</v>
      </c>
      <c r="E3508" s="1">
        <v>41293</v>
      </c>
      <c r="F3508">
        <v>2013</v>
      </c>
      <c r="G3508" t="s">
        <v>5037</v>
      </c>
      <c r="H3508">
        <v>19</v>
      </c>
      <c r="I3508">
        <v>4.08</v>
      </c>
      <c r="J3508">
        <v>12</v>
      </c>
      <c r="K3508">
        <v>5948.73</v>
      </c>
      <c r="L3508">
        <v>12.8</v>
      </c>
    </row>
    <row r="3509" spans="1:12" x14ac:dyDescent="0.3">
      <c r="A3509" t="s">
        <v>3524</v>
      </c>
      <c r="B3509" t="s">
        <v>34</v>
      </c>
      <c r="C3509" t="s">
        <v>14</v>
      </c>
      <c r="D3509">
        <v>24</v>
      </c>
      <c r="E3509" s="1">
        <v>42631</v>
      </c>
      <c r="F3509">
        <v>2016</v>
      </c>
      <c r="G3509" t="s">
        <v>5033</v>
      </c>
      <c r="H3509">
        <v>18</v>
      </c>
      <c r="I3509">
        <v>4.22</v>
      </c>
      <c r="J3509">
        <v>12</v>
      </c>
      <c r="K3509">
        <v>6338.38</v>
      </c>
      <c r="L3509">
        <v>9.1</v>
      </c>
    </row>
    <row r="3510" spans="1:12" x14ac:dyDescent="0.3">
      <c r="A3510" t="s">
        <v>3525</v>
      </c>
      <c r="B3510" t="s">
        <v>13</v>
      </c>
      <c r="C3510" t="s">
        <v>14</v>
      </c>
      <c r="D3510">
        <v>48</v>
      </c>
      <c r="E3510" s="1">
        <v>42768</v>
      </c>
      <c r="F3510">
        <v>2017</v>
      </c>
      <c r="G3510" t="s">
        <v>5042</v>
      </c>
      <c r="H3510">
        <v>2</v>
      </c>
      <c r="I3510">
        <v>3.49</v>
      </c>
      <c r="J3510">
        <v>1</v>
      </c>
      <c r="K3510">
        <v>7308.1</v>
      </c>
      <c r="L3510">
        <v>8.8000000000000007</v>
      </c>
    </row>
    <row r="3511" spans="1:12" x14ac:dyDescent="0.3">
      <c r="A3511" t="s">
        <v>3526</v>
      </c>
      <c r="B3511" t="s">
        <v>18</v>
      </c>
      <c r="C3511" t="s">
        <v>11</v>
      </c>
      <c r="D3511">
        <v>38</v>
      </c>
      <c r="E3511" s="1">
        <v>42856</v>
      </c>
      <c r="F3511">
        <v>2017</v>
      </c>
      <c r="G3511" t="s">
        <v>5036</v>
      </c>
      <c r="H3511">
        <v>1</v>
      </c>
      <c r="I3511">
        <v>4.71</v>
      </c>
      <c r="J3511">
        <v>4</v>
      </c>
      <c r="K3511">
        <v>14433.87</v>
      </c>
      <c r="L3511">
        <v>8.5</v>
      </c>
    </row>
    <row r="3512" spans="1:12" x14ac:dyDescent="0.3">
      <c r="A3512" t="s">
        <v>3527</v>
      </c>
      <c r="B3512" t="s">
        <v>34</v>
      </c>
      <c r="C3512" t="s">
        <v>14</v>
      </c>
      <c r="D3512">
        <v>22</v>
      </c>
      <c r="E3512" s="1">
        <v>43524</v>
      </c>
      <c r="F3512">
        <v>2019</v>
      </c>
      <c r="G3512" t="s">
        <v>5042</v>
      </c>
      <c r="H3512">
        <v>28</v>
      </c>
      <c r="I3512">
        <v>3.13</v>
      </c>
      <c r="J3512">
        <v>2</v>
      </c>
      <c r="K3512">
        <v>12106.34</v>
      </c>
      <c r="L3512">
        <v>6.7</v>
      </c>
    </row>
    <row r="3513" spans="1:12" x14ac:dyDescent="0.3">
      <c r="A3513" t="s">
        <v>3528</v>
      </c>
      <c r="B3513" t="s">
        <v>34</v>
      </c>
      <c r="C3513" t="s">
        <v>11</v>
      </c>
      <c r="D3513">
        <v>26</v>
      </c>
      <c r="E3513" s="1">
        <v>40548</v>
      </c>
      <c r="F3513">
        <v>2011</v>
      </c>
      <c r="G3513" t="s">
        <v>5037</v>
      </c>
      <c r="H3513">
        <v>5</v>
      </c>
      <c r="I3513">
        <v>4.6500000000000004</v>
      </c>
      <c r="J3513">
        <v>13</v>
      </c>
      <c r="K3513">
        <v>3179.88</v>
      </c>
      <c r="L3513">
        <v>14.8</v>
      </c>
    </row>
    <row r="3514" spans="1:12" x14ac:dyDescent="0.3">
      <c r="A3514" t="s">
        <v>3529</v>
      </c>
      <c r="B3514" t="s">
        <v>10</v>
      </c>
      <c r="C3514" t="s">
        <v>14</v>
      </c>
      <c r="D3514">
        <v>43</v>
      </c>
      <c r="E3514" s="1">
        <v>41964</v>
      </c>
      <c r="F3514">
        <v>2014</v>
      </c>
      <c r="G3514" t="s">
        <v>5038</v>
      </c>
      <c r="H3514">
        <v>21</v>
      </c>
      <c r="I3514">
        <v>2.14</v>
      </c>
      <c r="J3514">
        <v>15</v>
      </c>
      <c r="K3514">
        <v>9482.17</v>
      </c>
      <c r="L3514">
        <v>11</v>
      </c>
    </row>
    <row r="3515" spans="1:12" x14ac:dyDescent="0.3">
      <c r="A3515" t="s">
        <v>3530</v>
      </c>
      <c r="B3515" t="s">
        <v>10</v>
      </c>
      <c r="C3515" t="s">
        <v>11</v>
      </c>
      <c r="D3515">
        <v>49</v>
      </c>
      <c r="E3515" s="1">
        <v>45390</v>
      </c>
      <c r="F3515">
        <v>2024</v>
      </c>
      <c r="G3515" t="s">
        <v>5040</v>
      </c>
      <c r="H3515">
        <v>8</v>
      </c>
      <c r="I3515">
        <v>3.29</v>
      </c>
      <c r="J3515">
        <v>6</v>
      </c>
      <c r="K3515">
        <v>3083.88</v>
      </c>
      <c r="L3515">
        <v>1.6</v>
      </c>
    </row>
    <row r="3516" spans="1:12" x14ac:dyDescent="0.3">
      <c r="A3516" t="s">
        <v>3531</v>
      </c>
      <c r="B3516" t="s">
        <v>10</v>
      </c>
      <c r="C3516" t="s">
        <v>14</v>
      </c>
      <c r="D3516">
        <v>24</v>
      </c>
      <c r="E3516" s="1">
        <v>43035</v>
      </c>
      <c r="F3516">
        <v>2017</v>
      </c>
      <c r="G3516" t="s">
        <v>5039</v>
      </c>
      <c r="H3516">
        <v>27</v>
      </c>
      <c r="I3516">
        <v>2.86</v>
      </c>
      <c r="J3516">
        <v>9</v>
      </c>
      <c r="K3516">
        <v>8956.5300000000007</v>
      </c>
      <c r="L3516">
        <v>8</v>
      </c>
    </row>
    <row r="3517" spans="1:12" x14ac:dyDescent="0.3">
      <c r="A3517" t="s">
        <v>3532</v>
      </c>
      <c r="B3517" t="s">
        <v>24</v>
      </c>
      <c r="C3517" t="s">
        <v>14</v>
      </c>
      <c r="D3517">
        <v>50</v>
      </c>
      <c r="E3517" s="1">
        <v>43441</v>
      </c>
      <c r="F3517">
        <v>2018</v>
      </c>
      <c r="G3517" t="s">
        <v>5041</v>
      </c>
      <c r="H3517">
        <v>7</v>
      </c>
      <c r="I3517">
        <v>1.97</v>
      </c>
      <c r="J3517">
        <v>11</v>
      </c>
      <c r="K3517">
        <v>6772.27</v>
      </c>
      <c r="L3517">
        <v>6.9</v>
      </c>
    </row>
    <row r="3518" spans="1:12" x14ac:dyDescent="0.3">
      <c r="A3518" t="s">
        <v>3533</v>
      </c>
      <c r="B3518" t="s">
        <v>24</v>
      </c>
      <c r="C3518" t="s">
        <v>14</v>
      </c>
      <c r="D3518">
        <v>57</v>
      </c>
      <c r="E3518" s="1">
        <v>45461</v>
      </c>
      <c r="F3518">
        <v>2024</v>
      </c>
      <c r="G3518" t="s">
        <v>5032</v>
      </c>
      <c r="H3518">
        <v>18</v>
      </c>
      <c r="I3518">
        <v>2.4300000000000002</v>
      </c>
      <c r="J3518">
        <v>1</v>
      </c>
      <c r="K3518">
        <v>14009.2</v>
      </c>
      <c r="L3518">
        <v>1.4</v>
      </c>
    </row>
    <row r="3519" spans="1:12" x14ac:dyDescent="0.3">
      <c r="A3519" t="s">
        <v>3534</v>
      </c>
      <c r="B3519" t="s">
        <v>16</v>
      </c>
      <c r="C3519" t="s">
        <v>11</v>
      </c>
      <c r="D3519">
        <v>43</v>
      </c>
      <c r="E3519" s="1">
        <v>43056</v>
      </c>
      <c r="F3519">
        <v>2017</v>
      </c>
      <c r="G3519" t="s">
        <v>5038</v>
      </c>
      <c r="H3519">
        <v>17</v>
      </c>
      <c r="I3519">
        <v>3.52</v>
      </c>
      <c r="J3519">
        <v>13</v>
      </c>
      <c r="K3519">
        <v>12579.15</v>
      </c>
      <c r="L3519">
        <v>8</v>
      </c>
    </row>
    <row r="3520" spans="1:12" x14ac:dyDescent="0.3">
      <c r="A3520" t="s">
        <v>3535</v>
      </c>
      <c r="B3520" t="s">
        <v>24</v>
      </c>
      <c r="C3520" t="s">
        <v>11</v>
      </c>
      <c r="D3520">
        <v>38</v>
      </c>
      <c r="E3520" s="1">
        <v>45446</v>
      </c>
      <c r="F3520">
        <v>2024</v>
      </c>
      <c r="G3520" t="s">
        <v>5032</v>
      </c>
      <c r="H3520">
        <v>3</v>
      </c>
      <c r="I3520">
        <v>2.5</v>
      </c>
      <c r="J3520">
        <v>9</v>
      </c>
      <c r="K3520">
        <v>9531.08</v>
      </c>
      <c r="L3520">
        <v>1.4</v>
      </c>
    </row>
    <row r="3521" spans="1:12" x14ac:dyDescent="0.3">
      <c r="A3521" t="s">
        <v>3536</v>
      </c>
      <c r="B3521" t="s">
        <v>10</v>
      </c>
      <c r="C3521" t="s">
        <v>11</v>
      </c>
      <c r="D3521">
        <v>45</v>
      </c>
      <c r="E3521" s="1">
        <v>44045</v>
      </c>
      <c r="F3521">
        <v>2020</v>
      </c>
      <c r="G3521" t="s">
        <v>5031</v>
      </c>
      <c r="H3521">
        <v>2</v>
      </c>
      <c r="I3521">
        <v>1.53</v>
      </c>
      <c r="J3521">
        <v>7</v>
      </c>
      <c r="K3521">
        <v>5819.38</v>
      </c>
      <c r="L3521">
        <v>5.3</v>
      </c>
    </row>
    <row r="3522" spans="1:12" x14ac:dyDescent="0.3">
      <c r="A3522" t="s">
        <v>3537</v>
      </c>
      <c r="B3522" t="s">
        <v>24</v>
      </c>
      <c r="C3522" t="s">
        <v>14</v>
      </c>
      <c r="D3522">
        <v>54</v>
      </c>
      <c r="E3522" s="1">
        <v>40881</v>
      </c>
      <c r="F3522">
        <v>2011</v>
      </c>
      <c r="G3522" t="s">
        <v>5041</v>
      </c>
      <c r="H3522">
        <v>4</v>
      </c>
      <c r="I3522">
        <v>3.97</v>
      </c>
      <c r="J3522">
        <v>13</v>
      </c>
      <c r="K3522">
        <v>10606.6</v>
      </c>
      <c r="L3522">
        <v>13.9</v>
      </c>
    </row>
    <row r="3523" spans="1:12" x14ac:dyDescent="0.3">
      <c r="A3523" t="s">
        <v>3538</v>
      </c>
      <c r="B3523" t="s">
        <v>10</v>
      </c>
      <c r="C3523" t="s">
        <v>11</v>
      </c>
      <c r="D3523">
        <v>31</v>
      </c>
      <c r="E3523" s="1">
        <v>44120</v>
      </c>
      <c r="F3523">
        <v>2020</v>
      </c>
      <c r="G3523" t="s">
        <v>5039</v>
      </c>
      <c r="H3523">
        <v>16</v>
      </c>
      <c r="I3523">
        <v>3.21</v>
      </c>
      <c r="J3523">
        <v>5</v>
      </c>
      <c r="K3523">
        <v>7290.92</v>
      </c>
      <c r="L3523">
        <v>5</v>
      </c>
    </row>
    <row r="3524" spans="1:12" x14ac:dyDescent="0.3">
      <c r="A3524" t="s">
        <v>3539</v>
      </c>
      <c r="B3524" t="s">
        <v>10</v>
      </c>
      <c r="C3524" t="s">
        <v>14</v>
      </c>
      <c r="D3524">
        <v>26</v>
      </c>
      <c r="E3524" s="1">
        <v>40352</v>
      </c>
      <c r="F3524">
        <v>2010</v>
      </c>
      <c r="G3524" t="s">
        <v>5032</v>
      </c>
      <c r="H3524">
        <v>23</v>
      </c>
      <c r="I3524">
        <v>4.42</v>
      </c>
      <c r="J3524">
        <v>0</v>
      </c>
      <c r="K3524">
        <v>11696.93</v>
      </c>
      <c r="L3524">
        <v>15.4</v>
      </c>
    </row>
    <row r="3525" spans="1:12" x14ac:dyDescent="0.3">
      <c r="A3525" t="s">
        <v>3540</v>
      </c>
      <c r="B3525" t="s">
        <v>24</v>
      </c>
      <c r="C3525" t="s">
        <v>11</v>
      </c>
      <c r="D3525">
        <v>27</v>
      </c>
      <c r="E3525" s="1">
        <v>43481</v>
      </c>
      <c r="F3525">
        <v>2019</v>
      </c>
      <c r="G3525" t="s">
        <v>5037</v>
      </c>
      <c r="H3525">
        <v>16</v>
      </c>
      <c r="I3525">
        <v>1.52</v>
      </c>
      <c r="J3525">
        <v>3</v>
      </c>
      <c r="K3525">
        <v>13524.18</v>
      </c>
      <c r="L3525">
        <v>6.8</v>
      </c>
    </row>
    <row r="3526" spans="1:12" x14ac:dyDescent="0.3">
      <c r="A3526" t="s">
        <v>3541</v>
      </c>
      <c r="B3526" t="s">
        <v>24</v>
      </c>
      <c r="C3526" t="s">
        <v>11</v>
      </c>
      <c r="D3526">
        <v>55</v>
      </c>
      <c r="E3526" s="1">
        <v>42966</v>
      </c>
      <c r="F3526">
        <v>2017</v>
      </c>
      <c r="G3526" t="s">
        <v>5031</v>
      </c>
      <c r="H3526">
        <v>19</v>
      </c>
      <c r="I3526">
        <v>3.62</v>
      </c>
      <c r="J3526">
        <v>11</v>
      </c>
      <c r="K3526">
        <v>12005.1</v>
      </c>
      <c r="L3526">
        <v>8.1999999999999993</v>
      </c>
    </row>
    <row r="3527" spans="1:12" x14ac:dyDescent="0.3">
      <c r="A3527" t="s">
        <v>3542</v>
      </c>
      <c r="B3527" t="s">
        <v>16</v>
      </c>
      <c r="C3527" t="s">
        <v>14</v>
      </c>
      <c r="D3527">
        <v>29</v>
      </c>
      <c r="E3527" s="1">
        <v>45669</v>
      </c>
      <c r="F3527">
        <v>2025</v>
      </c>
      <c r="G3527" t="s">
        <v>5037</v>
      </c>
      <c r="H3527">
        <v>12</v>
      </c>
      <c r="I3527">
        <v>3.79</v>
      </c>
      <c r="J3527">
        <v>11</v>
      </c>
      <c r="K3527">
        <v>6502.89</v>
      </c>
      <c r="L3527">
        <v>0.8</v>
      </c>
    </row>
    <row r="3528" spans="1:12" x14ac:dyDescent="0.3">
      <c r="A3528" t="s">
        <v>3543</v>
      </c>
      <c r="B3528" t="s">
        <v>10</v>
      </c>
      <c r="C3528" t="s">
        <v>14</v>
      </c>
      <c r="D3528">
        <v>29</v>
      </c>
      <c r="E3528" s="1">
        <v>42150</v>
      </c>
      <c r="F3528">
        <v>2015</v>
      </c>
      <c r="G3528" t="s">
        <v>5036</v>
      </c>
      <c r="H3528">
        <v>26</v>
      </c>
      <c r="I3528">
        <v>3.07</v>
      </c>
      <c r="J3528">
        <v>11</v>
      </c>
      <c r="K3528">
        <v>5684</v>
      </c>
      <c r="L3528">
        <v>10.4</v>
      </c>
    </row>
    <row r="3529" spans="1:12" x14ac:dyDescent="0.3">
      <c r="A3529" t="s">
        <v>3544</v>
      </c>
      <c r="B3529" t="s">
        <v>10</v>
      </c>
      <c r="C3529" t="s">
        <v>14</v>
      </c>
      <c r="D3529">
        <v>51</v>
      </c>
      <c r="E3529" s="1">
        <v>40863</v>
      </c>
      <c r="F3529">
        <v>2011</v>
      </c>
      <c r="G3529" t="s">
        <v>5038</v>
      </c>
      <c r="H3529">
        <v>16</v>
      </c>
      <c r="I3529">
        <v>2.13</v>
      </c>
      <c r="J3529">
        <v>10</v>
      </c>
      <c r="K3529">
        <v>3579.77</v>
      </c>
      <c r="L3529">
        <v>14</v>
      </c>
    </row>
    <row r="3530" spans="1:12" x14ac:dyDescent="0.3">
      <c r="A3530" t="s">
        <v>3545</v>
      </c>
      <c r="B3530" t="s">
        <v>13</v>
      </c>
      <c r="C3530" t="s">
        <v>11</v>
      </c>
      <c r="D3530">
        <v>55</v>
      </c>
      <c r="E3530" s="1">
        <v>42569</v>
      </c>
      <c r="F3530">
        <v>2016</v>
      </c>
      <c r="G3530" t="s">
        <v>5034</v>
      </c>
      <c r="H3530">
        <v>18</v>
      </c>
      <c r="I3530">
        <v>4.47</v>
      </c>
      <c r="J3530">
        <v>0</v>
      </c>
      <c r="K3530">
        <v>6472.43</v>
      </c>
      <c r="L3530">
        <v>9.3000000000000007</v>
      </c>
    </row>
    <row r="3531" spans="1:12" x14ac:dyDescent="0.3">
      <c r="A3531" t="s">
        <v>3546</v>
      </c>
      <c r="B3531" t="s">
        <v>16</v>
      </c>
      <c r="C3531" t="s">
        <v>11</v>
      </c>
      <c r="D3531">
        <v>35</v>
      </c>
      <c r="E3531" s="1">
        <v>43539</v>
      </c>
      <c r="F3531">
        <v>2019</v>
      </c>
      <c r="G3531" t="s">
        <v>5035</v>
      </c>
      <c r="H3531">
        <v>15</v>
      </c>
      <c r="I3531">
        <v>1.83</v>
      </c>
      <c r="J3531">
        <v>13</v>
      </c>
      <c r="K3531">
        <v>4753.96</v>
      </c>
      <c r="L3531">
        <v>6.6</v>
      </c>
    </row>
    <row r="3532" spans="1:12" x14ac:dyDescent="0.3">
      <c r="A3532" t="s">
        <v>3547</v>
      </c>
      <c r="B3532" t="s">
        <v>24</v>
      </c>
      <c r="C3532" t="s">
        <v>14</v>
      </c>
      <c r="D3532">
        <v>42</v>
      </c>
      <c r="E3532" s="1">
        <v>44834</v>
      </c>
      <c r="F3532">
        <v>2022</v>
      </c>
      <c r="G3532" t="s">
        <v>5033</v>
      </c>
      <c r="H3532">
        <v>30</v>
      </c>
      <c r="I3532">
        <v>2.04</v>
      </c>
      <c r="J3532">
        <v>11</v>
      </c>
      <c r="K3532">
        <v>7067.67</v>
      </c>
      <c r="L3532">
        <v>3.1</v>
      </c>
    </row>
    <row r="3533" spans="1:12" x14ac:dyDescent="0.3">
      <c r="A3533" t="s">
        <v>3548</v>
      </c>
      <c r="B3533" t="s">
        <v>16</v>
      </c>
      <c r="C3533" t="s">
        <v>11</v>
      </c>
      <c r="D3533">
        <v>52</v>
      </c>
      <c r="E3533" s="1">
        <v>44371</v>
      </c>
      <c r="F3533">
        <v>2021</v>
      </c>
      <c r="G3533" t="s">
        <v>5032</v>
      </c>
      <c r="H3533">
        <v>24</v>
      </c>
      <c r="I3533">
        <v>3.15</v>
      </c>
      <c r="J3533">
        <v>12</v>
      </c>
      <c r="K3533">
        <v>12991.56</v>
      </c>
      <c r="L3533">
        <v>4.4000000000000004</v>
      </c>
    </row>
    <row r="3534" spans="1:12" x14ac:dyDescent="0.3">
      <c r="A3534" t="s">
        <v>3549</v>
      </c>
      <c r="B3534" t="s">
        <v>24</v>
      </c>
      <c r="C3534" t="s">
        <v>14</v>
      </c>
      <c r="D3534">
        <v>34</v>
      </c>
      <c r="E3534" s="1">
        <v>44164</v>
      </c>
      <c r="F3534">
        <v>2020</v>
      </c>
      <c r="G3534" t="s">
        <v>5038</v>
      </c>
      <c r="H3534">
        <v>29</v>
      </c>
      <c r="I3534">
        <v>4</v>
      </c>
      <c r="J3534">
        <v>13</v>
      </c>
      <c r="K3534">
        <v>4244.07</v>
      </c>
      <c r="L3534">
        <v>4.9000000000000004</v>
      </c>
    </row>
    <row r="3535" spans="1:12" x14ac:dyDescent="0.3">
      <c r="A3535" t="s">
        <v>3550</v>
      </c>
      <c r="B3535" t="s">
        <v>16</v>
      </c>
      <c r="C3535" t="s">
        <v>11</v>
      </c>
      <c r="D3535">
        <v>31</v>
      </c>
      <c r="E3535" s="1">
        <v>43775</v>
      </c>
      <c r="F3535">
        <v>2019</v>
      </c>
      <c r="G3535" t="s">
        <v>5038</v>
      </c>
      <c r="H3535">
        <v>6</v>
      </c>
      <c r="I3535">
        <v>4.87</v>
      </c>
      <c r="J3535">
        <v>12</v>
      </c>
      <c r="K3535">
        <v>5563.56</v>
      </c>
      <c r="L3535">
        <v>6</v>
      </c>
    </row>
    <row r="3536" spans="1:12" x14ac:dyDescent="0.3">
      <c r="A3536" t="s">
        <v>3551</v>
      </c>
      <c r="B3536" t="s">
        <v>10</v>
      </c>
      <c r="C3536" t="s">
        <v>14</v>
      </c>
      <c r="D3536">
        <v>42</v>
      </c>
      <c r="E3536" s="1">
        <v>45818</v>
      </c>
      <c r="F3536">
        <v>2025</v>
      </c>
      <c r="G3536" t="s">
        <v>5032</v>
      </c>
      <c r="H3536">
        <v>10</v>
      </c>
      <c r="I3536">
        <v>1.61</v>
      </c>
      <c r="J3536">
        <v>12</v>
      </c>
      <c r="K3536">
        <v>5487.02</v>
      </c>
      <c r="L3536">
        <v>0.4</v>
      </c>
    </row>
    <row r="3537" spans="1:12" x14ac:dyDescent="0.3">
      <c r="A3537" t="s">
        <v>3552</v>
      </c>
      <c r="B3537" t="s">
        <v>10</v>
      </c>
      <c r="C3537" t="s">
        <v>14</v>
      </c>
      <c r="D3537">
        <v>27</v>
      </c>
      <c r="E3537" s="1">
        <v>42701</v>
      </c>
      <c r="F3537">
        <v>2016</v>
      </c>
      <c r="G3537" t="s">
        <v>5038</v>
      </c>
      <c r="H3537">
        <v>27</v>
      </c>
      <c r="I3537">
        <v>3.14</v>
      </c>
      <c r="J3537">
        <v>1</v>
      </c>
      <c r="K3537">
        <v>13875.68</v>
      </c>
      <c r="L3537">
        <v>8.9</v>
      </c>
    </row>
    <row r="3538" spans="1:12" x14ac:dyDescent="0.3">
      <c r="A3538" t="s">
        <v>3553</v>
      </c>
      <c r="B3538" t="s">
        <v>34</v>
      </c>
      <c r="C3538" t="s">
        <v>14</v>
      </c>
      <c r="D3538">
        <v>51</v>
      </c>
      <c r="E3538" s="1">
        <v>41465</v>
      </c>
      <c r="F3538">
        <v>2013</v>
      </c>
      <c r="G3538" t="s">
        <v>5034</v>
      </c>
      <c r="H3538">
        <v>10</v>
      </c>
      <c r="I3538">
        <v>4.01</v>
      </c>
      <c r="J3538">
        <v>10</v>
      </c>
      <c r="K3538">
        <v>6701.81</v>
      </c>
      <c r="L3538">
        <v>12.3</v>
      </c>
    </row>
    <row r="3539" spans="1:12" x14ac:dyDescent="0.3">
      <c r="A3539" t="s">
        <v>3554</v>
      </c>
      <c r="B3539" t="s">
        <v>18</v>
      </c>
      <c r="C3539" t="s">
        <v>11</v>
      </c>
      <c r="D3539">
        <v>51</v>
      </c>
      <c r="E3539" s="1">
        <v>43104</v>
      </c>
      <c r="F3539">
        <v>2018</v>
      </c>
      <c r="G3539" t="s">
        <v>5037</v>
      </c>
      <c r="H3539">
        <v>4</v>
      </c>
      <c r="I3539">
        <v>3.83</v>
      </c>
      <c r="J3539">
        <v>5</v>
      </c>
      <c r="K3539">
        <v>5211.9799999999996</v>
      </c>
      <c r="L3539">
        <v>7.8</v>
      </c>
    </row>
    <row r="3540" spans="1:12" x14ac:dyDescent="0.3">
      <c r="A3540" t="s">
        <v>3555</v>
      </c>
      <c r="B3540" t="s">
        <v>18</v>
      </c>
      <c r="C3540" t="s">
        <v>11</v>
      </c>
      <c r="D3540">
        <v>36</v>
      </c>
      <c r="E3540" s="1">
        <v>41688</v>
      </c>
      <c r="F3540">
        <v>2014</v>
      </c>
      <c r="G3540" t="s">
        <v>5042</v>
      </c>
      <c r="H3540">
        <v>18</v>
      </c>
      <c r="I3540">
        <v>4.5599999999999996</v>
      </c>
      <c r="J3540">
        <v>0</v>
      </c>
      <c r="K3540">
        <v>5293.61</v>
      </c>
      <c r="L3540">
        <v>11.7</v>
      </c>
    </row>
    <row r="3541" spans="1:12" x14ac:dyDescent="0.3">
      <c r="A3541" t="s">
        <v>3556</v>
      </c>
      <c r="B3541" t="s">
        <v>24</v>
      </c>
      <c r="C3541" t="s">
        <v>11</v>
      </c>
      <c r="D3541">
        <v>45</v>
      </c>
      <c r="E3541" s="1">
        <v>41329</v>
      </c>
      <c r="F3541">
        <v>2013</v>
      </c>
      <c r="G3541" t="s">
        <v>5042</v>
      </c>
      <c r="H3541">
        <v>24</v>
      </c>
      <c r="I3541">
        <v>3.91</v>
      </c>
      <c r="J3541">
        <v>7</v>
      </c>
      <c r="K3541">
        <v>10606.21</v>
      </c>
      <c r="L3541">
        <v>12.7</v>
      </c>
    </row>
    <row r="3542" spans="1:12" x14ac:dyDescent="0.3">
      <c r="A3542" t="s">
        <v>3557</v>
      </c>
      <c r="B3542" t="s">
        <v>13</v>
      </c>
      <c r="C3542" t="s">
        <v>14</v>
      </c>
      <c r="D3542">
        <v>56</v>
      </c>
      <c r="E3542" s="1">
        <v>41395</v>
      </c>
      <c r="F3542">
        <v>2013</v>
      </c>
      <c r="G3542" t="s">
        <v>5036</v>
      </c>
      <c r="H3542">
        <v>1</v>
      </c>
      <c r="I3542">
        <v>2.13</v>
      </c>
      <c r="J3542">
        <v>14</v>
      </c>
      <c r="K3542">
        <v>12803.64</v>
      </c>
      <c r="L3542">
        <v>12.5</v>
      </c>
    </row>
    <row r="3543" spans="1:12" x14ac:dyDescent="0.3">
      <c r="A3543" t="s">
        <v>3558</v>
      </c>
      <c r="B3543" t="s">
        <v>13</v>
      </c>
      <c r="C3543" t="s">
        <v>14</v>
      </c>
      <c r="D3543">
        <v>46</v>
      </c>
      <c r="E3543" s="1">
        <v>40367</v>
      </c>
      <c r="F3543">
        <v>2010</v>
      </c>
      <c r="G3543" t="s">
        <v>5034</v>
      </c>
      <c r="H3543">
        <v>8</v>
      </c>
      <c r="I3543">
        <v>4.3899999999999997</v>
      </c>
      <c r="J3543">
        <v>1</v>
      </c>
      <c r="K3543">
        <v>3841.16</v>
      </c>
      <c r="L3543">
        <v>15.3</v>
      </c>
    </row>
    <row r="3544" spans="1:12" x14ac:dyDescent="0.3">
      <c r="A3544" t="s">
        <v>3559</v>
      </c>
      <c r="B3544" t="s">
        <v>16</v>
      </c>
      <c r="C3544" t="s">
        <v>11</v>
      </c>
      <c r="D3544">
        <v>24</v>
      </c>
      <c r="E3544" s="1">
        <v>42450</v>
      </c>
      <c r="F3544">
        <v>2016</v>
      </c>
      <c r="G3544" t="s">
        <v>5035</v>
      </c>
      <c r="H3544">
        <v>21</v>
      </c>
      <c r="I3544">
        <v>2.92</v>
      </c>
      <c r="J3544">
        <v>4</v>
      </c>
      <c r="K3544">
        <v>12499.98</v>
      </c>
      <c r="L3544">
        <v>9.6</v>
      </c>
    </row>
    <row r="3545" spans="1:12" x14ac:dyDescent="0.3">
      <c r="A3545" t="s">
        <v>3560</v>
      </c>
      <c r="B3545" t="s">
        <v>10</v>
      </c>
      <c r="C3545" t="s">
        <v>11</v>
      </c>
      <c r="D3545">
        <v>27</v>
      </c>
      <c r="E3545" s="1">
        <v>40761</v>
      </c>
      <c r="F3545">
        <v>2011</v>
      </c>
      <c r="G3545" t="s">
        <v>5031</v>
      </c>
      <c r="H3545">
        <v>6</v>
      </c>
      <c r="I3545">
        <v>2.54</v>
      </c>
      <c r="J3545">
        <v>8</v>
      </c>
      <c r="K3545">
        <v>3344.2</v>
      </c>
      <c r="L3545">
        <v>14.2</v>
      </c>
    </row>
    <row r="3546" spans="1:12" x14ac:dyDescent="0.3">
      <c r="A3546" t="s">
        <v>3561</v>
      </c>
      <c r="B3546" t="s">
        <v>18</v>
      </c>
      <c r="C3546" t="s">
        <v>14</v>
      </c>
      <c r="D3546">
        <v>49</v>
      </c>
      <c r="E3546" s="1">
        <v>42757</v>
      </c>
      <c r="F3546">
        <v>2017</v>
      </c>
      <c r="G3546" t="s">
        <v>5037</v>
      </c>
      <c r="H3546">
        <v>22</v>
      </c>
      <c r="I3546">
        <v>4.47</v>
      </c>
      <c r="J3546">
        <v>1</v>
      </c>
      <c r="K3546">
        <v>9320.1</v>
      </c>
      <c r="L3546">
        <v>8.8000000000000007</v>
      </c>
    </row>
    <row r="3547" spans="1:12" x14ac:dyDescent="0.3">
      <c r="A3547" t="s">
        <v>3562</v>
      </c>
      <c r="B3547" t="s">
        <v>24</v>
      </c>
      <c r="C3547" t="s">
        <v>11</v>
      </c>
      <c r="D3547">
        <v>42</v>
      </c>
      <c r="E3547" s="1">
        <v>44110</v>
      </c>
      <c r="F3547">
        <v>2020</v>
      </c>
      <c r="G3547" t="s">
        <v>5039</v>
      </c>
      <c r="H3547">
        <v>6</v>
      </c>
      <c r="I3547">
        <v>3.68</v>
      </c>
      <c r="J3547">
        <v>0</v>
      </c>
      <c r="K3547">
        <v>7803.04</v>
      </c>
      <c r="L3547">
        <v>5.0999999999999996</v>
      </c>
    </row>
    <row r="3548" spans="1:12" x14ac:dyDescent="0.3">
      <c r="A3548" t="s">
        <v>3563</v>
      </c>
      <c r="B3548" t="s">
        <v>10</v>
      </c>
      <c r="C3548" t="s">
        <v>14</v>
      </c>
      <c r="D3548">
        <v>49</v>
      </c>
      <c r="E3548" s="1">
        <v>44959</v>
      </c>
      <c r="F3548">
        <v>2023</v>
      </c>
      <c r="G3548" t="s">
        <v>5042</v>
      </c>
      <c r="H3548">
        <v>2</v>
      </c>
      <c r="I3548">
        <v>3.39</v>
      </c>
      <c r="J3548">
        <v>8</v>
      </c>
      <c r="K3548">
        <v>14893.42</v>
      </c>
      <c r="L3548">
        <v>2.7</v>
      </c>
    </row>
    <row r="3549" spans="1:12" x14ac:dyDescent="0.3">
      <c r="A3549" t="s">
        <v>3564</v>
      </c>
      <c r="B3549" t="s">
        <v>34</v>
      </c>
      <c r="C3549" t="s">
        <v>11</v>
      </c>
      <c r="D3549">
        <v>43</v>
      </c>
      <c r="E3549" s="1">
        <v>42205</v>
      </c>
      <c r="F3549">
        <v>2015</v>
      </c>
      <c r="G3549" t="s">
        <v>5034</v>
      </c>
      <c r="H3549">
        <v>20</v>
      </c>
      <c r="I3549">
        <v>4.18</v>
      </c>
      <c r="J3549">
        <v>6</v>
      </c>
      <c r="K3549">
        <v>10414.459999999999</v>
      </c>
      <c r="L3549">
        <v>10.3</v>
      </c>
    </row>
    <row r="3550" spans="1:12" x14ac:dyDescent="0.3">
      <c r="A3550" t="s">
        <v>3565</v>
      </c>
      <c r="B3550" t="s">
        <v>16</v>
      </c>
      <c r="C3550" t="s">
        <v>11</v>
      </c>
      <c r="D3550">
        <v>40</v>
      </c>
      <c r="E3550" s="1">
        <v>43628</v>
      </c>
      <c r="F3550">
        <v>2019</v>
      </c>
      <c r="G3550" t="s">
        <v>5032</v>
      </c>
      <c r="H3550">
        <v>12</v>
      </c>
      <c r="I3550">
        <v>2.0099999999999998</v>
      </c>
      <c r="J3550">
        <v>13</v>
      </c>
      <c r="K3550">
        <v>4486.75</v>
      </c>
      <c r="L3550">
        <v>6.4</v>
      </c>
    </row>
    <row r="3551" spans="1:12" x14ac:dyDescent="0.3">
      <c r="A3551" t="s">
        <v>3566</v>
      </c>
      <c r="B3551" t="s">
        <v>18</v>
      </c>
      <c r="C3551" t="s">
        <v>11</v>
      </c>
      <c r="D3551">
        <v>36</v>
      </c>
      <c r="E3551" s="1">
        <v>44946</v>
      </c>
      <c r="F3551">
        <v>2023</v>
      </c>
      <c r="G3551" t="s">
        <v>5037</v>
      </c>
      <c r="H3551">
        <v>20</v>
      </c>
      <c r="I3551">
        <v>3.97</v>
      </c>
      <c r="J3551">
        <v>7</v>
      </c>
      <c r="K3551">
        <v>7559.3</v>
      </c>
      <c r="L3551">
        <v>2.8</v>
      </c>
    </row>
    <row r="3552" spans="1:12" x14ac:dyDescent="0.3">
      <c r="A3552" t="s">
        <v>3567</v>
      </c>
      <c r="B3552" t="s">
        <v>34</v>
      </c>
      <c r="C3552" t="s">
        <v>14</v>
      </c>
      <c r="D3552">
        <v>34</v>
      </c>
      <c r="E3552" s="1">
        <v>42543</v>
      </c>
      <c r="F3552">
        <v>2016</v>
      </c>
      <c r="G3552" t="s">
        <v>5032</v>
      </c>
      <c r="H3552">
        <v>22</v>
      </c>
      <c r="I3552">
        <v>4.33</v>
      </c>
      <c r="J3552">
        <v>11</v>
      </c>
      <c r="K3552">
        <v>3609.41</v>
      </c>
      <c r="L3552">
        <v>9.4</v>
      </c>
    </row>
    <row r="3553" spans="1:12" x14ac:dyDescent="0.3">
      <c r="A3553" t="s">
        <v>3568</v>
      </c>
      <c r="B3553" t="s">
        <v>16</v>
      </c>
      <c r="C3553" t="s">
        <v>14</v>
      </c>
      <c r="D3553">
        <v>30</v>
      </c>
      <c r="E3553" s="1">
        <v>43723</v>
      </c>
      <c r="F3553">
        <v>2019</v>
      </c>
      <c r="G3553" t="s">
        <v>5033</v>
      </c>
      <c r="H3553">
        <v>15</v>
      </c>
      <c r="I3553">
        <v>3.23</v>
      </c>
      <c r="J3553">
        <v>4</v>
      </c>
      <c r="K3553">
        <v>8416.14</v>
      </c>
      <c r="L3553">
        <v>6.1</v>
      </c>
    </row>
    <row r="3554" spans="1:12" x14ac:dyDescent="0.3">
      <c r="A3554" t="s">
        <v>3569</v>
      </c>
      <c r="B3554" t="s">
        <v>10</v>
      </c>
      <c r="C3554" t="s">
        <v>14</v>
      </c>
      <c r="D3554">
        <v>44</v>
      </c>
      <c r="E3554" s="1">
        <v>45241</v>
      </c>
      <c r="F3554">
        <v>2023</v>
      </c>
      <c r="G3554" t="s">
        <v>5038</v>
      </c>
      <c r="H3554">
        <v>11</v>
      </c>
      <c r="I3554">
        <v>4.3</v>
      </c>
      <c r="J3554">
        <v>11</v>
      </c>
      <c r="K3554">
        <v>5049.18</v>
      </c>
      <c r="L3554">
        <v>2</v>
      </c>
    </row>
    <row r="3555" spans="1:12" x14ac:dyDescent="0.3">
      <c r="A3555" t="s">
        <v>3570</v>
      </c>
      <c r="B3555" t="s">
        <v>18</v>
      </c>
      <c r="C3555" t="s">
        <v>14</v>
      </c>
      <c r="D3555">
        <v>57</v>
      </c>
      <c r="E3555" s="1">
        <v>43237</v>
      </c>
      <c r="F3555">
        <v>2018</v>
      </c>
      <c r="G3555" t="s">
        <v>5036</v>
      </c>
      <c r="H3555">
        <v>17</v>
      </c>
      <c r="I3555">
        <v>2.57</v>
      </c>
      <c r="J3555">
        <v>4</v>
      </c>
      <c r="K3555">
        <v>13426.9</v>
      </c>
      <c r="L3555">
        <v>7.5</v>
      </c>
    </row>
    <row r="3556" spans="1:12" x14ac:dyDescent="0.3">
      <c r="A3556" t="s">
        <v>3571</v>
      </c>
      <c r="B3556" t="s">
        <v>10</v>
      </c>
      <c r="C3556" t="s">
        <v>14</v>
      </c>
      <c r="D3556">
        <v>34</v>
      </c>
      <c r="E3556" s="1">
        <v>43643</v>
      </c>
      <c r="F3556">
        <v>2019</v>
      </c>
      <c r="G3556" t="s">
        <v>5032</v>
      </c>
      <c r="H3556">
        <v>27</v>
      </c>
      <c r="I3556">
        <v>2.5499999999999998</v>
      </c>
      <c r="J3556">
        <v>11</v>
      </c>
      <c r="K3556">
        <v>9184.26</v>
      </c>
      <c r="L3556">
        <v>6.4</v>
      </c>
    </row>
    <row r="3557" spans="1:12" x14ac:dyDescent="0.3">
      <c r="A3557" t="s">
        <v>3572</v>
      </c>
      <c r="B3557" t="s">
        <v>16</v>
      </c>
      <c r="C3557" t="s">
        <v>14</v>
      </c>
      <c r="D3557">
        <v>42</v>
      </c>
      <c r="E3557" s="1">
        <v>40870</v>
      </c>
      <c r="F3557">
        <v>2011</v>
      </c>
      <c r="G3557" t="s">
        <v>5038</v>
      </c>
      <c r="H3557">
        <v>23</v>
      </c>
      <c r="I3557">
        <v>2.65</v>
      </c>
      <c r="J3557">
        <v>2</v>
      </c>
      <c r="K3557">
        <v>4043.55</v>
      </c>
      <c r="L3557">
        <v>14</v>
      </c>
    </row>
    <row r="3558" spans="1:12" x14ac:dyDescent="0.3">
      <c r="A3558" t="s">
        <v>3573</v>
      </c>
      <c r="B3558" t="s">
        <v>13</v>
      </c>
      <c r="C3558" t="s">
        <v>11</v>
      </c>
      <c r="D3558">
        <v>31</v>
      </c>
      <c r="E3558" s="1">
        <v>40467</v>
      </c>
      <c r="F3558">
        <v>2010</v>
      </c>
      <c r="G3558" t="s">
        <v>5039</v>
      </c>
      <c r="H3558">
        <v>16</v>
      </c>
      <c r="I3558">
        <v>4.9400000000000004</v>
      </c>
      <c r="J3558">
        <v>6</v>
      </c>
      <c r="K3558">
        <v>7453.53</v>
      </c>
      <c r="L3558">
        <v>15.1</v>
      </c>
    </row>
    <row r="3559" spans="1:12" x14ac:dyDescent="0.3">
      <c r="A3559" t="s">
        <v>3574</v>
      </c>
      <c r="B3559" t="s">
        <v>16</v>
      </c>
      <c r="C3559" t="s">
        <v>11</v>
      </c>
      <c r="D3559">
        <v>50</v>
      </c>
      <c r="E3559" s="1">
        <v>45551</v>
      </c>
      <c r="F3559">
        <v>2024</v>
      </c>
      <c r="G3559" t="s">
        <v>5033</v>
      </c>
      <c r="H3559">
        <v>16</v>
      </c>
      <c r="I3559">
        <v>3.71</v>
      </c>
      <c r="J3559">
        <v>1</v>
      </c>
      <c r="K3559">
        <v>3445.28</v>
      </c>
      <c r="L3559">
        <v>1.1000000000000001</v>
      </c>
    </row>
    <row r="3560" spans="1:12" x14ac:dyDescent="0.3">
      <c r="A3560" t="s">
        <v>3575</v>
      </c>
      <c r="B3560" t="s">
        <v>34</v>
      </c>
      <c r="C3560" t="s">
        <v>14</v>
      </c>
      <c r="D3560">
        <v>37</v>
      </c>
      <c r="E3560" s="1">
        <v>44065</v>
      </c>
      <c r="F3560">
        <v>2020</v>
      </c>
      <c r="G3560" t="s">
        <v>5031</v>
      </c>
      <c r="H3560">
        <v>22</v>
      </c>
      <c r="I3560">
        <v>1.69</v>
      </c>
      <c r="J3560">
        <v>14</v>
      </c>
      <c r="K3560">
        <v>5765.83</v>
      </c>
      <c r="L3560">
        <v>5.2</v>
      </c>
    </row>
    <row r="3561" spans="1:12" x14ac:dyDescent="0.3">
      <c r="A3561" t="s">
        <v>3576</v>
      </c>
      <c r="B3561" t="s">
        <v>34</v>
      </c>
      <c r="C3561" t="s">
        <v>14</v>
      </c>
      <c r="D3561">
        <v>23</v>
      </c>
      <c r="E3561" s="1">
        <v>43899</v>
      </c>
      <c r="F3561">
        <v>2020</v>
      </c>
      <c r="G3561" t="s">
        <v>5035</v>
      </c>
      <c r="H3561">
        <v>9</v>
      </c>
      <c r="I3561">
        <v>3.73</v>
      </c>
      <c r="J3561">
        <v>15</v>
      </c>
      <c r="K3561">
        <v>12757.02</v>
      </c>
      <c r="L3561">
        <v>5.7</v>
      </c>
    </row>
    <row r="3562" spans="1:12" x14ac:dyDescent="0.3">
      <c r="A3562" t="s">
        <v>3577</v>
      </c>
      <c r="B3562" t="s">
        <v>34</v>
      </c>
      <c r="C3562" t="s">
        <v>14</v>
      </c>
      <c r="D3562">
        <v>38</v>
      </c>
      <c r="E3562" s="1">
        <v>42896</v>
      </c>
      <c r="F3562">
        <v>2017</v>
      </c>
      <c r="G3562" t="s">
        <v>5032</v>
      </c>
      <c r="H3562">
        <v>10</v>
      </c>
      <c r="I3562">
        <v>2.13</v>
      </c>
      <c r="J3562">
        <v>10</v>
      </c>
      <c r="K3562">
        <v>10687.06</v>
      </c>
      <c r="L3562">
        <v>8.4</v>
      </c>
    </row>
    <row r="3563" spans="1:12" x14ac:dyDescent="0.3">
      <c r="A3563" t="s">
        <v>3578</v>
      </c>
      <c r="B3563" t="s">
        <v>10</v>
      </c>
      <c r="C3563" t="s">
        <v>11</v>
      </c>
      <c r="D3563">
        <v>24</v>
      </c>
      <c r="E3563" s="1">
        <v>45183</v>
      </c>
      <c r="F3563">
        <v>2023</v>
      </c>
      <c r="G3563" t="s">
        <v>5033</v>
      </c>
      <c r="H3563">
        <v>14</v>
      </c>
      <c r="I3563">
        <v>4.13</v>
      </c>
      <c r="J3563">
        <v>13</v>
      </c>
      <c r="K3563">
        <v>11859.28</v>
      </c>
      <c r="L3563">
        <v>2.1</v>
      </c>
    </row>
    <row r="3564" spans="1:12" x14ac:dyDescent="0.3">
      <c r="A3564" t="s">
        <v>3579</v>
      </c>
      <c r="B3564" t="s">
        <v>16</v>
      </c>
      <c r="C3564" t="s">
        <v>14</v>
      </c>
      <c r="D3564">
        <v>50</v>
      </c>
      <c r="E3564" s="1">
        <v>44335</v>
      </c>
      <c r="F3564">
        <v>2021</v>
      </c>
      <c r="G3564" t="s">
        <v>5036</v>
      </c>
      <c r="H3564">
        <v>19</v>
      </c>
      <c r="I3564">
        <v>2.1800000000000002</v>
      </c>
      <c r="J3564">
        <v>5</v>
      </c>
      <c r="K3564">
        <v>9581.25</v>
      </c>
      <c r="L3564">
        <v>4.5</v>
      </c>
    </row>
    <row r="3565" spans="1:12" x14ac:dyDescent="0.3">
      <c r="A3565" t="s">
        <v>3580</v>
      </c>
      <c r="B3565" t="s">
        <v>10</v>
      </c>
      <c r="C3565" t="s">
        <v>11</v>
      </c>
      <c r="D3565">
        <v>30</v>
      </c>
      <c r="E3565" s="1">
        <v>44806</v>
      </c>
      <c r="F3565">
        <v>2022</v>
      </c>
      <c r="G3565" t="s">
        <v>5033</v>
      </c>
      <c r="H3565">
        <v>2</v>
      </c>
      <c r="I3565">
        <v>3.1</v>
      </c>
      <c r="J3565">
        <v>3</v>
      </c>
      <c r="K3565">
        <v>9860.06</v>
      </c>
      <c r="L3565">
        <v>3.2</v>
      </c>
    </row>
    <row r="3566" spans="1:12" x14ac:dyDescent="0.3">
      <c r="A3566" t="s">
        <v>3581</v>
      </c>
      <c r="B3566" t="s">
        <v>16</v>
      </c>
      <c r="C3566" t="s">
        <v>14</v>
      </c>
      <c r="D3566">
        <v>59</v>
      </c>
      <c r="E3566" s="1">
        <v>44831</v>
      </c>
      <c r="F3566">
        <v>2022</v>
      </c>
      <c r="G3566" t="s">
        <v>5033</v>
      </c>
      <c r="H3566">
        <v>27</v>
      </c>
      <c r="I3566">
        <v>3.94</v>
      </c>
      <c r="J3566">
        <v>5</v>
      </c>
      <c r="K3566">
        <v>7924.03</v>
      </c>
      <c r="L3566">
        <v>3.1</v>
      </c>
    </row>
    <row r="3567" spans="1:12" x14ac:dyDescent="0.3">
      <c r="A3567" t="s">
        <v>3582</v>
      </c>
      <c r="B3567" t="s">
        <v>24</v>
      </c>
      <c r="C3567" t="s">
        <v>14</v>
      </c>
      <c r="D3567">
        <v>52</v>
      </c>
      <c r="E3567" s="1">
        <v>43271</v>
      </c>
      <c r="F3567">
        <v>2018</v>
      </c>
      <c r="G3567" t="s">
        <v>5032</v>
      </c>
      <c r="H3567">
        <v>20</v>
      </c>
      <c r="I3567">
        <v>4.42</v>
      </c>
      <c r="J3567">
        <v>8</v>
      </c>
      <c r="K3567">
        <v>5270.21</v>
      </c>
      <c r="L3567">
        <v>7.4</v>
      </c>
    </row>
    <row r="3568" spans="1:12" x14ac:dyDescent="0.3">
      <c r="A3568" t="s">
        <v>3583</v>
      </c>
      <c r="B3568" t="s">
        <v>13</v>
      </c>
      <c r="C3568" t="s">
        <v>14</v>
      </c>
      <c r="D3568">
        <v>56</v>
      </c>
      <c r="E3568" s="1">
        <v>42019</v>
      </c>
      <c r="F3568">
        <v>2015</v>
      </c>
      <c r="G3568" t="s">
        <v>5037</v>
      </c>
      <c r="H3568">
        <v>15</v>
      </c>
      <c r="I3568">
        <v>3.78</v>
      </c>
      <c r="J3568">
        <v>4</v>
      </c>
      <c r="K3568">
        <v>4780.71</v>
      </c>
      <c r="L3568">
        <v>10.8</v>
      </c>
    </row>
    <row r="3569" spans="1:12" x14ac:dyDescent="0.3">
      <c r="A3569" t="s">
        <v>3584</v>
      </c>
      <c r="B3569" t="s">
        <v>24</v>
      </c>
      <c r="C3569" t="s">
        <v>14</v>
      </c>
      <c r="D3569">
        <v>40</v>
      </c>
      <c r="E3569" s="1">
        <v>43010</v>
      </c>
      <c r="F3569">
        <v>2017</v>
      </c>
      <c r="G3569" t="s">
        <v>5039</v>
      </c>
      <c r="H3569">
        <v>2</v>
      </c>
      <c r="I3569">
        <v>1.87</v>
      </c>
      <c r="J3569">
        <v>4</v>
      </c>
      <c r="K3569">
        <v>7960.35</v>
      </c>
      <c r="L3569">
        <v>8.1</v>
      </c>
    </row>
    <row r="3570" spans="1:12" x14ac:dyDescent="0.3">
      <c r="A3570" t="s">
        <v>3585</v>
      </c>
      <c r="B3570" t="s">
        <v>18</v>
      </c>
      <c r="C3570" t="s">
        <v>14</v>
      </c>
      <c r="D3570">
        <v>46</v>
      </c>
      <c r="E3570" s="1">
        <v>43896</v>
      </c>
      <c r="F3570">
        <v>2020</v>
      </c>
      <c r="G3570" t="s">
        <v>5035</v>
      </c>
      <c r="H3570">
        <v>6</v>
      </c>
      <c r="I3570">
        <v>2.5499999999999998</v>
      </c>
      <c r="J3570">
        <v>6</v>
      </c>
      <c r="K3570">
        <v>6850.22</v>
      </c>
      <c r="L3570">
        <v>5.7</v>
      </c>
    </row>
    <row r="3571" spans="1:12" x14ac:dyDescent="0.3">
      <c r="A3571" t="s">
        <v>3586</v>
      </c>
      <c r="B3571" t="s">
        <v>18</v>
      </c>
      <c r="C3571" t="s">
        <v>14</v>
      </c>
      <c r="D3571">
        <v>45</v>
      </c>
      <c r="E3571" s="1">
        <v>42360</v>
      </c>
      <c r="F3571">
        <v>2015</v>
      </c>
      <c r="G3571" t="s">
        <v>5041</v>
      </c>
      <c r="H3571">
        <v>22</v>
      </c>
      <c r="I3571">
        <v>4.3</v>
      </c>
      <c r="J3571">
        <v>6</v>
      </c>
      <c r="K3571">
        <v>5372.59</v>
      </c>
      <c r="L3571">
        <v>9.9</v>
      </c>
    </row>
    <row r="3572" spans="1:12" x14ac:dyDescent="0.3">
      <c r="A3572" t="s">
        <v>3587</v>
      </c>
      <c r="B3572" t="s">
        <v>16</v>
      </c>
      <c r="C3572" t="s">
        <v>11</v>
      </c>
      <c r="D3572">
        <v>46</v>
      </c>
      <c r="E3572" s="1">
        <v>45798</v>
      </c>
      <c r="F3572">
        <v>2025</v>
      </c>
      <c r="G3572" t="s">
        <v>5036</v>
      </c>
      <c r="H3572">
        <v>21</v>
      </c>
      <c r="I3572">
        <v>3.12</v>
      </c>
      <c r="J3572">
        <v>0</v>
      </c>
      <c r="K3572">
        <v>14156.75</v>
      </c>
      <c r="L3572">
        <v>0.4</v>
      </c>
    </row>
    <row r="3573" spans="1:12" x14ac:dyDescent="0.3">
      <c r="A3573" t="s">
        <v>3588</v>
      </c>
      <c r="B3573" t="s">
        <v>24</v>
      </c>
      <c r="C3573" t="s">
        <v>11</v>
      </c>
      <c r="D3573">
        <v>40</v>
      </c>
      <c r="E3573" s="1">
        <v>40561</v>
      </c>
      <c r="F3573">
        <v>2011</v>
      </c>
      <c r="G3573" t="s">
        <v>5037</v>
      </c>
      <c r="H3573">
        <v>18</v>
      </c>
      <c r="I3573">
        <v>4.24</v>
      </c>
      <c r="J3573">
        <v>6</v>
      </c>
      <c r="K3573">
        <v>6611.32</v>
      </c>
      <c r="L3573">
        <v>14.8</v>
      </c>
    </row>
    <row r="3574" spans="1:12" x14ac:dyDescent="0.3">
      <c r="A3574" t="s">
        <v>3589</v>
      </c>
      <c r="B3574" t="s">
        <v>13</v>
      </c>
      <c r="C3574" t="s">
        <v>14</v>
      </c>
      <c r="D3574">
        <v>59</v>
      </c>
      <c r="E3574" s="1">
        <v>41470</v>
      </c>
      <c r="F3574">
        <v>2013</v>
      </c>
      <c r="G3574" t="s">
        <v>5034</v>
      </c>
      <c r="H3574">
        <v>15</v>
      </c>
      <c r="I3574">
        <v>3.82</v>
      </c>
      <c r="J3574">
        <v>0</v>
      </c>
      <c r="K3574">
        <v>7599.54</v>
      </c>
      <c r="L3574">
        <v>12.3</v>
      </c>
    </row>
    <row r="3575" spans="1:12" x14ac:dyDescent="0.3">
      <c r="A3575" t="s">
        <v>3590</v>
      </c>
      <c r="B3575" t="s">
        <v>13</v>
      </c>
      <c r="C3575" t="s">
        <v>14</v>
      </c>
      <c r="D3575">
        <v>60</v>
      </c>
      <c r="E3575" s="1">
        <v>42373</v>
      </c>
      <c r="F3575">
        <v>2016</v>
      </c>
      <c r="G3575" t="s">
        <v>5037</v>
      </c>
      <c r="H3575">
        <v>4</v>
      </c>
      <c r="I3575">
        <v>3.54</v>
      </c>
      <c r="J3575">
        <v>6</v>
      </c>
      <c r="K3575">
        <v>7088.85</v>
      </c>
      <c r="L3575">
        <v>9.8000000000000007</v>
      </c>
    </row>
    <row r="3576" spans="1:12" x14ac:dyDescent="0.3">
      <c r="A3576" t="s">
        <v>3591</v>
      </c>
      <c r="B3576" t="s">
        <v>34</v>
      </c>
      <c r="C3576" t="s">
        <v>14</v>
      </c>
      <c r="D3576">
        <v>35</v>
      </c>
      <c r="E3576" s="1">
        <v>41794</v>
      </c>
      <c r="F3576">
        <v>2014</v>
      </c>
      <c r="G3576" t="s">
        <v>5032</v>
      </c>
      <c r="H3576">
        <v>4</v>
      </c>
      <c r="I3576">
        <v>3</v>
      </c>
      <c r="J3576">
        <v>2</v>
      </c>
      <c r="K3576">
        <v>6625.6</v>
      </c>
      <c r="L3576">
        <v>11.4</v>
      </c>
    </row>
    <row r="3577" spans="1:12" x14ac:dyDescent="0.3">
      <c r="A3577" t="s">
        <v>3592</v>
      </c>
      <c r="B3577" t="s">
        <v>34</v>
      </c>
      <c r="C3577" t="s">
        <v>14</v>
      </c>
      <c r="D3577">
        <v>25</v>
      </c>
      <c r="E3577" s="1">
        <v>42338</v>
      </c>
      <c r="F3577">
        <v>2015</v>
      </c>
      <c r="G3577" t="s">
        <v>5038</v>
      </c>
      <c r="H3577">
        <v>30</v>
      </c>
      <c r="I3577">
        <v>3.73</v>
      </c>
      <c r="J3577">
        <v>2</v>
      </c>
      <c r="K3577">
        <v>9955.1</v>
      </c>
      <c r="L3577">
        <v>9.9</v>
      </c>
    </row>
    <row r="3578" spans="1:12" x14ac:dyDescent="0.3">
      <c r="A3578" t="s">
        <v>3593</v>
      </c>
      <c r="B3578" t="s">
        <v>24</v>
      </c>
      <c r="C3578" t="s">
        <v>11</v>
      </c>
      <c r="D3578">
        <v>32</v>
      </c>
      <c r="E3578" s="1">
        <v>41988</v>
      </c>
      <c r="F3578">
        <v>2014</v>
      </c>
      <c r="G3578" t="s">
        <v>5041</v>
      </c>
      <c r="H3578">
        <v>15</v>
      </c>
      <c r="I3578">
        <v>2.23</v>
      </c>
      <c r="J3578">
        <v>7</v>
      </c>
      <c r="K3578">
        <v>11545.95</v>
      </c>
      <c r="L3578">
        <v>10.9</v>
      </c>
    </row>
    <row r="3579" spans="1:12" x14ac:dyDescent="0.3">
      <c r="A3579" t="s">
        <v>3594</v>
      </c>
      <c r="B3579" t="s">
        <v>16</v>
      </c>
      <c r="C3579" t="s">
        <v>11</v>
      </c>
      <c r="D3579">
        <v>37</v>
      </c>
      <c r="E3579" s="1">
        <v>40780</v>
      </c>
      <c r="F3579">
        <v>2011</v>
      </c>
      <c r="G3579" t="s">
        <v>5031</v>
      </c>
      <c r="H3579">
        <v>25</v>
      </c>
      <c r="I3579">
        <v>2.68</v>
      </c>
      <c r="J3579">
        <v>8</v>
      </c>
      <c r="K3579">
        <v>9180.1299999999992</v>
      </c>
      <c r="L3579">
        <v>14.2</v>
      </c>
    </row>
    <row r="3580" spans="1:12" x14ac:dyDescent="0.3">
      <c r="A3580" t="s">
        <v>3595</v>
      </c>
      <c r="B3580" t="s">
        <v>24</v>
      </c>
      <c r="C3580" t="s">
        <v>14</v>
      </c>
      <c r="D3580">
        <v>60</v>
      </c>
      <c r="E3580" s="1">
        <v>44220</v>
      </c>
      <c r="F3580">
        <v>2021</v>
      </c>
      <c r="G3580" t="s">
        <v>5037</v>
      </c>
      <c r="H3580">
        <v>24</v>
      </c>
      <c r="I3580">
        <v>3.11</v>
      </c>
      <c r="J3580">
        <v>12</v>
      </c>
      <c r="K3580">
        <v>3494.72</v>
      </c>
      <c r="L3580">
        <v>4.8</v>
      </c>
    </row>
    <row r="3581" spans="1:12" x14ac:dyDescent="0.3">
      <c r="A3581" t="s">
        <v>3596</v>
      </c>
      <c r="B3581" t="s">
        <v>16</v>
      </c>
      <c r="C3581" t="s">
        <v>11</v>
      </c>
      <c r="D3581">
        <v>26</v>
      </c>
      <c r="E3581" s="1">
        <v>42479</v>
      </c>
      <c r="F3581">
        <v>2016</v>
      </c>
      <c r="G3581" t="s">
        <v>5040</v>
      </c>
      <c r="H3581">
        <v>19</v>
      </c>
      <c r="I3581">
        <v>4.57</v>
      </c>
      <c r="J3581">
        <v>13</v>
      </c>
      <c r="K3581">
        <v>11540.38</v>
      </c>
      <c r="L3581">
        <v>9.5</v>
      </c>
    </row>
    <row r="3582" spans="1:12" x14ac:dyDescent="0.3">
      <c r="A3582" t="s">
        <v>3597</v>
      </c>
      <c r="B3582" t="s">
        <v>18</v>
      </c>
      <c r="C3582" t="s">
        <v>14</v>
      </c>
      <c r="D3582">
        <v>56</v>
      </c>
      <c r="E3582" s="1">
        <v>42243</v>
      </c>
      <c r="F3582">
        <v>2015</v>
      </c>
      <c r="G3582" t="s">
        <v>5031</v>
      </c>
      <c r="H3582">
        <v>27</v>
      </c>
      <c r="I3582">
        <v>4.41</v>
      </c>
      <c r="J3582">
        <v>7</v>
      </c>
      <c r="K3582">
        <v>10496.12</v>
      </c>
      <c r="L3582">
        <v>10.199999999999999</v>
      </c>
    </row>
    <row r="3583" spans="1:12" x14ac:dyDescent="0.3">
      <c r="A3583" t="s">
        <v>3598</v>
      </c>
      <c r="B3583" t="s">
        <v>10</v>
      </c>
      <c r="C3583" t="s">
        <v>14</v>
      </c>
      <c r="D3583">
        <v>23</v>
      </c>
      <c r="E3583" s="1">
        <v>45701</v>
      </c>
      <c r="F3583">
        <v>2025</v>
      </c>
      <c r="G3583" t="s">
        <v>5042</v>
      </c>
      <c r="H3583">
        <v>13</v>
      </c>
      <c r="I3583">
        <v>2.14</v>
      </c>
      <c r="J3583">
        <v>7</v>
      </c>
      <c r="K3583">
        <v>5795.53</v>
      </c>
      <c r="L3583">
        <v>0.7</v>
      </c>
    </row>
    <row r="3584" spans="1:12" x14ac:dyDescent="0.3">
      <c r="A3584" t="s">
        <v>3599</v>
      </c>
      <c r="B3584" t="s">
        <v>18</v>
      </c>
      <c r="C3584" t="s">
        <v>11</v>
      </c>
      <c r="D3584">
        <v>29</v>
      </c>
      <c r="E3584" s="1">
        <v>43521</v>
      </c>
      <c r="F3584">
        <v>2019</v>
      </c>
      <c r="G3584" t="s">
        <v>5042</v>
      </c>
      <c r="H3584">
        <v>25</v>
      </c>
      <c r="I3584">
        <v>4.88</v>
      </c>
      <c r="J3584">
        <v>8</v>
      </c>
      <c r="K3584">
        <v>6660.58</v>
      </c>
      <c r="L3584">
        <v>6.7</v>
      </c>
    </row>
    <row r="3585" spans="1:12" x14ac:dyDescent="0.3">
      <c r="A3585" t="s">
        <v>3600</v>
      </c>
      <c r="B3585" t="s">
        <v>18</v>
      </c>
      <c r="C3585" t="s">
        <v>14</v>
      </c>
      <c r="D3585">
        <v>54</v>
      </c>
      <c r="E3585" s="1">
        <v>43901</v>
      </c>
      <c r="F3585">
        <v>2020</v>
      </c>
      <c r="G3585" t="s">
        <v>5035</v>
      </c>
      <c r="H3585">
        <v>11</v>
      </c>
      <c r="I3585">
        <v>4.5</v>
      </c>
      <c r="J3585">
        <v>14</v>
      </c>
      <c r="K3585">
        <v>8005.9</v>
      </c>
      <c r="L3585">
        <v>5.6</v>
      </c>
    </row>
    <row r="3586" spans="1:12" x14ac:dyDescent="0.3">
      <c r="A3586" t="s">
        <v>3601</v>
      </c>
      <c r="B3586" t="s">
        <v>24</v>
      </c>
      <c r="C3586" t="s">
        <v>14</v>
      </c>
      <c r="D3586">
        <v>46</v>
      </c>
      <c r="E3586" s="1">
        <v>44561</v>
      </c>
      <c r="F3586">
        <v>2021</v>
      </c>
      <c r="G3586" t="s">
        <v>5041</v>
      </c>
      <c r="H3586">
        <v>31</v>
      </c>
      <c r="I3586">
        <v>2.23</v>
      </c>
      <c r="J3586">
        <v>5</v>
      </c>
      <c r="K3586">
        <v>9575.9500000000007</v>
      </c>
      <c r="L3586">
        <v>3.8</v>
      </c>
    </row>
    <row r="3587" spans="1:12" x14ac:dyDescent="0.3">
      <c r="A3587" t="s">
        <v>3602</v>
      </c>
      <c r="B3587" t="s">
        <v>16</v>
      </c>
      <c r="C3587" t="s">
        <v>11</v>
      </c>
      <c r="D3587">
        <v>40</v>
      </c>
      <c r="E3587" s="1">
        <v>44601</v>
      </c>
      <c r="F3587">
        <v>2022</v>
      </c>
      <c r="G3587" t="s">
        <v>5042</v>
      </c>
      <c r="H3587">
        <v>9</v>
      </c>
      <c r="I3587">
        <v>3.5</v>
      </c>
      <c r="J3587">
        <v>9</v>
      </c>
      <c r="K3587">
        <v>5857.73</v>
      </c>
      <c r="L3587">
        <v>3.7</v>
      </c>
    </row>
    <row r="3588" spans="1:12" x14ac:dyDescent="0.3">
      <c r="A3588" t="s">
        <v>3603</v>
      </c>
      <c r="B3588" t="s">
        <v>13</v>
      </c>
      <c r="C3588" t="s">
        <v>11</v>
      </c>
      <c r="D3588">
        <v>51</v>
      </c>
      <c r="E3588" s="1">
        <v>43544</v>
      </c>
      <c r="F3588">
        <v>2019</v>
      </c>
      <c r="G3588" t="s">
        <v>5035</v>
      </c>
      <c r="H3588">
        <v>20</v>
      </c>
      <c r="I3588">
        <v>1.51</v>
      </c>
      <c r="J3588">
        <v>3</v>
      </c>
      <c r="K3588">
        <v>10611.84</v>
      </c>
      <c r="L3588">
        <v>6.6</v>
      </c>
    </row>
    <row r="3589" spans="1:12" x14ac:dyDescent="0.3">
      <c r="A3589" t="s">
        <v>3604</v>
      </c>
      <c r="B3589" t="s">
        <v>10</v>
      </c>
      <c r="C3589" t="s">
        <v>14</v>
      </c>
      <c r="D3589">
        <v>42</v>
      </c>
      <c r="E3589" s="1">
        <v>42999</v>
      </c>
      <c r="F3589">
        <v>2017</v>
      </c>
      <c r="G3589" t="s">
        <v>5033</v>
      </c>
      <c r="H3589">
        <v>21</v>
      </c>
      <c r="I3589">
        <v>3.72</v>
      </c>
      <c r="J3589">
        <v>15</v>
      </c>
      <c r="K3589">
        <v>4712.3900000000003</v>
      </c>
      <c r="L3589">
        <v>8.1</v>
      </c>
    </row>
    <row r="3590" spans="1:12" x14ac:dyDescent="0.3">
      <c r="A3590" t="s">
        <v>3605</v>
      </c>
      <c r="B3590" t="s">
        <v>16</v>
      </c>
      <c r="C3590" t="s">
        <v>11</v>
      </c>
      <c r="D3590">
        <v>38</v>
      </c>
      <c r="E3590" s="1">
        <v>40220</v>
      </c>
      <c r="F3590">
        <v>2010</v>
      </c>
      <c r="G3590" t="s">
        <v>5042</v>
      </c>
      <c r="H3590">
        <v>11</v>
      </c>
      <c r="I3590">
        <v>4.09</v>
      </c>
      <c r="J3590">
        <v>14</v>
      </c>
      <c r="K3590">
        <v>7217.91</v>
      </c>
      <c r="L3590">
        <v>15.7</v>
      </c>
    </row>
    <row r="3591" spans="1:12" x14ac:dyDescent="0.3">
      <c r="A3591" t="s">
        <v>3606</v>
      </c>
      <c r="B3591" t="s">
        <v>16</v>
      </c>
      <c r="C3591" t="s">
        <v>14</v>
      </c>
      <c r="D3591">
        <v>28</v>
      </c>
      <c r="E3591" s="1">
        <v>45767</v>
      </c>
      <c r="F3591">
        <v>2025</v>
      </c>
      <c r="G3591" t="s">
        <v>5040</v>
      </c>
      <c r="H3591">
        <v>20</v>
      </c>
      <c r="I3591">
        <v>4.92</v>
      </c>
      <c r="J3591">
        <v>11</v>
      </c>
      <c r="K3591">
        <v>7482.39</v>
      </c>
      <c r="L3591">
        <v>0.5</v>
      </c>
    </row>
    <row r="3592" spans="1:12" x14ac:dyDescent="0.3">
      <c r="A3592" t="s">
        <v>3607</v>
      </c>
      <c r="B3592" t="s">
        <v>10</v>
      </c>
      <c r="C3592" t="s">
        <v>14</v>
      </c>
      <c r="D3592">
        <v>42</v>
      </c>
      <c r="E3592" s="1">
        <v>40250</v>
      </c>
      <c r="F3592">
        <v>2010</v>
      </c>
      <c r="G3592" t="s">
        <v>5035</v>
      </c>
      <c r="H3592">
        <v>13</v>
      </c>
      <c r="I3592">
        <v>2.5499999999999998</v>
      </c>
      <c r="J3592">
        <v>2</v>
      </c>
      <c r="K3592">
        <v>4076.89</v>
      </c>
      <c r="L3592">
        <v>15.6</v>
      </c>
    </row>
    <row r="3593" spans="1:12" x14ac:dyDescent="0.3">
      <c r="A3593" t="s">
        <v>3608</v>
      </c>
      <c r="B3593" t="s">
        <v>10</v>
      </c>
      <c r="C3593" t="s">
        <v>11</v>
      </c>
      <c r="D3593">
        <v>22</v>
      </c>
      <c r="E3593" s="1">
        <v>40622</v>
      </c>
      <c r="F3593">
        <v>2011</v>
      </c>
      <c r="G3593" t="s">
        <v>5035</v>
      </c>
      <c r="H3593">
        <v>20</v>
      </c>
      <c r="I3593">
        <v>2.73</v>
      </c>
      <c r="J3593">
        <v>13</v>
      </c>
      <c r="K3593">
        <v>4261.4399999999996</v>
      </c>
      <c r="L3593">
        <v>14.6</v>
      </c>
    </row>
    <row r="3594" spans="1:12" x14ac:dyDescent="0.3">
      <c r="A3594" t="s">
        <v>3609</v>
      </c>
      <c r="B3594" t="s">
        <v>10</v>
      </c>
      <c r="C3594" t="s">
        <v>14</v>
      </c>
      <c r="D3594">
        <v>27</v>
      </c>
      <c r="E3594" s="1">
        <v>44197</v>
      </c>
      <c r="F3594">
        <v>2021</v>
      </c>
      <c r="G3594" t="s">
        <v>5037</v>
      </c>
      <c r="H3594">
        <v>1</v>
      </c>
      <c r="I3594">
        <v>1.85</v>
      </c>
      <c r="J3594">
        <v>8</v>
      </c>
      <c r="K3594">
        <v>4221.32</v>
      </c>
      <c r="L3594">
        <v>4.8</v>
      </c>
    </row>
    <row r="3595" spans="1:12" x14ac:dyDescent="0.3">
      <c r="A3595" t="s">
        <v>3610</v>
      </c>
      <c r="B3595" t="s">
        <v>16</v>
      </c>
      <c r="C3595" t="s">
        <v>11</v>
      </c>
      <c r="D3595">
        <v>28</v>
      </c>
      <c r="E3595" s="1">
        <v>41391</v>
      </c>
      <c r="F3595">
        <v>2013</v>
      </c>
      <c r="G3595" t="s">
        <v>5040</v>
      </c>
      <c r="H3595">
        <v>27</v>
      </c>
      <c r="I3595">
        <v>4.8600000000000003</v>
      </c>
      <c r="J3595">
        <v>6</v>
      </c>
      <c r="K3595">
        <v>13062.23</v>
      </c>
      <c r="L3595">
        <v>12.5</v>
      </c>
    </row>
    <row r="3596" spans="1:12" x14ac:dyDescent="0.3">
      <c r="A3596" t="s">
        <v>3611</v>
      </c>
      <c r="B3596" t="s">
        <v>13</v>
      </c>
      <c r="C3596" t="s">
        <v>11</v>
      </c>
      <c r="D3596">
        <v>48</v>
      </c>
      <c r="E3596" s="1">
        <v>44295</v>
      </c>
      <c r="F3596">
        <v>2021</v>
      </c>
      <c r="G3596" t="s">
        <v>5040</v>
      </c>
      <c r="H3596">
        <v>9</v>
      </c>
      <c r="I3596">
        <v>4.37</v>
      </c>
      <c r="J3596">
        <v>15</v>
      </c>
      <c r="K3596">
        <v>13948.91</v>
      </c>
      <c r="L3596">
        <v>4.5999999999999996</v>
      </c>
    </row>
    <row r="3597" spans="1:12" x14ac:dyDescent="0.3">
      <c r="A3597" t="s">
        <v>3612</v>
      </c>
      <c r="B3597" t="s">
        <v>10</v>
      </c>
      <c r="C3597" t="s">
        <v>14</v>
      </c>
      <c r="D3597">
        <v>25</v>
      </c>
      <c r="E3597" s="1">
        <v>40580</v>
      </c>
      <c r="F3597">
        <v>2011</v>
      </c>
      <c r="G3597" t="s">
        <v>5042</v>
      </c>
      <c r="H3597">
        <v>6</v>
      </c>
      <c r="I3597">
        <v>2.36</v>
      </c>
      <c r="J3597">
        <v>10</v>
      </c>
      <c r="K3597">
        <v>7037.68</v>
      </c>
      <c r="L3597">
        <v>14.7</v>
      </c>
    </row>
    <row r="3598" spans="1:12" x14ac:dyDescent="0.3">
      <c r="A3598" t="s">
        <v>3613</v>
      </c>
      <c r="B3598" t="s">
        <v>10</v>
      </c>
      <c r="C3598" t="s">
        <v>11</v>
      </c>
      <c r="D3598">
        <v>25</v>
      </c>
      <c r="E3598" s="1">
        <v>45908</v>
      </c>
      <c r="F3598">
        <v>2025</v>
      </c>
      <c r="G3598" t="s">
        <v>5033</v>
      </c>
      <c r="H3598">
        <v>8</v>
      </c>
      <c r="I3598">
        <v>4.9800000000000004</v>
      </c>
      <c r="J3598">
        <v>1</v>
      </c>
      <c r="K3598">
        <v>5634.12</v>
      </c>
      <c r="L3598">
        <v>0.1</v>
      </c>
    </row>
    <row r="3599" spans="1:12" x14ac:dyDescent="0.3">
      <c r="A3599" t="s">
        <v>3614</v>
      </c>
      <c r="B3599" t="s">
        <v>13</v>
      </c>
      <c r="C3599" t="s">
        <v>14</v>
      </c>
      <c r="D3599">
        <v>32</v>
      </c>
      <c r="E3599" s="1">
        <v>44597</v>
      </c>
      <c r="F3599">
        <v>2022</v>
      </c>
      <c r="G3599" t="s">
        <v>5042</v>
      </c>
      <c r="H3599">
        <v>5</v>
      </c>
      <c r="I3599">
        <v>2.91</v>
      </c>
      <c r="J3599">
        <v>9</v>
      </c>
      <c r="K3599">
        <v>13187.47</v>
      </c>
      <c r="L3599">
        <v>3.7</v>
      </c>
    </row>
    <row r="3600" spans="1:12" x14ac:dyDescent="0.3">
      <c r="A3600" t="s">
        <v>3615</v>
      </c>
      <c r="B3600" t="s">
        <v>18</v>
      </c>
      <c r="C3600" t="s">
        <v>14</v>
      </c>
      <c r="D3600">
        <v>57</v>
      </c>
      <c r="E3600" s="1">
        <v>45036</v>
      </c>
      <c r="F3600">
        <v>2023</v>
      </c>
      <c r="G3600" t="s">
        <v>5040</v>
      </c>
      <c r="H3600">
        <v>20</v>
      </c>
      <c r="I3600">
        <v>4.92</v>
      </c>
      <c r="J3600">
        <v>3</v>
      </c>
      <c r="K3600">
        <v>8945.99</v>
      </c>
      <c r="L3600">
        <v>2.5</v>
      </c>
    </row>
    <row r="3601" spans="1:12" x14ac:dyDescent="0.3">
      <c r="A3601" t="s">
        <v>3616</v>
      </c>
      <c r="B3601" t="s">
        <v>24</v>
      </c>
      <c r="C3601" t="s">
        <v>14</v>
      </c>
      <c r="D3601">
        <v>38</v>
      </c>
      <c r="E3601" s="1">
        <v>45351</v>
      </c>
      <c r="F3601">
        <v>2024</v>
      </c>
      <c r="G3601" t="s">
        <v>5042</v>
      </c>
      <c r="H3601">
        <v>29</v>
      </c>
      <c r="I3601">
        <v>1.8</v>
      </c>
      <c r="J3601">
        <v>3</v>
      </c>
      <c r="K3601">
        <v>12092.75</v>
      </c>
      <c r="L3601">
        <v>1.7</v>
      </c>
    </row>
    <row r="3602" spans="1:12" x14ac:dyDescent="0.3">
      <c r="A3602" t="s">
        <v>3617</v>
      </c>
      <c r="B3602" t="s">
        <v>16</v>
      </c>
      <c r="C3602" t="s">
        <v>11</v>
      </c>
      <c r="D3602">
        <v>52</v>
      </c>
      <c r="E3602" s="1">
        <v>41128</v>
      </c>
      <c r="F3602">
        <v>2012</v>
      </c>
      <c r="G3602" t="s">
        <v>5031</v>
      </c>
      <c r="H3602">
        <v>7</v>
      </c>
      <c r="I3602">
        <v>2.5299999999999998</v>
      </c>
      <c r="J3602">
        <v>3</v>
      </c>
      <c r="K3602">
        <v>7537.62</v>
      </c>
      <c r="L3602">
        <v>13.2</v>
      </c>
    </row>
    <row r="3603" spans="1:12" x14ac:dyDescent="0.3">
      <c r="A3603" t="s">
        <v>3618</v>
      </c>
      <c r="B3603" t="s">
        <v>16</v>
      </c>
      <c r="C3603" t="s">
        <v>14</v>
      </c>
      <c r="D3603">
        <v>25</v>
      </c>
      <c r="E3603" s="1">
        <v>40995</v>
      </c>
      <c r="F3603">
        <v>2012</v>
      </c>
      <c r="G3603" t="s">
        <v>5035</v>
      </c>
      <c r="H3603">
        <v>27</v>
      </c>
      <c r="I3603">
        <v>2.2200000000000002</v>
      </c>
      <c r="J3603">
        <v>1</v>
      </c>
      <c r="K3603">
        <v>10394.950000000001</v>
      </c>
      <c r="L3603">
        <v>13.6</v>
      </c>
    </row>
    <row r="3604" spans="1:12" x14ac:dyDescent="0.3">
      <c r="A3604" t="s">
        <v>3619</v>
      </c>
      <c r="B3604" t="s">
        <v>18</v>
      </c>
      <c r="C3604" t="s">
        <v>11</v>
      </c>
      <c r="D3604">
        <v>36</v>
      </c>
      <c r="E3604" s="1">
        <v>41634</v>
      </c>
      <c r="F3604">
        <v>2013</v>
      </c>
      <c r="G3604" t="s">
        <v>5041</v>
      </c>
      <c r="H3604">
        <v>26</v>
      </c>
      <c r="I3604">
        <v>3.96</v>
      </c>
      <c r="J3604">
        <v>2</v>
      </c>
      <c r="K3604">
        <v>11296.61</v>
      </c>
      <c r="L3604">
        <v>11.9</v>
      </c>
    </row>
    <row r="3605" spans="1:12" x14ac:dyDescent="0.3">
      <c r="A3605" t="s">
        <v>3620</v>
      </c>
      <c r="B3605" t="s">
        <v>34</v>
      </c>
      <c r="C3605" t="s">
        <v>14</v>
      </c>
      <c r="D3605">
        <v>42</v>
      </c>
      <c r="E3605" s="1">
        <v>43834</v>
      </c>
      <c r="F3605">
        <v>2020</v>
      </c>
      <c r="G3605" t="s">
        <v>5037</v>
      </c>
      <c r="H3605">
        <v>4</v>
      </c>
      <c r="I3605">
        <v>3.01</v>
      </c>
      <c r="J3605">
        <v>7</v>
      </c>
      <c r="K3605">
        <v>14678.76</v>
      </c>
      <c r="L3605">
        <v>5.8</v>
      </c>
    </row>
    <row r="3606" spans="1:12" x14ac:dyDescent="0.3">
      <c r="A3606" t="s">
        <v>3621</v>
      </c>
      <c r="B3606" t="s">
        <v>16</v>
      </c>
      <c r="C3606" t="s">
        <v>14</v>
      </c>
      <c r="D3606">
        <v>45</v>
      </c>
      <c r="E3606" s="1">
        <v>43897</v>
      </c>
      <c r="F3606">
        <v>2020</v>
      </c>
      <c r="G3606" t="s">
        <v>5035</v>
      </c>
      <c r="H3606">
        <v>7</v>
      </c>
      <c r="I3606">
        <v>2.46</v>
      </c>
      <c r="J3606">
        <v>9</v>
      </c>
      <c r="K3606">
        <v>5872.59</v>
      </c>
      <c r="L3606">
        <v>5.7</v>
      </c>
    </row>
    <row r="3607" spans="1:12" x14ac:dyDescent="0.3">
      <c r="A3607" t="s">
        <v>3622</v>
      </c>
      <c r="B3607" t="s">
        <v>16</v>
      </c>
      <c r="C3607" t="s">
        <v>14</v>
      </c>
      <c r="D3607">
        <v>47</v>
      </c>
      <c r="E3607" s="1">
        <v>43862</v>
      </c>
      <c r="F3607">
        <v>2020</v>
      </c>
      <c r="G3607" t="s">
        <v>5042</v>
      </c>
      <c r="H3607">
        <v>1</v>
      </c>
      <c r="I3607">
        <v>1.87</v>
      </c>
      <c r="J3607">
        <v>9</v>
      </c>
      <c r="K3607">
        <v>12281.35</v>
      </c>
      <c r="L3607">
        <v>5.8</v>
      </c>
    </row>
    <row r="3608" spans="1:12" x14ac:dyDescent="0.3">
      <c r="A3608" t="s">
        <v>3623</v>
      </c>
      <c r="B3608" t="s">
        <v>10</v>
      </c>
      <c r="C3608" t="s">
        <v>11</v>
      </c>
      <c r="D3608">
        <v>52</v>
      </c>
      <c r="E3608" s="1">
        <v>45327</v>
      </c>
      <c r="F3608">
        <v>2024</v>
      </c>
      <c r="G3608" t="s">
        <v>5042</v>
      </c>
      <c r="H3608">
        <v>5</v>
      </c>
      <c r="I3608">
        <v>3.41</v>
      </c>
      <c r="J3608">
        <v>15</v>
      </c>
      <c r="K3608">
        <v>14069.56</v>
      </c>
      <c r="L3608">
        <v>1.7</v>
      </c>
    </row>
    <row r="3609" spans="1:12" x14ac:dyDescent="0.3">
      <c r="A3609" t="s">
        <v>3624</v>
      </c>
      <c r="B3609" t="s">
        <v>18</v>
      </c>
      <c r="C3609" t="s">
        <v>11</v>
      </c>
      <c r="D3609">
        <v>31</v>
      </c>
      <c r="E3609" s="1">
        <v>44585</v>
      </c>
      <c r="F3609">
        <v>2022</v>
      </c>
      <c r="G3609" t="s">
        <v>5037</v>
      </c>
      <c r="H3609">
        <v>24</v>
      </c>
      <c r="I3609">
        <v>2.31</v>
      </c>
      <c r="J3609">
        <v>2</v>
      </c>
      <c r="K3609">
        <v>10878.8</v>
      </c>
      <c r="L3609">
        <v>3.8</v>
      </c>
    </row>
    <row r="3610" spans="1:12" x14ac:dyDescent="0.3">
      <c r="A3610" t="s">
        <v>3625</v>
      </c>
      <c r="B3610" t="s">
        <v>16</v>
      </c>
      <c r="C3610" t="s">
        <v>11</v>
      </c>
      <c r="D3610">
        <v>59</v>
      </c>
      <c r="E3610" s="1">
        <v>43286</v>
      </c>
      <c r="F3610">
        <v>2018</v>
      </c>
      <c r="G3610" t="s">
        <v>5034</v>
      </c>
      <c r="H3610">
        <v>5</v>
      </c>
      <c r="I3610">
        <v>3.03</v>
      </c>
      <c r="J3610">
        <v>12</v>
      </c>
      <c r="K3610">
        <v>5181.2299999999996</v>
      </c>
      <c r="L3610">
        <v>7.3</v>
      </c>
    </row>
    <row r="3611" spans="1:12" x14ac:dyDescent="0.3">
      <c r="A3611" t="s">
        <v>3626</v>
      </c>
      <c r="B3611" t="s">
        <v>13</v>
      </c>
      <c r="C3611" t="s">
        <v>11</v>
      </c>
      <c r="D3611">
        <v>39</v>
      </c>
      <c r="E3611" s="1">
        <v>41079</v>
      </c>
      <c r="F3611">
        <v>2012</v>
      </c>
      <c r="G3611" t="s">
        <v>5032</v>
      </c>
      <c r="H3611">
        <v>19</v>
      </c>
      <c r="I3611">
        <v>4.6900000000000004</v>
      </c>
      <c r="J3611">
        <v>9</v>
      </c>
      <c r="K3611">
        <v>3333.85</v>
      </c>
      <c r="L3611">
        <v>13.4</v>
      </c>
    </row>
    <row r="3612" spans="1:12" x14ac:dyDescent="0.3">
      <c r="A3612" t="s">
        <v>3627</v>
      </c>
      <c r="B3612" t="s">
        <v>24</v>
      </c>
      <c r="C3612" t="s">
        <v>11</v>
      </c>
      <c r="D3612">
        <v>41</v>
      </c>
      <c r="E3612" s="1">
        <v>43744</v>
      </c>
      <c r="F3612">
        <v>2019</v>
      </c>
      <c r="G3612" t="s">
        <v>5039</v>
      </c>
      <c r="H3612">
        <v>6</v>
      </c>
      <c r="I3612">
        <v>4.66</v>
      </c>
      <c r="J3612">
        <v>15</v>
      </c>
      <c r="K3612">
        <v>12884.79</v>
      </c>
      <c r="L3612">
        <v>6.1</v>
      </c>
    </row>
    <row r="3613" spans="1:12" x14ac:dyDescent="0.3">
      <c r="A3613" t="s">
        <v>3628</v>
      </c>
      <c r="B3613" t="s">
        <v>24</v>
      </c>
      <c r="C3613" t="s">
        <v>11</v>
      </c>
      <c r="D3613">
        <v>50</v>
      </c>
      <c r="E3613" s="1">
        <v>40636</v>
      </c>
      <c r="F3613">
        <v>2011</v>
      </c>
      <c r="G3613" t="s">
        <v>5040</v>
      </c>
      <c r="H3613">
        <v>3</v>
      </c>
      <c r="I3613">
        <v>1.73</v>
      </c>
      <c r="J3613">
        <v>5</v>
      </c>
      <c r="K3613">
        <v>13052.43</v>
      </c>
      <c r="L3613">
        <v>14.6</v>
      </c>
    </row>
    <row r="3614" spans="1:12" x14ac:dyDescent="0.3">
      <c r="A3614" t="s">
        <v>3629</v>
      </c>
      <c r="B3614" t="s">
        <v>16</v>
      </c>
      <c r="C3614" t="s">
        <v>14</v>
      </c>
      <c r="D3614">
        <v>56</v>
      </c>
      <c r="E3614" s="1">
        <v>41720</v>
      </c>
      <c r="F3614">
        <v>2014</v>
      </c>
      <c r="G3614" t="s">
        <v>5035</v>
      </c>
      <c r="H3614">
        <v>22</v>
      </c>
      <c r="I3614">
        <v>3.12</v>
      </c>
      <c r="J3614">
        <v>8</v>
      </c>
      <c r="K3614">
        <v>12851.4</v>
      </c>
      <c r="L3614">
        <v>11.6</v>
      </c>
    </row>
    <row r="3615" spans="1:12" x14ac:dyDescent="0.3">
      <c r="A3615" t="s">
        <v>3630</v>
      </c>
      <c r="B3615" t="s">
        <v>24</v>
      </c>
      <c r="C3615" t="s">
        <v>11</v>
      </c>
      <c r="D3615">
        <v>50</v>
      </c>
      <c r="E3615" s="1">
        <v>43842</v>
      </c>
      <c r="F3615">
        <v>2020</v>
      </c>
      <c r="G3615" t="s">
        <v>5037</v>
      </c>
      <c r="H3615">
        <v>12</v>
      </c>
      <c r="I3615">
        <v>3.56</v>
      </c>
      <c r="J3615">
        <v>5</v>
      </c>
      <c r="K3615">
        <v>3240.33</v>
      </c>
      <c r="L3615">
        <v>5.8</v>
      </c>
    </row>
    <row r="3616" spans="1:12" x14ac:dyDescent="0.3">
      <c r="A3616" t="s">
        <v>3631</v>
      </c>
      <c r="B3616" t="s">
        <v>16</v>
      </c>
      <c r="C3616" t="s">
        <v>11</v>
      </c>
      <c r="D3616">
        <v>41</v>
      </c>
      <c r="E3616" s="1">
        <v>40461</v>
      </c>
      <c r="F3616">
        <v>2010</v>
      </c>
      <c r="G3616" t="s">
        <v>5039</v>
      </c>
      <c r="H3616">
        <v>10</v>
      </c>
      <c r="I3616">
        <v>4.67</v>
      </c>
      <c r="J3616">
        <v>6</v>
      </c>
      <c r="K3616">
        <v>12430.69</v>
      </c>
      <c r="L3616">
        <v>15.1</v>
      </c>
    </row>
    <row r="3617" spans="1:12" x14ac:dyDescent="0.3">
      <c r="A3617" t="s">
        <v>3632</v>
      </c>
      <c r="B3617" t="s">
        <v>16</v>
      </c>
      <c r="C3617" t="s">
        <v>14</v>
      </c>
      <c r="D3617">
        <v>42</v>
      </c>
      <c r="E3617" s="1">
        <v>40856</v>
      </c>
      <c r="F3617">
        <v>2011</v>
      </c>
      <c r="G3617" t="s">
        <v>5038</v>
      </c>
      <c r="H3617">
        <v>9</v>
      </c>
      <c r="I3617">
        <v>4.04</v>
      </c>
      <c r="J3617">
        <v>2</v>
      </c>
      <c r="K3617">
        <v>10115.27</v>
      </c>
      <c r="L3617">
        <v>14</v>
      </c>
    </row>
    <row r="3618" spans="1:12" x14ac:dyDescent="0.3">
      <c r="A3618" t="s">
        <v>3633</v>
      </c>
      <c r="B3618" t="s">
        <v>10</v>
      </c>
      <c r="C3618" t="s">
        <v>11</v>
      </c>
      <c r="D3618">
        <v>45</v>
      </c>
      <c r="E3618" s="1">
        <v>42666</v>
      </c>
      <c r="F3618">
        <v>2016</v>
      </c>
      <c r="G3618" t="s">
        <v>5039</v>
      </c>
      <c r="H3618">
        <v>23</v>
      </c>
      <c r="I3618">
        <v>3.1</v>
      </c>
      <c r="J3618">
        <v>13</v>
      </c>
      <c r="K3618">
        <v>7029.16</v>
      </c>
      <c r="L3618">
        <v>9</v>
      </c>
    </row>
    <row r="3619" spans="1:12" x14ac:dyDescent="0.3">
      <c r="A3619" t="s">
        <v>3634</v>
      </c>
      <c r="B3619" t="s">
        <v>10</v>
      </c>
      <c r="C3619" t="s">
        <v>14</v>
      </c>
      <c r="D3619">
        <v>50</v>
      </c>
      <c r="E3619" s="1">
        <v>43814</v>
      </c>
      <c r="F3619">
        <v>2019</v>
      </c>
      <c r="G3619" t="s">
        <v>5041</v>
      </c>
      <c r="H3619">
        <v>15</v>
      </c>
      <c r="I3619">
        <v>4.2</v>
      </c>
      <c r="J3619">
        <v>9</v>
      </c>
      <c r="K3619">
        <v>8713.36</v>
      </c>
      <c r="L3619">
        <v>5.9</v>
      </c>
    </row>
    <row r="3620" spans="1:12" x14ac:dyDescent="0.3">
      <c r="A3620" t="s">
        <v>3635</v>
      </c>
      <c r="B3620" t="s">
        <v>34</v>
      </c>
      <c r="C3620" t="s">
        <v>14</v>
      </c>
      <c r="D3620">
        <v>34</v>
      </c>
      <c r="E3620" s="1">
        <v>42011</v>
      </c>
      <c r="F3620">
        <v>2015</v>
      </c>
      <c r="G3620" t="s">
        <v>5037</v>
      </c>
      <c r="H3620">
        <v>7</v>
      </c>
      <c r="I3620">
        <v>3.51</v>
      </c>
      <c r="J3620">
        <v>5</v>
      </c>
      <c r="K3620">
        <v>4828.84</v>
      </c>
      <c r="L3620">
        <v>10.8</v>
      </c>
    </row>
    <row r="3621" spans="1:12" x14ac:dyDescent="0.3">
      <c r="A3621" t="s">
        <v>3636</v>
      </c>
      <c r="B3621" t="s">
        <v>16</v>
      </c>
      <c r="C3621" t="s">
        <v>14</v>
      </c>
      <c r="D3621">
        <v>24</v>
      </c>
      <c r="E3621" s="1">
        <v>45689</v>
      </c>
      <c r="F3621">
        <v>2025</v>
      </c>
      <c r="G3621" t="s">
        <v>5042</v>
      </c>
      <c r="H3621">
        <v>1</v>
      </c>
      <c r="I3621">
        <v>1.8</v>
      </c>
      <c r="J3621">
        <v>4</v>
      </c>
      <c r="K3621">
        <v>11940.86</v>
      </c>
      <c r="L3621">
        <v>0.7</v>
      </c>
    </row>
    <row r="3622" spans="1:12" x14ac:dyDescent="0.3">
      <c r="A3622" t="s">
        <v>3637</v>
      </c>
      <c r="B3622" t="s">
        <v>24</v>
      </c>
      <c r="C3622" t="s">
        <v>11</v>
      </c>
      <c r="D3622">
        <v>53</v>
      </c>
      <c r="E3622" s="1">
        <v>44131</v>
      </c>
      <c r="F3622">
        <v>2020</v>
      </c>
      <c r="G3622" t="s">
        <v>5039</v>
      </c>
      <c r="H3622">
        <v>27</v>
      </c>
      <c r="I3622">
        <v>3.19</v>
      </c>
      <c r="J3622">
        <v>14</v>
      </c>
      <c r="K3622">
        <v>3319.33</v>
      </c>
      <c r="L3622">
        <v>5</v>
      </c>
    </row>
    <row r="3623" spans="1:12" x14ac:dyDescent="0.3">
      <c r="A3623" t="s">
        <v>3638</v>
      </c>
      <c r="B3623" t="s">
        <v>10</v>
      </c>
      <c r="C3623" t="s">
        <v>14</v>
      </c>
      <c r="D3623">
        <v>55</v>
      </c>
      <c r="E3623" s="1">
        <v>41265</v>
      </c>
      <c r="F3623">
        <v>2012</v>
      </c>
      <c r="G3623" t="s">
        <v>5041</v>
      </c>
      <c r="H3623">
        <v>22</v>
      </c>
      <c r="I3623">
        <v>1.6</v>
      </c>
      <c r="J3623">
        <v>7</v>
      </c>
      <c r="K3623">
        <v>10183.24</v>
      </c>
      <c r="L3623">
        <v>12.9</v>
      </c>
    </row>
    <row r="3624" spans="1:12" x14ac:dyDescent="0.3">
      <c r="A3624" t="s">
        <v>3639</v>
      </c>
      <c r="B3624" t="s">
        <v>18</v>
      </c>
      <c r="C3624" t="s">
        <v>14</v>
      </c>
      <c r="D3624">
        <v>50</v>
      </c>
      <c r="E3624" s="1">
        <v>42154</v>
      </c>
      <c r="F3624">
        <v>2015</v>
      </c>
      <c r="G3624" t="s">
        <v>5036</v>
      </c>
      <c r="H3624">
        <v>30</v>
      </c>
      <c r="I3624">
        <v>3.32</v>
      </c>
      <c r="J3624">
        <v>0</v>
      </c>
      <c r="K3624">
        <v>11712.58</v>
      </c>
      <c r="L3624">
        <v>10.4</v>
      </c>
    </row>
    <row r="3625" spans="1:12" x14ac:dyDescent="0.3">
      <c r="A3625" t="s">
        <v>3640</v>
      </c>
      <c r="B3625" t="s">
        <v>16</v>
      </c>
      <c r="C3625" t="s">
        <v>14</v>
      </c>
      <c r="D3625">
        <v>58</v>
      </c>
      <c r="E3625" s="1">
        <v>42233</v>
      </c>
      <c r="F3625">
        <v>2015</v>
      </c>
      <c r="G3625" t="s">
        <v>5031</v>
      </c>
      <c r="H3625">
        <v>17</v>
      </c>
      <c r="I3625">
        <v>1.81</v>
      </c>
      <c r="J3625">
        <v>0</v>
      </c>
      <c r="K3625">
        <v>3898.79</v>
      </c>
      <c r="L3625">
        <v>10.199999999999999</v>
      </c>
    </row>
    <row r="3626" spans="1:12" x14ac:dyDescent="0.3">
      <c r="A3626" t="s">
        <v>3641</v>
      </c>
      <c r="B3626" t="s">
        <v>16</v>
      </c>
      <c r="C3626" t="s">
        <v>11</v>
      </c>
      <c r="D3626">
        <v>30</v>
      </c>
      <c r="E3626" s="1">
        <v>43922</v>
      </c>
      <c r="F3626">
        <v>2020</v>
      </c>
      <c r="G3626" t="s">
        <v>5040</v>
      </c>
      <c r="H3626">
        <v>1</v>
      </c>
      <c r="I3626">
        <v>2.8</v>
      </c>
      <c r="J3626">
        <v>4</v>
      </c>
      <c r="K3626">
        <v>13854.8</v>
      </c>
      <c r="L3626">
        <v>5.6</v>
      </c>
    </row>
    <row r="3627" spans="1:12" x14ac:dyDescent="0.3">
      <c r="A3627" t="s">
        <v>3642</v>
      </c>
      <c r="B3627" t="s">
        <v>16</v>
      </c>
      <c r="C3627" t="s">
        <v>14</v>
      </c>
      <c r="D3627">
        <v>40</v>
      </c>
      <c r="E3627" s="1">
        <v>42000</v>
      </c>
      <c r="F3627">
        <v>2014</v>
      </c>
      <c r="G3627" t="s">
        <v>5041</v>
      </c>
      <c r="H3627">
        <v>27</v>
      </c>
      <c r="I3627">
        <v>3.04</v>
      </c>
      <c r="J3627">
        <v>10</v>
      </c>
      <c r="K3627">
        <v>6973.49</v>
      </c>
      <c r="L3627">
        <v>10.9</v>
      </c>
    </row>
    <row r="3628" spans="1:12" x14ac:dyDescent="0.3">
      <c r="A3628" t="s">
        <v>3643</v>
      </c>
      <c r="B3628" t="s">
        <v>16</v>
      </c>
      <c r="C3628" t="s">
        <v>11</v>
      </c>
      <c r="D3628">
        <v>32</v>
      </c>
      <c r="E3628" s="1">
        <v>44081</v>
      </c>
      <c r="F3628">
        <v>2020</v>
      </c>
      <c r="G3628" t="s">
        <v>5033</v>
      </c>
      <c r="H3628">
        <v>7</v>
      </c>
      <c r="I3628">
        <v>4.57</v>
      </c>
      <c r="J3628">
        <v>8</v>
      </c>
      <c r="K3628">
        <v>11227.51</v>
      </c>
      <c r="L3628">
        <v>5.2</v>
      </c>
    </row>
    <row r="3629" spans="1:12" x14ac:dyDescent="0.3">
      <c r="A3629" t="s">
        <v>3644</v>
      </c>
      <c r="B3629" t="s">
        <v>24</v>
      </c>
      <c r="C3629" t="s">
        <v>11</v>
      </c>
      <c r="D3629">
        <v>55</v>
      </c>
      <c r="E3629" s="1">
        <v>43133</v>
      </c>
      <c r="F3629">
        <v>2018</v>
      </c>
      <c r="G3629" t="s">
        <v>5042</v>
      </c>
      <c r="H3629">
        <v>2</v>
      </c>
      <c r="I3629">
        <v>4.49</v>
      </c>
      <c r="J3629">
        <v>7</v>
      </c>
      <c r="K3629">
        <v>6579.52</v>
      </c>
      <c r="L3629">
        <v>7.8</v>
      </c>
    </row>
    <row r="3630" spans="1:12" x14ac:dyDescent="0.3">
      <c r="A3630" t="s">
        <v>3645</v>
      </c>
      <c r="B3630" t="s">
        <v>18</v>
      </c>
      <c r="C3630" t="s">
        <v>11</v>
      </c>
      <c r="D3630">
        <v>37</v>
      </c>
      <c r="E3630" s="1">
        <v>40301</v>
      </c>
      <c r="F3630">
        <v>2010</v>
      </c>
      <c r="G3630" t="s">
        <v>5036</v>
      </c>
      <c r="H3630">
        <v>3</v>
      </c>
      <c r="I3630">
        <v>4.91</v>
      </c>
      <c r="J3630">
        <v>6</v>
      </c>
      <c r="K3630">
        <v>5160.33</v>
      </c>
      <c r="L3630">
        <v>15.5</v>
      </c>
    </row>
    <row r="3631" spans="1:12" x14ac:dyDescent="0.3">
      <c r="A3631" t="s">
        <v>3646</v>
      </c>
      <c r="B3631" t="s">
        <v>16</v>
      </c>
      <c r="C3631" t="s">
        <v>14</v>
      </c>
      <c r="D3631">
        <v>39</v>
      </c>
      <c r="E3631" s="1">
        <v>40470</v>
      </c>
      <c r="F3631">
        <v>2010</v>
      </c>
      <c r="G3631" t="s">
        <v>5039</v>
      </c>
      <c r="H3631">
        <v>19</v>
      </c>
      <c r="I3631">
        <v>1.84</v>
      </c>
      <c r="J3631">
        <v>14</v>
      </c>
      <c r="K3631">
        <v>7542.96</v>
      </c>
      <c r="L3631">
        <v>15</v>
      </c>
    </row>
    <row r="3632" spans="1:12" x14ac:dyDescent="0.3">
      <c r="A3632" t="s">
        <v>3647</v>
      </c>
      <c r="B3632" t="s">
        <v>24</v>
      </c>
      <c r="C3632" t="s">
        <v>14</v>
      </c>
      <c r="D3632">
        <v>59</v>
      </c>
      <c r="E3632" s="1">
        <v>45014</v>
      </c>
      <c r="F3632">
        <v>2023</v>
      </c>
      <c r="G3632" t="s">
        <v>5035</v>
      </c>
      <c r="H3632">
        <v>29</v>
      </c>
      <c r="I3632">
        <v>2.7</v>
      </c>
      <c r="J3632">
        <v>4</v>
      </c>
      <c r="K3632">
        <v>14667.06</v>
      </c>
      <c r="L3632">
        <v>2.6</v>
      </c>
    </row>
    <row r="3633" spans="1:12" x14ac:dyDescent="0.3">
      <c r="A3633" t="s">
        <v>3648</v>
      </c>
      <c r="B3633" t="s">
        <v>34</v>
      </c>
      <c r="C3633" t="s">
        <v>14</v>
      </c>
      <c r="D3633">
        <v>29</v>
      </c>
      <c r="E3633" s="1">
        <v>40281</v>
      </c>
      <c r="F3633">
        <v>2010</v>
      </c>
      <c r="G3633" t="s">
        <v>5040</v>
      </c>
      <c r="H3633">
        <v>13</v>
      </c>
      <c r="I3633">
        <v>3.32</v>
      </c>
      <c r="J3633">
        <v>14</v>
      </c>
      <c r="K3633">
        <v>3850.09</v>
      </c>
      <c r="L3633">
        <v>15.6</v>
      </c>
    </row>
    <row r="3634" spans="1:12" x14ac:dyDescent="0.3">
      <c r="A3634" t="s">
        <v>3649</v>
      </c>
      <c r="B3634" t="s">
        <v>18</v>
      </c>
      <c r="C3634" t="s">
        <v>14</v>
      </c>
      <c r="D3634">
        <v>34</v>
      </c>
      <c r="E3634" s="1">
        <v>40823</v>
      </c>
      <c r="F3634">
        <v>2011</v>
      </c>
      <c r="G3634" t="s">
        <v>5039</v>
      </c>
      <c r="H3634">
        <v>7</v>
      </c>
      <c r="I3634">
        <v>2.91</v>
      </c>
      <c r="J3634">
        <v>9</v>
      </c>
      <c r="K3634">
        <v>12392.16</v>
      </c>
      <c r="L3634">
        <v>14.1</v>
      </c>
    </row>
    <row r="3635" spans="1:12" x14ac:dyDescent="0.3">
      <c r="A3635" t="s">
        <v>3650</v>
      </c>
      <c r="B3635" t="s">
        <v>18</v>
      </c>
      <c r="C3635" t="s">
        <v>14</v>
      </c>
      <c r="D3635">
        <v>25</v>
      </c>
      <c r="E3635" s="1">
        <v>41322</v>
      </c>
      <c r="F3635">
        <v>2013</v>
      </c>
      <c r="G3635" t="s">
        <v>5042</v>
      </c>
      <c r="H3635">
        <v>17</v>
      </c>
      <c r="I3635">
        <v>2.5099999999999998</v>
      </c>
      <c r="J3635">
        <v>11</v>
      </c>
      <c r="K3635">
        <v>8813.09</v>
      </c>
      <c r="L3635">
        <v>12.7</v>
      </c>
    </row>
    <row r="3636" spans="1:12" x14ac:dyDescent="0.3">
      <c r="A3636" t="s">
        <v>3651</v>
      </c>
      <c r="B3636" t="s">
        <v>10</v>
      </c>
      <c r="C3636" t="s">
        <v>11</v>
      </c>
      <c r="D3636">
        <v>22</v>
      </c>
      <c r="E3636" s="1">
        <v>42664</v>
      </c>
      <c r="F3636">
        <v>2016</v>
      </c>
      <c r="G3636" t="s">
        <v>5039</v>
      </c>
      <c r="H3636">
        <v>21</v>
      </c>
      <c r="I3636">
        <v>4.53</v>
      </c>
      <c r="J3636">
        <v>5</v>
      </c>
      <c r="K3636">
        <v>12017.02</v>
      </c>
      <c r="L3636">
        <v>9</v>
      </c>
    </row>
    <row r="3637" spans="1:12" x14ac:dyDescent="0.3">
      <c r="A3637" t="s">
        <v>3652</v>
      </c>
      <c r="B3637" t="s">
        <v>18</v>
      </c>
      <c r="C3637" t="s">
        <v>14</v>
      </c>
      <c r="D3637">
        <v>45</v>
      </c>
      <c r="E3637" s="1">
        <v>44453</v>
      </c>
      <c r="F3637">
        <v>2021</v>
      </c>
      <c r="G3637" t="s">
        <v>5033</v>
      </c>
      <c r="H3637">
        <v>14</v>
      </c>
      <c r="I3637">
        <v>4.78</v>
      </c>
      <c r="J3637">
        <v>12</v>
      </c>
      <c r="K3637">
        <v>14613.22</v>
      </c>
      <c r="L3637">
        <v>4.0999999999999996</v>
      </c>
    </row>
    <row r="3638" spans="1:12" x14ac:dyDescent="0.3">
      <c r="A3638" t="s">
        <v>3653</v>
      </c>
      <c r="B3638" t="s">
        <v>13</v>
      </c>
      <c r="C3638" t="s">
        <v>11</v>
      </c>
      <c r="D3638">
        <v>59</v>
      </c>
      <c r="E3638" s="1">
        <v>42899</v>
      </c>
      <c r="F3638">
        <v>2017</v>
      </c>
      <c r="G3638" t="s">
        <v>5032</v>
      </c>
      <c r="H3638">
        <v>13</v>
      </c>
      <c r="I3638">
        <v>1.57</v>
      </c>
      <c r="J3638">
        <v>4</v>
      </c>
      <c r="K3638">
        <v>3776.44</v>
      </c>
      <c r="L3638">
        <v>8.4</v>
      </c>
    </row>
    <row r="3639" spans="1:12" x14ac:dyDescent="0.3">
      <c r="A3639" t="s">
        <v>3654</v>
      </c>
      <c r="B3639" t="s">
        <v>34</v>
      </c>
      <c r="C3639" t="s">
        <v>11</v>
      </c>
      <c r="D3639">
        <v>31</v>
      </c>
      <c r="E3639" s="1">
        <v>42393</v>
      </c>
      <c r="F3639">
        <v>2016</v>
      </c>
      <c r="G3639" t="s">
        <v>5037</v>
      </c>
      <c r="H3639">
        <v>24</v>
      </c>
      <c r="I3639">
        <v>4.8099999999999996</v>
      </c>
      <c r="J3639">
        <v>14</v>
      </c>
      <c r="K3639">
        <v>9358.81</v>
      </c>
      <c r="L3639">
        <v>9.8000000000000007</v>
      </c>
    </row>
    <row r="3640" spans="1:12" x14ac:dyDescent="0.3">
      <c r="A3640" t="s">
        <v>3655</v>
      </c>
      <c r="B3640" t="s">
        <v>16</v>
      </c>
      <c r="C3640" t="s">
        <v>14</v>
      </c>
      <c r="D3640">
        <v>37</v>
      </c>
      <c r="E3640" s="1">
        <v>44217</v>
      </c>
      <c r="F3640">
        <v>2021</v>
      </c>
      <c r="G3640" t="s">
        <v>5037</v>
      </c>
      <c r="H3640">
        <v>21</v>
      </c>
      <c r="I3640">
        <v>2.21</v>
      </c>
      <c r="J3640">
        <v>5</v>
      </c>
      <c r="K3640">
        <v>9946.34</v>
      </c>
      <c r="L3640">
        <v>4.8</v>
      </c>
    </row>
    <row r="3641" spans="1:12" x14ac:dyDescent="0.3">
      <c r="A3641" t="s">
        <v>3656</v>
      </c>
      <c r="B3641" t="s">
        <v>10</v>
      </c>
      <c r="C3641" t="s">
        <v>14</v>
      </c>
      <c r="D3641">
        <v>39</v>
      </c>
      <c r="E3641" s="1">
        <v>40713</v>
      </c>
      <c r="F3641">
        <v>2011</v>
      </c>
      <c r="G3641" t="s">
        <v>5032</v>
      </c>
      <c r="H3641">
        <v>19</v>
      </c>
      <c r="I3641">
        <v>3.1</v>
      </c>
      <c r="J3641">
        <v>14</v>
      </c>
      <c r="K3641">
        <v>4933.3</v>
      </c>
      <c r="L3641">
        <v>14.4</v>
      </c>
    </row>
    <row r="3642" spans="1:12" x14ac:dyDescent="0.3">
      <c r="A3642" t="s">
        <v>3657</v>
      </c>
      <c r="B3642" t="s">
        <v>34</v>
      </c>
      <c r="C3642" t="s">
        <v>14</v>
      </c>
      <c r="D3642">
        <v>60</v>
      </c>
      <c r="E3642" s="1">
        <v>45241</v>
      </c>
      <c r="F3642">
        <v>2023</v>
      </c>
      <c r="G3642" t="s">
        <v>5038</v>
      </c>
      <c r="H3642">
        <v>11</v>
      </c>
      <c r="I3642">
        <v>3.48</v>
      </c>
      <c r="J3642">
        <v>5</v>
      </c>
      <c r="K3642">
        <v>5555.51</v>
      </c>
      <c r="L3642">
        <v>2</v>
      </c>
    </row>
    <row r="3643" spans="1:12" x14ac:dyDescent="0.3">
      <c r="A3643" t="s">
        <v>3658</v>
      </c>
      <c r="B3643" t="s">
        <v>13</v>
      </c>
      <c r="C3643" t="s">
        <v>11</v>
      </c>
      <c r="D3643">
        <v>38</v>
      </c>
      <c r="E3643" s="1">
        <v>40823</v>
      </c>
      <c r="F3643">
        <v>2011</v>
      </c>
      <c r="G3643" t="s">
        <v>5039</v>
      </c>
      <c r="H3643">
        <v>7</v>
      </c>
      <c r="I3643">
        <v>2.0699999999999998</v>
      </c>
      <c r="J3643">
        <v>11</v>
      </c>
      <c r="K3643">
        <v>10051.049999999999</v>
      </c>
      <c r="L3643">
        <v>14.1</v>
      </c>
    </row>
    <row r="3644" spans="1:12" x14ac:dyDescent="0.3">
      <c r="A3644" t="s">
        <v>3659</v>
      </c>
      <c r="B3644" t="s">
        <v>10</v>
      </c>
      <c r="C3644" t="s">
        <v>14</v>
      </c>
      <c r="D3644">
        <v>27</v>
      </c>
      <c r="E3644" s="1">
        <v>42984</v>
      </c>
      <c r="F3644">
        <v>2017</v>
      </c>
      <c r="G3644" t="s">
        <v>5033</v>
      </c>
      <c r="H3644">
        <v>6</v>
      </c>
      <c r="I3644">
        <v>4.38</v>
      </c>
      <c r="J3644">
        <v>3</v>
      </c>
      <c r="K3644">
        <v>12361.94</v>
      </c>
      <c r="L3644">
        <v>8.1999999999999993</v>
      </c>
    </row>
    <row r="3645" spans="1:12" x14ac:dyDescent="0.3">
      <c r="A3645" t="s">
        <v>3660</v>
      </c>
      <c r="B3645" t="s">
        <v>16</v>
      </c>
      <c r="C3645" t="s">
        <v>14</v>
      </c>
      <c r="D3645">
        <v>53</v>
      </c>
      <c r="E3645" s="1">
        <v>43912</v>
      </c>
      <c r="F3645">
        <v>2020</v>
      </c>
      <c r="G3645" t="s">
        <v>5035</v>
      </c>
      <c r="H3645">
        <v>22</v>
      </c>
      <c r="I3645">
        <v>4.2</v>
      </c>
      <c r="J3645">
        <v>5</v>
      </c>
      <c r="K3645">
        <v>12689.84</v>
      </c>
      <c r="L3645">
        <v>5.6</v>
      </c>
    </row>
    <row r="3646" spans="1:12" x14ac:dyDescent="0.3">
      <c r="A3646" t="s">
        <v>3661</v>
      </c>
      <c r="B3646" t="s">
        <v>16</v>
      </c>
      <c r="C3646" t="s">
        <v>14</v>
      </c>
      <c r="D3646">
        <v>55</v>
      </c>
      <c r="E3646" s="1">
        <v>44987</v>
      </c>
      <c r="F3646">
        <v>2023</v>
      </c>
      <c r="G3646" t="s">
        <v>5035</v>
      </c>
      <c r="H3646">
        <v>2</v>
      </c>
      <c r="I3646">
        <v>2.17</v>
      </c>
      <c r="J3646">
        <v>3</v>
      </c>
      <c r="K3646">
        <v>5003.3500000000004</v>
      </c>
      <c r="L3646">
        <v>2.7</v>
      </c>
    </row>
    <row r="3647" spans="1:12" x14ac:dyDescent="0.3">
      <c r="A3647" t="s">
        <v>3662</v>
      </c>
      <c r="B3647" t="s">
        <v>13</v>
      </c>
      <c r="C3647" t="s">
        <v>14</v>
      </c>
      <c r="D3647">
        <v>43</v>
      </c>
      <c r="E3647" s="1">
        <v>45832</v>
      </c>
      <c r="F3647">
        <v>2025</v>
      </c>
      <c r="G3647" t="s">
        <v>5032</v>
      </c>
      <c r="H3647">
        <v>24</v>
      </c>
      <c r="I3647">
        <v>4.16</v>
      </c>
      <c r="J3647">
        <v>2</v>
      </c>
      <c r="K3647">
        <v>10443.9</v>
      </c>
      <c r="L3647">
        <v>0.4</v>
      </c>
    </row>
    <row r="3648" spans="1:12" x14ac:dyDescent="0.3">
      <c r="A3648" t="s">
        <v>3663</v>
      </c>
      <c r="B3648" t="s">
        <v>18</v>
      </c>
      <c r="C3648" t="s">
        <v>11</v>
      </c>
      <c r="D3648">
        <v>31</v>
      </c>
      <c r="E3648" s="1">
        <v>42912</v>
      </c>
      <c r="F3648">
        <v>2017</v>
      </c>
      <c r="G3648" t="s">
        <v>5032</v>
      </c>
      <c r="H3648">
        <v>26</v>
      </c>
      <c r="I3648">
        <v>4.92</v>
      </c>
      <c r="J3648">
        <v>2</v>
      </c>
      <c r="K3648">
        <v>10159.74</v>
      </c>
      <c r="L3648">
        <v>8.4</v>
      </c>
    </row>
    <row r="3649" spans="1:12" x14ac:dyDescent="0.3">
      <c r="A3649" t="s">
        <v>3664</v>
      </c>
      <c r="B3649" t="s">
        <v>24</v>
      </c>
      <c r="C3649" t="s">
        <v>14</v>
      </c>
      <c r="D3649">
        <v>56</v>
      </c>
      <c r="E3649" s="1">
        <v>44625</v>
      </c>
      <c r="F3649">
        <v>2022</v>
      </c>
      <c r="G3649" t="s">
        <v>5035</v>
      </c>
      <c r="H3649">
        <v>5</v>
      </c>
      <c r="I3649">
        <v>4.2</v>
      </c>
      <c r="J3649">
        <v>10</v>
      </c>
      <c r="K3649">
        <v>7470.64</v>
      </c>
      <c r="L3649">
        <v>3.7</v>
      </c>
    </row>
    <row r="3650" spans="1:12" x14ac:dyDescent="0.3">
      <c r="A3650" t="s">
        <v>3665</v>
      </c>
      <c r="B3650" t="s">
        <v>34</v>
      </c>
      <c r="C3650" t="s">
        <v>11</v>
      </c>
      <c r="D3650">
        <v>38</v>
      </c>
      <c r="E3650" s="1">
        <v>43408</v>
      </c>
      <c r="F3650">
        <v>2018</v>
      </c>
      <c r="G3650" t="s">
        <v>5038</v>
      </c>
      <c r="H3650">
        <v>4</v>
      </c>
      <c r="I3650">
        <v>2.31</v>
      </c>
      <c r="J3650">
        <v>13</v>
      </c>
      <c r="K3650">
        <v>5770.76</v>
      </c>
      <c r="L3650">
        <v>7</v>
      </c>
    </row>
    <row r="3651" spans="1:12" x14ac:dyDescent="0.3">
      <c r="A3651" t="s">
        <v>3666</v>
      </c>
      <c r="B3651" t="s">
        <v>34</v>
      </c>
      <c r="C3651" t="s">
        <v>14</v>
      </c>
      <c r="D3651">
        <v>43</v>
      </c>
      <c r="E3651" s="1">
        <v>41323</v>
      </c>
      <c r="F3651">
        <v>2013</v>
      </c>
      <c r="G3651" t="s">
        <v>5042</v>
      </c>
      <c r="H3651">
        <v>18</v>
      </c>
      <c r="I3651">
        <v>3.34</v>
      </c>
      <c r="J3651">
        <v>9</v>
      </c>
      <c r="K3651">
        <v>8535.84</v>
      </c>
      <c r="L3651">
        <v>12.7</v>
      </c>
    </row>
    <row r="3652" spans="1:12" x14ac:dyDescent="0.3">
      <c r="A3652" t="s">
        <v>3667</v>
      </c>
      <c r="B3652" t="s">
        <v>18</v>
      </c>
      <c r="C3652" t="s">
        <v>14</v>
      </c>
      <c r="D3652">
        <v>25</v>
      </c>
      <c r="E3652" s="1">
        <v>40796</v>
      </c>
      <c r="F3652">
        <v>2011</v>
      </c>
      <c r="G3652" t="s">
        <v>5033</v>
      </c>
      <c r="H3652">
        <v>10</v>
      </c>
      <c r="I3652">
        <v>4.05</v>
      </c>
      <c r="J3652">
        <v>8</v>
      </c>
      <c r="K3652">
        <v>12430.59</v>
      </c>
      <c r="L3652">
        <v>14.2</v>
      </c>
    </row>
    <row r="3653" spans="1:12" x14ac:dyDescent="0.3">
      <c r="A3653" t="s">
        <v>3668</v>
      </c>
      <c r="B3653" t="s">
        <v>24</v>
      </c>
      <c r="C3653" t="s">
        <v>14</v>
      </c>
      <c r="D3653">
        <v>31</v>
      </c>
      <c r="E3653" s="1">
        <v>43208</v>
      </c>
      <c r="F3653">
        <v>2018</v>
      </c>
      <c r="G3653" t="s">
        <v>5040</v>
      </c>
      <c r="H3653">
        <v>18</v>
      </c>
      <c r="I3653">
        <v>2.41</v>
      </c>
      <c r="J3653">
        <v>13</v>
      </c>
      <c r="K3653">
        <v>5377.52</v>
      </c>
      <c r="L3653">
        <v>7.5</v>
      </c>
    </row>
    <row r="3654" spans="1:12" x14ac:dyDescent="0.3">
      <c r="A3654" t="s">
        <v>3669</v>
      </c>
      <c r="B3654" t="s">
        <v>16</v>
      </c>
      <c r="C3654" t="s">
        <v>11</v>
      </c>
      <c r="D3654">
        <v>33</v>
      </c>
      <c r="E3654" s="1">
        <v>43458</v>
      </c>
      <c r="F3654">
        <v>2018</v>
      </c>
      <c r="G3654" t="s">
        <v>5041</v>
      </c>
      <c r="H3654">
        <v>24</v>
      </c>
      <c r="I3654">
        <v>1.66</v>
      </c>
      <c r="J3654">
        <v>1</v>
      </c>
      <c r="K3654">
        <v>4307.4799999999996</v>
      </c>
      <c r="L3654">
        <v>6.9</v>
      </c>
    </row>
    <row r="3655" spans="1:12" x14ac:dyDescent="0.3">
      <c r="A3655" t="s">
        <v>3670</v>
      </c>
      <c r="B3655" t="s">
        <v>18</v>
      </c>
      <c r="C3655" t="s">
        <v>11</v>
      </c>
      <c r="D3655">
        <v>38</v>
      </c>
      <c r="E3655" s="1">
        <v>44236</v>
      </c>
      <c r="F3655">
        <v>2021</v>
      </c>
      <c r="G3655" t="s">
        <v>5042</v>
      </c>
      <c r="H3655">
        <v>9</v>
      </c>
      <c r="I3655">
        <v>4.4800000000000004</v>
      </c>
      <c r="J3655">
        <v>12</v>
      </c>
      <c r="K3655">
        <v>6738.86</v>
      </c>
      <c r="L3655">
        <v>4.7</v>
      </c>
    </row>
    <row r="3656" spans="1:12" x14ac:dyDescent="0.3">
      <c r="A3656" t="s">
        <v>3671</v>
      </c>
      <c r="B3656" t="s">
        <v>16</v>
      </c>
      <c r="C3656" t="s">
        <v>14</v>
      </c>
      <c r="D3656">
        <v>49</v>
      </c>
      <c r="E3656" s="1">
        <v>44257</v>
      </c>
      <c r="F3656">
        <v>2021</v>
      </c>
      <c r="G3656" t="s">
        <v>5035</v>
      </c>
      <c r="H3656">
        <v>2</v>
      </c>
      <c r="I3656">
        <v>2.11</v>
      </c>
      <c r="J3656">
        <v>14</v>
      </c>
      <c r="K3656">
        <v>14274.57</v>
      </c>
      <c r="L3656">
        <v>4.7</v>
      </c>
    </row>
    <row r="3657" spans="1:12" x14ac:dyDescent="0.3">
      <c r="A3657" t="s">
        <v>3672</v>
      </c>
      <c r="B3657" t="s">
        <v>18</v>
      </c>
      <c r="C3657" t="s">
        <v>11</v>
      </c>
      <c r="D3657">
        <v>51</v>
      </c>
      <c r="E3657" s="1">
        <v>44480</v>
      </c>
      <c r="F3657">
        <v>2021</v>
      </c>
      <c r="G3657" t="s">
        <v>5039</v>
      </c>
      <c r="H3657">
        <v>11</v>
      </c>
      <c r="I3657">
        <v>2.56</v>
      </c>
      <c r="J3657">
        <v>15</v>
      </c>
      <c r="K3657">
        <v>11728.05</v>
      </c>
      <c r="L3657">
        <v>4.0999999999999996</v>
      </c>
    </row>
    <row r="3658" spans="1:12" x14ac:dyDescent="0.3">
      <c r="A3658" t="s">
        <v>3673</v>
      </c>
      <c r="B3658" t="s">
        <v>34</v>
      </c>
      <c r="C3658" t="s">
        <v>11</v>
      </c>
      <c r="D3658">
        <v>22</v>
      </c>
      <c r="E3658" s="1">
        <v>41322</v>
      </c>
      <c r="F3658">
        <v>2013</v>
      </c>
      <c r="G3658" t="s">
        <v>5042</v>
      </c>
      <c r="H3658">
        <v>17</v>
      </c>
      <c r="I3658">
        <v>4</v>
      </c>
      <c r="J3658">
        <v>2</v>
      </c>
      <c r="K3658">
        <v>10463.780000000001</v>
      </c>
      <c r="L3658">
        <v>12.7</v>
      </c>
    </row>
    <row r="3659" spans="1:12" x14ac:dyDescent="0.3">
      <c r="A3659" t="s">
        <v>3674</v>
      </c>
      <c r="B3659" t="s">
        <v>34</v>
      </c>
      <c r="C3659" t="s">
        <v>11</v>
      </c>
      <c r="D3659">
        <v>37</v>
      </c>
      <c r="E3659" s="1">
        <v>45143</v>
      </c>
      <c r="F3659">
        <v>2023</v>
      </c>
      <c r="G3659" t="s">
        <v>5031</v>
      </c>
      <c r="H3659">
        <v>5</v>
      </c>
      <c r="I3659">
        <v>3.12</v>
      </c>
      <c r="J3659">
        <v>10</v>
      </c>
      <c r="K3659">
        <v>13577.8</v>
      </c>
      <c r="L3659">
        <v>2.2000000000000002</v>
      </c>
    </row>
    <row r="3660" spans="1:12" x14ac:dyDescent="0.3">
      <c r="A3660" t="s">
        <v>3675</v>
      </c>
      <c r="B3660" t="s">
        <v>13</v>
      </c>
      <c r="C3660" t="s">
        <v>14</v>
      </c>
      <c r="D3660">
        <v>49</v>
      </c>
      <c r="E3660" s="1">
        <v>41680</v>
      </c>
      <c r="F3660">
        <v>2014</v>
      </c>
      <c r="G3660" t="s">
        <v>5042</v>
      </c>
      <c r="H3660">
        <v>10</v>
      </c>
      <c r="I3660">
        <v>4.16</v>
      </c>
      <c r="J3660">
        <v>4</v>
      </c>
      <c r="K3660">
        <v>13370.58</v>
      </c>
      <c r="L3660">
        <v>11.7</v>
      </c>
    </row>
    <row r="3661" spans="1:12" x14ac:dyDescent="0.3">
      <c r="A3661" t="s">
        <v>3676</v>
      </c>
      <c r="B3661" t="s">
        <v>34</v>
      </c>
      <c r="C3661" t="s">
        <v>14</v>
      </c>
      <c r="D3661">
        <v>44</v>
      </c>
      <c r="E3661" s="1">
        <v>43586</v>
      </c>
      <c r="F3661">
        <v>2019</v>
      </c>
      <c r="G3661" t="s">
        <v>5036</v>
      </c>
      <c r="H3661">
        <v>1</v>
      </c>
      <c r="I3661">
        <v>2.56</v>
      </c>
      <c r="J3661">
        <v>15</v>
      </c>
      <c r="K3661">
        <v>11993.4</v>
      </c>
      <c r="L3661">
        <v>6.5</v>
      </c>
    </row>
    <row r="3662" spans="1:12" x14ac:dyDescent="0.3">
      <c r="A3662" t="s">
        <v>3677</v>
      </c>
      <c r="B3662" t="s">
        <v>24</v>
      </c>
      <c r="C3662" t="s">
        <v>11</v>
      </c>
      <c r="D3662">
        <v>59</v>
      </c>
      <c r="E3662" s="1">
        <v>45673</v>
      </c>
      <c r="F3662">
        <v>2025</v>
      </c>
      <c r="G3662" t="s">
        <v>5037</v>
      </c>
      <c r="H3662">
        <v>16</v>
      </c>
      <c r="I3662">
        <v>4.08</v>
      </c>
      <c r="J3662">
        <v>13</v>
      </c>
      <c r="K3662">
        <v>6158.27</v>
      </c>
      <c r="L3662">
        <v>0.8</v>
      </c>
    </row>
    <row r="3663" spans="1:12" x14ac:dyDescent="0.3">
      <c r="A3663" t="s">
        <v>3678</v>
      </c>
      <c r="B3663" t="s">
        <v>13</v>
      </c>
      <c r="C3663" t="s">
        <v>11</v>
      </c>
      <c r="D3663">
        <v>22</v>
      </c>
      <c r="E3663" s="1">
        <v>44254</v>
      </c>
      <c r="F3663">
        <v>2021</v>
      </c>
      <c r="G3663" t="s">
        <v>5042</v>
      </c>
      <c r="H3663">
        <v>27</v>
      </c>
      <c r="I3663">
        <v>3.03</v>
      </c>
      <c r="J3663">
        <v>10</v>
      </c>
      <c r="K3663">
        <v>10347.06</v>
      </c>
      <c r="L3663">
        <v>4.7</v>
      </c>
    </row>
    <row r="3664" spans="1:12" x14ac:dyDescent="0.3">
      <c r="A3664" t="s">
        <v>3679</v>
      </c>
      <c r="B3664" t="s">
        <v>18</v>
      </c>
      <c r="C3664" t="s">
        <v>14</v>
      </c>
      <c r="D3664">
        <v>60</v>
      </c>
      <c r="E3664" s="1">
        <v>45351</v>
      </c>
      <c r="F3664">
        <v>2024</v>
      </c>
      <c r="G3664" t="s">
        <v>5042</v>
      </c>
      <c r="H3664">
        <v>29</v>
      </c>
      <c r="I3664">
        <v>3.08</v>
      </c>
      <c r="J3664">
        <v>12</v>
      </c>
      <c r="K3664">
        <v>11626.56</v>
      </c>
      <c r="L3664">
        <v>1.7</v>
      </c>
    </row>
    <row r="3665" spans="1:12" x14ac:dyDescent="0.3">
      <c r="A3665" t="s">
        <v>3680</v>
      </c>
      <c r="B3665" t="s">
        <v>24</v>
      </c>
      <c r="C3665" t="s">
        <v>11</v>
      </c>
      <c r="D3665">
        <v>42</v>
      </c>
      <c r="E3665" s="1">
        <v>44735</v>
      </c>
      <c r="F3665">
        <v>2022</v>
      </c>
      <c r="G3665" t="s">
        <v>5032</v>
      </c>
      <c r="H3665">
        <v>23</v>
      </c>
      <c r="I3665">
        <v>4.82</v>
      </c>
      <c r="J3665">
        <v>1</v>
      </c>
      <c r="K3665">
        <v>14332.88</v>
      </c>
      <c r="L3665">
        <v>3.4</v>
      </c>
    </row>
    <row r="3666" spans="1:12" x14ac:dyDescent="0.3">
      <c r="A3666" t="s">
        <v>3681</v>
      </c>
      <c r="B3666" t="s">
        <v>16</v>
      </c>
      <c r="C3666" t="s">
        <v>14</v>
      </c>
      <c r="D3666">
        <v>52</v>
      </c>
      <c r="E3666" s="1">
        <v>43915</v>
      </c>
      <c r="F3666">
        <v>2020</v>
      </c>
      <c r="G3666" t="s">
        <v>5035</v>
      </c>
      <c r="H3666">
        <v>25</v>
      </c>
      <c r="I3666">
        <v>2.17</v>
      </c>
      <c r="J3666">
        <v>5</v>
      </c>
      <c r="K3666">
        <v>3670.68</v>
      </c>
      <c r="L3666">
        <v>5.6</v>
      </c>
    </row>
    <row r="3667" spans="1:12" x14ac:dyDescent="0.3">
      <c r="A3667" t="s">
        <v>3682</v>
      </c>
      <c r="B3667" t="s">
        <v>13</v>
      </c>
      <c r="C3667" t="s">
        <v>14</v>
      </c>
      <c r="D3667">
        <v>32</v>
      </c>
      <c r="E3667" s="1">
        <v>43564</v>
      </c>
      <c r="F3667">
        <v>2019</v>
      </c>
      <c r="G3667" t="s">
        <v>5040</v>
      </c>
      <c r="H3667">
        <v>9</v>
      </c>
      <c r="I3667">
        <v>2.72</v>
      </c>
      <c r="J3667">
        <v>3</v>
      </c>
      <c r="K3667">
        <v>7202.01</v>
      </c>
      <c r="L3667">
        <v>6.6</v>
      </c>
    </row>
    <row r="3668" spans="1:12" x14ac:dyDescent="0.3">
      <c r="A3668" t="s">
        <v>3683</v>
      </c>
      <c r="B3668" t="s">
        <v>18</v>
      </c>
      <c r="C3668" t="s">
        <v>14</v>
      </c>
      <c r="D3668">
        <v>48</v>
      </c>
      <c r="E3668" s="1">
        <v>45438</v>
      </c>
      <c r="F3668">
        <v>2024</v>
      </c>
      <c r="G3668" t="s">
        <v>5036</v>
      </c>
      <c r="H3668">
        <v>26</v>
      </c>
      <c r="I3668">
        <v>3.66</v>
      </c>
      <c r="J3668">
        <v>15</v>
      </c>
      <c r="K3668">
        <v>9423.99</v>
      </c>
      <c r="L3668">
        <v>1.4</v>
      </c>
    </row>
    <row r="3669" spans="1:12" x14ac:dyDescent="0.3">
      <c r="A3669" t="s">
        <v>3684</v>
      </c>
      <c r="B3669" t="s">
        <v>10</v>
      </c>
      <c r="C3669" t="s">
        <v>11</v>
      </c>
      <c r="D3669">
        <v>58</v>
      </c>
      <c r="E3669" s="1">
        <v>41965</v>
      </c>
      <c r="F3669">
        <v>2014</v>
      </c>
      <c r="G3669" t="s">
        <v>5038</v>
      </c>
      <c r="H3669">
        <v>22</v>
      </c>
      <c r="I3669">
        <v>4.0599999999999996</v>
      </c>
      <c r="J3669">
        <v>6</v>
      </c>
      <c r="K3669">
        <v>7317.05</v>
      </c>
      <c r="L3669">
        <v>11</v>
      </c>
    </row>
    <row r="3670" spans="1:12" x14ac:dyDescent="0.3">
      <c r="A3670" t="s">
        <v>3685</v>
      </c>
      <c r="B3670" t="s">
        <v>34</v>
      </c>
      <c r="C3670" t="s">
        <v>11</v>
      </c>
      <c r="D3670">
        <v>45</v>
      </c>
      <c r="E3670" s="1">
        <v>44147</v>
      </c>
      <c r="F3670">
        <v>2020</v>
      </c>
      <c r="G3670" t="s">
        <v>5038</v>
      </c>
      <c r="H3670">
        <v>12</v>
      </c>
      <c r="I3670">
        <v>3.35</v>
      </c>
      <c r="J3670">
        <v>7</v>
      </c>
      <c r="K3670">
        <v>5252.61</v>
      </c>
      <c r="L3670">
        <v>5</v>
      </c>
    </row>
    <row r="3671" spans="1:12" x14ac:dyDescent="0.3">
      <c r="A3671" t="s">
        <v>3686</v>
      </c>
      <c r="B3671" t="s">
        <v>24</v>
      </c>
      <c r="C3671" t="s">
        <v>14</v>
      </c>
      <c r="D3671">
        <v>54</v>
      </c>
      <c r="E3671" s="1">
        <v>43118</v>
      </c>
      <c r="F3671">
        <v>2018</v>
      </c>
      <c r="G3671" t="s">
        <v>5037</v>
      </c>
      <c r="H3671">
        <v>18</v>
      </c>
      <c r="I3671">
        <v>2.11</v>
      </c>
      <c r="J3671">
        <v>2</v>
      </c>
      <c r="K3671">
        <v>6567.83</v>
      </c>
      <c r="L3671">
        <v>7.8</v>
      </c>
    </row>
    <row r="3672" spans="1:12" x14ac:dyDescent="0.3">
      <c r="A3672" t="s">
        <v>3687</v>
      </c>
      <c r="B3672" t="s">
        <v>10</v>
      </c>
      <c r="C3672" t="s">
        <v>14</v>
      </c>
      <c r="D3672">
        <v>22</v>
      </c>
      <c r="E3672" s="1">
        <v>41291</v>
      </c>
      <c r="F3672">
        <v>2013</v>
      </c>
      <c r="G3672" t="s">
        <v>5037</v>
      </c>
      <c r="H3672">
        <v>17</v>
      </c>
      <c r="I3672">
        <v>3.87</v>
      </c>
      <c r="J3672">
        <v>14</v>
      </c>
      <c r="K3672">
        <v>13934.96</v>
      </c>
      <c r="L3672">
        <v>12.8</v>
      </c>
    </row>
    <row r="3673" spans="1:12" x14ac:dyDescent="0.3">
      <c r="A3673" t="s">
        <v>3688</v>
      </c>
      <c r="B3673" t="s">
        <v>13</v>
      </c>
      <c r="C3673" t="s">
        <v>14</v>
      </c>
      <c r="D3673">
        <v>40</v>
      </c>
      <c r="E3673" s="1">
        <v>44606</v>
      </c>
      <c r="F3673">
        <v>2022</v>
      </c>
      <c r="G3673" t="s">
        <v>5042</v>
      </c>
      <c r="H3673">
        <v>14</v>
      </c>
      <c r="I3673">
        <v>3.72</v>
      </c>
      <c r="J3673">
        <v>3</v>
      </c>
      <c r="K3673">
        <v>11058.67</v>
      </c>
      <c r="L3673">
        <v>3.7</v>
      </c>
    </row>
    <row r="3674" spans="1:12" x14ac:dyDescent="0.3">
      <c r="A3674" t="s">
        <v>3689</v>
      </c>
      <c r="B3674" t="s">
        <v>16</v>
      </c>
      <c r="C3674" t="s">
        <v>11</v>
      </c>
      <c r="D3674">
        <v>59</v>
      </c>
      <c r="E3674" s="1">
        <v>45424</v>
      </c>
      <c r="F3674">
        <v>2024</v>
      </c>
      <c r="G3674" t="s">
        <v>5036</v>
      </c>
      <c r="H3674">
        <v>12</v>
      </c>
      <c r="I3674">
        <v>4.25</v>
      </c>
      <c r="J3674">
        <v>12</v>
      </c>
      <c r="K3674">
        <v>12422.5</v>
      </c>
      <c r="L3674">
        <v>1.5</v>
      </c>
    </row>
    <row r="3675" spans="1:12" x14ac:dyDescent="0.3">
      <c r="A3675" t="s">
        <v>3690</v>
      </c>
      <c r="B3675" t="s">
        <v>34</v>
      </c>
      <c r="C3675" t="s">
        <v>14</v>
      </c>
      <c r="D3675">
        <v>32</v>
      </c>
      <c r="E3675" s="1">
        <v>42814</v>
      </c>
      <c r="F3675">
        <v>2017</v>
      </c>
      <c r="G3675" t="s">
        <v>5035</v>
      </c>
      <c r="H3675">
        <v>20</v>
      </c>
      <c r="I3675">
        <v>3.47</v>
      </c>
      <c r="J3675">
        <v>1</v>
      </c>
      <c r="K3675">
        <v>14686.57</v>
      </c>
      <c r="L3675">
        <v>8.6</v>
      </c>
    </row>
    <row r="3676" spans="1:12" x14ac:dyDescent="0.3">
      <c r="A3676" t="s">
        <v>3691</v>
      </c>
      <c r="B3676" t="s">
        <v>24</v>
      </c>
      <c r="C3676" t="s">
        <v>14</v>
      </c>
      <c r="D3676">
        <v>32</v>
      </c>
      <c r="E3676" s="1">
        <v>40801</v>
      </c>
      <c r="F3676">
        <v>2011</v>
      </c>
      <c r="G3676" t="s">
        <v>5033</v>
      </c>
      <c r="H3676">
        <v>15</v>
      </c>
      <c r="I3676">
        <v>3.36</v>
      </c>
      <c r="J3676">
        <v>10</v>
      </c>
      <c r="K3676">
        <v>9300.6</v>
      </c>
      <c r="L3676">
        <v>14.1</v>
      </c>
    </row>
    <row r="3677" spans="1:12" x14ac:dyDescent="0.3">
      <c r="A3677" t="s">
        <v>3692</v>
      </c>
      <c r="B3677" t="s">
        <v>10</v>
      </c>
      <c r="C3677" t="s">
        <v>14</v>
      </c>
      <c r="D3677">
        <v>37</v>
      </c>
      <c r="E3677" s="1">
        <v>45266</v>
      </c>
      <c r="F3677">
        <v>2023</v>
      </c>
      <c r="G3677" t="s">
        <v>5041</v>
      </c>
      <c r="H3677">
        <v>6</v>
      </c>
      <c r="I3677">
        <v>2.94</v>
      </c>
      <c r="J3677">
        <v>4</v>
      </c>
      <c r="K3677">
        <v>5157.97</v>
      </c>
      <c r="L3677">
        <v>1.9</v>
      </c>
    </row>
    <row r="3678" spans="1:12" x14ac:dyDescent="0.3">
      <c r="A3678" t="s">
        <v>3693</v>
      </c>
      <c r="B3678" t="s">
        <v>16</v>
      </c>
      <c r="C3678" t="s">
        <v>14</v>
      </c>
      <c r="D3678">
        <v>51</v>
      </c>
      <c r="E3678" s="1">
        <v>42298</v>
      </c>
      <c r="F3678">
        <v>2015</v>
      </c>
      <c r="G3678" t="s">
        <v>5039</v>
      </c>
      <c r="H3678">
        <v>21</v>
      </c>
      <c r="I3678">
        <v>1.78</v>
      </c>
      <c r="J3678">
        <v>12</v>
      </c>
      <c r="K3678">
        <v>11933.12</v>
      </c>
      <c r="L3678">
        <v>10</v>
      </c>
    </row>
    <row r="3679" spans="1:12" x14ac:dyDescent="0.3">
      <c r="A3679" t="s">
        <v>3694</v>
      </c>
      <c r="B3679" t="s">
        <v>34</v>
      </c>
      <c r="C3679" t="s">
        <v>14</v>
      </c>
      <c r="D3679">
        <v>41</v>
      </c>
      <c r="E3679" s="1">
        <v>45092</v>
      </c>
      <c r="F3679">
        <v>2023</v>
      </c>
      <c r="G3679" t="s">
        <v>5032</v>
      </c>
      <c r="H3679">
        <v>15</v>
      </c>
      <c r="I3679">
        <v>1.64</v>
      </c>
      <c r="J3679">
        <v>11</v>
      </c>
      <c r="K3679">
        <v>13355.9</v>
      </c>
      <c r="L3679">
        <v>2.4</v>
      </c>
    </row>
    <row r="3680" spans="1:12" x14ac:dyDescent="0.3">
      <c r="A3680" t="s">
        <v>3695</v>
      </c>
      <c r="B3680" t="s">
        <v>16</v>
      </c>
      <c r="C3680" t="s">
        <v>11</v>
      </c>
      <c r="D3680">
        <v>38</v>
      </c>
      <c r="E3680" s="1">
        <v>41200</v>
      </c>
      <c r="F3680">
        <v>2012</v>
      </c>
      <c r="G3680" t="s">
        <v>5039</v>
      </c>
      <c r="H3680">
        <v>18</v>
      </c>
      <c r="I3680">
        <v>4.5999999999999996</v>
      </c>
      <c r="J3680">
        <v>13</v>
      </c>
      <c r="K3680">
        <v>12352.29</v>
      </c>
      <c r="L3680">
        <v>13</v>
      </c>
    </row>
    <row r="3681" spans="1:12" x14ac:dyDescent="0.3">
      <c r="A3681" t="s">
        <v>3696</v>
      </c>
      <c r="B3681" t="s">
        <v>34</v>
      </c>
      <c r="C3681" t="s">
        <v>11</v>
      </c>
      <c r="D3681">
        <v>22</v>
      </c>
      <c r="E3681" s="1">
        <v>43716</v>
      </c>
      <c r="F3681">
        <v>2019</v>
      </c>
      <c r="G3681" t="s">
        <v>5033</v>
      </c>
      <c r="H3681">
        <v>8</v>
      </c>
      <c r="I3681">
        <v>4.8600000000000003</v>
      </c>
      <c r="J3681">
        <v>6</v>
      </c>
      <c r="K3681">
        <v>10001.67</v>
      </c>
      <c r="L3681">
        <v>6.2</v>
      </c>
    </row>
    <row r="3682" spans="1:12" x14ac:dyDescent="0.3">
      <c r="A3682" t="s">
        <v>3697</v>
      </c>
      <c r="B3682" t="s">
        <v>10</v>
      </c>
      <c r="C3682" t="s">
        <v>14</v>
      </c>
      <c r="D3682">
        <v>44</v>
      </c>
      <c r="E3682" s="1">
        <v>41132</v>
      </c>
      <c r="F3682">
        <v>2012</v>
      </c>
      <c r="G3682" t="s">
        <v>5031</v>
      </c>
      <c r="H3682">
        <v>11</v>
      </c>
      <c r="I3682">
        <v>3.77</v>
      </c>
      <c r="J3682">
        <v>3</v>
      </c>
      <c r="K3682">
        <v>11494.2</v>
      </c>
      <c r="L3682">
        <v>13.2</v>
      </c>
    </row>
    <row r="3683" spans="1:12" x14ac:dyDescent="0.3">
      <c r="A3683" t="s">
        <v>3698</v>
      </c>
      <c r="B3683" t="s">
        <v>10</v>
      </c>
      <c r="C3683" t="s">
        <v>11</v>
      </c>
      <c r="D3683">
        <v>25</v>
      </c>
      <c r="E3683" s="1">
        <v>44454</v>
      </c>
      <c r="F3683">
        <v>2021</v>
      </c>
      <c r="G3683" t="s">
        <v>5033</v>
      </c>
      <c r="H3683">
        <v>15</v>
      </c>
      <c r="I3683">
        <v>4.01</v>
      </c>
      <c r="J3683">
        <v>0</v>
      </c>
      <c r="K3683">
        <v>3455.52</v>
      </c>
      <c r="L3683">
        <v>4.0999999999999996</v>
      </c>
    </row>
    <row r="3684" spans="1:12" x14ac:dyDescent="0.3">
      <c r="A3684" t="s">
        <v>3699</v>
      </c>
      <c r="B3684" t="s">
        <v>24</v>
      </c>
      <c r="C3684" t="s">
        <v>14</v>
      </c>
      <c r="D3684">
        <v>41</v>
      </c>
      <c r="E3684" s="1">
        <v>45093</v>
      </c>
      <c r="F3684">
        <v>2023</v>
      </c>
      <c r="G3684" t="s">
        <v>5032</v>
      </c>
      <c r="H3684">
        <v>16</v>
      </c>
      <c r="I3684">
        <v>3.74</v>
      </c>
      <c r="J3684">
        <v>4</v>
      </c>
      <c r="K3684">
        <v>10049.41</v>
      </c>
      <c r="L3684">
        <v>2.4</v>
      </c>
    </row>
    <row r="3685" spans="1:12" x14ac:dyDescent="0.3">
      <c r="A3685" t="s">
        <v>3700</v>
      </c>
      <c r="B3685" t="s">
        <v>18</v>
      </c>
      <c r="C3685" t="s">
        <v>14</v>
      </c>
      <c r="D3685">
        <v>27</v>
      </c>
      <c r="E3685" s="1">
        <v>41462</v>
      </c>
      <c r="F3685">
        <v>2013</v>
      </c>
      <c r="G3685" t="s">
        <v>5034</v>
      </c>
      <c r="H3685">
        <v>7</v>
      </c>
      <c r="I3685">
        <v>1.53</v>
      </c>
      <c r="J3685">
        <v>6</v>
      </c>
      <c r="K3685">
        <v>11782.73</v>
      </c>
      <c r="L3685">
        <v>12.3</v>
      </c>
    </row>
    <row r="3686" spans="1:12" x14ac:dyDescent="0.3">
      <c r="A3686" t="s">
        <v>3701</v>
      </c>
      <c r="B3686" t="s">
        <v>18</v>
      </c>
      <c r="C3686" t="s">
        <v>14</v>
      </c>
      <c r="D3686">
        <v>42</v>
      </c>
      <c r="E3686" s="1">
        <v>41484</v>
      </c>
      <c r="F3686">
        <v>2013</v>
      </c>
      <c r="G3686" t="s">
        <v>5034</v>
      </c>
      <c r="H3686">
        <v>29</v>
      </c>
      <c r="I3686">
        <v>1.88</v>
      </c>
      <c r="J3686">
        <v>1</v>
      </c>
      <c r="K3686">
        <v>8218.6299999999992</v>
      </c>
      <c r="L3686">
        <v>12.3</v>
      </c>
    </row>
    <row r="3687" spans="1:12" x14ac:dyDescent="0.3">
      <c r="A3687" t="s">
        <v>3702</v>
      </c>
      <c r="B3687" t="s">
        <v>18</v>
      </c>
      <c r="C3687" t="s">
        <v>11</v>
      </c>
      <c r="D3687">
        <v>60</v>
      </c>
      <c r="E3687" s="1">
        <v>43588</v>
      </c>
      <c r="F3687">
        <v>2019</v>
      </c>
      <c r="G3687" t="s">
        <v>5036</v>
      </c>
      <c r="H3687">
        <v>3</v>
      </c>
      <c r="I3687">
        <v>4.53</v>
      </c>
      <c r="J3687">
        <v>15</v>
      </c>
      <c r="K3687">
        <v>8845.9500000000007</v>
      </c>
      <c r="L3687">
        <v>6.5</v>
      </c>
    </row>
    <row r="3688" spans="1:12" x14ac:dyDescent="0.3">
      <c r="A3688" t="s">
        <v>3703</v>
      </c>
      <c r="B3688" t="s">
        <v>13</v>
      </c>
      <c r="C3688" t="s">
        <v>11</v>
      </c>
      <c r="D3688">
        <v>33</v>
      </c>
      <c r="E3688" s="1">
        <v>45870</v>
      </c>
      <c r="F3688">
        <v>2025</v>
      </c>
      <c r="G3688" t="s">
        <v>5031</v>
      </c>
      <c r="H3688">
        <v>1</v>
      </c>
      <c r="I3688">
        <v>1.74</v>
      </c>
      <c r="J3688">
        <v>1</v>
      </c>
      <c r="K3688">
        <v>5919.08</v>
      </c>
      <c r="L3688">
        <v>0.3</v>
      </c>
    </row>
    <row r="3689" spans="1:12" x14ac:dyDescent="0.3">
      <c r="A3689" t="s">
        <v>3704</v>
      </c>
      <c r="B3689" t="s">
        <v>10</v>
      </c>
      <c r="C3689" t="s">
        <v>14</v>
      </c>
      <c r="D3689">
        <v>43</v>
      </c>
      <c r="E3689" s="1">
        <v>44148</v>
      </c>
      <c r="F3689">
        <v>2020</v>
      </c>
      <c r="G3689" t="s">
        <v>5038</v>
      </c>
      <c r="H3689">
        <v>13</v>
      </c>
      <c r="I3689">
        <v>3.46</v>
      </c>
      <c r="J3689">
        <v>13</v>
      </c>
      <c r="K3689">
        <v>3576.62</v>
      </c>
      <c r="L3689">
        <v>5</v>
      </c>
    </row>
    <row r="3690" spans="1:12" x14ac:dyDescent="0.3">
      <c r="A3690" t="s">
        <v>3705</v>
      </c>
      <c r="B3690" t="s">
        <v>24</v>
      </c>
      <c r="C3690" t="s">
        <v>11</v>
      </c>
      <c r="D3690">
        <v>34</v>
      </c>
      <c r="E3690" s="1">
        <v>41385</v>
      </c>
      <c r="F3690">
        <v>2013</v>
      </c>
      <c r="G3690" t="s">
        <v>5040</v>
      </c>
      <c r="H3690">
        <v>21</v>
      </c>
      <c r="I3690">
        <v>4.42</v>
      </c>
      <c r="J3690">
        <v>7</v>
      </c>
      <c r="K3690">
        <v>12934.86</v>
      </c>
      <c r="L3690">
        <v>12.5</v>
      </c>
    </row>
    <row r="3691" spans="1:12" x14ac:dyDescent="0.3">
      <c r="A3691" t="s">
        <v>3706</v>
      </c>
      <c r="B3691" t="s">
        <v>34</v>
      </c>
      <c r="C3691" t="s">
        <v>11</v>
      </c>
      <c r="D3691">
        <v>51</v>
      </c>
      <c r="E3691" s="1">
        <v>42070</v>
      </c>
      <c r="F3691">
        <v>2015</v>
      </c>
      <c r="G3691" t="s">
        <v>5035</v>
      </c>
      <c r="H3691">
        <v>7</v>
      </c>
      <c r="I3691">
        <v>3.54</v>
      </c>
      <c r="J3691">
        <v>14</v>
      </c>
      <c r="K3691">
        <v>7360.45</v>
      </c>
      <c r="L3691">
        <v>10.7</v>
      </c>
    </row>
    <row r="3692" spans="1:12" x14ac:dyDescent="0.3">
      <c r="A3692" t="s">
        <v>3707</v>
      </c>
      <c r="B3692" t="s">
        <v>10</v>
      </c>
      <c r="C3692" t="s">
        <v>11</v>
      </c>
      <c r="D3692">
        <v>55</v>
      </c>
      <c r="E3692" s="1">
        <v>40371</v>
      </c>
      <c r="F3692">
        <v>2010</v>
      </c>
      <c r="G3692" t="s">
        <v>5034</v>
      </c>
      <c r="H3692">
        <v>12</v>
      </c>
      <c r="I3692">
        <v>4.1399999999999997</v>
      </c>
      <c r="J3692">
        <v>6</v>
      </c>
      <c r="K3692">
        <v>13939.81</v>
      </c>
      <c r="L3692">
        <v>15.3</v>
      </c>
    </row>
    <row r="3693" spans="1:12" x14ac:dyDescent="0.3">
      <c r="A3693" t="s">
        <v>3708</v>
      </c>
      <c r="B3693" t="s">
        <v>24</v>
      </c>
      <c r="C3693" t="s">
        <v>11</v>
      </c>
      <c r="D3693">
        <v>24</v>
      </c>
      <c r="E3693" s="1">
        <v>45010</v>
      </c>
      <c r="F3693">
        <v>2023</v>
      </c>
      <c r="G3693" t="s">
        <v>5035</v>
      </c>
      <c r="H3693">
        <v>25</v>
      </c>
      <c r="I3693">
        <v>3.66</v>
      </c>
      <c r="J3693">
        <v>14</v>
      </c>
      <c r="K3693">
        <v>5452.63</v>
      </c>
      <c r="L3693">
        <v>2.6</v>
      </c>
    </row>
    <row r="3694" spans="1:12" x14ac:dyDescent="0.3">
      <c r="A3694" t="s">
        <v>3709</v>
      </c>
      <c r="B3694" t="s">
        <v>18</v>
      </c>
      <c r="C3694" t="s">
        <v>11</v>
      </c>
      <c r="D3694">
        <v>56</v>
      </c>
      <c r="E3694" s="1">
        <v>42690</v>
      </c>
      <c r="F3694">
        <v>2016</v>
      </c>
      <c r="G3694" t="s">
        <v>5038</v>
      </c>
      <c r="H3694">
        <v>16</v>
      </c>
      <c r="I3694">
        <v>1.72</v>
      </c>
      <c r="J3694">
        <v>10</v>
      </c>
      <c r="K3694">
        <v>9455.31</v>
      </c>
      <c r="L3694">
        <v>9</v>
      </c>
    </row>
    <row r="3695" spans="1:12" x14ac:dyDescent="0.3">
      <c r="A3695" t="s">
        <v>3710</v>
      </c>
      <c r="B3695" t="s">
        <v>18</v>
      </c>
      <c r="C3695" t="s">
        <v>11</v>
      </c>
      <c r="D3695">
        <v>40</v>
      </c>
      <c r="E3695" s="1">
        <v>45422</v>
      </c>
      <c r="F3695">
        <v>2024</v>
      </c>
      <c r="G3695" t="s">
        <v>5036</v>
      </c>
      <c r="H3695">
        <v>10</v>
      </c>
      <c r="I3695">
        <v>3.83</v>
      </c>
      <c r="J3695">
        <v>2</v>
      </c>
      <c r="K3695">
        <v>5212.2299999999996</v>
      </c>
      <c r="L3695">
        <v>1.5</v>
      </c>
    </row>
    <row r="3696" spans="1:12" x14ac:dyDescent="0.3">
      <c r="A3696" t="s">
        <v>3711</v>
      </c>
      <c r="B3696" t="s">
        <v>16</v>
      </c>
      <c r="C3696" t="s">
        <v>11</v>
      </c>
      <c r="D3696">
        <v>23</v>
      </c>
      <c r="E3696" s="1">
        <v>42744</v>
      </c>
      <c r="F3696">
        <v>2017</v>
      </c>
      <c r="G3696" t="s">
        <v>5037</v>
      </c>
      <c r="H3696">
        <v>9</v>
      </c>
      <c r="I3696">
        <v>3.31</v>
      </c>
      <c r="J3696">
        <v>8</v>
      </c>
      <c r="K3696">
        <v>9004.3799999999992</v>
      </c>
      <c r="L3696">
        <v>8.8000000000000007</v>
      </c>
    </row>
    <row r="3697" spans="1:12" x14ac:dyDescent="0.3">
      <c r="A3697" t="s">
        <v>3712</v>
      </c>
      <c r="B3697" t="s">
        <v>24</v>
      </c>
      <c r="C3697" t="s">
        <v>11</v>
      </c>
      <c r="D3697">
        <v>43</v>
      </c>
      <c r="E3697" s="1">
        <v>44939</v>
      </c>
      <c r="F3697">
        <v>2023</v>
      </c>
      <c r="G3697" t="s">
        <v>5037</v>
      </c>
      <c r="H3697">
        <v>13</v>
      </c>
      <c r="I3697">
        <v>3.62</v>
      </c>
      <c r="J3697">
        <v>5</v>
      </c>
      <c r="K3697">
        <v>13304.8</v>
      </c>
      <c r="L3697">
        <v>2.8</v>
      </c>
    </row>
    <row r="3698" spans="1:12" x14ac:dyDescent="0.3">
      <c r="A3698" t="s">
        <v>3713</v>
      </c>
      <c r="B3698" t="s">
        <v>10</v>
      </c>
      <c r="C3698" t="s">
        <v>11</v>
      </c>
      <c r="D3698">
        <v>25</v>
      </c>
      <c r="E3698" s="1">
        <v>41069</v>
      </c>
      <c r="F3698">
        <v>2012</v>
      </c>
      <c r="G3698" t="s">
        <v>5032</v>
      </c>
      <c r="H3698">
        <v>9</v>
      </c>
      <c r="I3698">
        <v>3.69</v>
      </c>
      <c r="J3698">
        <v>8</v>
      </c>
      <c r="K3698">
        <v>11735.46</v>
      </c>
      <c r="L3698">
        <v>13.4</v>
      </c>
    </row>
    <row r="3699" spans="1:12" x14ac:dyDescent="0.3">
      <c r="A3699" t="s">
        <v>3714</v>
      </c>
      <c r="B3699" t="s">
        <v>34</v>
      </c>
      <c r="C3699" t="s">
        <v>11</v>
      </c>
      <c r="D3699">
        <v>24</v>
      </c>
      <c r="E3699" s="1">
        <v>42653</v>
      </c>
      <c r="F3699">
        <v>2016</v>
      </c>
      <c r="G3699" t="s">
        <v>5039</v>
      </c>
      <c r="H3699">
        <v>10</v>
      </c>
      <c r="I3699">
        <v>4.6500000000000004</v>
      </c>
      <c r="J3699">
        <v>12</v>
      </c>
      <c r="K3699">
        <v>11877.24</v>
      </c>
      <c r="L3699">
        <v>9.1</v>
      </c>
    </row>
    <row r="3700" spans="1:12" x14ac:dyDescent="0.3">
      <c r="A3700" t="s">
        <v>3715</v>
      </c>
      <c r="B3700" t="s">
        <v>18</v>
      </c>
      <c r="C3700" t="s">
        <v>14</v>
      </c>
      <c r="D3700">
        <v>40</v>
      </c>
      <c r="E3700" s="1">
        <v>41008</v>
      </c>
      <c r="F3700">
        <v>2012</v>
      </c>
      <c r="G3700" t="s">
        <v>5040</v>
      </c>
      <c r="H3700">
        <v>9</v>
      </c>
      <c r="I3700">
        <v>2.09</v>
      </c>
      <c r="J3700">
        <v>11</v>
      </c>
      <c r="K3700">
        <v>13932.65</v>
      </c>
      <c r="L3700">
        <v>13.6</v>
      </c>
    </row>
    <row r="3701" spans="1:12" x14ac:dyDescent="0.3">
      <c r="A3701" t="s">
        <v>3716</v>
      </c>
      <c r="B3701" t="s">
        <v>13</v>
      </c>
      <c r="C3701" t="s">
        <v>14</v>
      </c>
      <c r="D3701">
        <v>30</v>
      </c>
      <c r="E3701" s="1">
        <v>43354</v>
      </c>
      <c r="F3701">
        <v>2018</v>
      </c>
      <c r="G3701" t="s">
        <v>5033</v>
      </c>
      <c r="H3701">
        <v>11</v>
      </c>
      <c r="I3701">
        <v>1.94</v>
      </c>
      <c r="J3701">
        <v>9</v>
      </c>
      <c r="K3701">
        <v>13768.86</v>
      </c>
      <c r="L3701">
        <v>7.1</v>
      </c>
    </row>
    <row r="3702" spans="1:12" x14ac:dyDescent="0.3">
      <c r="A3702" t="s">
        <v>3717</v>
      </c>
      <c r="B3702" t="s">
        <v>18</v>
      </c>
      <c r="C3702" t="s">
        <v>11</v>
      </c>
      <c r="D3702">
        <v>55</v>
      </c>
      <c r="E3702" s="1">
        <v>42618</v>
      </c>
      <c r="F3702">
        <v>2016</v>
      </c>
      <c r="G3702" t="s">
        <v>5033</v>
      </c>
      <c r="H3702">
        <v>5</v>
      </c>
      <c r="I3702">
        <v>2.66</v>
      </c>
      <c r="J3702">
        <v>4</v>
      </c>
      <c r="K3702">
        <v>8393.5300000000007</v>
      </c>
      <c r="L3702">
        <v>9.1999999999999993</v>
      </c>
    </row>
    <row r="3703" spans="1:12" x14ac:dyDescent="0.3">
      <c r="A3703" t="s">
        <v>3718</v>
      </c>
      <c r="B3703" t="s">
        <v>16</v>
      </c>
      <c r="C3703" t="s">
        <v>11</v>
      </c>
      <c r="D3703">
        <v>54</v>
      </c>
      <c r="E3703" s="1">
        <v>41078</v>
      </c>
      <c r="F3703">
        <v>2012</v>
      </c>
      <c r="G3703" t="s">
        <v>5032</v>
      </c>
      <c r="H3703">
        <v>18</v>
      </c>
      <c r="I3703">
        <v>1.9</v>
      </c>
      <c r="J3703">
        <v>1</v>
      </c>
      <c r="K3703">
        <v>3653.65</v>
      </c>
      <c r="L3703">
        <v>13.4</v>
      </c>
    </row>
    <row r="3704" spans="1:12" x14ac:dyDescent="0.3">
      <c r="A3704" t="s">
        <v>3719</v>
      </c>
      <c r="B3704" t="s">
        <v>24</v>
      </c>
      <c r="C3704" t="s">
        <v>11</v>
      </c>
      <c r="D3704">
        <v>57</v>
      </c>
      <c r="E3704" s="1">
        <v>43514</v>
      </c>
      <c r="F3704">
        <v>2019</v>
      </c>
      <c r="G3704" t="s">
        <v>5042</v>
      </c>
      <c r="H3704">
        <v>18</v>
      </c>
      <c r="I3704">
        <v>1.7</v>
      </c>
      <c r="J3704">
        <v>12</v>
      </c>
      <c r="K3704">
        <v>13444.72</v>
      </c>
      <c r="L3704">
        <v>6.7</v>
      </c>
    </row>
    <row r="3705" spans="1:12" x14ac:dyDescent="0.3">
      <c r="A3705" t="s">
        <v>3720</v>
      </c>
      <c r="B3705" t="s">
        <v>16</v>
      </c>
      <c r="C3705" t="s">
        <v>14</v>
      </c>
      <c r="D3705">
        <v>32</v>
      </c>
      <c r="E3705" s="1">
        <v>41584</v>
      </c>
      <c r="F3705">
        <v>2013</v>
      </c>
      <c r="G3705" t="s">
        <v>5038</v>
      </c>
      <c r="H3705">
        <v>6</v>
      </c>
      <c r="I3705">
        <v>4.42</v>
      </c>
      <c r="J3705">
        <v>1</v>
      </c>
      <c r="K3705">
        <v>12332.97</v>
      </c>
      <c r="L3705">
        <v>12</v>
      </c>
    </row>
    <row r="3706" spans="1:12" x14ac:dyDescent="0.3">
      <c r="A3706" t="s">
        <v>3721</v>
      </c>
      <c r="B3706" t="s">
        <v>10</v>
      </c>
      <c r="C3706" t="s">
        <v>14</v>
      </c>
      <c r="D3706">
        <v>29</v>
      </c>
      <c r="E3706" s="1">
        <v>40393</v>
      </c>
      <c r="F3706">
        <v>2010</v>
      </c>
      <c r="G3706" t="s">
        <v>5031</v>
      </c>
      <c r="H3706">
        <v>3</v>
      </c>
      <c r="I3706">
        <v>4.8499999999999996</v>
      </c>
      <c r="J3706">
        <v>11</v>
      </c>
      <c r="K3706">
        <v>14639.92</v>
      </c>
      <c r="L3706">
        <v>15.3</v>
      </c>
    </row>
    <row r="3707" spans="1:12" x14ac:dyDescent="0.3">
      <c r="A3707" t="s">
        <v>3722</v>
      </c>
      <c r="B3707" t="s">
        <v>10</v>
      </c>
      <c r="C3707" t="s">
        <v>14</v>
      </c>
      <c r="D3707">
        <v>44</v>
      </c>
      <c r="E3707" s="1">
        <v>40361</v>
      </c>
      <c r="F3707">
        <v>2010</v>
      </c>
      <c r="G3707" t="s">
        <v>5034</v>
      </c>
      <c r="H3707">
        <v>2</v>
      </c>
      <c r="I3707">
        <v>2.4500000000000002</v>
      </c>
      <c r="J3707">
        <v>11</v>
      </c>
      <c r="K3707">
        <v>9221.07</v>
      </c>
      <c r="L3707">
        <v>15.3</v>
      </c>
    </row>
    <row r="3708" spans="1:12" x14ac:dyDescent="0.3">
      <c r="A3708" t="s">
        <v>3723</v>
      </c>
      <c r="B3708" t="s">
        <v>18</v>
      </c>
      <c r="C3708" t="s">
        <v>11</v>
      </c>
      <c r="D3708">
        <v>28</v>
      </c>
      <c r="E3708" s="1">
        <v>43062</v>
      </c>
      <c r="F3708">
        <v>2017</v>
      </c>
      <c r="G3708" t="s">
        <v>5038</v>
      </c>
      <c r="H3708">
        <v>23</v>
      </c>
      <c r="I3708">
        <v>4.58</v>
      </c>
      <c r="J3708">
        <v>1</v>
      </c>
      <c r="K3708">
        <v>11255.7</v>
      </c>
      <c r="L3708">
        <v>7.9</v>
      </c>
    </row>
    <row r="3709" spans="1:12" x14ac:dyDescent="0.3">
      <c r="A3709" t="s">
        <v>3724</v>
      </c>
      <c r="B3709" t="s">
        <v>24</v>
      </c>
      <c r="C3709" t="s">
        <v>11</v>
      </c>
      <c r="D3709">
        <v>60</v>
      </c>
      <c r="E3709" s="1">
        <v>40239</v>
      </c>
      <c r="F3709">
        <v>2010</v>
      </c>
      <c r="G3709" t="s">
        <v>5035</v>
      </c>
      <c r="H3709">
        <v>2</v>
      </c>
      <c r="I3709">
        <v>1.65</v>
      </c>
      <c r="J3709">
        <v>5</v>
      </c>
      <c r="K3709">
        <v>12069.52</v>
      </c>
      <c r="L3709">
        <v>15.7</v>
      </c>
    </row>
    <row r="3710" spans="1:12" x14ac:dyDescent="0.3">
      <c r="A3710" t="s">
        <v>3725</v>
      </c>
      <c r="B3710" t="s">
        <v>24</v>
      </c>
      <c r="C3710" t="s">
        <v>14</v>
      </c>
      <c r="D3710">
        <v>45</v>
      </c>
      <c r="E3710" s="1">
        <v>40319</v>
      </c>
      <c r="F3710">
        <v>2010</v>
      </c>
      <c r="G3710" t="s">
        <v>5036</v>
      </c>
      <c r="H3710">
        <v>21</v>
      </c>
      <c r="I3710">
        <v>3.24</v>
      </c>
      <c r="J3710">
        <v>6</v>
      </c>
      <c r="K3710">
        <v>14519.89</v>
      </c>
      <c r="L3710">
        <v>15.5</v>
      </c>
    </row>
    <row r="3711" spans="1:12" x14ac:dyDescent="0.3">
      <c r="A3711" t="s">
        <v>3726</v>
      </c>
      <c r="B3711" t="s">
        <v>34</v>
      </c>
      <c r="C3711" t="s">
        <v>14</v>
      </c>
      <c r="D3711">
        <v>26</v>
      </c>
      <c r="E3711" s="1">
        <v>45308</v>
      </c>
      <c r="F3711">
        <v>2024</v>
      </c>
      <c r="G3711" t="s">
        <v>5037</v>
      </c>
      <c r="H3711">
        <v>17</v>
      </c>
      <c r="I3711">
        <v>4.9000000000000004</v>
      </c>
      <c r="J3711">
        <v>9</v>
      </c>
      <c r="K3711">
        <v>14346.96</v>
      </c>
      <c r="L3711">
        <v>1.8</v>
      </c>
    </row>
    <row r="3712" spans="1:12" x14ac:dyDescent="0.3">
      <c r="A3712" t="s">
        <v>3727</v>
      </c>
      <c r="B3712" t="s">
        <v>34</v>
      </c>
      <c r="C3712" t="s">
        <v>11</v>
      </c>
      <c r="D3712">
        <v>48</v>
      </c>
      <c r="E3712" s="1">
        <v>45182</v>
      </c>
      <c r="F3712">
        <v>2023</v>
      </c>
      <c r="G3712" t="s">
        <v>5033</v>
      </c>
      <c r="H3712">
        <v>13</v>
      </c>
      <c r="I3712">
        <v>1.55</v>
      </c>
      <c r="J3712">
        <v>0</v>
      </c>
      <c r="K3712">
        <v>5611.89</v>
      </c>
      <c r="L3712">
        <v>2.1</v>
      </c>
    </row>
    <row r="3713" spans="1:12" x14ac:dyDescent="0.3">
      <c r="A3713" t="s">
        <v>3728</v>
      </c>
      <c r="B3713" t="s">
        <v>10</v>
      </c>
      <c r="C3713" t="s">
        <v>14</v>
      </c>
      <c r="D3713">
        <v>40</v>
      </c>
      <c r="E3713" s="1">
        <v>41543</v>
      </c>
      <c r="F3713">
        <v>2013</v>
      </c>
      <c r="G3713" t="s">
        <v>5033</v>
      </c>
      <c r="H3713">
        <v>26</v>
      </c>
      <c r="I3713">
        <v>4.17</v>
      </c>
      <c r="J3713">
        <v>8</v>
      </c>
      <c r="K3713">
        <v>3899.57</v>
      </c>
      <c r="L3713">
        <v>12.1</v>
      </c>
    </row>
    <row r="3714" spans="1:12" x14ac:dyDescent="0.3">
      <c r="A3714" t="s">
        <v>3729</v>
      </c>
      <c r="B3714" t="s">
        <v>24</v>
      </c>
      <c r="C3714" t="s">
        <v>11</v>
      </c>
      <c r="D3714">
        <v>42</v>
      </c>
      <c r="E3714" s="1">
        <v>44923</v>
      </c>
      <c r="F3714">
        <v>2022</v>
      </c>
      <c r="G3714" t="s">
        <v>5041</v>
      </c>
      <c r="H3714">
        <v>28</v>
      </c>
      <c r="I3714">
        <v>3.33</v>
      </c>
      <c r="J3714">
        <v>2</v>
      </c>
      <c r="K3714">
        <v>7211.21</v>
      </c>
      <c r="L3714">
        <v>2.8</v>
      </c>
    </row>
    <row r="3715" spans="1:12" x14ac:dyDescent="0.3">
      <c r="A3715" t="s">
        <v>3730</v>
      </c>
      <c r="B3715" t="s">
        <v>10</v>
      </c>
      <c r="C3715" t="s">
        <v>11</v>
      </c>
      <c r="D3715">
        <v>22</v>
      </c>
      <c r="E3715" s="1">
        <v>42645</v>
      </c>
      <c r="F3715">
        <v>2016</v>
      </c>
      <c r="G3715" t="s">
        <v>5039</v>
      </c>
      <c r="H3715">
        <v>2</v>
      </c>
      <c r="I3715">
        <v>3.99</v>
      </c>
      <c r="J3715">
        <v>6</v>
      </c>
      <c r="K3715">
        <v>10476.6</v>
      </c>
      <c r="L3715">
        <v>9.1</v>
      </c>
    </row>
    <row r="3716" spans="1:12" x14ac:dyDescent="0.3">
      <c r="A3716" t="s">
        <v>3731</v>
      </c>
      <c r="B3716" t="s">
        <v>13</v>
      </c>
      <c r="C3716" t="s">
        <v>11</v>
      </c>
      <c r="D3716">
        <v>32</v>
      </c>
      <c r="E3716" s="1">
        <v>43113</v>
      </c>
      <c r="F3716">
        <v>2018</v>
      </c>
      <c r="G3716" t="s">
        <v>5037</v>
      </c>
      <c r="H3716">
        <v>13</v>
      </c>
      <c r="I3716">
        <v>2.69</v>
      </c>
      <c r="J3716">
        <v>5</v>
      </c>
      <c r="K3716">
        <v>3887.91</v>
      </c>
      <c r="L3716">
        <v>7.8</v>
      </c>
    </row>
    <row r="3717" spans="1:12" x14ac:dyDescent="0.3">
      <c r="A3717" t="s">
        <v>3732</v>
      </c>
      <c r="B3717" t="s">
        <v>18</v>
      </c>
      <c r="C3717" t="s">
        <v>11</v>
      </c>
      <c r="D3717">
        <v>53</v>
      </c>
      <c r="E3717" s="1">
        <v>41427</v>
      </c>
      <c r="F3717">
        <v>2013</v>
      </c>
      <c r="G3717" t="s">
        <v>5032</v>
      </c>
      <c r="H3717">
        <v>2</v>
      </c>
      <c r="I3717">
        <v>3.43</v>
      </c>
      <c r="J3717">
        <v>11</v>
      </c>
      <c r="K3717">
        <v>9303.9599999999991</v>
      </c>
      <c r="L3717">
        <v>12.4</v>
      </c>
    </row>
    <row r="3718" spans="1:12" x14ac:dyDescent="0.3">
      <c r="A3718" t="s">
        <v>3733</v>
      </c>
      <c r="B3718" t="s">
        <v>16</v>
      </c>
      <c r="C3718" t="s">
        <v>11</v>
      </c>
      <c r="D3718">
        <v>60</v>
      </c>
      <c r="E3718" s="1">
        <v>40210</v>
      </c>
      <c r="F3718">
        <v>2010</v>
      </c>
      <c r="G3718" t="s">
        <v>5042</v>
      </c>
      <c r="H3718">
        <v>1</v>
      </c>
      <c r="I3718">
        <v>4.0199999999999996</v>
      </c>
      <c r="J3718">
        <v>11</v>
      </c>
      <c r="K3718">
        <v>11545.39</v>
      </c>
      <c r="L3718">
        <v>15.8</v>
      </c>
    </row>
    <row r="3719" spans="1:12" x14ac:dyDescent="0.3">
      <c r="A3719" t="s">
        <v>3734</v>
      </c>
      <c r="B3719" t="s">
        <v>16</v>
      </c>
      <c r="C3719" t="s">
        <v>14</v>
      </c>
      <c r="D3719">
        <v>55</v>
      </c>
      <c r="E3719" s="1">
        <v>44140</v>
      </c>
      <c r="F3719">
        <v>2020</v>
      </c>
      <c r="G3719" t="s">
        <v>5038</v>
      </c>
      <c r="H3719">
        <v>5</v>
      </c>
      <c r="I3719">
        <v>3.8</v>
      </c>
      <c r="J3719">
        <v>0</v>
      </c>
      <c r="K3719">
        <v>6193.08</v>
      </c>
      <c r="L3719">
        <v>5</v>
      </c>
    </row>
    <row r="3720" spans="1:12" x14ac:dyDescent="0.3">
      <c r="A3720" t="s">
        <v>3735</v>
      </c>
      <c r="B3720" t="s">
        <v>34</v>
      </c>
      <c r="C3720" t="s">
        <v>14</v>
      </c>
      <c r="D3720">
        <v>54</v>
      </c>
      <c r="E3720" s="1">
        <v>45923</v>
      </c>
      <c r="F3720">
        <v>2025</v>
      </c>
      <c r="G3720" t="s">
        <v>5033</v>
      </c>
      <c r="H3720">
        <v>23</v>
      </c>
      <c r="I3720">
        <v>1.84</v>
      </c>
      <c r="J3720">
        <v>8</v>
      </c>
      <c r="K3720">
        <v>5673.62</v>
      </c>
      <c r="L3720">
        <v>0.1</v>
      </c>
    </row>
    <row r="3721" spans="1:12" x14ac:dyDescent="0.3">
      <c r="A3721" t="s">
        <v>3736</v>
      </c>
      <c r="B3721" t="s">
        <v>18</v>
      </c>
      <c r="C3721" t="s">
        <v>11</v>
      </c>
      <c r="D3721">
        <v>23</v>
      </c>
      <c r="E3721" s="1">
        <v>45118</v>
      </c>
      <c r="F3721">
        <v>2023</v>
      </c>
      <c r="G3721" t="s">
        <v>5034</v>
      </c>
      <c r="H3721">
        <v>11</v>
      </c>
      <c r="I3721">
        <v>4.37</v>
      </c>
      <c r="J3721">
        <v>2</v>
      </c>
      <c r="K3721">
        <v>9481.69</v>
      </c>
      <c r="L3721">
        <v>2.2999999999999998</v>
      </c>
    </row>
    <row r="3722" spans="1:12" x14ac:dyDescent="0.3">
      <c r="A3722" t="s">
        <v>3737</v>
      </c>
      <c r="B3722" t="s">
        <v>10</v>
      </c>
      <c r="C3722" t="s">
        <v>14</v>
      </c>
      <c r="D3722">
        <v>25</v>
      </c>
      <c r="E3722" s="1">
        <v>42347</v>
      </c>
      <c r="F3722">
        <v>2015</v>
      </c>
      <c r="G3722" t="s">
        <v>5041</v>
      </c>
      <c r="H3722">
        <v>9</v>
      </c>
      <c r="I3722">
        <v>4.9000000000000004</v>
      </c>
      <c r="J3722">
        <v>6</v>
      </c>
      <c r="K3722">
        <v>14909.21</v>
      </c>
      <c r="L3722">
        <v>9.9</v>
      </c>
    </row>
    <row r="3723" spans="1:12" x14ac:dyDescent="0.3">
      <c r="A3723" t="s">
        <v>3738</v>
      </c>
      <c r="B3723" t="s">
        <v>18</v>
      </c>
      <c r="C3723" t="s">
        <v>14</v>
      </c>
      <c r="D3723">
        <v>30</v>
      </c>
      <c r="E3723" s="1">
        <v>41475</v>
      </c>
      <c r="F3723">
        <v>2013</v>
      </c>
      <c r="G3723" t="s">
        <v>5034</v>
      </c>
      <c r="H3723">
        <v>20</v>
      </c>
      <c r="I3723">
        <v>4.3499999999999996</v>
      </c>
      <c r="J3723">
        <v>9</v>
      </c>
      <c r="K3723">
        <v>14628.91</v>
      </c>
      <c r="L3723">
        <v>12.3</v>
      </c>
    </row>
    <row r="3724" spans="1:12" x14ac:dyDescent="0.3">
      <c r="A3724" t="s">
        <v>3739</v>
      </c>
      <c r="B3724" t="s">
        <v>18</v>
      </c>
      <c r="C3724" t="s">
        <v>14</v>
      </c>
      <c r="D3724">
        <v>50</v>
      </c>
      <c r="E3724" s="1">
        <v>45349</v>
      </c>
      <c r="F3724">
        <v>2024</v>
      </c>
      <c r="G3724" t="s">
        <v>5042</v>
      </c>
      <c r="H3724">
        <v>27</v>
      </c>
      <c r="I3724">
        <v>3.44</v>
      </c>
      <c r="J3724">
        <v>7</v>
      </c>
      <c r="K3724">
        <v>7984.77</v>
      </c>
      <c r="L3724">
        <v>1.7</v>
      </c>
    </row>
    <row r="3725" spans="1:12" x14ac:dyDescent="0.3">
      <c r="A3725" t="s">
        <v>3740</v>
      </c>
      <c r="B3725" t="s">
        <v>10</v>
      </c>
      <c r="C3725" t="s">
        <v>11</v>
      </c>
      <c r="D3725">
        <v>27</v>
      </c>
      <c r="E3725" s="1">
        <v>40686</v>
      </c>
      <c r="F3725">
        <v>2011</v>
      </c>
      <c r="G3725" t="s">
        <v>5036</v>
      </c>
      <c r="H3725">
        <v>23</v>
      </c>
      <c r="I3725">
        <v>4.33</v>
      </c>
      <c r="J3725">
        <v>4</v>
      </c>
      <c r="K3725">
        <v>7839.99</v>
      </c>
      <c r="L3725">
        <v>14.5</v>
      </c>
    </row>
    <row r="3726" spans="1:12" x14ac:dyDescent="0.3">
      <c r="A3726" t="s">
        <v>3741</v>
      </c>
      <c r="B3726" t="s">
        <v>10</v>
      </c>
      <c r="C3726" t="s">
        <v>14</v>
      </c>
      <c r="D3726">
        <v>29</v>
      </c>
      <c r="E3726" s="1">
        <v>45251</v>
      </c>
      <c r="F3726">
        <v>2023</v>
      </c>
      <c r="G3726" t="s">
        <v>5038</v>
      </c>
      <c r="H3726">
        <v>21</v>
      </c>
      <c r="I3726">
        <v>4.3600000000000003</v>
      </c>
      <c r="J3726">
        <v>14</v>
      </c>
      <c r="K3726">
        <v>3439.25</v>
      </c>
      <c r="L3726">
        <v>1.9</v>
      </c>
    </row>
    <row r="3727" spans="1:12" x14ac:dyDescent="0.3">
      <c r="A3727" t="s">
        <v>3742</v>
      </c>
      <c r="B3727" t="s">
        <v>34</v>
      </c>
      <c r="C3727" t="s">
        <v>11</v>
      </c>
      <c r="D3727">
        <v>37</v>
      </c>
      <c r="E3727" s="1">
        <v>44237</v>
      </c>
      <c r="F3727">
        <v>2021</v>
      </c>
      <c r="G3727" t="s">
        <v>5042</v>
      </c>
      <c r="H3727">
        <v>10</v>
      </c>
      <c r="I3727">
        <v>1.89</v>
      </c>
      <c r="J3727">
        <v>9</v>
      </c>
      <c r="K3727">
        <v>14334.72</v>
      </c>
      <c r="L3727">
        <v>4.7</v>
      </c>
    </row>
    <row r="3728" spans="1:12" x14ac:dyDescent="0.3">
      <c r="A3728" t="s">
        <v>3743</v>
      </c>
      <c r="B3728" t="s">
        <v>34</v>
      </c>
      <c r="C3728" t="s">
        <v>14</v>
      </c>
      <c r="D3728">
        <v>43</v>
      </c>
      <c r="E3728" s="1">
        <v>40494</v>
      </c>
      <c r="F3728">
        <v>2010</v>
      </c>
      <c r="G3728" t="s">
        <v>5038</v>
      </c>
      <c r="H3728">
        <v>12</v>
      </c>
      <c r="I3728">
        <v>3.76</v>
      </c>
      <c r="J3728">
        <v>15</v>
      </c>
      <c r="K3728">
        <v>3247.26</v>
      </c>
      <c r="L3728">
        <v>15</v>
      </c>
    </row>
    <row r="3729" spans="1:12" x14ac:dyDescent="0.3">
      <c r="A3729" t="s">
        <v>3744</v>
      </c>
      <c r="B3729" t="s">
        <v>13</v>
      </c>
      <c r="C3729" t="s">
        <v>11</v>
      </c>
      <c r="D3729">
        <v>28</v>
      </c>
      <c r="E3729" s="1">
        <v>43276</v>
      </c>
      <c r="F3729">
        <v>2018</v>
      </c>
      <c r="G3729" t="s">
        <v>5032</v>
      </c>
      <c r="H3729">
        <v>25</v>
      </c>
      <c r="I3729">
        <v>4.63</v>
      </c>
      <c r="J3729">
        <v>14</v>
      </c>
      <c r="K3729">
        <v>6326.22</v>
      </c>
      <c r="L3729">
        <v>7.4</v>
      </c>
    </row>
    <row r="3730" spans="1:12" x14ac:dyDescent="0.3">
      <c r="A3730" t="s">
        <v>3745</v>
      </c>
      <c r="B3730" t="s">
        <v>16</v>
      </c>
      <c r="C3730" t="s">
        <v>14</v>
      </c>
      <c r="D3730">
        <v>31</v>
      </c>
      <c r="E3730" s="1">
        <v>43234</v>
      </c>
      <c r="F3730">
        <v>2018</v>
      </c>
      <c r="G3730" t="s">
        <v>5036</v>
      </c>
      <c r="H3730">
        <v>14</v>
      </c>
      <c r="I3730">
        <v>3.08</v>
      </c>
      <c r="J3730">
        <v>0</v>
      </c>
      <c r="K3730">
        <v>9005.5300000000007</v>
      </c>
      <c r="L3730">
        <v>7.5</v>
      </c>
    </row>
    <row r="3731" spans="1:12" x14ac:dyDescent="0.3">
      <c r="A3731" t="s">
        <v>3746</v>
      </c>
      <c r="B3731" t="s">
        <v>34</v>
      </c>
      <c r="C3731" t="s">
        <v>11</v>
      </c>
      <c r="D3731">
        <v>41</v>
      </c>
      <c r="E3731" s="1">
        <v>43008</v>
      </c>
      <c r="F3731">
        <v>2017</v>
      </c>
      <c r="G3731" t="s">
        <v>5033</v>
      </c>
      <c r="H3731">
        <v>30</v>
      </c>
      <c r="I3731">
        <v>4.95</v>
      </c>
      <c r="J3731">
        <v>1</v>
      </c>
      <c r="K3731">
        <v>6202.19</v>
      </c>
      <c r="L3731">
        <v>8.1</v>
      </c>
    </row>
    <row r="3732" spans="1:12" x14ac:dyDescent="0.3">
      <c r="A3732" t="s">
        <v>3747</v>
      </c>
      <c r="B3732" t="s">
        <v>24</v>
      </c>
      <c r="C3732" t="s">
        <v>11</v>
      </c>
      <c r="D3732">
        <v>59</v>
      </c>
      <c r="E3732" s="1">
        <v>42044</v>
      </c>
      <c r="F3732">
        <v>2015</v>
      </c>
      <c r="G3732" t="s">
        <v>5042</v>
      </c>
      <c r="H3732">
        <v>9</v>
      </c>
      <c r="I3732">
        <v>4.21</v>
      </c>
      <c r="J3732">
        <v>13</v>
      </c>
      <c r="K3732">
        <v>11829.76</v>
      </c>
      <c r="L3732">
        <v>10.7</v>
      </c>
    </row>
    <row r="3733" spans="1:12" x14ac:dyDescent="0.3">
      <c r="A3733" t="s">
        <v>3748</v>
      </c>
      <c r="B3733" t="s">
        <v>34</v>
      </c>
      <c r="C3733" t="s">
        <v>14</v>
      </c>
      <c r="D3733">
        <v>52</v>
      </c>
      <c r="E3733" s="1">
        <v>40562</v>
      </c>
      <c r="F3733">
        <v>2011</v>
      </c>
      <c r="G3733" t="s">
        <v>5037</v>
      </c>
      <c r="H3733">
        <v>19</v>
      </c>
      <c r="I3733">
        <v>4.3499999999999996</v>
      </c>
      <c r="J3733">
        <v>9</v>
      </c>
      <c r="K3733">
        <v>14214.54</v>
      </c>
      <c r="L3733">
        <v>14.8</v>
      </c>
    </row>
    <row r="3734" spans="1:12" x14ac:dyDescent="0.3">
      <c r="A3734" t="s">
        <v>3749</v>
      </c>
      <c r="B3734" t="s">
        <v>10</v>
      </c>
      <c r="C3734" t="s">
        <v>14</v>
      </c>
      <c r="D3734">
        <v>40</v>
      </c>
      <c r="E3734" s="1">
        <v>40325</v>
      </c>
      <c r="F3734">
        <v>2010</v>
      </c>
      <c r="G3734" t="s">
        <v>5036</v>
      </c>
      <c r="H3734">
        <v>27</v>
      </c>
      <c r="I3734">
        <v>2.15</v>
      </c>
      <c r="J3734">
        <v>12</v>
      </c>
      <c r="K3734">
        <v>4643.83</v>
      </c>
      <c r="L3734">
        <v>15.4</v>
      </c>
    </row>
    <row r="3735" spans="1:12" x14ac:dyDescent="0.3">
      <c r="A3735" t="s">
        <v>3750</v>
      </c>
      <c r="B3735" t="s">
        <v>34</v>
      </c>
      <c r="C3735" t="s">
        <v>11</v>
      </c>
      <c r="D3735">
        <v>53</v>
      </c>
      <c r="E3735" s="1">
        <v>42953</v>
      </c>
      <c r="F3735">
        <v>2017</v>
      </c>
      <c r="G3735" t="s">
        <v>5031</v>
      </c>
      <c r="H3735">
        <v>6</v>
      </c>
      <c r="I3735">
        <v>2.75</v>
      </c>
      <c r="J3735">
        <v>7</v>
      </c>
      <c r="K3735">
        <v>5111.3100000000004</v>
      </c>
      <c r="L3735">
        <v>8.1999999999999993</v>
      </c>
    </row>
    <row r="3736" spans="1:12" x14ac:dyDescent="0.3">
      <c r="A3736" t="s">
        <v>3751</v>
      </c>
      <c r="B3736" t="s">
        <v>13</v>
      </c>
      <c r="C3736" t="s">
        <v>14</v>
      </c>
      <c r="D3736">
        <v>34</v>
      </c>
      <c r="E3736" s="1">
        <v>41132</v>
      </c>
      <c r="F3736">
        <v>2012</v>
      </c>
      <c r="G3736" t="s">
        <v>5031</v>
      </c>
      <c r="H3736">
        <v>11</v>
      </c>
      <c r="I3736">
        <v>4.8499999999999996</v>
      </c>
      <c r="J3736">
        <v>1</v>
      </c>
      <c r="K3736">
        <v>9857.8799999999992</v>
      </c>
      <c r="L3736">
        <v>13.2</v>
      </c>
    </row>
    <row r="3737" spans="1:12" x14ac:dyDescent="0.3">
      <c r="A3737" t="s">
        <v>3752</v>
      </c>
      <c r="B3737" t="s">
        <v>24</v>
      </c>
      <c r="C3737" t="s">
        <v>11</v>
      </c>
      <c r="D3737">
        <v>34</v>
      </c>
      <c r="E3737" s="1">
        <v>44214</v>
      </c>
      <c r="F3737">
        <v>2021</v>
      </c>
      <c r="G3737" t="s">
        <v>5037</v>
      </c>
      <c r="H3737">
        <v>18</v>
      </c>
      <c r="I3737">
        <v>1.95</v>
      </c>
      <c r="J3737">
        <v>8</v>
      </c>
      <c r="K3737">
        <v>8133.25</v>
      </c>
      <c r="L3737">
        <v>4.8</v>
      </c>
    </row>
    <row r="3738" spans="1:12" x14ac:dyDescent="0.3">
      <c r="A3738" t="s">
        <v>3753</v>
      </c>
      <c r="B3738" t="s">
        <v>34</v>
      </c>
      <c r="C3738" t="s">
        <v>14</v>
      </c>
      <c r="D3738">
        <v>47</v>
      </c>
      <c r="E3738" s="1">
        <v>43276</v>
      </c>
      <c r="F3738">
        <v>2018</v>
      </c>
      <c r="G3738" t="s">
        <v>5032</v>
      </c>
      <c r="H3738">
        <v>25</v>
      </c>
      <c r="I3738">
        <v>1.58</v>
      </c>
      <c r="J3738">
        <v>8</v>
      </c>
      <c r="K3738">
        <v>7583.92</v>
      </c>
      <c r="L3738">
        <v>7.4</v>
      </c>
    </row>
    <row r="3739" spans="1:12" x14ac:dyDescent="0.3">
      <c r="A3739" t="s">
        <v>3754</v>
      </c>
      <c r="B3739" t="s">
        <v>10</v>
      </c>
      <c r="C3739" t="s">
        <v>11</v>
      </c>
      <c r="D3739">
        <v>39</v>
      </c>
      <c r="E3739" s="1">
        <v>41048</v>
      </c>
      <c r="F3739">
        <v>2012</v>
      </c>
      <c r="G3739" t="s">
        <v>5036</v>
      </c>
      <c r="H3739">
        <v>19</v>
      </c>
      <c r="I3739">
        <v>2.25</v>
      </c>
      <c r="J3739">
        <v>7</v>
      </c>
      <c r="K3739">
        <v>13127.94</v>
      </c>
      <c r="L3739">
        <v>13.5</v>
      </c>
    </row>
    <row r="3740" spans="1:12" x14ac:dyDescent="0.3">
      <c r="A3740" t="s">
        <v>3755</v>
      </c>
      <c r="B3740" t="s">
        <v>10</v>
      </c>
      <c r="C3740" t="s">
        <v>14</v>
      </c>
      <c r="D3740">
        <v>38</v>
      </c>
      <c r="E3740" s="1">
        <v>43125</v>
      </c>
      <c r="F3740">
        <v>2018</v>
      </c>
      <c r="G3740" t="s">
        <v>5037</v>
      </c>
      <c r="H3740">
        <v>25</v>
      </c>
      <c r="I3740">
        <v>1.88</v>
      </c>
      <c r="J3740">
        <v>1</v>
      </c>
      <c r="K3740">
        <v>11886.55</v>
      </c>
      <c r="L3740">
        <v>7.8</v>
      </c>
    </row>
    <row r="3741" spans="1:12" x14ac:dyDescent="0.3">
      <c r="A3741" t="s">
        <v>3756</v>
      </c>
      <c r="B3741" t="s">
        <v>13</v>
      </c>
      <c r="C3741" t="s">
        <v>14</v>
      </c>
      <c r="D3741">
        <v>33</v>
      </c>
      <c r="E3741" s="1">
        <v>45215</v>
      </c>
      <c r="F3741">
        <v>2023</v>
      </c>
      <c r="G3741" t="s">
        <v>5039</v>
      </c>
      <c r="H3741">
        <v>16</v>
      </c>
      <c r="I3741">
        <v>2.7</v>
      </c>
      <c r="J3741">
        <v>15</v>
      </c>
      <c r="K3741">
        <v>12237.53</v>
      </c>
      <c r="L3741">
        <v>2</v>
      </c>
    </row>
    <row r="3742" spans="1:12" x14ac:dyDescent="0.3">
      <c r="A3742" t="s">
        <v>3757</v>
      </c>
      <c r="B3742" t="s">
        <v>24</v>
      </c>
      <c r="C3742" t="s">
        <v>14</v>
      </c>
      <c r="D3742">
        <v>57</v>
      </c>
      <c r="E3742" s="1">
        <v>43181</v>
      </c>
      <c r="F3742">
        <v>2018</v>
      </c>
      <c r="G3742" t="s">
        <v>5035</v>
      </c>
      <c r="H3742">
        <v>22</v>
      </c>
      <c r="I3742">
        <v>2.1800000000000002</v>
      </c>
      <c r="J3742">
        <v>0</v>
      </c>
      <c r="K3742">
        <v>13164.01</v>
      </c>
      <c r="L3742">
        <v>7.6</v>
      </c>
    </row>
    <row r="3743" spans="1:12" x14ac:dyDescent="0.3">
      <c r="A3743" t="s">
        <v>3758</v>
      </c>
      <c r="B3743" t="s">
        <v>13</v>
      </c>
      <c r="C3743" t="s">
        <v>11</v>
      </c>
      <c r="D3743">
        <v>35</v>
      </c>
      <c r="E3743" s="1">
        <v>43728</v>
      </c>
      <c r="F3743">
        <v>2019</v>
      </c>
      <c r="G3743" t="s">
        <v>5033</v>
      </c>
      <c r="H3743">
        <v>20</v>
      </c>
      <c r="I3743">
        <v>2.99</v>
      </c>
      <c r="J3743">
        <v>0</v>
      </c>
      <c r="K3743">
        <v>7977.32</v>
      </c>
      <c r="L3743">
        <v>6.1</v>
      </c>
    </row>
    <row r="3744" spans="1:12" x14ac:dyDescent="0.3">
      <c r="A3744" t="s">
        <v>3759</v>
      </c>
      <c r="B3744" t="s">
        <v>34</v>
      </c>
      <c r="C3744" t="s">
        <v>14</v>
      </c>
      <c r="D3744">
        <v>32</v>
      </c>
      <c r="E3744" s="1">
        <v>44461</v>
      </c>
      <c r="F3744">
        <v>2021</v>
      </c>
      <c r="G3744" t="s">
        <v>5033</v>
      </c>
      <c r="H3744">
        <v>22</v>
      </c>
      <c r="I3744">
        <v>4.29</v>
      </c>
      <c r="J3744">
        <v>0</v>
      </c>
      <c r="K3744">
        <v>4424.88</v>
      </c>
      <c r="L3744">
        <v>4.0999999999999996</v>
      </c>
    </row>
    <row r="3745" spans="1:12" x14ac:dyDescent="0.3">
      <c r="A3745" t="s">
        <v>3760</v>
      </c>
      <c r="B3745" t="s">
        <v>18</v>
      </c>
      <c r="C3745" t="s">
        <v>11</v>
      </c>
      <c r="D3745">
        <v>30</v>
      </c>
      <c r="E3745" s="1">
        <v>43136</v>
      </c>
      <c r="F3745">
        <v>2018</v>
      </c>
      <c r="G3745" t="s">
        <v>5042</v>
      </c>
      <c r="H3745">
        <v>5</v>
      </c>
      <c r="I3745">
        <v>3.53</v>
      </c>
      <c r="J3745">
        <v>1</v>
      </c>
      <c r="K3745">
        <v>11746.2</v>
      </c>
      <c r="L3745">
        <v>7.7</v>
      </c>
    </row>
    <row r="3746" spans="1:12" x14ac:dyDescent="0.3">
      <c r="A3746" t="s">
        <v>3761</v>
      </c>
      <c r="B3746" t="s">
        <v>10</v>
      </c>
      <c r="C3746" t="s">
        <v>11</v>
      </c>
      <c r="D3746">
        <v>47</v>
      </c>
      <c r="E3746" s="1">
        <v>44128</v>
      </c>
      <c r="F3746">
        <v>2020</v>
      </c>
      <c r="G3746" t="s">
        <v>5039</v>
      </c>
      <c r="H3746">
        <v>24</v>
      </c>
      <c r="I3746">
        <v>3.26</v>
      </c>
      <c r="J3746">
        <v>0</v>
      </c>
      <c r="K3746">
        <v>13032.68</v>
      </c>
      <c r="L3746">
        <v>5</v>
      </c>
    </row>
    <row r="3747" spans="1:12" x14ac:dyDescent="0.3">
      <c r="A3747" t="s">
        <v>3762</v>
      </c>
      <c r="B3747" t="s">
        <v>13</v>
      </c>
      <c r="C3747" t="s">
        <v>14</v>
      </c>
      <c r="D3747">
        <v>39</v>
      </c>
      <c r="E3747" s="1">
        <v>43439</v>
      </c>
      <c r="F3747">
        <v>2018</v>
      </c>
      <c r="G3747" t="s">
        <v>5041</v>
      </c>
      <c r="H3747">
        <v>5</v>
      </c>
      <c r="I3747">
        <v>2.57</v>
      </c>
      <c r="J3747">
        <v>9</v>
      </c>
      <c r="K3747">
        <v>12235.6</v>
      </c>
      <c r="L3747">
        <v>6.9</v>
      </c>
    </row>
    <row r="3748" spans="1:12" x14ac:dyDescent="0.3">
      <c r="A3748" t="s">
        <v>3763</v>
      </c>
      <c r="B3748" t="s">
        <v>34</v>
      </c>
      <c r="C3748" t="s">
        <v>14</v>
      </c>
      <c r="D3748">
        <v>45</v>
      </c>
      <c r="E3748" s="1">
        <v>43190</v>
      </c>
      <c r="F3748">
        <v>2018</v>
      </c>
      <c r="G3748" t="s">
        <v>5035</v>
      </c>
      <c r="H3748">
        <v>31</v>
      </c>
      <c r="I3748">
        <v>4.25</v>
      </c>
      <c r="J3748">
        <v>11</v>
      </c>
      <c r="K3748">
        <v>13885.88</v>
      </c>
      <c r="L3748">
        <v>7.6</v>
      </c>
    </row>
    <row r="3749" spans="1:12" x14ac:dyDescent="0.3">
      <c r="A3749" t="s">
        <v>3764</v>
      </c>
      <c r="B3749" t="s">
        <v>13</v>
      </c>
      <c r="C3749" t="s">
        <v>11</v>
      </c>
      <c r="D3749">
        <v>54</v>
      </c>
      <c r="E3749" s="1">
        <v>42284</v>
      </c>
      <c r="F3749">
        <v>2015</v>
      </c>
      <c r="G3749" t="s">
        <v>5039</v>
      </c>
      <c r="H3749">
        <v>7</v>
      </c>
      <c r="I3749">
        <v>4.84</v>
      </c>
      <c r="J3749">
        <v>3</v>
      </c>
      <c r="K3749">
        <v>4477.05</v>
      </c>
      <c r="L3749">
        <v>10.1</v>
      </c>
    </row>
    <row r="3750" spans="1:12" x14ac:dyDescent="0.3">
      <c r="A3750" t="s">
        <v>3765</v>
      </c>
      <c r="B3750" t="s">
        <v>13</v>
      </c>
      <c r="C3750" t="s">
        <v>14</v>
      </c>
      <c r="D3750">
        <v>59</v>
      </c>
      <c r="E3750" s="1">
        <v>44882</v>
      </c>
      <c r="F3750">
        <v>2022</v>
      </c>
      <c r="G3750" t="s">
        <v>5038</v>
      </c>
      <c r="H3750">
        <v>17</v>
      </c>
      <c r="I3750">
        <v>4.34</v>
      </c>
      <c r="J3750">
        <v>13</v>
      </c>
      <c r="K3750">
        <v>3613.71</v>
      </c>
      <c r="L3750">
        <v>3</v>
      </c>
    </row>
    <row r="3751" spans="1:12" x14ac:dyDescent="0.3">
      <c r="A3751" t="s">
        <v>3766</v>
      </c>
      <c r="B3751" t="s">
        <v>34</v>
      </c>
      <c r="C3751" t="s">
        <v>11</v>
      </c>
      <c r="D3751">
        <v>46</v>
      </c>
      <c r="E3751" s="1">
        <v>41031</v>
      </c>
      <c r="F3751">
        <v>2012</v>
      </c>
      <c r="G3751" t="s">
        <v>5036</v>
      </c>
      <c r="H3751">
        <v>2</v>
      </c>
      <c r="I3751">
        <v>4.72</v>
      </c>
      <c r="J3751">
        <v>13</v>
      </c>
      <c r="K3751">
        <v>4924.5200000000004</v>
      </c>
      <c r="L3751">
        <v>13.5</v>
      </c>
    </row>
    <row r="3752" spans="1:12" x14ac:dyDescent="0.3">
      <c r="A3752" t="s">
        <v>3767</v>
      </c>
      <c r="B3752" t="s">
        <v>34</v>
      </c>
      <c r="C3752" t="s">
        <v>14</v>
      </c>
      <c r="D3752">
        <v>51</v>
      </c>
      <c r="E3752" s="1">
        <v>44964</v>
      </c>
      <c r="F3752">
        <v>2023</v>
      </c>
      <c r="G3752" t="s">
        <v>5042</v>
      </c>
      <c r="H3752">
        <v>7</v>
      </c>
      <c r="I3752">
        <v>3.29</v>
      </c>
      <c r="J3752">
        <v>8</v>
      </c>
      <c r="K3752">
        <v>6049.02</v>
      </c>
      <c r="L3752">
        <v>2.7</v>
      </c>
    </row>
    <row r="3753" spans="1:12" x14ac:dyDescent="0.3">
      <c r="A3753" t="s">
        <v>3768</v>
      </c>
      <c r="B3753" t="s">
        <v>13</v>
      </c>
      <c r="C3753" t="s">
        <v>14</v>
      </c>
      <c r="D3753">
        <v>50</v>
      </c>
      <c r="E3753" s="1">
        <v>42905</v>
      </c>
      <c r="F3753">
        <v>2017</v>
      </c>
      <c r="G3753" t="s">
        <v>5032</v>
      </c>
      <c r="H3753">
        <v>19</v>
      </c>
      <c r="I3753">
        <v>4.9000000000000004</v>
      </c>
      <c r="J3753">
        <v>3</v>
      </c>
      <c r="K3753">
        <v>9626.2900000000009</v>
      </c>
      <c r="L3753">
        <v>8.4</v>
      </c>
    </row>
    <row r="3754" spans="1:12" x14ac:dyDescent="0.3">
      <c r="A3754" t="s">
        <v>3769</v>
      </c>
      <c r="B3754" t="s">
        <v>13</v>
      </c>
      <c r="C3754" t="s">
        <v>14</v>
      </c>
      <c r="D3754">
        <v>41</v>
      </c>
      <c r="E3754" s="1">
        <v>41132</v>
      </c>
      <c r="F3754">
        <v>2012</v>
      </c>
      <c r="G3754" t="s">
        <v>5031</v>
      </c>
      <c r="H3754">
        <v>11</v>
      </c>
      <c r="I3754">
        <v>3.32</v>
      </c>
      <c r="J3754">
        <v>7</v>
      </c>
      <c r="K3754">
        <v>4201.74</v>
      </c>
      <c r="L3754">
        <v>13.2</v>
      </c>
    </row>
    <row r="3755" spans="1:12" x14ac:dyDescent="0.3">
      <c r="A3755" t="s">
        <v>3770</v>
      </c>
      <c r="B3755" t="s">
        <v>16</v>
      </c>
      <c r="C3755" t="s">
        <v>11</v>
      </c>
      <c r="D3755">
        <v>43</v>
      </c>
      <c r="E3755" s="1">
        <v>40442</v>
      </c>
      <c r="F3755">
        <v>2010</v>
      </c>
      <c r="G3755" t="s">
        <v>5033</v>
      </c>
      <c r="H3755">
        <v>21</v>
      </c>
      <c r="I3755">
        <v>4.8499999999999996</v>
      </c>
      <c r="J3755">
        <v>10</v>
      </c>
      <c r="K3755">
        <v>9092.15</v>
      </c>
      <c r="L3755">
        <v>15.1</v>
      </c>
    </row>
    <row r="3756" spans="1:12" x14ac:dyDescent="0.3">
      <c r="A3756" t="s">
        <v>3771</v>
      </c>
      <c r="B3756" t="s">
        <v>10</v>
      </c>
      <c r="C3756" t="s">
        <v>11</v>
      </c>
      <c r="D3756">
        <v>23</v>
      </c>
      <c r="E3756" s="1">
        <v>44654</v>
      </c>
      <c r="F3756">
        <v>2022</v>
      </c>
      <c r="G3756" t="s">
        <v>5040</v>
      </c>
      <c r="H3756">
        <v>3</v>
      </c>
      <c r="I3756">
        <v>4.2</v>
      </c>
      <c r="J3756">
        <v>12</v>
      </c>
      <c r="K3756">
        <v>9061.92</v>
      </c>
      <c r="L3756">
        <v>3.6</v>
      </c>
    </row>
    <row r="3757" spans="1:12" x14ac:dyDescent="0.3">
      <c r="A3757" t="s">
        <v>3772</v>
      </c>
      <c r="B3757" t="s">
        <v>34</v>
      </c>
      <c r="C3757" t="s">
        <v>11</v>
      </c>
      <c r="D3757">
        <v>38</v>
      </c>
      <c r="E3757" s="1">
        <v>45082</v>
      </c>
      <c r="F3757">
        <v>2023</v>
      </c>
      <c r="G3757" t="s">
        <v>5032</v>
      </c>
      <c r="H3757">
        <v>5</v>
      </c>
      <c r="I3757">
        <v>3.81</v>
      </c>
      <c r="J3757">
        <v>15</v>
      </c>
      <c r="K3757">
        <v>6476.53</v>
      </c>
      <c r="L3757">
        <v>2.4</v>
      </c>
    </row>
    <row r="3758" spans="1:12" x14ac:dyDescent="0.3">
      <c r="A3758" t="s">
        <v>3773</v>
      </c>
      <c r="B3758" t="s">
        <v>18</v>
      </c>
      <c r="C3758" t="s">
        <v>11</v>
      </c>
      <c r="D3758">
        <v>38</v>
      </c>
      <c r="E3758" s="1">
        <v>45821</v>
      </c>
      <c r="F3758">
        <v>2025</v>
      </c>
      <c r="G3758" t="s">
        <v>5032</v>
      </c>
      <c r="H3758">
        <v>13</v>
      </c>
      <c r="I3758">
        <v>4.7699999999999996</v>
      </c>
      <c r="J3758">
        <v>14</v>
      </c>
      <c r="K3758">
        <v>14245.65</v>
      </c>
      <c r="L3758">
        <v>0.4</v>
      </c>
    </row>
    <row r="3759" spans="1:12" x14ac:dyDescent="0.3">
      <c r="A3759" t="s">
        <v>3774</v>
      </c>
      <c r="B3759" t="s">
        <v>16</v>
      </c>
      <c r="C3759" t="s">
        <v>14</v>
      </c>
      <c r="D3759">
        <v>40</v>
      </c>
      <c r="E3759" s="1">
        <v>42099</v>
      </c>
      <c r="F3759">
        <v>2015</v>
      </c>
      <c r="G3759" t="s">
        <v>5040</v>
      </c>
      <c r="H3759">
        <v>5</v>
      </c>
      <c r="I3759">
        <v>4.42</v>
      </c>
      <c r="J3759">
        <v>1</v>
      </c>
      <c r="K3759">
        <v>7462.95</v>
      </c>
      <c r="L3759">
        <v>10.6</v>
      </c>
    </row>
    <row r="3760" spans="1:12" x14ac:dyDescent="0.3">
      <c r="A3760" t="s">
        <v>3775</v>
      </c>
      <c r="B3760" t="s">
        <v>34</v>
      </c>
      <c r="C3760" t="s">
        <v>11</v>
      </c>
      <c r="D3760">
        <v>34</v>
      </c>
      <c r="E3760" s="1">
        <v>41693</v>
      </c>
      <c r="F3760">
        <v>2014</v>
      </c>
      <c r="G3760" t="s">
        <v>5042</v>
      </c>
      <c r="H3760">
        <v>23</v>
      </c>
      <c r="I3760">
        <v>2.09</v>
      </c>
      <c r="J3760">
        <v>4</v>
      </c>
      <c r="K3760">
        <v>13880.38</v>
      </c>
      <c r="L3760">
        <v>11.7</v>
      </c>
    </row>
    <row r="3761" spans="1:12" x14ac:dyDescent="0.3">
      <c r="A3761" t="s">
        <v>3776</v>
      </c>
      <c r="B3761" t="s">
        <v>16</v>
      </c>
      <c r="C3761" t="s">
        <v>14</v>
      </c>
      <c r="D3761">
        <v>56</v>
      </c>
      <c r="E3761" s="1">
        <v>41711</v>
      </c>
      <c r="F3761">
        <v>2014</v>
      </c>
      <c r="G3761" t="s">
        <v>5035</v>
      </c>
      <c r="H3761">
        <v>13</v>
      </c>
      <c r="I3761">
        <v>2.0699999999999998</v>
      </c>
      <c r="J3761">
        <v>12</v>
      </c>
      <c r="K3761">
        <v>9461.56</v>
      </c>
      <c r="L3761">
        <v>11.6</v>
      </c>
    </row>
    <row r="3762" spans="1:12" x14ac:dyDescent="0.3">
      <c r="A3762" t="s">
        <v>3777</v>
      </c>
      <c r="B3762" t="s">
        <v>16</v>
      </c>
      <c r="C3762" t="s">
        <v>11</v>
      </c>
      <c r="D3762">
        <v>60</v>
      </c>
      <c r="E3762" s="1">
        <v>41624</v>
      </c>
      <c r="F3762">
        <v>2013</v>
      </c>
      <c r="G3762" t="s">
        <v>5041</v>
      </c>
      <c r="H3762">
        <v>16</v>
      </c>
      <c r="I3762">
        <v>1.88</v>
      </c>
      <c r="J3762">
        <v>8</v>
      </c>
      <c r="K3762">
        <v>11419.27</v>
      </c>
      <c r="L3762">
        <v>11.9</v>
      </c>
    </row>
    <row r="3763" spans="1:12" x14ac:dyDescent="0.3">
      <c r="A3763" t="s">
        <v>3778</v>
      </c>
      <c r="B3763" t="s">
        <v>13</v>
      </c>
      <c r="C3763" t="s">
        <v>14</v>
      </c>
      <c r="D3763">
        <v>22</v>
      </c>
      <c r="E3763" s="1">
        <v>43766</v>
      </c>
      <c r="F3763">
        <v>2019</v>
      </c>
      <c r="G3763" t="s">
        <v>5039</v>
      </c>
      <c r="H3763">
        <v>28</v>
      </c>
      <c r="I3763">
        <v>4.91</v>
      </c>
      <c r="J3763">
        <v>14</v>
      </c>
      <c r="K3763">
        <v>13040.69</v>
      </c>
      <c r="L3763">
        <v>6</v>
      </c>
    </row>
    <row r="3764" spans="1:12" x14ac:dyDescent="0.3">
      <c r="A3764" t="s">
        <v>3779</v>
      </c>
      <c r="B3764" t="s">
        <v>24</v>
      </c>
      <c r="C3764" t="s">
        <v>11</v>
      </c>
      <c r="D3764">
        <v>47</v>
      </c>
      <c r="E3764" s="1">
        <v>43805</v>
      </c>
      <c r="F3764">
        <v>2019</v>
      </c>
      <c r="G3764" t="s">
        <v>5041</v>
      </c>
      <c r="H3764">
        <v>6</v>
      </c>
      <c r="I3764">
        <v>1.52</v>
      </c>
      <c r="J3764">
        <v>8</v>
      </c>
      <c r="K3764">
        <v>13139.64</v>
      </c>
      <c r="L3764">
        <v>5.9</v>
      </c>
    </row>
    <row r="3765" spans="1:12" x14ac:dyDescent="0.3">
      <c r="A3765" t="s">
        <v>3780</v>
      </c>
      <c r="B3765" t="s">
        <v>34</v>
      </c>
      <c r="C3765" t="s">
        <v>14</v>
      </c>
      <c r="D3765">
        <v>49</v>
      </c>
      <c r="E3765" s="1">
        <v>44886</v>
      </c>
      <c r="F3765">
        <v>2022</v>
      </c>
      <c r="G3765" t="s">
        <v>5038</v>
      </c>
      <c r="H3765">
        <v>21</v>
      </c>
      <c r="I3765">
        <v>2.46</v>
      </c>
      <c r="J3765">
        <v>11</v>
      </c>
      <c r="K3765">
        <v>5641.08</v>
      </c>
      <c r="L3765">
        <v>2.9</v>
      </c>
    </row>
    <row r="3766" spans="1:12" x14ac:dyDescent="0.3">
      <c r="A3766" t="s">
        <v>3781</v>
      </c>
      <c r="B3766" t="s">
        <v>18</v>
      </c>
      <c r="C3766" t="s">
        <v>14</v>
      </c>
      <c r="D3766">
        <v>22</v>
      </c>
      <c r="E3766" s="1">
        <v>40885</v>
      </c>
      <c r="F3766">
        <v>2011</v>
      </c>
      <c r="G3766" t="s">
        <v>5041</v>
      </c>
      <c r="H3766">
        <v>8</v>
      </c>
      <c r="I3766">
        <v>3.6</v>
      </c>
      <c r="J3766">
        <v>8</v>
      </c>
      <c r="K3766">
        <v>13307.19</v>
      </c>
      <c r="L3766">
        <v>13.9</v>
      </c>
    </row>
    <row r="3767" spans="1:12" x14ac:dyDescent="0.3">
      <c r="A3767" t="s">
        <v>3782</v>
      </c>
      <c r="B3767" t="s">
        <v>13</v>
      </c>
      <c r="C3767" t="s">
        <v>11</v>
      </c>
      <c r="D3767">
        <v>49</v>
      </c>
      <c r="E3767" s="1">
        <v>43615</v>
      </c>
      <c r="F3767">
        <v>2019</v>
      </c>
      <c r="G3767" t="s">
        <v>5036</v>
      </c>
      <c r="H3767">
        <v>30</v>
      </c>
      <c r="I3767">
        <v>2.92</v>
      </c>
      <c r="J3767">
        <v>7</v>
      </c>
      <c r="K3767">
        <v>14797.74</v>
      </c>
      <c r="L3767">
        <v>6.4</v>
      </c>
    </row>
    <row r="3768" spans="1:12" x14ac:dyDescent="0.3">
      <c r="A3768" t="s">
        <v>3783</v>
      </c>
      <c r="B3768" t="s">
        <v>13</v>
      </c>
      <c r="C3768" t="s">
        <v>11</v>
      </c>
      <c r="D3768">
        <v>28</v>
      </c>
      <c r="E3768" s="1">
        <v>43317</v>
      </c>
      <c r="F3768">
        <v>2018</v>
      </c>
      <c r="G3768" t="s">
        <v>5031</v>
      </c>
      <c r="H3768">
        <v>5</v>
      </c>
      <c r="I3768">
        <v>3.36</v>
      </c>
      <c r="J3768">
        <v>9</v>
      </c>
      <c r="K3768">
        <v>7897.05</v>
      </c>
      <c r="L3768">
        <v>7.2</v>
      </c>
    </row>
    <row r="3769" spans="1:12" x14ac:dyDescent="0.3">
      <c r="A3769" t="s">
        <v>3784</v>
      </c>
      <c r="B3769" t="s">
        <v>13</v>
      </c>
      <c r="C3769" t="s">
        <v>11</v>
      </c>
      <c r="D3769">
        <v>46</v>
      </c>
      <c r="E3769" s="1">
        <v>45023</v>
      </c>
      <c r="F3769">
        <v>2023</v>
      </c>
      <c r="G3769" t="s">
        <v>5040</v>
      </c>
      <c r="H3769">
        <v>7</v>
      </c>
      <c r="I3769">
        <v>3.05</v>
      </c>
      <c r="J3769">
        <v>14</v>
      </c>
      <c r="K3769">
        <v>5313.08</v>
      </c>
      <c r="L3769">
        <v>2.6</v>
      </c>
    </row>
    <row r="3770" spans="1:12" x14ac:dyDescent="0.3">
      <c r="A3770" t="s">
        <v>3785</v>
      </c>
      <c r="B3770" t="s">
        <v>16</v>
      </c>
      <c r="C3770" t="s">
        <v>11</v>
      </c>
      <c r="D3770">
        <v>40</v>
      </c>
      <c r="E3770" s="1">
        <v>44959</v>
      </c>
      <c r="F3770">
        <v>2023</v>
      </c>
      <c r="G3770" t="s">
        <v>5042</v>
      </c>
      <c r="H3770">
        <v>2</v>
      </c>
      <c r="I3770">
        <v>4.13</v>
      </c>
      <c r="J3770">
        <v>5</v>
      </c>
      <c r="K3770">
        <v>4096</v>
      </c>
      <c r="L3770">
        <v>2.7</v>
      </c>
    </row>
    <row r="3771" spans="1:12" x14ac:dyDescent="0.3">
      <c r="A3771" t="s">
        <v>3786</v>
      </c>
      <c r="B3771" t="s">
        <v>16</v>
      </c>
      <c r="C3771" t="s">
        <v>14</v>
      </c>
      <c r="D3771">
        <v>51</v>
      </c>
      <c r="E3771" s="1">
        <v>44115</v>
      </c>
      <c r="F3771">
        <v>2020</v>
      </c>
      <c r="G3771" t="s">
        <v>5039</v>
      </c>
      <c r="H3771">
        <v>11</v>
      </c>
      <c r="I3771">
        <v>2.54</v>
      </c>
      <c r="J3771">
        <v>7</v>
      </c>
      <c r="K3771">
        <v>10682.04</v>
      </c>
      <c r="L3771">
        <v>5.0999999999999996</v>
      </c>
    </row>
    <row r="3772" spans="1:12" x14ac:dyDescent="0.3">
      <c r="A3772" t="s">
        <v>3787</v>
      </c>
      <c r="B3772" t="s">
        <v>24</v>
      </c>
      <c r="C3772" t="s">
        <v>11</v>
      </c>
      <c r="D3772">
        <v>58</v>
      </c>
      <c r="E3772" s="1">
        <v>40782</v>
      </c>
      <c r="F3772">
        <v>2011</v>
      </c>
      <c r="G3772" t="s">
        <v>5031</v>
      </c>
      <c r="H3772">
        <v>27</v>
      </c>
      <c r="I3772">
        <v>4.4000000000000004</v>
      </c>
      <c r="J3772">
        <v>3</v>
      </c>
      <c r="K3772">
        <v>11169.38</v>
      </c>
      <c r="L3772">
        <v>14.2</v>
      </c>
    </row>
    <row r="3773" spans="1:12" x14ac:dyDescent="0.3">
      <c r="A3773" t="s">
        <v>3788</v>
      </c>
      <c r="B3773" t="s">
        <v>13</v>
      </c>
      <c r="C3773" t="s">
        <v>11</v>
      </c>
      <c r="D3773">
        <v>50</v>
      </c>
      <c r="E3773" s="1">
        <v>45637</v>
      </c>
      <c r="F3773">
        <v>2024</v>
      </c>
      <c r="G3773" t="s">
        <v>5041</v>
      </c>
      <c r="H3773">
        <v>11</v>
      </c>
      <c r="I3773">
        <v>1.71</v>
      </c>
      <c r="J3773">
        <v>13</v>
      </c>
      <c r="K3773">
        <v>13689.17</v>
      </c>
      <c r="L3773">
        <v>0.9</v>
      </c>
    </row>
    <row r="3774" spans="1:12" x14ac:dyDescent="0.3">
      <c r="A3774" t="s">
        <v>3789</v>
      </c>
      <c r="B3774" t="s">
        <v>16</v>
      </c>
      <c r="C3774" t="s">
        <v>14</v>
      </c>
      <c r="D3774">
        <v>37</v>
      </c>
      <c r="E3774" s="1">
        <v>40777</v>
      </c>
      <c r="F3774">
        <v>2011</v>
      </c>
      <c r="G3774" t="s">
        <v>5031</v>
      </c>
      <c r="H3774">
        <v>22</v>
      </c>
      <c r="I3774">
        <v>3.11</v>
      </c>
      <c r="J3774">
        <v>0</v>
      </c>
      <c r="K3774">
        <v>3894.91</v>
      </c>
      <c r="L3774">
        <v>14.2</v>
      </c>
    </row>
    <row r="3775" spans="1:12" x14ac:dyDescent="0.3">
      <c r="A3775" t="s">
        <v>3790</v>
      </c>
      <c r="B3775" t="s">
        <v>13</v>
      </c>
      <c r="C3775" t="s">
        <v>14</v>
      </c>
      <c r="D3775">
        <v>41</v>
      </c>
      <c r="E3775" s="1">
        <v>45401</v>
      </c>
      <c r="F3775">
        <v>2024</v>
      </c>
      <c r="G3775" t="s">
        <v>5040</v>
      </c>
      <c r="H3775">
        <v>19</v>
      </c>
      <c r="I3775">
        <v>2.88</v>
      </c>
      <c r="J3775">
        <v>9</v>
      </c>
      <c r="K3775">
        <v>4790.4399999999996</v>
      </c>
      <c r="L3775">
        <v>1.5</v>
      </c>
    </row>
    <row r="3776" spans="1:12" x14ac:dyDescent="0.3">
      <c r="A3776" t="s">
        <v>3791</v>
      </c>
      <c r="B3776" t="s">
        <v>10</v>
      </c>
      <c r="C3776" t="s">
        <v>14</v>
      </c>
      <c r="D3776">
        <v>43</v>
      </c>
      <c r="E3776" s="1">
        <v>42663</v>
      </c>
      <c r="F3776">
        <v>2016</v>
      </c>
      <c r="G3776" t="s">
        <v>5039</v>
      </c>
      <c r="H3776">
        <v>20</v>
      </c>
      <c r="I3776">
        <v>4.7699999999999996</v>
      </c>
      <c r="J3776">
        <v>9</v>
      </c>
      <c r="K3776">
        <v>14570.02</v>
      </c>
      <c r="L3776">
        <v>9</v>
      </c>
    </row>
    <row r="3777" spans="1:12" x14ac:dyDescent="0.3">
      <c r="A3777" t="s">
        <v>3792</v>
      </c>
      <c r="B3777" t="s">
        <v>10</v>
      </c>
      <c r="C3777" t="s">
        <v>11</v>
      </c>
      <c r="D3777">
        <v>23</v>
      </c>
      <c r="E3777" s="1">
        <v>44033</v>
      </c>
      <c r="F3777">
        <v>2020</v>
      </c>
      <c r="G3777" t="s">
        <v>5034</v>
      </c>
      <c r="H3777">
        <v>21</v>
      </c>
      <c r="I3777">
        <v>4.92</v>
      </c>
      <c r="J3777">
        <v>5</v>
      </c>
      <c r="K3777">
        <v>8514.94</v>
      </c>
      <c r="L3777">
        <v>5.3</v>
      </c>
    </row>
    <row r="3778" spans="1:12" x14ac:dyDescent="0.3">
      <c r="A3778" t="s">
        <v>3793</v>
      </c>
      <c r="B3778" t="s">
        <v>13</v>
      </c>
      <c r="C3778" t="s">
        <v>14</v>
      </c>
      <c r="D3778">
        <v>39</v>
      </c>
      <c r="E3778" s="1">
        <v>43764</v>
      </c>
      <c r="F3778">
        <v>2019</v>
      </c>
      <c r="G3778" t="s">
        <v>5039</v>
      </c>
      <c r="H3778">
        <v>26</v>
      </c>
      <c r="I3778">
        <v>3.24</v>
      </c>
      <c r="J3778">
        <v>12</v>
      </c>
      <c r="K3778">
        <v>11322.84</v>
      </c>
      <c r="L3778">
        <v>6</v>
      </c>
    </row>
    <row r="3779" spans="1:12" x14ac:dyDescent="0.3">
      <c r="A3779" t="s">
        <v>3794</v>
      </c>
      <c r="B3779" t="s">
        <v>10</v>
      </c>
      <c r="C3779" t="s">
        <v>11</v>
      </c>
      <c r="D3779">
        <v>40</v>
      </c>
      <c r="E3779" s="1">
        <v>42168</v>
      </c>
      <c r="F3779">
        <v>2015</v>
      </c>
      <c r="G3779" t="s">
        <v>5032</v>
      </c>
      <c r="H3779">
        <v>13</v>
      </c>
      <c r="I3779">
        <v>1.52</v>
      </c>
      <c r="J3779">
        <v>9</v>
      </c>
      <c r="K3779">
        <v>14933.09</v>
      </c>
      <c r="L3779">
        <v>10.4</v>
      </c>
    </row>
    <row r="3780" spans="1:12" x14ac:dyDescent="0.3">
      <c r="A3780" t="s">
        <v>3795</v>
      </c>
      <c r="B3780" t="s">
        <v>34</v>
      </c>
      <c r="C3780" t="s">
        <v>14</v>
      </c>
      <c r="D3780">
        <v>43</v>
      </c>
      <c r="E3780" s="1">
        <v>43157</v>
      </c>
      <c r="F3780">
        <v>2018</v>
      </c>
      <c r="G3780" t="s">
        <v>5042</v>
      </c>
      <c r="H3780">
        <v>26</v>
      </c>
      <c r="I3780">
        <v>3.06</v>
      </c>
      <c r="J3780">
        <v>4</v>
      </c>
      <c r="K3780">
        <v>6716.42</v>
      </c>
      <c r="L3780">
        <v>7.7</v>
      </c>
    </row>
    <row r="3781" spans="1:12" x14ac:dyDescent="0.3">
      <c r="A3781" t="s">
        <v>3796</v>
      </c>
      <c r="B3781" t="s">
        <v>18</v>
      </c>
      <c r="C3781" t="s">
        <v>11</v>
      </c>
      <c r="D3781">
        <v>45</v>
      </c>
      <c r="E3781" s="1">
        <v>40686</v>
      </c>
      <c r="F3781">
        <v>2011</v>
      </c>
      <c r="G3781" t="s">
        <v>5036</v>
      </c>
      <c r="H3781">
        <v>23</v>
      </c>
      <c r="I3781">
        <v>3.56</v>
      </c>
      <c r="J3781">
        <v>12</v>
      </c>
      <c r="K3781">
        <v>6731.19</v>
      </c>
      <c r="L3781">
        <v>14.5</v>
      </c>
    </row>
    <row r="3782" spans="1:12" x14ac:dyDescent="0.3">
      <c r="A3782" t="s">
        <v>3797</v>
      </c>
      <c r="B3782" t="s">
        <v>13</v>
      </c>
      <c r="C3782" t="s">
        <v>11</v>
      </c>
      <c r="D3782">
        <v>43</v>
      </c>
      <c r="E3782" s="1">
        <v>42431</v>
      </c>
      <c r="F3782">
        <v>2016</v>
      </c>
      <c r="G3782" t="s">
        <v>5035</v>
      </c>
      <c r="H3782">
        <v>2</v>
      </c>
      <c r="I3782">
        <v>3.46</v>
      </c>
      <c r="J3782">
        <v>2</v>
      </c>
      <c r="K3782">
        <v>5115.67</v>
      </c>
      <c r="L3782">
        <v>9.6999999999999993</v>
      </c>
    </row>
    <row r="3783" spans="1:12" x14ac:dyDescent="0.3">
      <c r="A3783" t="s">
        <v>3798</v>
      </c>
      <c r="B3783" t="s">
        <v>10</v>
      </c>
      <c r="C3783" t="s">
        <v>11</v>
      </c>
      <c r="D3783">
        <v>46</v>
      </c>
      <c r="E3783" s="1">
        <v>45674</v>
      </c>
      <c r="F3783">
        <v>2025</v>
      </c>
      <c r="G3783" t="s">
        <v>5037</v>
      </c>
      <c r="H3783">
        <v>17</v>
      </c>
      <c r="I3783">
        <v>2.58</v>
      </c>
      <c r="J3783">
        <v>2</v>
      </c>
      <c r="K3783">
        <v>6852.73</v>
      </c>
      <c r="L3783">
        <v>0.8</v>
      </c>
    </row>
    <row r="3784" spans="1:12" x14ac:dyDescent="0.3">
      <c r="A3784" t="s">
        <v>3799</v>
      </c>
      <c r="B3784" t="s">
        <v>13</v>
      </c>
      <c r="C3784" t="s">
        <v>14</v>
      </c>
      <c r="D3784">
        <v>36</v>
      </c>
      <c r="E3784" s="1">
        <v>41660</v>
      </c>
      <c r="F3784">
        <v>2014</v>
      </c>
      <c r="G3784" t="s">
        <v>5037</v>
      </c>
      <c r="H3784">
        <v>21</v>
      </c>
      <c r="I3784">
        <v>2.1</v>
      </c>
      <c r="J3784">
        <v>2</v>
      </c>
      <c r="K3784">
        <v>11519.9</v>
      </c>
      <c r="L3784">
        <v>11.8</v>
      </c>
    </row>
    <row r="3785" spans="1:12" x14ac:dyDescent="0.3">
      <c r="A3785" t="s">
        <v>3800</v>
      </c>
      <c r="B3785" t="s">
        <v>13</v>
      </c>
      <c r="C3785" t="s">
        <v>11</v>
      </c>
      <c r="D3785">
        <v>26</v>
      </c>
      <c r="E3785" s="1">
        <v>41140</v>
      </c>
      <c r="F3785">
        <v>2012</v>
      </c>
      <c r="G3785" t="s">
        <v>5031</v>
      </c>
      <c r="H3785">
        <v>19</v>
      </c>
      <c r="I3785">
        <v>4.3099999999999996</v>
      </c>
      <c r="J3785">
        <v>6</v>
      </c>
      <c r="K3785">
        <v>11220.1</v>
      </c>
      <c r="L3785">
        <v>13.2</v>
      </c>
    </row>
    <row r="3786" spans="1:12" x14ac:dyDescent="0.3">
      <c r="A3786" t="s">
        <v>3801</v>
      </c>
      <c r="B3786" t="s">
        <v>10</v>
      </c>
      <c r="C3786" t="s">
        <v>14</v>
      </c>
      <c r="D3786">
        <v>47</v>
      </c>
      <c r="E3786" s="1">
        <v>41119</v>
      </c>
      <c r="F3786">
        <v>2012</v>
      </c>
      <c r="G3786" t="s">
        <v>5034</v>
      </c>
      <c r="H3786">
        <v>29</v>
      </c>
      <c r="I3786">
        <v>2.64</v>
      </c>
      <c r="J3786">
        <v>6</v>
      </c>
      <c r="K3786">
        <v>3318.42</v>
      </c>
      <c r="L3786">
        <v>13.3</v>
      </c>
    </row>
    <row r="3787" spans="1:12" x14ac:dyDescent="0.3">
      <c r="A3787" t="s">
        <v>3802</v>
      </c>
      <c r="B3787" t="s">
        <v>18</v>
      </c>
      <c r="C3787" t="s">
        <v>11</v>
      </c>
      <c r="D3787">
        <v>60</v>
      </c>
      <c r="E3787" s="1">
        <v>44087</v>
      </c>
      <c r="F3787">
        <v>2020</v>
      </c>
      <c r="G3787" t="s">
        <v>5033</v>
      </c>
      <c r="H3787">
        <v>13</v>
      </c>
      <c r="I3787">
        <v>3.78</v>
      </c>
      <c r="J3787">
        <v>2</v>
      </c>
      <c r="K3787">
        <v>12728.34</v>
      </c>
      <c r="L3787">
        <v>5.0999999999999996</v>
      </c>
    </row>
    <row r="3788" spans="1:12" x14ac:dyDescent="0.3">
      <c r="A3788" t="s">
        <v>3803</v>
      </c>
      <c r="B3788" t="s">
        <v>24</v>
      </c>
      <c r="C3788" t="s">
        <v>14</v>
      </c>
      <c r="D3788">
        <v>27</v>
      </c>
      <c r="E3788" s="1">
        <v>41795</v>
      </c>
      <c r="F3788">
        <v>2014</v>
      </c>
      <c r="G3788" t="s">
        <v>5032</v>
      </c>
      <c r="H3788">
        <v>5</v>
      </c>
      <c r="I3788">
        <v>2.65</v>
      </c>
      <c r="J3788">
        <v>7</v>
      </c>
      <c r="K3788">
        <v>5220.8</v>
      </c>
      <c r="L3788">
        <v>11.4</v>
      </c>
    </row>
    <row r="3789" spans="1:12" x14ac:dyDescent="0.3">
      <c r="A3789" t="s">
        <v>3804</v>
      </c>
      <c r="B3789" t="s">
        <v>34</v>
      </c>
      <c r="C3789" t="s">
        <v>11</v>
      </c>
      <c r="D3789">
        <v>39</v>
      </c>
      <c r="E3789" s="1">
        <v>43388</v>
      </c>
      <c r="F3789">
        <v>2018</v>
      </c>
      <c r="G3789" t="s">
        <v>5039</v>
      </c>
      <c r="H3789">
        <v>15</v>
      </c>
      <c r="I3789">
        <v>3</v>
      </c>
      <c r="J3789">
        <v>4</v>
      </c>
      <c r="K3789">
        <v>5891.56</v>
      </c>
      <c r="L3789">
        <v>7.1</v>
      </c>
    </row>
    <row r="3790" spans="1:12" x14ac:dyDescent="0.3">
      <c r="A3790" t="s">
        <v>3805</v>
      </c>
      <c r="B3790" t="s">
        <v>10</v>
      </c>
      <c r="C3790" t="s">
        <v>14</v>
      </c>
      <c r="D3790">
        <v>60</v>
      </c>
      <c r="E3790" s="1">
        <v>45766</v>
      </c>
      <c r="F3790">
        <v>2025</v>
      </c>
      <c r="G3790" t="s">
        <v>5040</v>
      </c>
      <c r="H3790">
        <v>19</v>
      </c>
      <c r="I3790">
        <v>4.66</v>
      </c>
      <c r="J3790">
        <v>1</v>
      </c>
      <c r="K3790">
        <v>13730.15</v>
      </c>
      <c r="L3790">
        <v>0.5</v>
      </c>
    </row>
    <row r="3791" spans="1:12" x14ac:dyDescent="0.3">
      <c r="A3791" t="s">
        <v>3806</v>
      </c>
      <c r="B3791" t="s">
        <v>24</v>
      </c>
      <c r="C3791" t="s">
        <v>14</v>
      </c>
      <c r="D3791">
        <v>40</v>
      </c>
      <c r="E3791" s="1">
        <v>45463</v>
      </c>
      <c r="F3791">
        <v>2024</v>
      </c>
      <c r="G3791" t="s">
        <v>5032</v>
      </c>
      <c r="H3791">
        <v>20</v>
      </c>
      <c r="I3791">
        <v>2.4900000000000002</v>
      </c>
      <c r="J3791">
        <v>15</v>
      </c>
      <c r="K3791">
        <v>7133.06</v>
      </c>
      <c r="L3791">
        <v>1.4</v>
      </c>
    </row>
    <row r="3792" spans="1:12" x14ac:dyDescent="0.3">
      <c r="A3792" t="s">
        <v>3807</v>
      </c>
      <c r="B3792" t="s">
        <v>10</v>
      </c>
      <c r="C3792" t="s">
        <v>14</v>
      </c>
      <c r="D3792">
        <v>42</v>
      </c>
      <c r="E3792" s="1">
        <v>44052</v>
      </c>
      <c r="F3792">
        <v>2020</v>
      </c>
      <c r="G3792" t="s">
        <v>5031</v>
      </c>
      <c r="H3792">
        <v>9</v>
      </c>
      <c r="I3792">
        <v>3.02</v>
      </c>
      <c r="J3792">
        <v>4</v>
      </c>
      <c r="K3792">
        <v>14861.04</v>
      </c>
      <c r="L3792">
        <v>5.2</v>
      </c>
    </row>
    <row r="3793" spans="1:12" x14ac:dyDescent="0.3">
      <c r="A3793" t="s">
        <v>3808</v>
      </c>
      <c r="B3793" t="s">
        <v>24</v>
      </c>
      <c r="C3793" t="s">
        <v>14</v>
      </c>
      <c r="D3793">
        <v>35</v>
      </c>
      <c r="E3793" s="1">
        <v>45834</v>
      </c>
      <c r="F3793">
        <v>2025</v>
      </c>
      <c r="G3793" t="s">
        <v>5032</v>
      </c>
      <c r="H3793">
        <v>26</v>
      </c>
      <c r="I3793">
        <v>2.66</v>
      </c>
      <c r="J3793">
        <v>7</v>
      </c>
      <c r="K3793">
        <v>11615.59</v>
      </c>
      <c r="L3793">
        <v>0.4</v>
      </c>
    </row>
    <row r="3794" spans="1:12" x14ac:dyDescent="0.3">
      <c r="A3794" t="s">
        <v>3809</v>
      </c>
      <c r="B3794" t="s">
        <v>34</v>
      </c>
      <c r="C3794" t="s">
        <v>14</v>
      </c>
      <c r="D3794">
        <v>30</v>
      </c>
      <c r="E3794" s="1">
        <v>42857</v>
      </c>
      <c r="F3794">
        <v>2017</v>
      </c>
      <c r="G3794" t="s">
        <v>5036</v>
      </c>
      <c r="H3794">
        <v>2</v>
      </c>
      <c r="I3794">
        <v>4.46</v>
      </c>
      <c r="J3794">
        <v>5</v>
      </c>
      <c r="K3794">
        <v>8463.4500000000007</v>
      </c>
      <c r="L3794">
        <v>8.5</v>
      </c>
    </row>
    <row r="3795" spans="1:12" x14ac:dyDescent="0.3">
      <c r="A3795" t="s">
        <v>3810</v>
      </c>
      <c r="B3795" t="s">
        <v>16</v>
      </c>
      <c r="C3795" t="s">
        <v>11</v>
      </c>
      <c r="D3795">
        <v>38</v>
      </c>
      <c r="E3795" s="1">
        <v>41216</v>
      </c>
      <c r="F3795">
        <v>2012</v>
      </c>
      <c r="G3795" t="s">
        <v>5038</v>
      </c>
      <c r="H3795">
        <v>3</v>
      </c>
      <c r="I3795">
        <v>4.7</v>
      </c>
      <c r="J3795">
        <v>3</v>
      </c>
      <c r="K3795">
        <v>11455.6</v>
      </c>
      <c r="L3795">
        <v>13</v>
      </c>
    </row>
    <row r="3796" spans="1:12" x14ac:dyDescent="0.3">
      <c r="A3796" t="s">
        <v>3811</v>
      </c>
      <c r="B3796" t="s">
        <v>24</v>
      </c>
      <c r="C3796" t="s">
        <v>14</v>
      </c>
      <c r="D3796">
        <v>46</v>
      </c>
      <c r="E3796" s="1">
        <v>45448</v>
      </c>
      <c r="F3796">
        <v>2024</v>
      </c>
      <c r="G3796" t="s">
        <v>5032</v>
      </c>
      <c r="H3796">
        <v>5</v>
      </c>
      <c r="I3796">
        <v>3.02</v>
      </c>
      <c r="J3796">
        <v>11</v>
      </c>
      <c r="K3796">
        <v>4332.91</v>
      </c>
      <c r="L3796">
        <v>1.4</v>
      </c>
    </row>
    <row r="3797" spans="1:12" x14ac:dyDescent="0.3">
      <c r="A3797" t="s">
        <v>3812</v>
      </c>
      <c r="B3797" t="s">
        <v>34</v>
      </c>
      <c r="C3797" t="s">
        <v>11</v>
      </c>
      <c r="D3797">
        <v>31</v>
      </c>
      <c r="E3797" s="1">
        <v>40867</v>
      </c>
      <c r="F3797">
        <v>2011</v>
      </c>
      <c r="G3797" t="s">
        <v>5038</v>
      </c>
      <c r="H3797">
        <v>20</v>
      </c>
      <c r="I3797">
        <v>1.65</v>
      </c>
      <c r="J3797">
        <v>6</v>
      </c>
      <c r="K3797">
        <v>12922.4</v>
      </c>
      <c r="L3797">
        <v>14</v>
      </c>
    </row>
    <row r="3798" spans="1:12" x14ac:dyDescent="0.3">
      <c r="A3798" t="s">
        <v>3813</v>
      </c>
      <c r="B3798" t="s">
        <v>13</v>
      </c>
      <c r="C3798" t="s">
        <v>14</v>
      </c>
      <c r="D3798">
        <v>51</v>
      </c>
      <c r="E3798" s="1">
        <v>45592</v>
      </c>
      <c r="F3798">
        <v>2024</v>
      </c>
      <c r="G3798" t="s">
        <v>5039</v>
      </c>
      <c r="H3798">
        <v>27</v>
      </c>
      <c r="I3798">
        <v>4.8099999999999996</v>
      </c>
      <c r="J3798">
        <v>9</v>
      </c>
      <c r="K3798">
        <v>8229.5300000000007</v>
      </c>
      <c r="L3798">
        <v>1</v>
      </c>
    </row>
    <row r="3799" spans="1:12" x14ac:dyDescent="0.3">
      <c r="A3799" t="s">
        <v>3814</v>
      </c>
      <c r="B3799" t="s">
        <v>18</v>
      </c>
      <c r="C3799" t="s">
        <v>11</v>
      </c>
      <c r="D3799">
        <v>47</v>
      </c>
      <c r="E3799" s="1">
        <v>44657</v>
      </c>
      <c r="F3799">
        <v>2022</v>
      </c>
      <c r="G3799" t="s">
        <v>5040</v>
      </c>
      <c r="H3799">
        <v>6</v>
      </c>
      <c r="I3799">
        <v>2.59</v>
      </c>
      <c r="J3799">
        <v>3</v>
      </c>
      <c r="K3799">
        <v>10751.29</v>
      </c>
      <c r="L3799">
        <v>3.6</v>
      </c>
    </row>
    <row r="3800" spans="1:12" x14ac:dyDescent="0.3">
      <c r="A3800" t="s">
        <v>3815</v>
      </c>
      <c r="B3800" t="s">
        <v>10</v>
      </c>
      <c r="C3800" t="s">
        <v>11</v>
      </c>
      <c r="D3800">
        <v>38</v>
      </c>
      <c r="E3800" s="1">
        <v>44606</v>
      </c>
      <c r="F3800">
        <v>2022</v>
      </c>
      <c r="G3800" t="s">
        <v>5042</v>
      </c>
      <c r="H3800">
        <v>14</v>
      </c>
      <c r="I3800">
        <v>2.16</v>
      </c>
      <c r="J3800">
        <v>0</v>
      </c>
      <c r="K3800">
        <v>7060.42</v>
      </c>
      <c r="L3800">
        <v>3.7</v>
      </c>
    </row>
    <row r="3801" spans="1:12" x14ac:dyDescent="0.3">
      <c r="A3801" t="s">
        <v>3816</v>
      </c>
      <c r="B3801" t="s">
        <v>10</v>
      </c>
      <c r="C3801" t="s">
        <v>14</v>
      </c>
      <c r="D3801">
        <v>26</v>
      </c>
      <c r="E3801" s="1">
        <v>42466</v>
      </c>
      <c r="F3801">
        <v>2016</v>
      </c>
      <c r="G3801" t="s">
        <v>5040</v>
      </c>
      <c r="H3801">
        <v>6</v>
      </c>
      <c r="I3801">
        <v>3.67</v>
      </c>
      <c r="J3801">
        <v>3</v>
      </c>
      <c r="K3801">
        <v>8530.7999999999993</v>
      </c>
      <c r="L3801">
        <v>9.6</v>
      </c>
    </row>
    <row r="3802" spans="1:12" x14ac:dyDescent="0.3">
      <c r="A3802" t="s">
        <v>3817</v>
      </c>
      <c r="B3802" t="s">
        <v>13</v>
      </c>
      <c r="C3802" t="s">
        <v>14</v>
      </c>
      <c r="D3802">
        <v>41</v>
      </c>
      <c r="E3802" s="1">
        <v>44165</v>
      </c>
      <c r="F3802">
        <v>2020</v>
      </c>
      <c r="G3802" t="s">
        <v>5038</v>
      </c>
      <c r="H3802">
        <v>30</v>
      </c>
      <c r="I3802">
        <v>4.3600000000000003</v>
      </c>
      <c r="J3802">
        <v>2</v>
      </c>
      <c r="K3802">
        <v>10976.76</v>
      </c>
      <c r="L3802">
        <v>4.9000000000000004</v>
      </c>
    </row>
    <row r="3803" spans="1:12" x14ac:dyDescent="0.3">
      <c r="A3803" t="s">
        <v>3818</v>
      </c>
      <c r="B3803" t="s">
        <v>24</v>
      </c>
      <c r="C3803" t="s">
        <v>14</v>
      </c>
      <c r="D3803">
        <v>41</v>
      </c>
      <c r="E3803" s="1">
        <v>40798</v>
      </c>
      <c r="F3803">
        <v>2011</v>
      </c>
      <c r="G3803" t="s">
        <v>5033</v>
      </c>
      <c r="H3803">
        <v>12</v>
      </c>
      <c r="I3803">
        <v>5</v>
      </c>
      <c r="J3803">
        <v>12</v>
      </c>
      <c r="K3803">
        <v>12105.03</v>
      </c>
      <c r="L3803">
        <v>14.1</v>
      </c>
    </row>
    <row r="3804" spans="1:12" x14ac:dyDescent="0.3">
      <c r="A3804" t="s">
        <v>3819</v>
      </c>
      <c r="B3804" t="s">
        <v>34</v>
      </c>
      <c r="C3804" t="s">
        <v>14</v>
      </c>
      <c r="D3804">
        <v>30</v>
      </c>
      <c r="E3804" s="1">
        <v>42618</v>
      </c>
      <c r="F3804">
        <v>2016</v>
      </c>
      <c r="G3804" t="s">
        <v>5033</v>
      </c>
      <c r="H3804">
        <v>5</v>
      </c>
      <c r="I3804">
        <v>3.86</v>
      </c>
      <c r="J3804">
        <v>12</v>
      </c>
      <c r="K3804">
        <v>3059.59</v>
      </c>
      <c r="L3804">
        <v>9.1999999999999993</v>
      </c>
    </row>
    <row r="3805" spans="1:12" x14ac:dyDescent="0.3">
      <c r="A3805" t="s">
        <v>3820</v>
      </c>
      <c r="B3805" t="s">
        <v>16</v>
      </c>
      <c r="C3805" t="s">
        <v>14</v>
      </c>
      <c r="D3805">
        <v>24</v>
      </c>
      <c r="E3805" s="1">
        <v>44773</v>
      </c>
      <c r="F3805">
        <v>2022</v>
      </c>
      <c r="G3805" t="s">
        <v>5034</v>
      </c>
      <c r="H3805">
        <v>31</v>
      </c>
      <c r="I3805">
        <v>4.3499999999999996</v>
      </c>
      <c r="J3805">
        <v>3</v>
      </c>
      <c r="K3805">
        <v>7750.28</v>
      </c>
      <c r="L3805">
        <v>3.3</v>
      </c>
    </row>
    <row r="3806" spans="1:12" x14ac:dyDescent="0.3">
      <c r="A3806" t="s">
        <v>3821</v>
      </c>
      <c r="B3806" t="s">
        <v>34</v>
      </c>
      <c r="C3806" t="s">
        <v>14</v>
      </c>
      <c r="D3806">
        <v>59</v>
      </c>
      <c r="E3806" s="1">
        <v>40880</v>
      </c>
      <c r="F3806">
        <v>2011</v>
      </c>
      <c r="G3806" t="s">
        <v>5041</v>
      </c>
      <c r="H3806">
        <v>3</v>
      </c>
      <c r="I3806">
        <v>4.18</v>
      </c>
      <c r="J3806">
        <v>5</v>
      </c>
      <c r="K3806">
        <v>8090.33</v>
      </c>
      <c r="L3806">
        <v>13.9</v>
      </c>
    </row>
    <row r="3807" spans="1:12" x14ac:dyDescent="0.3">
      <c r="A3807" t="s">
        <v>3822</v>
      </c>
      <c r="B3807" t="s">
        <v>13</v>
      </c>
      <c r="C3807" t="s">
        <v>14</v>
      </c>
      <c r="D3807">
        <v>44</v>
      </c>
      <c r="E3807" s="1">
        <v>42811</v>
      </c>
      <c r="F3807">
        <v>2017</v>
      </c>
      <c r="G3807" t="s">
        <v>5035</v>
      </c>
      <c r="H3807">
        <v>17</v>
      </c>
      <c r="I3807">
        <v>4.7300000000000004</v>
      </c>
      <c r="J3807">
        <v>3</v>
      </c>
      <c r="K3807">
        <v>9943.19</v>
      </c>
      <c r="L3807">
        <v>8.6</v>
      </c>
    </row>
    <row r="3808" spans="1:12" x14ac:dyDescent="0.3">
      <c r="A3808" t="s">
        <v>3823</v>
      </c>
      <c r="B3808" t="s">
        <v>13</v>
      </c>
      <c r="C3808" t="s">
        <v>11</v>
      </c>
      <c r="D3808">
        <v>47</v>
      </c>
      <c r="E3808" s="1">
        <v>42212</v>
      </c>
      <c r="F3808">
        <v>2015</v>
      </c>
      <c r="G3808" t="s">
        <v>5034</v>
      </c>
      <c r="H3808">
        <v>27</v>
      </c>
      <c r="I3808">
        <v>4.6100000000000003</v>
      </c>
      <c r="J3808">
        <v>10</v>
      </c>
      <c r="K3808">
        <v>3480.92</v>
      </c>
      <c r="L3808">
        <v>10.3</v>
      </c>
    </row>
    <row r="3809" spans="1:12" x14ac:dyDescent="0.3">
      <c r="A3809" t="s">
        <v>3824</v>
      </c>
      <c r="B3809" t="s">
        <v>18</v>
      </c>
      <c r="C3809" t="s">
        <v>11</v>
      </c>
      <c r="D3809">
        <v>59</v>
      </c>
      <c r="E3809" s="1">
        <v>41756</v>
      </c>
      <c r="F3809">
        <v>2014</v>
      </c>
      <c r="G3809" t="s">
        <v>5040</v>
      </c>
      <c r="H3809">
        <v>27</v>
      </c>
      <c r="I3809">
        <v>3.41</v>
      </c>
      <c r="J3809">
        <v>10</v>
      </c>
      <c r="K3809">
        <v>12258.86</v>
      </c>
      <c r="L3809">
        <v>11.5</v>
      </c>
    </row>
    <row r="3810" spans="1:12" x14ac:dyDescent="0.3">
      <c r="A3810" t="s">
        <v>3825</v>
      </c>
      <c r="B3810" t="s">
        <v>10</v>
      </c>
      <c r="C3810" t="s">
        <v>14</v>
      </c>
      <c r="D3810">
        <v>45</v>
      </c>
      <c r="E3810" s="1">
        <v>40411</v>
      </c>
      <c r="F3810">
        <v>2010</v>
      </c>
      <c r="G3810" t="s">
        <v>5031</v>
      </c>
      <c r="H3810">
        <v>21</v>
      </c>
      <c r="I3810">
        <v>4.03</v>
      </c>
      <c r="J3810">
        <v>10</v>
      </c>
      <c r="K3810">
        <v>10628.36</v>
      </c>
      <c r="L3810">
        <v>15.2</v>
      </c>
    </row>
    <row r="3811" spans="1:12" x14ac:dyDescent="0.3">
      <c r="A3811" t="s">
        <v>3826</v>
      </c>
      <c r="B3811" t="s">
        <v>34</v>
      </c>
      <c r="C3811" t="s">
        <v>11</v>
      </c>
      <c r="D3811">
        <v>23</v>
      </c>
      <c r="E3811" s="1">
        <v>43503</v>
      </c>
      <c r="F3811">
        <v>2019</v>
      </c>
      <c r="G3811" t="s">
        <v>5042</v>
      </c>
      <c r="H3811">
        <v>7</v>
      </c>
      <c r="I3811">
        <v>3.8</v>
      </c>
      <c r="J3811">
        <v>6</v>
      </c>
      <c r="K3811">
        <v>11679.5</v>
      </c>
      <c r="L3811">
        <v>6.7</v>
      </c>
    </row>
    <row r="3812" spans="1:12" x14ac:dyDescent="0.3">
      <c r="A3812" t="s">
        <v>3827</v>
      </c>
      <c r="B3812" t="s">
        <v>13</v>
      </c>
      <c r="C3812" t="s">
        <v>11</v>
      </c>
      <c r="D3812">
        <v>50</v>
      </c>
      <c r="E3812" s="1">
        <v>43540</v>
      </c>
      <c r="F3812">
        <v>2019</v>
      </c>
      <c r="G3812" t="s">
        <v>5035</v>
      </c>
      <c r="H3812">
        <v>16</v>
      </c>
      <c r="I3812">
        <v>3.42</v>
      </c>
      <c r="J3812">
        <v>3</v>
      </c>
      <c r="K3812">
        <v>13334.74</v>
      </c>
      <c r="L3812">
        <v>6.6</v>
      </c>
    </row>
    <row r="3813" spans="1:12" x14ac:dyDescent="0.3">
      <c r="A3813" t="s">
        <v>3828</v>
      </c>
      <c r="B3813" t="s">
        <v>34</v>
      </c>
      <c r="C3813" t="s">
        <v>14</v>
      </c>
      <c r="D3813">
        <v>37</v>
      </c>
      <c r="E3813" s="1">
        <v>40996</v>
      </c>
      <c r="F3813">
        <v>2012</v>
      </c>
      <c r="G3813" t="s">
        <v>5035</v>
      </c>
      <c r="H3813">
        <v>28</v>
      </c>
      <c r="I3813">
        <v>4.13</v>
      </c>
      <c r="J3813">
        <v>4</v>
      </c>
      <c r="K3813">
        <v>4505.55</v>
      </c>
      <c r="L3813">
        <v>13.6</v>
      </c>
    </row>
    <row r="3814" spans="1:12" x14ac:dyDescent="0.3">
      <c r="A3814" t="s">
        <v>3829</v>
      </c>
      <c r="B3814" t="s">
        <v>18</v>
      </c>
      <c r="C3814" t="s">
        <v>11</v>
      </c>
      <c r="D3814">
        <v>28</v>
      </c>
      <c r="E3814" s="1">
        <v>43924</v>
      </c>
      <c r="F3814">
        <v>2020</v>
      </c>
      <c r="G3814" t="s">
        <v>5040</v>
      </c>
      <c r="H3814">
        <v>3</v>
      </c>
      <c r="I3814">
        <v>2.36</v>
      </c>
      <c r="J3814">
        <v>9</v>
      </c>
      <c r="K3814">
        <v>13219.5</v>
      </c>
      <c r="L3814">
        <v>5.6</v>
      </c>
    </row>
    <row r="3815" spans="1:12" x14ac:dyDescent="0.3">
      <c r="A3815" t="s">
        <v>3830</v>
      </c>
      <c r="B3815" t="s">
        <v>18</v>
      </c>
      <c r="C3815" t="s">
        <v>14</v>
      </c>
      <c r="D3815">
        <v>31</v>
      </c>
      <c r="E3815" s="1">
        <v>44634</v>
      </c>
      <c r="F3815">
        <v>2022</v>
      </c>
      <c r="G3815" t="s">
        <v>5035</v>
      </c>
      <c r="H3815">
        <v>14</v>
      </c>
      <c r="I3815">
        <v>3.91</v>
      </c>
      <c r="J3815">
        <v>3</v>
      </c>
      <c r="K3815">
        <v>6906.19</v>
      </c>
      <c r="L3815">
        <v>3.6</v>
      </c>
    </row>
    <row r="3816" spans="1:12" x14ac:dyDescent="0.3">
      <c r="A3816" t="s">
        <v>3831</v>
      </c>
      <c r="B3816" t="s">
        <v>16</v>
      </c>
      <c r="C3816" t="s">
        <v>14</v>
      </c>
      <c r="D3816">
        <v>45</v>
      </c>
      <c r="E3816" s="1">
        <v>45643</v>
      </c>
      <c r="F3816">
        <v>2024</v>
      </c>
      <c r="G3816" t="s">
        <v>5041</v>
      </c>
      <c r="H3816">
        <v>17</v>
      </c>
      <c r="I3816">
        <v>4.0599999999999996</v>
      </c>
      <c r="J3816">
        <v>11</v>
      </c>
      <c r="K3816">
        <v>10687.03</v>
      </c>
      <c r="L3816">
        <v>0.9</v>
      </c>
    </row>
    <row r="3817" spans="1:12" x14ac:dyDescent="0.3">
      <c r="A3817" t="s">
        <v>3832</v>
      </c>
      <c r="B3817" t="s">
        <v>18</v>
      </c>
      <c r="C3817" t="s">
        <v>14</v>
      </c>
      <c r="D3817">
        <v>59</v>
      </c>
      <c r="E3817" s="1">
        <v>44041</v>
      </c>
      <c r="F3817">
        <v>2020</v>
      </c>
      <c r="G3817" t="s">
        <v>5034</v>
      </c>
      <c r="H3817">
        <v>29</v>
      </c>
      <c r="I3817">
        <v>3.47</v>
      </c>
      <c r="J3817">
        <v>15</v>
      </c>
      <c r="K3817">
        <v>4076.83</v>
      </c>
      <c r="L3817">
        <v>5.3</v>
      </c>
    </row>
    <row r="3818" spans="1:12" x14ac:dyDescent="0.3">
      <c r="A3818" t="s">
        <v>3833</v>
      </c>
      <c r="B3818" t="s">
        <v>18</v>
      </c>
      <c r="C3818" t="s">
        <v>14</v>
      </c>
      <c r="D3818">
        <v>25</v>
      </c>
      <c r="E3818" s="1">
        <v>42564</v>
      </c>
      <c r="F3818">
        <v>2016</v>
      </c>
      <c r="G3818" t="s">
        <v>5034</v>
      </c>
      <c r="H3818">
        <v>13</v>
      </c>
      <c r="I3818">
        <v>2.2400000000000002</v>
      </c>
      <c r="J3818">
        <v>7</v>
      </c>
      <c r="K3818">
        <v>11498.36</v>
      </c>
      <c r="L3818">
        <v>9.3000000000000007</v>
      </c>
    </row>
    <row r="3819" spans="1:12" x14ac:dyDescent="0.3">
      <c r="A3819" t="s">
        <v>3834</v>
      </c>
      <c r="B3819" t="s">
        <v>10</v>
      </c>
      <c r="C3819" t="s">
        <v>14</v>
      </c>
      <c r="D3819">
        <v>54</v>
      </c>
      <c r="E3819" s="1">
        <v>41442</v>
      </c>
      <c r="F3819">
        <v>2013</v>
      </c>
      <c r="G3819" t="s">
        <v>5032</v>
      </c>
      <c r="H3819">
        <v>17</v>
      </c>
      <c r="I3819">
        <v>2.95</v>
      </c>
      <c r="J3819">
        <v>8</v>
      </c>
      <c r="K3819">
        <v>11000.03</v>
      </c>
      <c r="L3819">
        <v>12.4</v>
      </c>
    </row>
    <row r="3820" spans="1:12" x14ac:dyDescent="0.3">
      <c r="A3820" t="s">
        <v>3835</v>
      </c>
      <c r="B3820" t="s">
        <v>34</v>
      </c>
      <c r="C3820" t="s">
        <v>11</v>
      </c>
      <c r="D3820">
        <v>43</v>
      </c>
      <c r="E3820" s="1">
        <v>42186</v>
      </c>
      <c r="F3820">
        <v>2015</v>
      </c>
      <c r="G3820" t="s">
        <v>5034</v>
      </c>
      <c r="H3820">
        <v>1</v>
      </c>
      <c r="I3820">
        <v>4.0999999999999996</v>
      </c>
      <c r="J3820">
        <v>8</v>
      </c>
      <c r="K3820">
        <v>4713.93</v>
      </c>
      <c r="L3820">
        <v>10.3</v>
      </c>
    </row>
    <row r="3821" spans="1:12" x14ac:dyDescent="0.3">
      <c r="A3821" t="s">
        <v>3836</v>
      </c>
      <c r="B3821" t="s">
        <v>34</v>
      </c>
      <c r="C3821" t="s">
        <v>14</v>
      </c>
      <c r="D3821">
        <v>40</v>
      </c>
      <c r="E3821" s="1">
        <v>45095</v>
      </c>
      <c r="F3821">
        <v>2023</v>
      </c>
      <c r="G3821" t="s">
        <v>5032</v>
      </c>
      <c r="H3821">
        <v>18</v>
      </c>
      <c r="I3821">
        <v>4.96</v>
      </c>
      <c r="J3821">
        <v>12</v>
      </c>
      <c r="K3821">
        <v>9245.8799999999992</v>
      </c>
      <c r="L3821">
        <v>2.4</v>
      </c>
    </row>
    <row r="3822" spans="1:12" x14ac:dyDescent="0.3">
      <c r="A3822" t="s">
        <v>3837</v>
      </c>
      <c r="B3822" t="s">
        <v>24</v>
      </c>
      <c r="C3822" t="s">
        <v>11</v>
      </c>
      <c r="D3822">
        <v>27</v>
      </c>
      <c r="E3822" s="1">
        <v>43021</v>
      </c>
      <c r="F3822">
        <v>2017</v>
      </c>
      <c r="G3822" t="s">
        <v>5039</v>
      </c>
      <c r="H3822">
        <v>13</v>
      </c>
      <c r="I3822">
        <v>4.2699999999999996</v>
      </c>
      <c r="J3822">
        <v>14</v>
      </c>
      <c r="K3822">
        <v>8130.71</v>
      </c>
      <c r="L3822">
        <v>8.1</v>
      </c>
    </row>
    <row r="3823" spans="1:12" x14ac:dyDescent="0.3">
      <c r="A3823" t="s">
        <v>3838</v>
      </c>
      <c r="B3823" t="s">
        <v>13</v>
      </c>
      <c r="C3823" t="s">
        <v>11</v>
      </c>
      <c r="D3823">
        <v>33</v>
      </c>
      <c r="E3823" s="1">
        <v>43062</v>
      </c>
      <c r="F3823">
        <v>2017</v>
      </c>
      <c r="G3823" t="s">
        <v>5038</v>
      </c>
      <c r="H3823">
        <v>23</v>
      </c>
      <c r="I3823">
        <v>3.53</v>
      </c>
      <c r="J3823">
        <v>8</v>
      </c>
      <c r="K3823">
        <v>5934.84</v>
      </c>
      <c r="L3823">
        <v>7.9</v>
      </c>
    </row>
    <row r="3824" spans="1:12" x14ac:dyDescent="0.3">
      <c r="A3824" t="s">
        <v>3839</v>
      </c>
      <c r="B3824" t="s">
        <v>16</v>
      </c>
      <c r="C3824" t="s">
        <v>11</v>
      </c>
      <c r="D3824">
        <v>31</v>
      </c>
      <c r="E3824" s="1">
        <v>44636</v>
      </c>
      <c r="F3824">
        <v>2022</v>
      </c>
      <c r="G3824" t="s">
        <v>5035</v>
      </c>
      <c r="H3824">
        <v>16</v>
      </c>
      <c r="I3824">
        <v>3.73</v>
      </c>
      <c r="J3824">
        <v>6</v>
      </c>
      <c r="K3824">
        <v>10318.52</v>
      </c>
      <c r="L3824">
        <v>3.6</v>
      </c>
    </row>
    <row r="3825" spans="1:12" x14ac:dyDescent="0.3">
      <c r="A3825" t="s">
        <v>3840</v>
      </c>
      <c r="B3825" t="s">
        <v>10</v>
      </c>
      <c r="C3825" t="s">
        <v>11</v>
      </c>
      <c r="D3825">
        <v>30</v>
      </c>
      <c r="E3825" s="1">
        <v>41282</v>
      </c>
      <c r="F3825">
        <v>2013</v>
      </c>
      <c r="G3825" t="s">
        <v>5037</v>
      </c>
      <c r="H3825">
        <v>8</v>
      </c>
      <c r="I3825">
        <v>4.97</v>
      </c>
      <c r="J3825">
        <v>10</v>
      </c>
      <c r="K3825">
        <v>4594.93</v>
      </c>
      <c r="L3825">
        <v>12.8</v>
      </c>
    </row>
    <row r="3826" spans="1:12" x14ac:dyDescent="0.3">
      <c r="A3826" t="s">
        <v>3841</v>
      </c>
      <c r="B3826" t="s">
        <v>13</v>
      </c>
      <c r="C3826" t="s">
        <v>14</v>
      </c>
      <c r="D3826">
        <v>44</v>
      </c>
      <c r="E3826" s="1">
        <v>45434</v>
      </c>
      <c r="F3826">
        <v>2024</v>
      </c>
      <c r="G3826" t="s">
        <v>5036</v>
      </c>
      <c r="H3826">
        <v>22</v>
      </c>
      <c r="I3826">
        <v>4.74</v>
      </c>
      <c r="J3826">
        <v>3</v>
      </c>
      <c r="K3826">
        <v>10695.14</v>
      </c>
      <c r="L3826">
        <v>1.4</v>
      </c>
    </row>
    <row r="3827" spans="1:12" x14ac:dyDescent="0.3">
      <c r="A3827" t="s">
        <v>3842</v>
      </c>
      <c r="B3827" t="s">
        <v>10</v>
      </c>
      <c r="C3827" t="s">
        <v>14</v>
      </c>
      <c r="D3827">
        <v>59</v>
      </c>
      <c r="E3827" s="1">
        <v>45372</v>
      </c>
      <c r="F3827">
        <v>2024</v>
      </c>
      <c r="G3827" t="s">
        <v>5035</v>
      </c>
      <c r="H3827">
        <v>21</v>
      </c>
      <c r="I3827">
        <v>2.19</v>
      </c>
      <c r="J3827">
        <v>4</v>
      </c>
      <c r="K3827">
        <v>7033.21</v>
      </c>
      <c r="L3827">
        <v>1.6</v>
      </c>
    </row>
    <row r="3828" spans="1:12" x14ac:dyDescent="0.3">
      <c r="A3828" t="s">
        <v>3843</v>
      </c>
      <c r="B3828" t="s">
        <v>24</v>
      </c>
      <c r="C3828" t="s">
        <v>11</v>
      </c>
      <c r="D3828">
        <v>22</v>
      </c>
      <c r="E3828" s="1">
        <v>45945</v>
      </c>
      <c r="F3828">
        <v>2025</v>
      </c>
      <c r="G3828" t="s">
        <v>5039</v>
      </c>
      <c r="H3828">
        <v>15</v>
      </c>
      <c r="I3828">
        <v>2.2999999999999998</v>
      </c>
      <c r="J3828">
        <v>12</v>
      </c>
      <c r="K3828">
        <v>6471.34</v>
      </c>
      <c r="L3828">
        <v>0</v>
      </c>
    </row>
    <row r="3829" spans="1:12" x14ac:dyDescent="0.3">
      <c r="A3829" t="s">
        <v>3844</v>
      </c>
      <c r="B3829" t="s">
        <v>18</v>
      </c>
      <c r="C3829" t="s">
        <v>14</v>
      </c>
      <c r="D3829">
        <v>34</v>
      </c>
      <c r="E3829" s="1">
        <v>44761</v>
      </c>
      <c r="F3829">
        <v>2022</v>
      </c>
      <c r="G3829" t="s">
        <v>5034</v>
      </c>
      <c r="H3829">
        <v>19</v>
      </c>
      <c r="I3829">
        <v>1.67</v>
      </c>
      <c r="J3829">
        <v>1</v>
      </c>
      <c r="K3829">
        <v>8749.26</v>
      </c>
      <c r="L3829">
        <v>3.3</v>
      </c>
    </row>
    <row r="3830" spans="1:12" x14ac:dyDescent="0.3">
      <c r="A3830" t="s">
        <v>3845</v>
      </c>
      <c r="B3830" t="s">
        <v>16</v>
      </c>
      <c r="C3830" t="s">
        <v>11</v>
      </c>
      <c r="D3830">
        <v>53</v>
      </c>
      <c r="E3830" s="1">
        <v>41655</v>
      </c>
      <c r="F3830">
        <v>2014</v>
      </c>
      <c r="G3830" t="s">
        <v>5037</v>
      </c>
      <c r="H3830">
        <v>16</v>
      </c>
      <c r="I3830">
        <v>2.4</v>
      </c>
      <c r="J3830">
        <v>4</v>
      </c>
      <c r="K3830">
        <v>9001.65</v>
      </c>
      <c r="L3830">
        <v>11.8</v>
      </c>
    </row>
    <row r="3831" spans="1:12" x14ac:dyDescent="0.3">
      <c r="A3831" t="s">
        <v>3846</v>
      </c>
      <c r="B3831" t="s">
        <v>16</v>
      </c>
      <c r="C3831" t="s">
        <v>11</v>
      </c>
      <c r="D3831">
        <v>28</v>
      </c>
      <c r="E3831" s="1">
        <v>45676</v>
      </c>
      <c r="F3831">
        <v>2025</v>
      </c>
      <c r="G3831" t="s">
        <v>5037</v>
      </c>
      <c r="H3831">
        <v>19</v>
      </c>
      <c r="I3831">
        <v>3.34</v>
      </c>
      <c r="J3831">
        <v>10</v>
      </c>
      <c r="K3831">
        <v>12105.01</v>
      </c>
      <c r="L3831">
        <v>0.8</v>
      </c>
    </row>
    <row r="3832" spans="1:12" x14ac:dyDescent="0.3">
      <c r="A3832" t="s">
        <v>3847</v>
      </c>
      <c r="B3832" t="s">
        <v>13</v>
      </c>
      <c r="C3832" t="s">
        <v>11</v>
      </c>
      <c r="D3832">
        <v>27</v>
      </c>
      <c r="E3832" s="1">
        <v>45114</v>
      </c>
      <c r="F3832">
        <v>2023</v>
      </c>
      <c r="G3832" t="s">
        <v>5034</v>
      </c>
      <c r="H3832">
        <v>7</v>
      </c>
      <c r="I3832">
        <v>2.5299999999999998</v>
      </c>
      <c r="J3832">
        <v>5</v>
      </c>
      <c r="K3832">
        <v>6261.51</v>
      </c>
      <c r="L3832">
        <v>2.2999999999999998</v>
      </c>
    </row>
    <row r="3833" spans="1:12" x14ac:dyDescent="0.3">
      <c r="A3833" t="s">
        <v>3848</v>
      </c>
      <c r="B3833" t="s">
        <v>10</v>
      </c>
      <c r="C3833" t="s">
        <v>11</v>
      </c>
      <c r="D3833">
        <v>23</v>
      </c>
      <c r="E3833" s="1">
        <v>43205</v>
      </c>
      <c r="F3833">
        <v>2018</v>
      </c>
      <c r="G3833" t="s">
        <v>5040</v>
      </c>
      <c r="H3833">
        <v>15</v>
      </c>
      <c r="I3833">
        <v>2.06</v>
      </c>
      <c r="J3833">
        <v>7</v>
      </c>
      <c r="K3833">
        <v>5486.01</v>
      </c>
      <c r="L3833">
        <v>7.6</v>
      </c>
    </row>
    <row r="3834" spans="1:12" x14ac:dyDescent="0.3">
      <c r="A3834" t="s">
        <v>3849</v>
      </c>
      <c r="B3834" t="s">
        <v>24</v>
      </c>
      <c r="C3834" t="s">
        <v>14</v>
      </c>
      <c r="D3834">
        <v>58</v>
      </c>
      <c r="E3834" s="1">
        <v>41251</v>
      </c>
      <c r="F3834">
        <v>2012</v>
      </c>
      <c r="G3834" t="s">
        <v>5041</v>
      </c>
      <c r="H3834">
        <v>8</v>
      </c>
      <c r="I3834">
        <v>1.54</v>
      </c>
      <c r="J3834">
        <v>2</v>
      </c>
      <c r="K3834">
        <v>12693.15</v>
      </c>
      <c r="L3834">
        <v>12.9</v>
      </c>
    </row>
    <row r="3835" spans="1:12" x14ac:dyDescent="0.3">
      <c r="A3835" t="s">
        <v>3850</v>
      </c>
      <c r="B3835" t="s">
        <v>16</v>
      </c>
      <c r="C3835" t="s">
        <v>11</v>
      </c>
      <c r="D3835">
        <v>32</v>
      </c>
      <c r="E3835" s="1">
        <v>41707</v>
      </c>
      <c r="F3835">
        <v>2014</v>
      </c>
      <c r="G3835" t="s">
        <v>5035</v>
      </c>
      <c r="H3835">
        <v>9</v>
      </c>
      <c r="I3835">
        <v>2.54</v>
      </c>
      <c r="J3835">
        <v>7</v>
      </c>
      <c r="K3835">
        <v>12385.26</v>
      </c>
      <c r="L3835">
        <v>11.7</v>
      </c>
    </row>
    <row r="3836" spans="1:12" x14ac:dyDescent="0.3">
      <c r="A3836" t="s">
        <v>3851</v>
      </c>
      <c r="B3836" t="s">
        <v>34</v>
      </c>
      <c r="C3836" t="s">
        <v>14</v>
      </c>
      <c r="D3836">
        <v>57</v>
      </c>
      <c r="E3836" s="1">
        <v>45676</v>
      </c>
      <c r="F3836">
        <v>2025</v>
      </c>
      <c r="G3836" t="s">
        <v>5037</v>
      </c>
      <c r="H3836">
        <v>19</v>
      </c>
      <c r="I3836">
        <v>3.77</v>
      </c>
      <c r="J3836">
        <v>14</v>
      </c>
      <c r="K3836">
        <v>9494.31</v>
      </c>
      <c r="L3836">
        <v>0.8</v>
      </c>
    </row>
    <row r="3837" spans="1:12" x14ac:dyDescent="0.3">
      <c r="A3837" t="s">
        <v>3852</v>
      </c>
      <c r="B3837" t="s">
        <v>10</v>
      </c>
      <c r="C3837" t="s">
        <v>14</v>
      </c>
      <c r="D3837">
        <v>38</v>
      </c>
      <c r="E3837" s="1">
        <v>45383</v>
      </c>
      <c r="F3837">
        <v>2024</v>
      </c>
      <c r="G3837" t="s">
        <v>5040</v>
      </c>
      <c r="H3837">
        <v>1</v>
      </c>
      <c r="I3837">
        <v>1.75</v>
      </c>
      <c r="J3837">
        <v>3</v>
      </c>
      <c r="K3837">
        <v>7851.1</v>
      </c>
      <c r="L3837">
        <v>1.6</v>
      </c>
    </row>
    <row r="3838" spans="1:12" x14ac:dyDescent="0.3">
      <c r="A3838" t="s">
        <v>3853</v>
      </c>
      <c r="B3838" t="s">
        <v>24</v>
      </c>
      <c r="C3838" t="s">
        <v>11</v>
      </c>
      <c r="D3838">
        <v>58</v>
      </c>
      <c r="E3838" s="1">
        <v>42261</v>
      </c>
      <c r="F3838">
        <v>2015</v>
      </c>
      <c r="G3838" t="s">
        <v>5033</v>
      </c>
      <c r="H3838">
        <v>14</v>
      </c>
      <c r="I3838">
        <v>3.2</v>
      </c>
      <c r="J3838">
        <v>9</v>
      </c>
      <c r="K3838">
        <v>9127.4500000000007</v>
      </c>
      <c r="L3838">
        <v>10.1</v>
      </c>
    </row>
    <row r="3839" spans="1:12" x14ac:dyDescent="0.3">
      <c r="A3839" t="s">
        <v>3854</v>
      </c>
      <c r="B3839" t="s">
        <v>18</v>
      </c>
      <c r="C3839" t="s">
        <v>11</v>
      </c>
      <c r="D3839">
        <v>23</v>
      </c>
      <c r="E3839" s="1">
        <v>45224</v>
      </c>
      <c r="F3839">
        <v>2023</v>
      </c>
      <c r="G3839" t="s">
        <v>5039</v>
      </c>
      <c r="H3839">
        <v>25</v>
      </c>
      <c r="I3839">
        <v>3.83</v>
      </c>
      <c r="J3839">
        <v>13</v>
      </c>
      <c r="K3839">
        <v>6116.4</v>
      </c>
      <c r="L3839">
        <v>2</v>
      </c>
    </row>
    <row r="3840" spans="1:12" x14ac:dyDescent="0.3">
      <c r="A3840" t="s">
        <v>3855</v>
      </c>
      <c r="B3840" t="s">
        <v>24</v>
      </c>
      <c r="C3840" t="s">
        <v>11</v>
      </c>
      <c r="D3840">
        <v>31</v>
      </c>
      <c r="E3840" s="1">
        <v>44924</v>
      </c>
      <c r="F3840">
        <v>2022</v>
      </c>
      <c r="G3840" t="s">
        <v>5041</v>
      </c>
      <c r="H3840">
        <v>29</v>
      </c>
      <c r="I3840">
        <v>3.13</v>
      </c>
      <c r="J3840">
        <v>4</v>
      </c>
      <c r="K3840">
        <v>6928.4</v>
      </c>
      <c r="L3840">
        <v>2.8</v>
      </c>
    </row>
    <row r="3841" spans="1:12" x14ac:dyDescent="0.3">
      <c r="A3841" t="s">
        <v>3856</v>
      </c>
      <c r="B3841" t="s">
        <v>16</v>
      </c>
      <c r="C3841" t="s">
        <v>11</v>
      </c>
      <c r="D3841">
        <v>54</v>
      </c>
      <c r="E3841" s="1">
        <v>43793</v>
      </c>
      <c r="F3841">
        <v>2019</v>
      </c>
      <c r="G3841" t="s">
        <v>5038</v>
      </c>
      <c r="H3841">
        <v>24</v>
      </c>
      <c r="I3841">
        <v>1.56</v>
      </c>
      <c r="J3841">
        <v>3</v>
      </c>
      <c r="K3841">
        <v>9004.44</v>
      </c>
      <c r="L3841">
        <v>5.9</v>
      </c>
    </row>
    <row r="3842" spans="1:12" x14ac:dyDescent="0.3">
      <c r="A3842" t="s">
        <v>3857</v>
      </c>
      <c r="B3842" t="s">
        <v>24</v>
      </c>
      <c r="C3842" t="s">
        <v>14</v>
      </c>
      <c r="D3842">
        <v>28</v>
      </c>
      <c r="E3842" s="1">
        <v>44636</v>
      </c>
      <c r="F3842">
        <v>2022</v>
      </c>
      <c r="G3842" t="s">
        <v>5035</v>
      </c>
      <c r="H3842">
        <v>16</v>
      </c>
      <c r="I3842">
        <v>2.2599999999999998</v>
      </c>
      <c r="J3842">
        <v>4</v>
      </c>
      <c r="K3842">
        <v>3788.53</v>
      </c>
      <c r="L3842">
        <v>3.6</v>
      </c>
    </row>
    <row r="3843" spans="1:12" x14ac:dyDescent="0.3">
      <c r="A3843" t="s">
        <v>3858</v>
      </c>
      <c r="B3843" t="s">
        <v>24</v>
      </c>
      <c r="C3843" t="s">
        <v>11</v>
      </c>
      <c r="D3843">
        <v>51</v>
      </c>
      <c r="E3843" s="1">
        <v>45881</v>
      </c>
      <c r="F3843">
        <v>2025</v>
      </c>
      <c r="G3843" t="s">
        <v>5031</v>
      </c>
      <c r="H3843">
        <v>12</v>
      </c>
      <c r="I3843">
        <v>2.82</v>
      </c>
      <c r="J3843">
        <v>15</v>
      </c>
      <c r="K3843">
        <v>6158.29</v>
      </c>
      <c r="L3843">
        <v>0.2</v>
      </c>
    </row>
    <row r="3844" spans="1:12" x14ac:dyDescent="0.3">
      <c r="A3844" t="s">
        <v>3859</v>
      </c>
      <c r="B3844" t="s">
        <v>16</v>
      </c>
      <c r="C3844" t="s">
        <v>11</v>
      </c>
      <c r="D3844">
        <v>46</v>
      </c>
      <c r="E3844" s="1">
        <v>40964</v>
      </c>
      <c r="F3844">
        <v>2012</v>
      </c>
      <c r="G3844" t="s">
        <v>5042</v>
      </c>
      <c r="H3844">
        <v>25</v>
      </c>
      <c r="I3844">
        <v>1.72</v>
      </c>
      <c r="J3844">
        <v>12</v>
      </c>
      <c r="K3844">
        <v>14055.69</v>
      </c>
      <c r="L3844">
        <v>13.7</v>
      </c>
    </row>
    <row r="3845" spans="1:12" x14ac:dyDescent="0.3">
      <c r="A3845" t="s">
        <v>3860</v>
      </c>
      <c r="B3845" t="s">
        <v>34</v>
      </c>
      <c r="C3845" t="s">
        <v>14</v>
      </c>
      <c r="D3845">
        <v>38</v>
      </c>
      <c r="E3845" s="1">
        <v>45581</v>
      </c>
      <c r="F3845">
        <v>2024</v>
      </c>
      <c r="G3845" t="s">
        <v>5039</v>
      </c>
      <c r="H3845">
        <v>16</v>
      </c>
      <c r="I3845">
        <v>4.72</v>
      </c>
      <c r="J3845">
        <v>9</v>
      </c>
      <c r="K3845">
        <v>13339.71</v>
      </c>
      <c r="L3845">
        <v>1</v>
      </c>
    </row>
    <row r="3846" spans="1:12" x14ac:dyDescent="0.3">
      <c r="A3846" t="s">
        <v>3861</v>
      </c>
      <c r="B3846" t="s">
        <v>18</v>
      </c>
      <c r="C3846" t="s">
        <v>14</v>
      </c>
      <c r="D3846">
        <v>46</v>
      </c>
      <c r="E3846" s="1">
        <v>43300</v>
      </c>
      <c r="F3846">
        <v>2018</v>
      </c>
      <c r="G3846" t="s">
        <v>5034</v>
      </c>
      <c r="H3846">
        <v>19</v>
      </c>
      <c r="I3846">
        <v>4.79</v>
      </c>
      <c r="J3846">
        <v>1</v>
      </c>
      <c r="K3846">
        <v>5252.39</v>
      </c>
      <c r="L3846">
        <v>7.3</v>
      </c>
    </row>
    <row r="3847" spans="1:12" x14ac:dyDescent="0.3">
      <c r="A3847" t="s">
        <v>3862</v>
      </c>
      <c r="B3847" t="s">
        <v>34</v>
      </c>
      <c r="C3847" t="s">
        <v>11</v>
      </c>
      <c r="D3847">
        <v>53</v>
      </c>
      <c r="E3847" s="1">
        <v>44797</v>
      </c>
      <c r="F3847">
        <v>2022</v>
      </c>
      <c r="G3847" t="s">
        <v>5031</v>
      </c>
      <c r="H3847">
        <v>24</v>
      </c>
      <c r="I3847">
        <v>4.7</v>
      </c>
      <c r="J3847">
        <v>13</v>
      </c>
      <c r="K3847">
        <v>13525.93</v>
      </c>
      <c r="L3847">
        <v>3.2</v>
      </c>
    </row>
    <row r="3848" spans="1:12" x14ac:dyDescent="0.3">
      <c r="A3848" t="s">
        <v>3863</v>
      </c>
      <c r="B3848" t="s">
        <v>18</v>
      </c>
      <c r="C3848" t="s">
        <v>11</v>
      </c>
      <c r="D3848">
        <v>49</v>
      </c>
      <c r="E3848" s="1">
        <v>43235</v>
      </c>
      <c r="F3848">
        <v>2018</v>
      </c>
      <c r="G3848" t="s">
        <v>5036</v>
      </c>
      <c r="H3848">
        <v>15</v>
      </c>
      <c r="I3848">
        <v>3.78</v>
      </c>
      <c r="J3848">
        <v>10</v>
      </c>
      <c r="K3848">
        <v>13599.4</v>
      </c>
      <c r="L3848">
        <v>7.5</v>
      </c>
    </row>
    <row r="3849" spans="1:12" x14ac:dyDescent="0.3">
      <c r="A3849" t="s">
        <v>3864</v>
      </c>
      <c r="B3849" t="s">
        <v>34</v>
      </c>
      <c r="C3849" t="s">
        <v>11</v>
      </c>
      <c r="D3849">
        <v>42</v>
      </c>
      <c r="E3849" s="1">
        <v>40932</v>
      </c>
      <c r="F3849">
        <v>2012</v>
      </c>
      <c r="G3849" t="s">
        <v>5037</v>
      </c>
      <c r="H3849">
        <v>24</v>
      </c>
      <c r="I3849">
        <v>3.99</v>
      </c>
      <c r="J3849">
        <v>0</v>
      </c>
      <c r="K3849">
        <v>4358.2299999999996</v>
      </c>
      <c r="L3849">
        <v>13.8</v>
      </c>
    </row>
    <row r="3850" spans="1:12" x14ac:dyDescent="0.3">
      <c r="A3850" t="s">
        <v>3865</v>
      </c>
      <c r="B3850" t="s">
        <v>13</v>
      </c>
      <c r="C3850" t="s">
        <v>14</v>
      </c>
      <c r="D3850">
        <v>31</v>
      </c>
      <c r="E3850" s="1">
        <v>44762</v>
      </c>
      <c r="F3850">
        <v>2022</v>
      </c>
      <c r="G3850" t="s">
        <v>5034</v>
      </c>
      <c r="H3850">
        <v>20</v>
      </c>
      <c r="I3850">
        <v>1.94</v>
      </c>
      <c r="J3850">
        <v>11</v>
      </c>
      <c r="K3850">
        <v>11465.45</v>
      </c>
      <c r="L3850">
        <v>3.3</v>
      </c>
    </row>
    <row r="3851" spans="1:12" x14ac:dyDescent="0.3">
      <c r="A3851" t="s">
        <v>3866</v>
      </c>
      <c r="B3851" t="s">
        <v>18</v>
      </c>
      <c r="C3851" t="s">
        <v>14</v>
      </c>
      <c r="D3851">
        <v>29</v>
      </c>
      <c r="E3851" s="1">
        <v>45769</v>
      </c>
      <c r="F3851">
        <v>2025</v>
      </c>
      <c r="G3851" t="s">
        <v>5040</v>
      </c>
      <c r="H3851">
        <v>22</v>
      </c>
      <c r="I3851">
        <v>2.1</v>
      </c>
      <c r="J3851">
        <v>3</v>
      </c>
      <c r="K3851">
        <v>4581.6400000000003</v>
      </c>
      <c r="L3851">
        <v>0.5</v>
      </c>
    </row>
    <row r="3852" spans="1:12" x14ac:dyDescent="0.3">
      <c r="A3852" t="s">
        <v>3867</v>
      </c>
      <c r="B3852" t="s">
        <v>18</v>
      </c>
      <c r="C3852" t="s">
        <v>14</v>
      </c>
      <c r="D3852">
        <v>29</v>
      </c>
      <c r="E3852" s="1">
        <v>40590</v>
      </c>
      <c r="F3852">
        <v>2011</v>
      </c>
      <c r="G3852" t="s">
        <v>5042</v>
      </c>
      <c r="H3852">
        <v>16</v>
      </c>
      <c r="I3852">
        <v>3.47</v>
      </c>
      <c r="J3852">
        <v>0</v>
      </c>
      <c r="K3852">
        <v>8182.48</v>
      </c>
      <c r="L3852">
        <v>14.7</v>
      </c>
    </row>
    <row r="3853" spans="1:12" x14ac:dyDescent="0.3">
      <c r="A3853" t="s">
        <v>3868</v>
      </c>
      <c r="B3853" t="s">
        <v>24</v>
      </c>
      <c r="C3853" t="s">
        <v>11</v>
      </c>
      <c r="D3853">
        <v>47</v>
      </c>
      <c r="E3853" s="1">
        <v>42465</v>
      </c>
      <c r="F3853">
        <v>2016</v>
      </c>
      <c r="G3853" t="s">
        <v>5040</v>
      </c>
      <c r="H3853">
        <v>5</v>
      </c>
      <c r="I3853">
        <v>1.85</v>
      </c>
      <c r="J3853">
        <v>4</v>
      </c>
      <c r="K3853">
        <v>3389.35</v>
      </c>
      <c r="L3853">
        <v>9.6</v>
      </c>
    </row>
    <row r="3854" spans="1:12" x14ac:dyDescent="0.3">
      <c r="A3854" t="s">
        <v>3869</v>
      </c>
      <c r="B3854" t="s">
        <v>34</v>
      </c>
      <c r="C3854" t="s">
        <v>11</v>
      </c>
      <c r="D3854">
        <v>48</v>
      </c>
      <c r="E3854" s="1">
        <v>42141</v>
      </c>
      <c r="F3854">
        <v>2015</v>
      </c>
      <c r="G3854" t="s">
        <v>5036</v>
      </c>
      <c r="H3854">
        <v>17</v>
      </c>
      <c r="I3854">
        <v>2.04</v>
      </c>
      <c r="J3854">
        <v>13</v>
      </c>
      <c r="K3854">
        <v>12346.3</v>
      </c>
      <c r="L3854">
        <v>10.5</v>
      </c>
    </row>
    <row r="3855" spans="1:12" x14ac:dyDescent="0.3">
      <c r="A3855" t="s">
        <v>3870</v>
      </c>
      <c r="B3855" t="s">
        <v>18</v>
      </c>
      <c r="C3855" t="s">
        <v>11</v>
      </c>
      <c r="D3855">
        <v>49</v>
      </c>
      <c r="E3855" s="1">
        <v>43322</v>
      </c>
      <c r="F3855">
        <v>2018</v>
      </c>
      <c r="G3855" t="s">
        <v>5031</v>
      </c>
      <c r="H3855">
        <v>10</v>
      </c>
      <c r="I3855">
        <v>3.15</v>
      </c>
      <c r="J3855">
        <v>14</v>
      </c>
      <c r="K3855">
        <v>6757.85</v>
      </c>
      <c r="L3855">
        <v>7.2</v>
      </c>
    </row>
    <row r="3856" spans="1:12" x14ac:dyDescent="0.3">
      <c r="A3856" t="s">
        <v>3871</v>
      </c>
      <c r="B3856" t="s">
        <v>13</v>
      </c>
      <c r="C3856" t="s">
        <v>11</v>
      </c>
      <c r="D3856">
        <v>31</v>
      </c>
      <c r="E3856" s="1">
        <v>42888</v>
      </c>
      <c r="F3856">
        <v>2017</v>
      </c>
      <c r="G3856" t="s">
        <v>5032</v>
      </c>
      <c r="H3856">
        <v>2</v>
      </c>
      <c r="I3856">
        <v>3.37</v>
      </c>
      <c r="J3856">
        <v>0</v>
      </c>
      <c r="K3856">
        <v>12070.2</v>
      </c>
      <c r="L3856">
        <v>8.4</v>
      </c>
    </row>
    <row r="3857" spans="1:12" x14ac:dyDescent="0.3">
      <c r="A3857" t="s">
        <v>3872</v>
      </c>
      <c r="B3857" t="s">
        <v>10</v>
      </c>
      <c r="C3857" t="s">
        <v>11</v>
      </c>
      <c r="D3857">
        <v>46</v>
      </c>
      <c r="E3857" s="1">
        <v>45549</v>
      </c>
      <c r="F3857">
        <v>2024</v>
      </c>
      <c r="G3857" t="s">
        <v>5033</v>
      </c>
      <c r="H3857">
        <v>14</v>
      </c>
      <c r="I3857">
        <v>1.86</v>
      </c>
      <c r="J3857">
        <v>9</v>
      </c>
      <c r="K3857">
        <v>8303.92</v>
      </c>
      <c r="L3857">
        <v>1.1000000000000001</v>
      </c>
    </row>
    <row r="3858" spans="1:12" x14ac:dyDescent="0.3">
      <c r="A3858" t="s">
        <v>3873</v>
      </c>
      <c r="B3858" t="s">
        <v>34</v>
      </c>
      <c r="C3858" t="s">
        <v>14</v>
      </c>
      <c r="D3858">
        <v>32</v>
      </c>
      <c r="E3858" s="1">
        <v>41725</v>
      </c>
      <c r="F3858">
        <v>2014</v>
      </c>
      <c r="G3858" t="s">
        <v>5035</v>
      </c>
      <c r="H3858">
        <v>27</v>
      </c>
      <c r="I3858">
        <v>4.68</v>
      </c>
      <c r="J3858">
        <v>0</v>
      </c>
      <c r="K3858">
        <v>9137.49</v>
      </c>
      <c r="L3858">
        <v>11.6</v>
      </c>
    </row>
    <row r="3859" spans="1:12" x14ac:dyDescent="0.3">
      <c r="A3859" t="s">
        <v>3874</v>
      </c>
      <c r="B3859" t="s">
        <v>13</v>
      </c>
      <c r="C3859" t="s">
        <v>11</v>
      </c>
      <c r="D3859">
        <v>54</v>
      </c>
      <c r="E3859" s="1">
        <v>45468</v>
      </c>
      <c r="F3859">
        <v>2024</v>
      </c>
      <c r="G3859" t="s">
        <v>5032</v>
      </c>
      <c r="H3859">
        <v>25</v>
      </c>
      <c r="I3859">
        <v>3.55</v>
      </c>
      <c r="J3859">
        <v>10</v>
      </c>
      <c r="K3859">
        <v>6118.87</v>
      </c>
      <c r="L3859">
        <v>1.4</v>
      </c>
    </row>
    <row r="3860" spans="1:12" x14ac:dyDescent="0.3">
      <c r="A3860" t="s">
        <v>3875</v>
      </c>
      <c r="B3860" t="s">
        <v>16</v>
      </c>
      <c r="C3860" t="s">
        <v>14</v>
      </c>
      <c r="D3860">
        <v>44</v>
      </c>
      <c r="E3860" s="1">
        <v>41414</v>
      </c>
      <c r="F3860">
        <v>2013</v>
      </c>
      <c r="G3860" t="s">
        <v>5036</v>
      </c>
      <c r="H3860">
        <v>20</v>
      </c>
      <c r="I3860">
        <v>3.54</v>
      </c>
      <c r="J3860">
        <v>8</v>
      </c>
      <c r="K3860">
        <v>11883.83</v>
      </c>
      <c r="L3860">
        <v>12.5</v>
      </c>
    </row>
    <row r="3861" spans="1:12" x14ac:dyDescent="0.3">
      <c r="A3861" t="s">
        <v>3876</v>
      </c>
      <c r="B3861" t="s">
        <v>16</v>
      </c>
      <c r="C3861" t="s">
        <v>11</v>
      </c>
      <c r="D3861">
        <v>24</v>
      </c>
      <c r="E3861" s="1">
        <v>44035</v>
      </c>
      <c r="F3861">
        <v>2020</v>
      </c>
      <c r="G3861" t="s">
        <v>5034</v>
      </c>
      <c r="H3861">
        <v>23</v>
      </c>
      <c r="I3861">
        <v>1.92</v>
      </c>
      <c r="J3861">
        <v>3</v>
      </c>
      <c r="K3861">
        <v>3027.03</v>
      </c>
      <c r="L3861">
        <v>5.3</v>
      </c>
    </row>
    <row r="3862" spans="1:12" x14ac:dyDescent="0.3">
      <c r="A3862" t="s">
        <v>3877</v>
      </c>
      <c r="B3862" t="s">
        <v>13</v>
      </c>
      <c r="C3862" t="s">
        <v>11</v>
      </c>
      <c r="D3862">
        <v>22</v>
      </c>
      <c r="E3862" s="1">
        <v>44921</v>
      </c>
      <c r="F3862">
        <v>2022</v>
      </c>
      <c r="G3862" t="s">
        <v>5041</v>
      </c>
      <c r="H3862">
        <v>26</v>
      </c>
      <c r="I3862">
        <v>4.5999999999999996</v>
      </c>
      <c r="J3862">
        <v>9</v>
      </c>
      <c r="K3862">
        <v>4713.71</v>
      </c>
      <c r="L3862">
        <v>2.9</v>
      </c>
    </row>
    <row r="3863" spans="1:12" x14ac:dyDescent="0.3">
      <c r="A3863" t="s">
        <v>3878</v>
      </c>
      <c r="B3863" t="s">
        <v>13</v>
      </c>
      <c r="C3863" t="s">
        <v>14</v>
      </c>
      <c r="D3863">
        <v>57</v>
      </c>
      <c r="E3863" s="1">
        <v>45596</v>
      </c>
      <c r="F3863">
        <v>2024</v>
      </c>
      <c r="G3863" t="s">
        <v>5039</v>
      </c>
      <c r="H3863">
        <v>31</v>
      </c>
      <c r="I3863">
        <v>2.29</v>
      </c>
      <c r="J3863">
        <v>10</v>
      </c>
      <c r="K3863">
        <v>12675.77</v>
      </c>
      <c r="L3863">
        <v>1</v>
      </c>
    </row>
    <row r="3864" spans="1:12" x14ac:dyDescent="0.3">
      <c r="A3864" t="s">
        <v>3879</v>
      </c>
      <c r="B3864" t="s">
        <v>34</v>
      </c>
      <c r="C3864" t="s">
        <v>14</v>
      </c>
      <c r="D3864">
        <v>49</v>
      </c>
      <c r="E3864" s="1">
        <v>42111</v>
      </c>
      <c r="F3864">
        <v>2015</v>
      </c>
      <c r="G3864" t="s">
        <v>5040</v>
      </c>
      <c r="H3864">
        <v>17</v>
      </c>
      <c r="I3864">
        <v>3.44</v>
      </c>
      <c r="J3864">
        <v>6</v>
      </c>
      <c r="K3864">
        <v>8593.19</v>
      </c>
      <c r="L3864">
        <v>10.6</v>
      </c>
    </row>
    <row r="3865" spans="1:12" x14ac:dyDescent="0.3">
      <c r="A3865" t="s">
        <v>3880</v>
      </c>
      <c r="B3865" t="s">
        <v>24</v>
      </c>
      <c r="C3865" t="s">
        <v>11</v>
      </c>
      <c r="D3865">
        <v>55</v>
      </c>
      <c r="E3865" s="1">
        <v>45036</v>
      </c>
      <c r="F3865">
        <v>2023</v>
      </c>
      <c r="G3865" t="s">
        <v>5040</v>
      </c>
      <c r="H3865">
        <v>20</v>
      </c>
      <c r="I3865">
        <v>1.52</v>
      </c>
      <c r="J3865">
        <v>7</v>
      </c>
      <c r="K3865">
        <v>10677.55</v>
      </c>
      <c r="L3865">
        <v>2.5</v>
      </c>
    </row>
    <row r="3866" spans="1:12" x14ac:dyDescent="0.3">
      <c r="A3866" t="s">
        <v>3881</v>
      </c>
      <c r="B3866" t="s">
        <v>10</v>
      </c>
      <c r="C3866" t="s">
        <v>14</v>
      </c>
      <c r="D3866">
        <v>30</v>
      </c>
      <c r="E3866" s="1">
        <v>40782</v>
      </c>
      <c r="F3866">
        <v>2011</v>
      </c>
      <c r="G3866" t="s">
        <v>5031</v>
      </c>
      <c r="H3866">
        <v>27</v>
      </c>
      <c r="I3866">
        <v>3.32</v>
      </c>
      <c r="J3866">
        <v>5</v>
      </c>
      <c r="K3866">
        <v>11140.51</v>
      </c>
      <c r="L3866">
        <v>14.2</v>
      </c>
    </row>
    <row r="3867" spans="1:12" x14ac:dyDescent="0.3">
      <c r="A3867" t="s">
        <v>3882</v>
      </c>
      <c r="B3867" t="s">
        <v>24</v>
      </c>
      <c r="C3867" t="s">
        <v>14</v>
      </c>
      <c r="D3867">
        <v>38</v>
      </c>
      <c r="E3867" s="1">
        <v>43298</v>
      </c>
      <c r="F3867">
        <v>2018</v>
      </c>
      <c r="G3867" t="s">
        <v>5034</v>
      </c>
      <c r="H3867">
        <v>17</v>
      </c>
      <c r="I3867">
        <v>4.12</v>
      </c>
      <c r="J3867">
        <v>9</v>
      </c>
      <c r="K3867">
        <v>10027.219999999999</v>
      </c>
      <c r="L3867">
        <v>7.3</v>
      </c>
    </row>
    <row r="3868" spans="1:12" x14ac:dyDescent="0.3">
      <c r="A3868" t="s">
        <v>3883</v>
      </c>
      <c r="B3868" t="s">
        <v>13</v>
      </c>
      <c r="C3868" t="s">
        <v>11</v>
      </c>
      <c r="D3868">
        <v>55</v>
      </c>
      <c r="E3868" s="1">
        <v>41014</v>
      </c>
      <c r="F3868">
        <v>2012</v>
      </c>
      <c r="G3868" t="s">
        <v>5040</v>
      </c>
      <c r="H3868">
        <v>15</v>
      </c>
      <c r="I3868">
        <v>4.53</v>
      </c>
      <c r="J3868">
        <v>6</v>
      </c>
      <c r="K3868">
        <v>9062.25</v>
      </c>
      <c r="L3868">
        <v>13.6</v>
      </c>
    </row>
    <row r="3869" spans="1:12" x14ac:dyDescent="0.3">
      <c r="A3869" t="s">
        <v>3884</v>
      </c>
      <c r="B3869" t="s">
        <v>18</v>
      </c>
      <c r="C3869" t="s">
        <v>14</v>
      </c>
      <c r="D3869">
        <v>43</v>
      </c>
      <c r="E3869" s="1">
        <v>42914</v>
      </c>
      <c r="F3869">
        <v>2017</v>
      </c>
      <c r="G3869" t="s">
        <v>5032</v>
      </c>
      <c r="H3869">
        <v>28</v>
      </c>
      <c r="I3869">
        <v>2.3199999999999998</v>
      </c>
      <c r="J3869">
        <v>14</v>
      </c>
      <c r="K3869">
        <v>12402.52</v>
      </c>
      <c r="L3869">
        <v>8.4</v>
      </c>
    </row>
    <row r="3870" spans="1:12" x14ac:dyDescent="0.3">
      <c r="A3870" t="s">
        <v>3885</v>
      </c>
      <c r="B3870" t="s">
        <v>18</v>
      </c>
      <c r="C3870" t="s">
        <v>14</v>
      </c>
      <c r="D3870">
        <v>49</v>
      </c>
      <c r="E3870" s="1">
        <v>41679</v>
      </c>
      <c r="F3870">
        <v>2014</v>
      </c>
      <c r="G3870" t="s">
        <v>5042</v>
      </c>
      <c r="H3870">
        <v>9</v>
      </c>
      <c r="I3870">
        <v>3.94</v>
      </c>
      <c r="J3870">
        <v>15</v>
      </c>
      <c r="K3870">
        <v>14351.31</v>
      </c>
      <c r="L3870">
        <v>11.7</v>
      </c>
    </row>
    <row r="3871" spans="1:12" x14ac:dyDescent="0.3">
      <c r="A3871" t="s">
        <v>3886</v>
      </c>
      <c r="B3871" t="s">
        <v>13</v>
      </c>
      <c r="C3871" t="s">
        <v>14</v>
      </c>
      <c r="D3871">
        <v>29</v>
      </c>
      <c r="E3871" s="1">
        <v>45614</v>
      </c>
      <c r="F3871">
        <v>2024</v>
      </c>
      <c r="G3871" t="s">
        <v>5038</v>
      </c>
      <c r="H3871">
        <v>18</v>
      </c>
      <c r="I3871">
        <v>4.07</v>
      </c>
      <c r="J3871">
        <v>14</v>
      </c>
      <c r="K3871">
        <v>11549.5</v>
      </c>
      <c r="L3871">
        <v>1</v>
      </c>
    </row>
    <row r="3872" spans="1:12" x14ac:dyDescent="0.3">
      <c r="A3872" t="s">
        <v>3887</v>
      </c>
      <c r="B3872" t="s">
        <v>10</v>
      </c>
      <c r="C3872" t="s">
        <v>11</v>
      </c>
      <c r="D3872">
        <v>51</v>
      </c>
      <c r="E3872" s="1">
        <v>40278</v>
      </c>
      <c r="F3872">
        <v>2010</v>
      </c>
      <c r="G3872" t="s">
        <v>5040</v>
      </c>
      <c r="H3872">
        <v>10</v>
      </c>
      <c r="I3872">
        <v>2.8</v>
      </c>
      <c r="J3872">
        <v>2</v>
      </c>
      <c r="K3872">
        <v>10597.16</v>
      </c>
      <c r="L3872">
        <v>15.6</v>
      </c>
    </row>
    <row r="3873" spans="1:12" x14ac:dyDescent="0.3">
      <c r="A3873" t="s">
        <v>3888</v>
      </c>
      <c r="B3873" t="s">
        <v>13</v>
      </c>
      <c r="C3873" t="s">
        <v>11</v>
      </c>
      <c r="D3873">
        <v>55</v>
      </c>
      <c r="E3873" s="1">
        <v>41374</v>
      </c>
      <c r="F3873">
        <v>2013</v>
      </c>
      <c r="G3873" t="s">
        <v>5040</v>
      </c>
      <c r="H3873">
        <v>10</v>
      </c>
      <c r="I3873">
        <v>4.04</v>
      </c>
      <c r="J3873">
        <v>1</v>
      </c>
      <c r="K3873">
        <v>3926.73</v>
      </c>
      <c r="L3873">
        <v>12.6</v>
      </c>
    </row>
    <row r="3874" spans="1:12" x14ac:dyDescent="0.3">
      <c r="A3874" t="s">
        <v>3889</v>
      </c>
      <c r="B3874" t="s">
        <v>16</v>
      </c>
      <c r="C3874" t="s">
        <v>11</v>
      </c>
      <c r="D3874">
        <v>40</v>
      </c>
      <c r="E3874" s="1">
        <v>42592</v>
      </c>
      <c r="F3874">
        <v>2016</v>
      </c>
      <c r="G3874" t="s">
        <v>5031</v>
      </c>
      <c r="H3874">
        <v>10</v>
      </c>
      <c r="I3874">
        <v>4.2300000000000004</v>
      </c>
      <c r="J3874">
        <v>13</v>
      </c>
      <c r="K3874">
        <v>4197.75</v>
      </c>
      <c r="L3874">
        <v>9.1999999999999993</v>
      </c>
    </row>
    <row r="3875" spans="1:12" x14ac:dyDescent="0.3">
      <c r="A3875" t="s">
        <v>3890</v>
      </c>
      <c r="B3875" t="s">
        <v>10</v>
      </c>
      <c r="C3875" t="s">
        <v>11</v>
      </c>
      <c r="D3875">
        <v>26</v>
      </c>
      <c r="E3875" s="1">
        <v>41942</v>
      </c>
      <c r="F3875">
        <v>2014</v>
      </c>
      <c r="G3875" t="s">
        <v>5039</v>
      </c>
      <c r="H3875">
        <v>30</v>
      </c>
      <c r="I3875">
        <v>2</v>
      </c>
      <c r="J3875">
        <v>6</v>
      </c>
      <c r="K3875">
        <v>8496.98</v>
      </c>
      <c r="L3875">
        <v>11</v>
      </c>
    </row>
    <row r="3876" spans="1:12" x14ac:dyDescent="0.3">
      <c r="A3876" t="s">
        <v>3891</v>
      </c>
      <c r="B3876" t="s">
        <v>13</v>
      </c>
      <c r="C3876" t="s">
        <v>11</v>
      </c>
      <c r="D3876">
        <v>40</v>
      </c>
      <c r="E3876" s="1">
        <v>43708</v>
      </c>
      <c r="F3876">
        <v>2019</v>
      </c>
      <c r="G3876" t="s">
        <v>5031</v>
      </c>
      <c r="H3876">
        <v>31</v>
      </c>
      <c r="I3876">
        <v>2.1800000000000002</v>
      </c>
      <c r="J3876">
        <v>11</v>
      </c>
      <c r="K3876">
        <v>4343.1400000000003</v>
      </c>
      <c r="L3876">
        <v>6.2</v>
      </c>
    </row>
    <row r="3877" spans="1:12" x14ac:dyDescent="0.3">
      <c r="A3877" t="s">
        <v>3892</v>
      </c>
      <c r="B3877" t="s">
        <v>18</v>
      </c>
      <c r="C3877" t="s">
        <v>11</v>
      </c>
      <c r="D3877">
        <v>52</v>
      </c>
      <c r="E3877" s="1">
        <v>41199</v>
      </c>
      <c r="F3877">
        <v>2012</v>
      </c>
      <c r="G3877" t="s">
        <v>5039</v>
      </c>
      <c r="H3877">
        <v>17</v>
      </c>
      <c r="I3877">
        <v>2.4</v>
      </c>
      <c r="J3877">
        <v>7</v>
      </c>
      <c r="K3877">
        <v>11588.28</v>
      </c>
      <c r="L3877">
        <v>13</v>
      </c>
    </row>
    <row r="3878" spans="1:12" x14ac:dyDescent="0.3">
      <c r="A3878" t="s">
        <v>3893</v>
      </c>
      <c r="B3878" t="s">
        <v>10</v>
      </c>
      <c r="C3878" t="s">
        <v>14</v>
      </c>
      <c r="D3878">
        <v>24</v>
      </c>
      <c r="E3878" s="1">
        <v>41654</v>
      </c>
      <c r="F3878">
        <v>2014</v>
      </c>
      <c r="G3878" t="s">
        <v>5037</v>
      </c>
      <c r="H3878">
        <v>15</v>
      </c>
      <c r="I3878">
        <v>2.29</v>
      </c>
      <c r="J3878">
        <v>7</v>
      </c>
      <c r="K3878">
        <v>10839.92</v>
      </c>
      <c r="L3878">
        <v>11.8</v>
      </c>
    </row>
    <row r="3879" spans="1:12" x14ac:dyDescent="0.3">
      <c r="A3879" t="s">
        <v>3894</v>
      </c>
      <c r="B3879" t="s">
        <v>24</v>
      </c>
      <c r="C3879" t="s">
        <v>14</v>
      </c>
      <c r="D3879">
        <v>33</v>
      </c>
      <c r="E3879" s="1">
        <v>40978</v>
      </c>
      <c r="F3879">
        <v>2012</v>
      </c>
      <c r="G3879" t="s">
        <v>5035</v>
      </c>
      <c r="H3879">
        <v>10</v>
      </c>
      <c r="I3879">
        <v>4.9000000000000004</v>
      </c>
      <c r="J3879">
        <v>10</v>
      </c>
      <c r="K3879">
        <v>9796.23</v>
      </c>
      <c r="L3879">
        <v>13.7</v>
      </c>
    </row>
    <row r="3880" spans="1:12" x14ac:dyDescent="0.3">
      <c r="A3880" t="s">
        <v>3895</v>
      </c>
      <c r="B3880" t="s">
        <v>24</v>
      </c>
      <c r="C3880" t="s">
        <v>14</v>
      </c>
      <c r="D3880">
        <v>37</v>
      </c>
      <c r="E3880" s="1">
        <v>43424</v>
      </c>
      <c r="F3880">
        <v>2018</v>
      </c>
      <c r="G3880" t="s">
        <v>5038</v>
      </c>
      <c r="H3880">
        <v>20</v>
      </c>
      <c r="I3880">
        <v>1.78</v>
      </c>
      <c r="J3880">
        <v>2</v>
      </c>
      <c r="K3880">
        <v>3510.38</v>
      </c>
      <c r="L3880">
        <v>7</v>
      </c>
    </row>
    <row r="3881" spans="1:12" x14ac:dyDescent="0.3">
      <c r="A3881" t="s">
        <v>3896</v>
      </c>
      <c r="B3881" t="s">
        <v>24</v>
      </c>
      <c r="C3881" t="s">
        <v>11</v>
      </c>
      <c r="D3881">
        <v>50</v>
      </c>
      <c r="E3881" s="1">
        <v>41583</v>
      </c>
      <c r="F3881">
        <v>2013</v>
      </c>
      <c r="G3881" t="s">
        <v>5038</v>
      </c>
      <c r="H3881">
        <v>5</v>
      </c>
      <c r="I3881">
        <v>1.66</v>
      </c>
      <c r="J3881">
        <v>3</v>
      </c>
      <c r="K3881">
        <v>6225.6</v>
      </c>
      <c r="L3881">
        <v>12</v>
      </c>
    </row>
    <row r="3882" spans="1:12" x14ac:dyDescent="0.3">
      <c r="A3882" t="s">
        <v>3897</v>
      </c>
      <c r="B3882" t="s">
        <v>10</v>
      </c>
      <c r="C3882" t="s">
        <v>11</v>
      </c>
      <c r="D3882">
        <v>34</v>
      </c>
      <c r="E3882" s="1">
        <v>43126</v>
      </c>
      <c r="F3882">
        <v>2018</v>
      </c>
      <c r="G3882" t="s">
        <v>5037</v>
      </c>
      <c r="H3882">
        <v>26</v>
      </c>
      <c r="I3882">
        <v>4.5599999999999996</v>
      </c>
      <c r="J3882">
        <v>6</v>
      </c>
      <c r="K3882">
        <v>13856.8</v>
      </c>
      <c r="L3882">
        <v>7.8</v>
      </c>
    </row>
    <row r="3883" spans="1:12" x14ac:dyDescent="0.3">
      <c r="A3883" t="s">
        <v>3898</v>
      </c>
      <c r="B3883" t="s">
        <v>34</v>
      </c>
      <c r="C3883" t="s">
        <v>11</v>
      </c>
      <c r="D3883">
        <v>36</v>
      </c>
      <c r="E3883" s="1">
        <v>41480</v>
      </c>
      <c r="F3883">
        <v>2013</v>
      </c>
      <c r="G3883" t="s">
        <v>5034</v>
      </c>
      <c r="H3883">
        <v>25</v>
      </c>
      <c r="I3883">
        <v>2.63</v>
      </c>
      <c r="J3883">
        <v>13</v>
      </c>
      <c r="K3883">
        <v>12464.92</v>
      </c>
      <c r="L3883">
        <v>12.3</v>
      </c>
    </row>
    <row r="3884" spans="1:12" x14ac:dyDescent="0.3">
      <c r="A3884" t="s">
        <v>3899</v>
      </c>
      <c r="B3884" t="s">
        <v>18</v>
      </c>
      <c r="C3884" t="s">
        <v>14</v>
      </c>
      <c r="D3884">
        <v>50</v>
      </c>
      <c r="E3884" s="1">
        <v>40860</v>
      </c>
      <c r="F3884">
        <v>2011</v>
      </c>
      <c r="G3884" t="s">
        <v>5038</v>
      </c>
      <c r="H3884">
        <v>13</v>
      </c>
      <c r="I3884">
        <v>2.54</v>
      </c>
      <c r="J3884">
        <v>11</v>
      </c>
      <c r="K3884">
        <v>8517.9</v>
      </c>
      <c r="L3884">
        <v>14</v>
      </c>
    </row>
    <row r="3885" spans="1:12" x14ac:dyDescent="0.3">
      <c r="A3885" t="s">
        <v>3900</v>
      </c>
      <c r="B3885" t="s">
        <v>18</v>
      </c>
      <c r="C3885" t="s">
        <v>14</v>
      </c>
      <c r="D3885">
        <v>56</v>
      </c>
      <c r="E3885" s="1">
        <v>44337</v>
      </c>
      <c r="F3885">
        <v>2021</v>
      </c>
      <c r="G3885" t="s">
        <v>5036</v>
      </c>
      <c r="H3885">
        <v>21</v>
      </c>
      <c r="I3885">
        <v>2.88</v>
      </c>
      <c r="J3885">
        <v>3</v>
      </c>
      <c r="K3885">
        <v>10124.94</v>
      </c>
      <c r="L3885">
        <v>4.5</v>
      </c>
    </row>
    <row r="3886" spans="1:12" x14ac:dyDescent="0.3">
      <c r="A3886" t="s">
        <v>3901</v>
      </c>
      <c r="B3886" t="s">
        <v>13</v>
      </c>
      <c r="C3886" t="s">
        <v>14</v>
      </c>
      <c r="D3886">
        <v>55</v>
      </c>
      <c r="E3886" s="1">
        <v>42208</v>
      </c>
      <c r="F3886">
        <v>2015</v>
      </c>
      <c r="G3886" t="s">
        <v>5034</v>
      </c>
      <c r="H3886">
        <v>23</v>
      </c>
      <c r="I3886">
        <v>3.02</v>
      </c>
      <c r="J3886">
        <v>11</v>
      </c>
      <c r="K3886">
        <v>11591.11</v>
      </c>
      <c r="L3886">
        <v>10.3</v>
      </c>
    </row>
    <row r="3887" spans="1:12" x14ac:dyDescent="0.3">
      <c r="A3887" t="s">
        <v>3902</v>
      </c>
      <c r="B3887" t="s">
        <v>16</v>
      </c>
      <c r="C3887" t="s">
        <v>11</v>
      </c>
      <c r="D3887">
        <v>25</v>
      </c>
      <c r="E3887" s="1">
        <v>44734</v>
      </c>
      <c r="F3887">
        <v>2022</v>
      </c>
      <c r="G3887" t="s">
        <v>5032</v>
      </c>
      <c r="H3887">
        <v>22</v>
      </c>
      <c r="I3887">
        <v>3.99</v>
      </c>
      <c r="J3887">
        <v>8</v>
      </c>
      <c r="K3887">
        <v>8770.59</v>
      </c>
      <c r="L3887">
        <v>3.4</v>
      </c>
    </row>
    <row r="3888" spans="1:12" x14ac:dyDescent="0.3">
      <c r="A3888" t="s">
        <v>3903</v>
      </c>
      <c r="B3888" t="s">
        <v>34</v>
      </c>
      <c r="C3888" t="s">
        <v>14</v>
      </c>
      <c r="D3888">
        <v>45</v>
      </c>
      <c r="E3888" s="1">
        <v>45113</v>
      </c>
      <c r="F3888">
        <v>2023</v>
      </c>
      <c r="G3888" t="s">
        <v>5034</v>
      </c>
      <c r="H3888">
        <v>6</v>
      </c>
      <c r="I3888">
        <v>1.98</v>
      </c>
      <c r="J3888">
        <v>14</v>
      </c>
      <c r="K3888">
        <v>14729.94</v>
      </c>
      <c r="L3888">
        <v>2.2999999999999998</v>
      </c>
    </row>
    <row r="3889" spans="1:12" x14ac:dyDescent="0.3">
      <c r="A3889" t="s">
        <v>3904</v>
      </c>
      <c r="B3889" t="s">
        <v>34</v>
      </c>
      <c r="C3889" t="s">
        <v>11</v>
      </c>
      <c r="D3889">
        <v>35</v>
      </c>
      <c r="E3889" s="1">
        <v>44063</v>
      </c>
      <c r="F3889">
        <v>2020</v>
      </c>
      <c r="G3889" t="s">
        <v>5031</v>
      </c>
      <c r="H3889">
        <v>20</v>
      </c>
      <c r="I3889">
        <v>1.75</v>
      </c>
      <c r="J3889">
        <v>7</v>
      </c>
      <c r="K3889">
        <v>6021.85</v>
      </c>
      <c r="L3889">
        <v>5.2</v>
      </c>
    </row>
    <row r="3890" spans="1:12" x14ac:dyDescent="0.3">
      <c r="A3890" t="s">
        <v>3905</v>
      </c>
      <c r="B3890" t="s">
        <v>10</v>
      </c>
      <c r="C3890" t="s">
        <v>11</v>
      </c>
      <c r="D3890">
        <v>43</v>
      </c>
      <c r="E3890" s="1">
        <v>42805</v>
      </c>
      <c r="F3890">
        <v>2017</v>
      </c>
      <c r="G3890" t="s">
        <v>5035</v>
      </c>
      <c r="H3890">
        <v>11</v>
      </c>
      <c r="I3890">
        <v>4.1100000000000003</v>
      </c>
      <c r="J3890">
        <v>12</v>
      </c>
      <c r="K3890">
        <v>3094.03</v>
      </c>
      <c r="L3890">
        <v>8.6</v>
      </c>
    </row>
    <row r="3891" spans="1:12" x14ac:dyDescent="0.3">
      <c r="A3891" t="s">
        <v>3906</v>
      </c>
      <c r="B3891" t="s">
        <v>34</v>
      </c>
      <c r="C3891" t="s">
        <v>14</v>
      </c>
      <c r="D3891">
        <v>58</v>
      </c>
      <c r="E3891" s="1">
        <v>44224</v>
      </c>
      <c r="F3891">
        <v>2021</v>
      </c>
      <c r="G3891" t="s">
        <v>5037</v>
      </c>
      <c r="H3891">
        <v>28</v>
      </c>
      <c r="I3891">
        <v>4.2300000000000004</v>
      </c>
      <c r="J3891">
        <v>14</v>
      </c>
      <c r="K3891">
        <v>3598.36</v>
      </c>
      <c r="L3891">
        <v>4.8</v>
      </c>
    </row>
    <row r="3892" spans="1:12" x14ac:dyDescent="0.3">
      <c r="A3892" t="s">
        <v>3907</v>
      </c>
      <c r="B3892" t="s">
        <v>13</v>
      </c>
      <c r="C3892" t="s">
        <v>14</v>
      </c>
      <c r="D3892">
        <v>35</v>
      </c>
      <c r="E3892" s="1">
        <v>43518</v>
      </c>
      <c r="F3892">
        <v>2019</v>
      </c>
      <c r="G3892" t="s">
        <v>5042</v>
      </c>
      <c r="H3892">
        <v>22</v>
      </c>
      <c r="I3892">
        <v>3.33</v>
      </c>
      <c r="J3892">
        <v>2</v>
      </c>
      <c r="K3892">
        <v>14472.7</v>
      </c>
      <c r="L3892">
        <v>6.7</v>
      </c>
    </row>
    <row r="3893" spans="1:12" x14ac:dyDescent="0.3">
      <c r="A3893" t="s">
        <v>3908</v>
      </c>
      <c r="B3893" t="s">
        <v>24</v>
      </c>
      <c r="C3893" t="s">
        <v>14</v>
      </c>
      <c r="D3893">
        <v>55</v>
      </c>
      <c r="E3893" s="1">
        <v>45269</v>
      </c>
      <c r="F3893">
        <v>2023</v>
      </c>
      <c r="G3893" t="s">
        <v>5041</v>
      </c>
      <c r="H3893">
        <v>9</v>
      </c>
      <c r="I3893">
        <v>4.45</v>
      </c>
      <c r="J3893">
        <v>9</v>
      </c>
      <c r="K3893">
        <v>14185.63</v>
      </c>
      <c r="L3893">
        <v>1.9</v>
      </c>
    </row>
    <row r="3894" spans="1:12" x14ac:dyDescent="0.3">
      <c r="A3894" t="s">
        <v>3909</v>
      </c>
      <c r="B3894" t="s">
        <v>18</v>
      </c>
      <c r="C3894" t="s">
        <v>14</v>
      </c>
      <c r="D3894">
        <v>27</v>
      </c>
      <c r="E3894" s="1">
        <v>41501</v>
      </c>
      <c r="F3894">
        <v>2013</v>
      </c>
      <c r="G3894" t="s">
        <v>5031</v>
      </c>
      <c r="H3894">
        <v>15</v>
      </c>
      <c r="I3894">
        <v>3.46</v>
      </c>
      <c r="J3894">
        <v>2</v>
      </c>
      <c r="K3894">
        <v>8340</v>
      </c>
      <c r="L3894">
        <v>12.2</v>
      </c>
    </row>
    <row r="3895" spans="1:12" x14ac:dyDescent="0.3">
      <c r="A3895" t="s">
        <v>3910</v>
      </c>
      <c r="B3895" t="s">
        <v>18</v>
      </c>
      <c r="C3895" t="s">
        <v>14</v>
      </c>
      <c r="D3895">
        <v>28</v>
      </c>
      <c r="E3895" s="1">
        <v>41692</v>
      </c>
      <c r="F3895">
        <v>2014</v>
      </c>
      <c r="G3895" t="s">
        <v>5042</v>
      </c>
      <c r="H3895">
        <v>22</v>
      </c>
      <c r="I3895">
        <v>3.84</v>
      </c>
      <c r="J3895">
        <v>7</v>
      </c>
      <c r="K3895">
        <v>9045.61</v>
      </c>
      <c r="L3895">
        <v>11.7</v>
      </c>
    </row>
    <row r="3896" spans="1:12" x14ac:dyDescent="0.3">
      <c r="A3896" t="s">
        <v>3911</v>
      </c>
      <c r="B3896" t="s">
        <v>13</v>
      </c>
      <c r="C3896" t="s">
        <v>11</v>
      </c>
      <c r="D3896">
        <v>32</v>
      </c>
      <c r="E3896" s="1">
        <v>41189</v>
      </c>
      <c r="F3896">
        <v>2012</v>
      </c>
      <c r="G3896" t="s">
        <v>5039</v>
      </c>
      <c r="H3896">
        <v>7</v>
      </c>
      <c r="I3896">
        <v>3.51</v>
      </c>
      <c r="J3896">
        <v>15</v>
      </c>
      <c r="K3896">
        <v>5995.37</v>
      </c>
      <c r="L3896">
        <v>13.1</v>
      </c>
    </row>
    <row r="3897" spans="1:12" x14ac:dyDescent="0.3">
      <c r="A3897" t="s">
        <v>3912</v>
      </c>
      <c r="B3897" t="s">
        <v>16</v>
      </c>
      <c r="C3897" t="s">
        <v>14</v>
      </c>
      <c r="D3897">
        <v>38</v>
      </c>
      <c r="E3897" s="1">
        <v>41811</v>
      </c>
      <c r="F3897">
        <v>2014</v>
      </c>
      <c r="G3897" t="s">
        <v>5032</v>
      </c>
      <c r="H3897">
        <v>21</v>
      </c>
      <c r="I3897">
        <v>2</v>
      </c>
      <c r="J3897">
        <v>6</v>
      </c>
      <c r="K3897">
        <v>11297.78</v>
      </c>
      <c r="L3897">
        <v>11.4</v>
      </c>
    </row>
    <row r="3898" spans="1:12" x14ac:dyDescent="0.3">
      <c r="A3898" t="s">
        <v>3913</v>
      </c>
      <c r="B3898" t="s">
        <v>34</v>
      </c>
      <c r="C3898" t="s">
        <v>11</v>
      </c>
      <c r="D3898">
        <v>37</v>
      </c>
      <c r="E3898" s="1">
        <v>42744</v>
      </c>
      <c r="F3898">
        <v>2017</v>
      </c>
      <c r="G3898" t="s">
        <v>5037</v>
      </c>
      <c r="H3898">
        <v>9</v>
      </c>
      <c r="I3898">
        <v>4.53</v>
      </c>
      <c r="J3898">
        <v>11</v>
      </c>
      <c r="K3898">
        <v>8612.5400000000009</v>
      </c>
      <c r="L3898">
        <v>8.8000000000000007</v>
      </c>
    </row>
    <row r="3899" spans="1:12" x14ac:dyDescent="0.3">
      <c r="A3899" t="s">
        <v>3914</v>
      </c>
      <c r="B3899" t="s">
        <v>16</v>
      </c>
      <c r="C3899" t="s">
        <v>11</v>
      </c>
      <c r="D3899">
        <v>40</v>
      </c>
      <c r="E3899" s="1">
        <v>44996</v>
      </c>
      <c r="F3899">
        <v>2023</v>
      </c>
      <c r="G3899" t="s">
        <v>5035</v>
      </c>
      <c r="H3899">
        <v>11</v>
      </c>
      <c r="I3899">
        <v>3.47</v>
      </c>
      <c r="J3899">
        <v>10</v>
      </c>
      <c r="K3899">
        <v>6319.54</v>
      </c>
      <c r="L3899">
        <v>2.6</v>
      </c>
    </row>
    <row r="3900" spans="1:12" x14ac:dyDescent="0.3">
      <c r="A3900" t="s">
        <v>3915</v>
      </c>
      <c r="B3900" t="s">
        <v>18</v>
      </c>
      <c r="C3900" t="s">
        <v>11</v>
      </c>
      <c r="D3900">
        <v>57</v>
      </c>
      <c r="E3900" s="1">
        <v>43875</v>
      </c>
      <c r="F3900">
        <v>2020</v>
      </c>
      <c r="G3900" t="s">
        <v>5042</v>
      </c>
      <c r="H3900">
        <v>14</v>
      </c>
      <c r="I3900">
        <v>3.97</v>
      </c>
      <c r="J3900">
        <v>10</v>
      </c>
      <c r="K3900">
        <v>12593.59</v>
      </c>
      <c r="L3900">
        <v>5.7</v>
      </c>
    </row>
    <row r="3901" spans="1:12" x14ac:dyDescent="0.3">
      <c r="A3901" t="s">
        <v>3916</v>
      </c>
      <c r="B3901" t="s">
        <v>34</v>
      </c>
      <c r="C3901" t="s">
        <v>11</v>
      </c>
      <c r="D3901">
        <v>59</v>
      </c>
      <c r="E3901" s="1">
        <v>44719</v>
      </c>
      <c r="F3901">
        <v>2022</v>
      </c>
      <c r="G3901" t="s">
        <v>5032</v>
      </c>
      <c r="H3901">
        <v>7</v>
      </c>
      <c r="I3901">
        <v>4.33</v>
      </c>
      <c r="J3901">
        <v>6</v>
      </c>
      <c r="K3901">
        <v>14982.56</v>
      </c>
      <c r="L3901">
        <v>3.4</v>
      </c>
    </row>
    <row r="3902" spans="1:12" x14ac:dyDescent="0.3">
      <c r="A3902" t="s">
        <v>3917</v>
      </c>
      <c r="B3902" t="s">
        <v>10</v>
      </c>
      <c r="C3902" t="s">
        <v>11</v>
      </c>
      <c r="D3902">
        <v>50</v>
      </c>
      <c r="E3902" s="1">
        <v>41004</v>
      </c>
      <c r="F3902">
        <v>2012</v>
      </c>
      <c r="G3902" t="s">
        <v>5040</v>
      </c>
      <c r="H3902">
        <v>5</v>
      </c>
      <c r="I3902">
        <v>4.03</v>
      </c>
      <c r="J3902">
        <v>7</v>
      </c>
      <c r="K3902">
        <v>8691.51</v>
      </c>
      <c r="L3902">
        <v>13.6</v>
      </c>
    </row>
    <row r="3903" spans="1:12" x14ac:dyDescent="0.3">
      <c r="A3903" t="s">
        <v>3918</v>
      </c>
      <c r="B3903" t="s">
        <v>13</v>
      </c>
      <c r="C3903" t="s">
        <v>14</v>
      </c>
      <c r="D3903">
        <v>44</v>
      </c>
      <c r="E3903" s="1">
        <v>40673</v>
      </c>
      <c r="F3903">
        <v>2011</v>
      </c>
      <c r="G3903" t="s">
        <v>5036</v>
      </c>
      <c r="H3903">
        <v>10</v>
      </c>
      <c r="I3903">
        <v>3.96</v>
      </c>
      <c r="J3903">
        <v>2</v>
      </c>
      <c r="K3903">
        <v>11205.91</v>
      </c>
      <c r="L3903">
        <v>14.5</v>
      </c>
    </row>
    <row r="3904" spans="1:12" x14ac:dyDescent="0.3">
      <c r="A3904" t="s">
        <v>3919</v>
      </c>
      <c r="B3904" t="s">
        <v>13</v>
      </c>
      <c r="C3904" t="s">
        <v>11</v>
      </c>
      <c r="D3904">
        <v>57</v>
      </c>
      <c r="E3904" s="1">
        <v>42370</v>
      </c>
      <c r="F3904">
        <v>2016</v>
      </c>
      <c r="G3904" t="s">
        <v>5037</v>
      </c>
      <c r="H3904">
        <v>1</v>
      </c>
      <c r="I3904">
        <v>3.68</v>
      </c>
      <c r="J3904">
        <v>2</v>
      </c>
      <c r="K3904">
        <v>14283.24</v>
      </c>
      <c r="L3904">
        <v>9.8000000000000007</v>
      </c>
    </row>
    <row r="3905" spans="1:12" x14ac:dyDescent="0.3">
      <c r="A3905" t="s">
        <v>3920</v>
      </c>
      <c r="B3905" t="s">
        <v>18</v>
      </c>
      <c r="C3905" t="s">
        <v>11</v>
      </c>
      <c r="D3905">
        <v>44</v>
      </c>
      <c r="E3905" s="1">
        <v>42079</v>
      </c>
      <c r="F3905">
        <v>2015</v>
      </c>
      <c r="G3905" t="s">
        <v>5035</v>
      </c>
      <c r="H3905">
        <v>16</v>
      </c>
      <c r="I3905">
        <v>1.68</v>
      </c>
      <c r="J3905">
        <v>11</v>
      </c>
      <c r="K3905">
        <v>12708.04</v>
      </c>
      <c r="L3905">
        <v>10.6</v>
      </c>
    </row>
    <row r="3906" spans="1:12" x14ac:dyDescent="0.3">
      <c r="A3906" t="s">
        <v>3921</v>
      </c>
      <c r="B3906" t="s">
        <v>16</v>
      </c>
      <c r="C3906" t="s">
        <v>11</v>
      </c>
      <c r="D3906">
        <v>56</v>
      </c>
      <c r="E3906" s="1">
        <v>45680</v>
      </c>
      <c r="F3906">
        <v>2025</v>
      </c>
      <c r="G3906" t="s">
        <v>5037</v>
      </c>
      <c r="H3906">
        <v>23</v>
      </c>
      <c r="I3906">
        <v>1.68</v>
      </c>
      <c r="J3906">
        <v>6</v>
      </c>
      <c r="K3906">
        <v>9274.65</v>
      </c>
      <c r="L3906">
        <v>0.8</v>
      </c>
    </row>
    <row r="3907" spans="1:12" x14ac:dyDescent="0.3">
      <c r="A3907" t="s">
        <v>3922</v>
      </c>
      <c r="B3907" t="s">
        <v>13</v>
      </c>
      <c r="C3907" t="s">
        <v>14</v>
      </c>
      <c r="D3907">
        <v>39</v>
      </c>
      <c r="E3907" s="1">
        <v>40909</v>
      </c>
      <c r="F3907">
        <v>2012</v>
      </c>
      <c r="G3907" t="s">
        <v>5037</v>
      </c>
      <c r="H3907">
        <v>1</v>
      </c>
      <c r="I3907">
        <v>3.21</v>
      </c>
      <c r="J3907">
        <v>2</v>
      </c>
      <c r="K3907">
        <v>4486.3</v>
      </c>
      <c r="L3907">
        <v>13.8</v>
      </c>
    </row>
    <row r="3908" spans="1:12" x14ac:dyDescent="0.3">
      <c r="A3908" t="s">
        <v>3923</v>
      </c>
      <c r="B3908" t="s">
        <v>24</v>
      </c>
      <c r="C3908" t="s">
        <v>11</v>
      </c>
      <c r="D3908">
        <v>38</v>
      </c>
      <c r="E3908" s="1">
        <v>42600</v>
      </c>
      <c r="F3908">
        <v>2016</v>
      </c>
      <c r="G3908" t="s">
        <v>5031</v>
      </c>
      <c r="H3908">
        <v>18</v>
      </c>
      <c r="I3908">
        <v>4.3899999999999997</v>
      </c>
      <c r="J3908">
        <v>8</v>
      </c>
      <c r="K3908">
        <v>7371.35</v>
      </c>
      <c r="L3908">
        <v>9.1999999999999993</v>
      </c>
    </row>
    <row r="3909" spans="1:12" x14ac:dyDescent="0.3">
      <c r="A3909" t="s">
        <v>3924</v>
      </c>
      <c r="B3909" t="s">
        <v>13</v>
      </c>
      <c r="C3909" t="s">
        <v>14</v>
      </c>
      <c r="D3909">
        <v>54</v>
      </c>
      <c r="E3909" s="1">
        <v>41305</v>
      </c>
      <c r="F3909">
        <v>2013</v>
      </c>
      <c r="G3909" t="s">
        <v>5037</v>
      </c>
      <c r="H3909">
        <v>31</v>
      </c>
      <c r="I3909">
        <v>4.95</v>
      </c>
      <c r="J3909">
        <v>14</v>
      </c>
      <c r="K3909">
        <v>10990.63</v>
      </c>
      <c r="L3909">
        <v>12.8</v>
      </c>
    </row>
    <row r="3910" spans="1:12" x14ac:dyDescent="0.3">
      <c r="A3910" t="s">
        <v>3925</v>
      </c>
      <c r="B3910" t="s">
        <v>18</v>
      </c>
      <c r="C3910" t="s">
        <v>11</v>
      </c>
      <c r="D3910">
        <v>59</v>
      </c>
      <c r="E3910" s="1">
        <v>41038</v>
      </c>
      <c r="F3910">
        <v>2012</v>
      </c>
      <c r="G3910" t="s">
        <v>5036</v>
      </c>
      <c r="H3910">
        <v>9</v>
      </c>
      <c r="I3910">
        <v>2.72</v>
      </c>
      <c r="J3910">
        <v>14</v>
      </c>
      <c r="K3910">
        <v>5284.61</v>
      </c>
      <c r="L3910">
        <v>13.5</v>
      </c>
    </row>
    <row r="3911" spans="1:12" x14ac:dyDescent="0.3">
      <c r="A3911" t="s">
        <v>3926</v>
      </c>
      <c r="B3911" t="s">
        <v>18</v>
      </c>
      <c r="C3911" t="s">
        <v>11</v>
      </c>
      <c r="D3911">
        <v>36</v>
      </c>
      <c r="E3911" s="1">
        <v>41733</v>
      </c>
      <c r="F3911">
        <v>2014</v>
      </c>
      <c r="G3911" t="s">
        <v>5040</v>
      </c>
      <c r="H3911">
        <v>4</v>
      </c>
      <c r="I3911">
        <v>4.41</v>
      </c>
      <c r="J3911">
        <v>2</v>
      </c>
      <c r="K3911">
        <v>11613.95</v>
      </c>
      <c r="L3911">
        <v>11.6</v>
      </c>
    </row>
    <row r="3912" spans="1:12" x14ac:dyDescent="0.3">
      <c r="A3912" t="s">
        <v>3927</v>
      </c>
      <c r="B3912" t="s">
        <v>34</v>
      </c>
      <c r="C3912" t="s">
        <v>11</v>
      </c>
      <c r="D3912">
        <v>25</v>
      </c>
      <c r="E3912" s="1">
        <v>40280</v>
      </c>
      <c r="F3912">
        <v>2010</v>
      </c>
      <c r="G3912" t="s">
        <v>5040</v>
      </c>
      <c r="H3912">
        <v>12</v>
      </c>
      <c r="I3912">
        <v>2.39</v>
      </c>
      <c r="J3912">
        <v>5</v>
      </c>
      <c r="K3912">
        <v>3106.79</v>
      </c>
      <c r="L3912">
        <v>15.6</v>
      </c>
    </row>
    <row r="3913" spans="1:12" x14ac:dyDescent="0.3">
      <c r="A3913" t="s">
        <v>3928</v>
      </c>
      <c r="B3913" t="s">
        <v>34</v>
      </c>
      <c r="C3913" t="s">
        <v>14</v>
      </c>
      <c r="D3913">
        <v>29</v>
      </c>
      <c r="E3913" s="1">
        <v>40695</v>
      </c>
      <c r="F3913">
        <v>2011</v>
      </c>
      <c r="G3913" t="s">
        <v>5032</v>
      </c>
      <c r="H3913">
        <v>1</v>
      </c>
      <c r="I3913">
        <v>1.95</v>
      </c>
      <c r="J3913">
        <v>2</v>
      </c>
      <c r="K3913">
        <v>8600.2000000000007</v>
      </c>
      <c r="L3913">
        <v>14.4</v>
      </c>
    </row>
    <row r="3914" spans="1:12" x14ac:dyDescent="0.3">
      <c r="A3914" t="s">
        <v>3929</v>
      </c>
      <c r="B3914" t="s">
        <v>18</v>
      </c>
      <c r="C3914" t="s">
        <v>14</v>
      </c>
      <c r="D3914">
        <v>24</v>
      </c>
      <c r="E3914" s="1">
        <v>44372</v>
      </c>
      <c r="F3914">
        <v>2021</v>
      </c>
      <c r="G3914" t="s">
        <v>5032</v>
      </c>
      <c r="H3914">
        <v>25</v>
      </c>
      <c r="I3914">
        <v>3.64</v>
      </c>
      <c r="J3914">
        <v>12</v>
      </c>
      <c r="K3914">
        <v>14381.7</v>
      </c>
      <c r="L3914">
        <v>4.4000000000000004</v>
      </c>
    </row>
    <row r="3915" spans="1:12" x14ac:dyDescent="0.3">
      <c r="A3915" t="s">
        <v>3930</v>
      </c>
      <c r="B3915" t="s">
        <v>16</v>
      </c>
      <c r="C3915" t="s">
        <v>14</v>
      </c>
      <c r="D3915">
        <v>43</v>
      </c>
      <c r="E3915" s="1">
        <v>42304</v>
      </c>
      <c r="F3915">
        <v>2015</v>
      </c>
      <c r="G3915" t="s">
        <v>5039</v>
      </c>
      <c r="H3915">
        <v>27</v>
      </c>
      <c r="I3915">
        <v>4.0999999999999996</v>
      </c>
      <c r="J3915">
        <v>15</v>
      </c>
      <c r="K3915">
        <v>10747.44</v>
      </c>
      <c r="L3915">
        <v>10</v>
      </c>
    </row>
    <row r="3916" spans="1:12" x14ac:dyDescent="0.3">
      <c r="A3916" t="s">
        <v>3931</v>
      </c>
      <c r="B3916" t="s">
        <v>16</v>
      </c>
      <c r="C3916" t="s">
        <v>14</v>
      </c>
      <c r="D3916">
        <v>25</v>
      </c>
      <c r="E3916" s="1">
        <v>43570</v>
      </c>
      <c r="F3916">
        <v>2019</v>
      </c>
      <c r="G3916" t="s">
        <v>5040</v>
      </c>
      <c r="H3916">
        <v>15</v>
      </c>
      <c r="I3916">
        <v>1.58</v>
      </c>
      <c r="J3916">
        <v>10</v>
      </c>
      <c r="K3916">
        <v>5760.18</v>
      </c>
      <c r="L3916">
        <v>6.6</v>
      </c>
    </row>
    <row r="3917" spans="1:12" x14ac:dyDescent="0.3">
      <c r="A3917" t="s">
        <v>3932</v>
      </c>
      <c r="B3917" t="s">
        <v>24</v>
      </c>
      <c r="C3917" t="s">
        <v>14</v>
      </c>
      <c r="D3917">
        <v>60</v>
      </c>
      <c r="E3917" s="1">
        <v>40838</v>
      </c>
      <c r="F3917">
        <v>2011</v>
      </c>
      <c r="G3917" t="s">
        <v>5039</v>
      </c>
      <c r="H3917">
        <v>22</v>
      </c>
      <c r="I3917">
        <v>3.63</v>
      </c>
      <c r="J3917">
        <v>6</v>
      </c>
      <c r="K3917">
        <v>14204.76</v>
      </c>
      <c r="L3917">
        <v>14</v>
      </c>
    </row>
    <row r="3918" spans="1:12" x14ac:dyDescent="0.3">
      <c r="A3918" t="s">
        <v>3933</v>
      </c>
      <c r="B3918" t="s">
        <v>10</v>
      </c>
      <c r="C3918" t="s">
        <v>11</v>
      </c>
      <c r="D3918">
        <v>44</v>
      </c>
      <c r="E3918" s="1">
        <v>42286</v>
      </c>
      <c r="F3918">
        <v>2015</v>
      </c>
      <c r="G3918" t="s">
        <v>5039</v>
      </c>
      <c r="H3918">
        <v>9</v>
      </c>
      <c r="I3918">
        <v>3.59</v>
      </c>
      <c r="J3918">
        <v>10</v>
      </c>
      <c r="K3918">
        <v>12246.83</v>
      </c>
      <c r="L3918">
        <v>10.1</v>
      </c>
    </row>
    <row r="3919" spans="1:12" x14ac:dyDescent="0.3">
      <c r="A3919" t="s">
        <v>3934</v>
      </c>
      <c r="B3919" t="s">
        <v>13</v>
      </c>
      <c r="C3919" t="s">
        <v>11</v>
      </c>
      <c r="D3919">
        <v>43</v>
      </c>
      <c r="E3919" s="1">
        <v>44292</v>
      </c>
      <c r="F3919">
        <v>2021</v>
      </c>
      <c r="G3919" t="s">
        <v>5040</v>
      </c>
      <c r="H3919">
        <v>6</v>
      </c>
      <c r="I3919">
        <v>4.91</v>
      </c>
      <c r="J3919">
        <v>14</v>
      </c>
      <c r="K3919">
        <v>13308.2</v>
      </c>
      <c r="L3919">
        <v>4.5999999999999996</v>
      </c>
    </row>
    <row r="3920" spans="1:12" x14ac:dyDescent="0.3">
      <c r="A3920" t="s">
        <v>3935</v>
      </c>
      <c r="B3920" t="s">
        <v>24</v>
      </c>
      <c r="C3920" t="s">
        <v>14</v>
      </c>
      <c r="D3920">
        <v>52</v>
      </c>
      <c r="E3920" s="1">
        <v>45683</v>
      </c>
      <c r="F3920">
        <v>2025</v>
      </c>
      <c r="G3920" t="s">
        <v>5037</v>
      </c>
      <c r="H3920">
        <v>26</v>
      </c>
      <c r="I3920">
        <v>3.25</v>
      </c>
      <c r="J3920">
        <v>11</v>
      </c>
      <c r="K3920">
        <v>14585.04</v>
      </c>
      <c r="L3920">
        <v>0.8</v>
      </c>
    </row>
    <row r="3921" spans="1:12" x14ac:dyDescent="0.3">
      <c r="A3921" t="s">
        <v>3936</v>
      </c>
      <c r="B3921" t="s">
        <v>24</v>
      </c>
      <c r="C3921" t="s">
        <v>11</v>
      </c>
      <c r="D3921">
        <v>50</v>
      </c>
      <c r="E3921" s="1">
        <v>42386</v>
      </c>
      <c r="F3921">
        <v>2016</v>
      </c>
      <c r="G3921" t="s">
        <v>5037</v>
      </c>
      <c r="H3921">
        <v>17</v>
      </c>
      <c r="I3921">
        <v>2.52</v>
      </c>
      <c r="J3921">
        <v>1</v>
      </c>
      <c r="K3921">
        <v>12584.28</v>
      </c>
      <c r="L3921">
        <v>9.8000000000000007</v>
      </c>
    </row>
    <row r="3922" spans="1:12" x14ac:dyDescent="0.3">
      <c r="A3922" t="s">
        <v>3937</v>
      </c>
      <c r="B3922" t="s">
        <v>10</v>
      </c>
      <c r="C3922" t="s">
        <v>11</v>
      </c>
      <c r="D3922">
        <v>43</v>
      </c>
      <c r="E3922" s="1">
        <v>43976</v>
      </c>
      <c r="F3922">
        <v>2020</v>
      </c>
      <c r="G3922" t="s">
        <v>5036</v>
      </c>
      <c r="H3922">
        <v>25</v>
      </c>
      <c r="I3922">
        <v>4.97</v>
      </c>
      <c r="J3922">
        <v>14</v>
      </c>
      <c r="K3922">
        <v>7496.5</v>
      </c>
      <c r="L3922">
        <v>5.4</v>
      </c>
    </row>
    <row r="3923" spans="1:12" x14ac:dyDescent="0.3">
      <c r="A3923" t="s">
        <v>3938</v>
      </c>
      <c r="B3923" t="s">
        <v>34</v>
      </c>
      <c r="C3923" t="s">
        <v>11</v>
      </c>
      <c r="D3923">
        <v>47</v>
      </c>
      <c r="E3923" s="1">
        <v>40547</v>
      </c>
      <c r="F3923">
        <v>2011</v>
      </c>
      <c r="G3923" t="s">
        <v>5037</v>
      </c>
      <c r="H3923">
        <v>4</v>
      </c>
      <c r="I3923">
        <v>5</v>
      </c>
      <c r="J3923">
        <v>13</v>
      </c>
      <c r="K3923">
        <v>13796.42</v>
      </c>
      <c r="L3923">
        <v>14.8</v>
      </c>
    </row>
    <row r="3924" spans="1:12" x14ac:dyDescent="0.3">
      <c r="A3924" t="s">
        <v>3939</v>
      </c>
      <c r="B3924" t="s">
        <v>24</v>
      </c>
      <c r="C3924" t="s">
        <v>14</v>
      </c>
      <c r="D3924">
        <v>26</v>
      </c>
      <c r="E3924" s="1">
        <v>42439</v>
      </c>
      <c r="F3924">
        <v>2016</v>
      </c>
      <c r="G3924" t="s">
        <v>5035</v>
      </c>
      <c r="H3924">
        <v>10</v>
      </c>
      <c r="I3924">
        <v>1.52</v>
      </c>
      <c r="J3924">
        <v>7</v>
      </c>
      <c r="K3924">
        <v>10691.71</v>
      </c>
      <c r="L3924">
        <v>9.6999999999999993</v>
      </c>
    </row>
    <row r="3925" spans="1:12" x14ac:dyDescent="0.3">
      <c r="A3925" t="s">
        <v>3940</v>
      </c>
      <c r="B3925" t="s">
        <v>24</v>
      </c>
      <c r="C3925" t="s">
        <v>14</v>
      </c>
      <c r="D3925">
        <v>55</v>
      </c>
      <c r="E3925" s="1">
        <v>42914</v>
      </c>
      <c r="F3925">
        <v>2017</v>
      </c>
      <c r="G3925" t="s">
        <v>5032</v>
      </c>
      <c r="H3925">
        <v>28</v>
      </c>
      <c r="I3925">
        <v>1.56</v>
      </c>
      <c r="J3925">
        <v>12</v>
      </c>
      <c r="K3925">
        <v>7028.13</v>
      </c>
      <c r="L3925">
        <v>8.4</v>
      </c>
    </row>
    <row r="3926" spans="1:12" x14ac:dyDescent="0.3">
      <c r="A3926" t="s">
        <v>3941</v>
      </c>
      <c r="B3926" t="s">
        <v>18</v>
      </c>
      <c r="C3926" t="s">
        <v>11</v>
      </c>
      <c r="D3926">
        <v>25</v>
      </c>
      <c r="E3926" s="1">
        <v>45103</v>
      </c>
      <c r="F3926">
        <v>2023</v>
      </c>
      <c r="G3926" t="s">
        <v>5032</v>
      </c>
      <c r="H3926">
        <v>26</v>
      </c>
      <c r="I3926">
        <v>2.4900000000000002</v>
      </c>
      <c r="J3926">
        <v>12</v>
      </c>
      <c r="K3926">
        <v>8673.33</v>
      </c>
      <c r="L3926">
        <v>2.4</v>
      </c>
    </row>
    <row r="3927" spans="1:12" x14ac:dyDescent="0.3">
      <c r="A3927" t="s">
        <v>3942</v>
      </c>
      <c r="B3927" t="s">
        <v>34</v>
      </c>
      <c r="C3927" t="s">
        <v>11</v>
      </c>
      <c r="D3927">
        <v>33</v>
      </c>
      <c r="E3927" s="1">
        <v>41625</v>
      </c>
      <c r="F3927">
        <v>2013</v>
      </c>
      <c r="G3927" t="s">
        <v>5041</v>
      </c>
      <c r="H3927">
        <v>17</v>
      </c>
      <c r="I3927">
        <v>4.71</v>
      </c>
      <c r="J3927">
        <v>6</v>
      </c>
      <c r="K3927">
        <v>5174.12</v>
      </c>
      <c r="L3927">
        <v>11.9</v>
      </c>
    </row>
    <row r="3928" spans="1:12" x14ac:dyDescent="0.3">
      <c r="A3928" t="s">
        <v>3943</v>
      </c>
      <c r="B3928" t="s">
        <v>34</v>
      </c>
      <c r="C3928" t="s">
        <v>14</v>
      </c>
      <c r="D3928">
        <v>26</v>
      </c>
      <c r="E3928" s="1">
        <v>45530</v>
      </c>
      <c r="F3928">
        <v>2024</v>
      </c>
      <c r="G3928" t="s">
        <v>5031</v>
      </c>
      <c r="H3928">
        <v>26</v>
      </c>
      <c r="I3928">
        <v>4.1900000000000004</v>
      </c>
      <c r="J3928">
        <v>1</v>
      </c>
      <c r="K3928">
        <v>13210.59</v>
      </c>
      <c r="L3928">
        <v>1.2</v>
      </c>
    </row>
    <row r="3929" spans="1:12" x14ac:dyDescent="0.3">
      <c r="A3929" t="s">
        <v>3944</v>
      </c>
      <c r="B3929" t="s">
        <v>10</v>
      </c>
      <c r="C3929" t="s">
        <v>14</v>
      </c>
      <c r="D3929">
        <v>26</v>
      </c>
      <c r="E3929" s="1">
        <v>40619</v>
      </c>
      <c r="F3929">
        <v>2011</v>
      </c>
      <c r="G3929" t="s">
        <v>5035</v>
      </c>
      <c r="H3929">
        <v>17</v>
      </c>
      <c r="I3929">
        <v>1.74</v>
      </c>
      <c r="J3929">
        <v>4</v>
      </c>
      <c r="K3929">
        <v>14103.29</v>
      </c>
      <c r="L3929">
        <v>14.6</v>
      </c>
    </row>
    <row r="3930" spans="1:12" x14ac:dyDescent="0.3">
      <c r="A3930" t="s">
        <v>3945</v>
      </c>
      <c r="B3930" t="s">
        <v>24</v>
      </c>
      <c r="C3930" t="s">
        <v>14</v>
      </c>
      <c r="D3930">
        <v>60</v>
      </c>
      <c r="E3930" s="1">
        <v>40680</v>
      </c>
      <c r="F3930">
        <v>2011</v>
      </c>
      <c r="G3930" t="s">
        <v>5036</v>
      </c>
      <c r="H3930">
        <v>17</v>
      </c>
      <c r="I3930">
        <v>1.85</v>
      </c>
      <c r="J3930">
        <v>0</v>
      </c>
      <c r="K3930">
        <v>12064.79</v>
      </c>
      <c r="L3930">
        <v>14.5</v>
      </c>
    </row>
    <row r="3931" spans="1:12" x14ac:dyDescent="0.3">
      <c r="A3931" t="s">
        <v>3946</v>
      </c>
      <c r="B3931" t="s">
        <v>10</v>
      </c>
      <c r="C3931" t="s">
        <v>14</v>
      </c>
      <c r="D3931">
        <v>32</v>
      </c>
      <c r="E3931" s="1">
        <v>43482</v>
      </c>
      <c r="F3931">
        <v>2019</v>
      </c>
      <c r="G3931" t="s">
        <v>5037</v>
      </c>
      <c r="H3931">
        <v>17</v>
      </c>
      <c r="I3931">
        <v>2.27</v>
      </c>
      <c r="J3931">
        <v>4</v>
      </c>
      <c r="K3931">
        <v>10528.56</v>
      </c>
      <c r="L3931">
        <v>6.8</v>
      </c>
    </row>
    <row r="3932" spans="1:12" x14ac:dyDescent="0.3">
      <c r="A3932" t="s">
        <v>3947</v>
      </c>
      <c r="B3932" t="s">
        <v>10</v>
      </c>
      <c r="C3932" t="s">
        <v>11</v>
      </c>
      <c r="D3932">
        <v>55</v>
      </c>
      <c r="E3932" s="1">
        <v>41290</v>
      </c>
      <c r="F3932">
        <v>2013</v>
      </c>
      <c r="G3932" t="s">
        <v>5037</v>
      </c>
      <c r="H3932">
        <v>16</v>
      </c>
      <c r="I3932">
        <v>1.86</v>
      </c>
      <c r="J3932">
        <v>7</v>
      </c>
      <c r="K3932">
        <v>9427.2800000000007</v>
      </c>
      <c r="L3932">
        <v>12.8</v>
      </c>
    </row>
    <row r="3933" spans="1:12" x14ac:dyDescent="0.3">
      <c r="A3933" t="s">
        <v>3948</v>
      </c>
      <c r="B3933" t="s">
        <v>34</v>
      </c>
      <c r="C3933" t="s">
        <v>14</v>
      </c>
      <c r="D3933">
        <v>46</v>
      </c>
      <c r="E3933" s="1">
        <v>45402</v>
      </c>
      <c r="F3933">
        <v>2024</v>
      </c>
      <c r="G3933" t="s">
        <v>5040</v>
      </c>
      <c r="H3933">
        <v>20</v>
      </c>
      <c r="I3933">
        <v>3.14</v>
      </c>
      <c r="J3933">
        <v>9</v>
      </c>
      <c r="K3933">
        <v>7901.01</v>
      </c>
      <c r="L3933">
        <v>1.5</v>
      </c>
    </row>
    <row r="3934" spans="1:12" x14ac:dyDescent="0.3">
      <c r="A3934" t="s">
        <v>3949</v>
      </c>
      <c r="B3934" t="s">
        <v>18</v>
      </c>
      <c r="C3934" t="s">
        <v>11</v>
      </c>
      <c r="D3934">
        <v>25</v>
      </c>
      <c r="E3934" s="1">
        <v>44574</v>
      </c>
      <c r="F3934">
        <v>2022</v>
      </c>
      <c r="G3934" t="s">
        <v>5037</v>
      </c>
      <c r="H3934">
        <v>13</v>
      </c>
      <c r="I3934">
        <v>4.22</v>
      </c>
      <c r="J3934">
        <v>15</v>
      </c>
      <c r="K3934">
        <v>7475.81</v>
      </c>
      <c r="L3934">
        <v>3.8</v>
      </c>
    </row>
    <row r="3935" spans="1:12" x14ac:dyDescent="0.3">
      <c r="A3935" t="s">
        <v>3950</v>
      </c>
      <c r="B3935" t="s">
        <v>18</v>
      </c>
      <c r="C3935" t="s">
        <v>14</v>
      </c>
      <c r="D3935">
        <v>40</v>
      </c>
      <c r="E3935" s="1">
        <v>44068</v>
      </c>
      <c r="F3935">
        <v>2020</v>
      </c>
      <c r="G3935" t="s">
        <v>5031</v>
      </c>
      <c r="H3935">
        <v>25</v>
      </c>
      <c r="I3935">
        <v>3.74</v>
      </c>
      <c r="J3935">
        <v>4</v>
      </c>
      <c r="K3935">
        <v>3767.42</v>
      </c>
      <c r="L3935">
        <v>5.2</v>
      </c>
    </row>
    <row r="3936" spans="1:12" x14ac:dyDescent="0.3">
      <c r="A3936" t="s">
        <v>3951</v>
      </c>
      <c r="B3936" t="s">
        <v>13</v>
      </c>
      <c r="C3936" t="s">
        <v>14</v>
      </c>
      <c r="D3936">
        <v>59</v>
      </c>
      <c r="E3936" s="1">
        <v>41669</v>
      </c>
      <c r="F3936">
        <v>2014</v>
      </c>
      <c r="G3936" t="s">
        <v>5037</v>
      </c>
      <c r="H3936">
        <v>30</v>
      </c>
      <c r="I3936">
        <v>4.67</v>
      </c>
      <c r="J3936">
        <v>6</v>
      </c>
      <c r="K3936">
        <v>4831</v>
      </c>
      <c r="L3936">
        <v>11.8</v>
      </c>
    </row>
    <row r="3937" spans="1:12" x14ac:dyDescent="0.3">
      <c r="A3937" t="s">
        <v>3952</v>
      </c>
      <c r="B3937" t="s">
        <v>34</v>
      </c>
      <c r="C3937" t="s">
        <v>11</v>
      </c>
      <c r="D3937">
        <v>22</v>
      </c>
      <c r="E3937" s="1">
        <v>43498</v>
      </c>
      <c r="F3937">
        <v>2019</v>
      </c>
      <c r="G3937" t="s">
        <v>5042</v>
      </c>
      <c r="H3937">
        <v>2</v>
      </c>
      <c r="I3937">
        <v>4.54</v>
      </c>
      <c r="J3937">
        <v>3</v>
      </c>
      <c r="K3937">
        <v>11624.08</v>
      </c>
      <c r="L3937">
        <v>6.8</v>
      </c>
    </row>
    <row r="3938" spans="1:12" x14ac:dyDescent="0.3">
      <c r="A3938" t="s">
        <v>3953</v>
      </c>
      <c r="B3938" t="s">
        <v>18</v>
      </c>
      <c r="C3938" t="s">
        <v>11</v>
      </c>
      <c r="D3938">
        <v>47</v>
      </c>
      <c r="E3938" s="1">
        <v>44692</v>
      </c>
      <c r="F3938">
        <v>2022</v>
      </c>
      <c r="G3938" t="s">
        <v>5036</v>
      </c>
      <c r="H3938">
        <v>11</v>
      </c>
      <c r="I3938">
        <v>3</v>
      </c>
      <c r="J3938">
        <v>8</v>
      </c>
      <c r="K3938">
        <v>7111.15</v>
      </c>
      <c r="L3938">
        <v>3.5</v>
      </c>
    </row>
    <row r="3939" spans="1:12" x14ac:dyDescent="0.3">
      <c r="A3939" t="s">
        <v>3954</v>
      </c>
      <c r="B3939" t="s">
        <v>13</v>
      </c>
      <c r="C3939" t="s">
        <v>14</v>
      </c>
      <c r="D3939">
        <v>44</v>
      </c>
      <c r="E3939" s="1">
        <v>45670</v>
      </c>
      <c r="F3939">
        <v>2025</v>
      </c>
      <c r="G3939" t="s">
        <v>5037</v>
      </c>
      <c r="H3939">
        <v>13</v>
      </c>
      <c r="I3939">
        <v>1.66</v>
      </c>
      <c r="J3939">
        <v>10</v>
      </c>
      <c r="K3939">
        <v>5157.5200000000004</v>
      </c>
      <c r="L3939">
        <v>0.8</v>
      </c>
    </row>
    <row r="3940" spans="1:12" x14ac:dyDescent="0.3">
      <c r="A3940" t="s">
        <v>3955</v>
      </c>
      <c r="B3940" t="s">
        <v>34</v>
      </c>
      <c r="C3940" t="s">
        <v>14</v>
      </c>
      <c r="D3940">
        <v>42</v>
      </c>
      <c r="E3940" s="1">
        <v>43509</v>
      </c>
      <c r="F3940">
        <v>2019</v>
      </c>
      <c r="G3940" t="s">
        <v>5042</v>
      </c>
      <c r="H3940">
        <v>13</v>
      </c>
      <c r="I3940">
        <v>4.4400000000000004</v>
      </c>
      <c r="J3940">
        <v>6</v>
      </c>
      <c r="K3940">
        <v>9485.0499999999993</v>
      </c>
      <c r="L3940">
        <v>6.7</v>
      </c>
    </row>
    <row r="3941" spans="1:12" x14ac:dyDescent="0.3">
      <c r="A3941" t="s">
        <v>3956</v>
      </c>
      <c r="B3941" t="s">
        <v>13</v>
      </c>
      <c r="C3941" t="s">
        <v>11</v>
      </c>
      <c r="D3941">
        <v>31</v>
      </c>
      <c r="E3941" s="1">
        <v>41631</v>
      </c>
      <c r="F3941">
        <v>2013</v>
      </c>
      <c r="G3941" t="s">
        <v>5041</v>
      </c>
      <c r="H3941">
        <v>23</v>
      </c>
      <c r="I3941">
        <v>4.46</v>
      </c>
      <c r="J3941">
        <v>6</v>
      </c>
      <c r="K3941">
        <v>7741.88</v>
      </c>
      <c r="L3941">
        <v>11.9</v>
      </c>
    </row>
    <row r="3942" spans="1:12" x14ac:dyDescent="0.3">
      <c r="A3942" t="s">
        <v>3957</v>
      </c>
      <c r="B3942" t="s">
        <v>10</v>
      </c>
      <c r="C3942" t="s">
        <v>11</v>
      </c>
      <c r="D3942">
        <v>33</v>
      </c>
      <c r="E3942" s="1">
        <v>43915</v>
      </c>
      <c r="F3942">
        <v>2020</v>
      </c>
      <c r="G3942" t="s">
        <v>5035</v>
      </c>
      <c r="H3942">
        <v>25</v>
      </c>
      <c r="I3942">
        <v>1.53</v>
      </c>
      <c r="J3942">
        <v>7</v>
      </c>
      <c r="K3942">
        <v>7256.29</v>
      </c>
      <c r="L3942">
        <v>5.6</v>
      </c>
    </row>
    <row r="3943" spans="1:12" x14ac:dyDescent="0.3">
      <c r="A3943" t="s">
        <v>3958</v>
      </c>
      <c r="B3943" t="s">
        <v>24</v>
      </c>
      <c r="C3943" t="s">
        <v>14</v>
      </c>
      <c r="D3943">
        <v>33</v>
      </c>
      <c r="E3943" s="1">
        <v>40505</v>
      </c>
      <c r="F3943">
        <v>2010</v>
      </c>
      <c r="G3943" t="s">
        <v>5038</v>
      </c>
      <c r="H3943">
        <v>23</v>
      </c>
      <c r="I3943">
        <v>3.89</v>
      </c>
      <c r="J3943">
        <v>7</v>
      </c>
      <c r="K3943">
        <v>14110.15</v>
      </c>
      <c r="L3943">
        <v>15</v>
      </c>
    </row>
    <row r="3944" spans="1:12" x14ac:dyDescent="0.3">
      <c r="A3944" t="s">
        <v>3959</v>
      </c>
      <c r="B3944" t="s">
        <v>24</v>
      </c>
      <c r="C3944" t="s">
        <v>11</v>
      </c>
      <c r="D3944">
        <v>32</v>
      </c>
      <c r="E3944" s="1">
        <v>42154</v>
      </c>
      <c r="F3944">
        <v>2015</v>
      </c>
      <c r="G3944" t="s">
        <v>5036</v>
      </c>
      <c r="H3944">
        <v>30</v>
      </c>
      <c r="I3944">
        <v>3.48</v>
      </c>
      <c r="J3944">
        <v>6</v>
      </c>
      <c r="K3944">
        <v>14356</v>
      </c>
      <c r="L3944">
        <v>10.4</v>
      </c>
    </row>
    <row r="3945" spans="1:12" x14ac:dyDescent="0.3">
      <c r="A3945" t="s">
        <v>3960</v>
      </c>
      <c r="B3945" t="s">
        <v>10</v>
      </c>
      <c r="C3945" t="s">
        <v>11</v>
      </c>
      <c r="D3945">
        <v>35</v>
      </c>
      <c r="E3945" s="1">
        <v>41080</v>
      </c>
      <c r="F3945">
        <v>2012</v>
      </c>
      <c r="G3945" t="s">
        <v>5032</v>
      </c>
      <c r="H3945">
        <v>20</v>
      </c>
      <c r="I3945">
        <v>4.29</v>
      </c>
      <c r="J3945">
        <v>13</v>
      </c>
      <c r="K3945">
        <v>9407.89</v>
      </c>
      <c r="L3945">
        <v>13.4</v>
      </c>
    </row>
    <row r="3946" spans="1:12" x14ac:dyDescent="0.3">
      <c r="A3946" t="s">
        <v>3961</v>
      </c>
      <c r="B3946" t="s">
        <v>16</v>
      </c>
      <c r="C3946" t="s">
        <v>11</v>
      </c>
      <c r="D3946">
        <v>51</v>
      </c>
      <c r="E3946" s="1">
        <v>44493</v>
      </c>
      <c r="F3946">
        <v>2021</v>
      </c>
      <c r="G3946" t="s">
        <v>5039</v>
      </c>
      <c r="H3946">
        <v>24</v>
      </c>
      <c r="I3946">
        <v>2.11</v>
      </c>
      <c r="J3946">
        <v>12</v>
      </c>
      <c r="K3946">
        <v>6061.45</v>
      </c>
      <c r="L3946">
        <v>4</v>
      </c>
    </row>
    <row r="3947" spans="1:12" x14ac:dyDescent="0.3">
      <c r="A3947" t="s">
        <v>3962</v>
      </c>
      <c r="B3947" t="s">
        <v>24</v>
      </c>
      <c r="C3947" t="s">
        <v>14</v>
      </c>
      <c r="D3947">
        <v>49</v>
      </c>
      <c r="E3947" s="1">
        <v>41135</v>
      </c>
      <c r="F3947">
        <v>2012</v>
      </c>
      <c r="G3947" t="s">
        <v>5031</v>
      </c>
      <c r="H3947">
        <v>14</v>
      </c>
      <c r="I3947">
        <v>3.47</v>
      </c>
      <c r="J3947">
        <v>15</v>
      </c>
      <c r="K3947">
        <v>4413.58</v>
      </c>
      <c r="L3947">
        <v>13.2</v>
      </c>
    </row>
    <row r="3948" spans="1:12" x14ac:dyDescent="0.3">
      <c r="A3948" t="s">
        <v>3963</v>
      </c>
      <c r="B3948" t="s">
        <v>24</v>
      </c>
      <c r="C3948" t="s">
        <v>14</v>
      </c>
      <c r="D3948">
        <v>58</v>
      </c>
      <c r="E3948" s="1">
        <v>42023</v>
      </c>
      <c r="F3948">
        <v>2015</v>
      </c>
      <c r="G3948" t="s">
        <v>5037</v>
      </c>
      <c r="H3948">
        <v>19</v>
      </c>
      <c r="I3948">
        <v>4.01</v>
      </c>
      <c r="J3948">
        <v>1</v>
      </c>
      <c r="K3948">
        <v>13084.45</v>
      </c>
      <c r="L3948">
        <v>10.8</v>
      </c>
    </row>
    <row r="3949" spans="1:12" x14ac:dyDescent="0.3">
      <c r="A3949" t="s">
        <v>3964</v>
      </c>
      <c r="B3949" t="s">
        <v>16</v>
      </c>
      <c r="C3949" t="s">
        <v>14</v>
      </c>
      <c r="D3949">
        <v>59</v>
      </c>
      <c r="E3949" s="1">
        <v>43899</v>
      </c>
      <c r="F3949">
        <v>2020</v>
      </c>
      <c r="G3949" t="s">
        <v>5035</v>
      </c>
      <c r="H3949">
        <v>9</v>
      </c>
      <c r="I3949">
        <v>4.57</v>
      </c>
      <c r="J3949">
        <v>12</v>
      </c>
      <c r="K3949">
        <v>11020.4</v>
      </c>
      <c r="L3949">
        <v>5.7</v>
      </c>
    </row>
    <row r="3950" spans="1:12" x14ac:dyDescent="0.3">
      <c r="A3950" t="s">
        <v>3965</v>
      </c>
      <c r="B3950" t="s">
        <v>16</v>
      </c>
      <c r="C3950" t="s">
        <v>11</v>
      </c>
      <c r="D3950">
        <v>49</v>
      </c>
      <c r="E3950" s="1">
        <v>45579</v>
      </c>
      <c r="F3950">
        <v>2024</v>
      </c>
      <c r="G3950" t="s">
        <v>5039</v>
      </c>
      <c r="H3950">
        <v>14</v>
      </c>
      <c r="I3950">
        <v>2.73</v>
      </c>
      <c r="J3950">
        <v>13</v>
      </c>
      <c r="K3950">
        <v>7405.58</v>
      </c>
      <c r="L3950">
        <v>1</v>
      </c>
    </row>
    <row r="3951" spans="1:12" x14ac:dyDescent="0.3">
      <c r="A3951" t="s">
        <v>3966</v>
      </c>
      <c r="B3951" t="s">
        <v>24</v>
      </c>
      <c r="C3951" t="s">
        <v>11</v>
      </c>
      <c r="D3951">
        <v>43</v>
      </c>
      <c r="E3951" s="1">
        <v>43316</v>
      </c>
      <c r="F3951">
        <v>2018</v>
      </c>
      <c r="G3951" t="s">
        <v>5031</v>
      </c>
      <c r="H3951">
        <v>4</v>
      </c>
      <c r="I3951">
        <v>4.2</v>
      </c>
      <c r="J3951">
        <v>10</v>
      </c>
      <c r="K3951">
        <v>11444.87</v>
      </c>
      <c r="L3951">
        <v>7.2</v>
      </c>
    </row>
    <row r="3952" spans="1:12" x14ac:dyDescent="0.3">
      <c r="A3952" t="s">
        <v>3967</v>
      </c>
      <c r="B3952" t="s">
        <v>18</v>
      </c>
      <c r="C3952" t="s">
        <v>11</v>
      </c>
      <c r="D3952">
        <v>24</v>
      </c>
      <c r="E3952" s="1">
        <v>42840</v>
      </c>
      <c r="F3952">
        <v>2017</v>
      </c>
      <c r="G3952" t="s">
        <v>5040</v>
      </c>
      <c r="H3952">
        <v>15</v>
      </c>
      <c r="I3952">
        <v>2.95</v>
      </c>
      <c r="J3952">
        <v>14</v>
      </c>
      <c r="K3952">
        <v>7103.25</v>
      </c>
      <c r="L3952">
        <v>8.6</v>
      </c>
    </row>
    <row r="3953" spans="1:12" x14ac:dyDescent="0.3">
      <c r="A3953" t="s">
        <v>3968</v>
      </c>
      <c r="B3953" t="s">
        <v>13</v>
      </c>
      <c r="C3953" t="s">
        <v>14</v>
      </c>
      <c r="D3953">
        <v>44</v>
      </c>
      <c r="E3953" s="1">
        <v>42528</v>
      </c>
      <c r="F3953">
        <v>2016</v>
      </c>
      <c r="G3953" t="s">
        <v>5032</v>
      </c>
      <c r="H3953">
        <v>7</v>
      </c>
      <c r="I3953">
        <v>2.86</v>
      </c>
      <c r="J3953">
        <v>7</v>
      </c>
      <c r="K3953">
        <v>10618.74</v>
      </c>
      <c r="L3953">
        <v>9.4</v>
      </c>
    </row>
    <row r="3954" spans="1:12" x14ac:dyDescent="0.3">
      <c r="A3954" t="s">
        <v>3969</v>
      </c>
      <c r="B3954" t="s">
        <v>10</v>
      </c>
      <c r="C3954" t="s">
        <v>14</v>
      </c>
      <c r="D3954">
        <v>45</v>
      </c>
      <c r="E3954" s="1">
        <v>45941</v>
      </c>
      <c r="F3954">
        <v>2025</v>
      </c>
      <c r="G3954" t="s">
        <v>5039</v>
      </c>
      <c r="H3954">
        <v>11</v>
      </c>
      <c r="I3954">
        <v>1.84</v>
      </c>
      <c r="J3954">
        <v>9</v>
      </c>
      <c r="K3954">
        <v>3868.86</v>
      </c>
      <c r="L3954">
        <v>0.1</v>
      </c>
    </row>
    <row r="3955" spans="1:12" x14ac:dyDescent="0.3">
      <c r="A3955" t="s">
        <v>3970</v>
      </c>
      <c r="B3955" t="s">
        <v>16</v>
      </c>
      <c r="C3955" t="s">
        <v>14</v>
      </c>
      <c r="D3955">
        <v>32</v>
      </c>
      <c r="E3955" s="1">
        <v>40592</v>
      </c>
      <c r="F3955">
        <v>2011</v>
      </c>
      <c r="G3955" t="s">
        <v>5042</v>
      </c>
      <c r="H3955">
        <v>18</v>
      </c>
      <c r="I3955">
        <v>3.39</v>
      </c>
      <c r="J3955">
        <v>12</v>
      </c>
      <c r="K3955">
        <v>11064.07</v>
      </c>
      <c r="L3955">
        <v>14.7</v>
      </c>
    </row>
    <row r="3956" spans="1:12" x14ac:dyDescent="0.3">
      <c r="A3956" t="s">
        <v>3971</v>
      </c>
      <c r="B3956" t="s">
        <v>13</v>
      </c>
      <c r="C3956" t="s">
        <v>11</v>
      </c>
      <c r="D3956">
        <v>55</v>
      </c>
      <c r="E3956" s="1">
        <v>41559</v>
      </c>
      <c r="F3956">
        <v>2013</v>
      </c>
      <c r="G3956" t="s">
        <v>5039</v>
      </c>
      <c r="H3956">
        <v>12</v>
      </c>
      <c r="I3956">
        <v>4.1500000000000004</v>
      </c>
      <c r="J3956">
        <v>14</v>
      </c>
      <c r="K3956">
        <v>9659.69</v>
      </c>
      <c r="L3956">
        <v>12.1</v>
      </c>
    </row>
    <row r="3957" spans="1:12" x14ac:dyDescent="0.3">
      <c r="A3957" t="s">
        <v>3972</v>
      </c>
      <c r="B3957" t="s">
        <v>13</v>
      </c>
      <c r="C3957" t="s">
        <v>11</v>
      </c>
      <c r="D3957">
        <v>45</v>
      </c>
      <c r="E3957" s="1">
        <v>43278</v>
      </c>
      <c r="F3957">
        <v>2018</v>
      </c>
      <c r="G3957" t="s">
        <v>5032</v>
      </c>
      <c r="H3957">
        <v>27</v>
      </c>
      <c r="I3957">
        <v>3.35</v>
      </c>
      <c r="J3957">
        <v>0</v>
      </c>
      <c r="K3957">
        <v>5587.43</v>
      </c>
      <c r="L3957">
        <v>7.4</v>
      </c>
    </row>
    <row r="3958" spans="1:12" x14ac:dyDescent="0.3">
      <c r="A3958" t="s">
        <v>3973</v>
      </c>
      <c r="B3958" t="s">
        <v>18</v>
      </c>
      <c r="C3958" t="s">
        <v>11</v>
      </c>
      <c r="D3958">
        <v>27</v>
      </c>
      <c r="E3958" s="1">
        <v>41053</v>
      </c>
      <c r="F3958">
        <v>2012</v>
      </c>
      <c r="G3958" t="s">
        <v>5036</v>
      </c>
      <c r="H3958">
        <v>24</v>
      </c>
      <c r="I3958">
        <v>4.9800000000000004</v>
      </c>
      <c r="J3958">
        <v>5</v>
      </c>
      <c r="K3958">
        <v>12200.62</v>
      </c>
      <c r="L3958">
        <v>13.4</v>
      </c>
    </row>
    <row r="3959" spans="1:12" x14ac:dyDescent="0.3">
      <c r="A3959" t="s">
        <v>3974</v>
      </c>
      <c r="B3959" t="s">
        <v>24</v>
      </c>
      <c r="C3959" t="s">
        <v>14</v>
      </c>
      <c r="D3959">
        <v>38</v>
      </c>
      <c r="E3959" s="1">
        <v>42408</v>
      </c>
      <c r="F3959">
        <v>2016</v>
      </c>
      <c r="G3959" t="s">
        <v>5042</v>
      </c>
      <c r="H3959">
        <v>8</v>
      </c>
      <c r="I3959">
        <v>4.8600000000000003</v>
      </c>
      <c r="J3959">
        <v>0</v>
      </c>
      <c r="K3959">
        <v>3532.34</v>
      </c>
      <c r="L3959">
        <v>9.6999999999999993</v>
      </c>
    </row>
    <row r="3960" spans="1:12" x14ac:dyDescent="0.3">
      <c r="A3960" t="s">
        <v>3975</v>
      </c>
      <c r="B3960" t="s">
        <v>10</v>
      </c>
      <c r="C3960" t="s">
        <v>14</v>
      </c>
      <c r="D3960">
        <v>43</v>
      </c>
      <c r="E3960" s="1">
        <v>45221</v>
      </c>
      <c r="F3960">
        <v>2023</v>
      </c>
      <c r="G3960" t="s">
        <v>5039</v>
      </c>
      <c r="H3960">
        <v>22</v>
      </c>
      <c r="I3960">
        <v>4.12</v>
      </c>
      <c r="J3960">
        <v>15</v>
      </c>
      <c r="K3960">
        <v>13149.12</v>
      </c>
      <c r="L3960">
        <v>2</v>
      </c>
    </row>
    <row r="3961" spans="1:12" x14ac:dyDescent="0.3">
      <c r="A3961" t="s">
        <v>3976</v>
      </c>
      <c r="B3961" t="s">
        <v>34</v>
      </c>
      <c r="C3961" t="s">
        <v>14</v>
      </c>
      <c r="D3961">
        <v>50</v>
      </c>
      <c r="E3961" s="1">
        <v>43683</v>
      </c>
      <c r="F3961">
        <v>2019</v>
      </c>
      <c r="G3961" t="s">
        <v>5031</v>
      </c>
      <c r="H3961">
        <v>6</v>
      </c>
      <c r="I3961">
        <v>3.59</v>
      </c>
      <c r="J3961">
        <v>15</v>
      </c>
      <c r="K3961">
        <v>9316.5499999999993</v>
      </c>
      <c r="L3961">
        <v>6.2</v>
      </c>
    </row>
    <row r="3962" spans="1:12" x14ac:dyDescent="0.3">
      <c r="A3962" t="s">
        <v>3977</v>
      </c>
      <c r="B3962" t="s">
        <v>10</v>
      </c>
      <c r="C3962" t="s">
        <v>14</v>
      </c>
      <c r="D3962">
        <v>37</v>
      </c>
      <c r="E3962" s="1">
        <v>40922</v>
      </c>
      <c r="F3962">
        <v>2012</v>
      </c>
      <c r="G3962" t="s">
        <v>5037</v>
      </c>
      <c r="H3962">
        <v>14</v>
      </c>
      <c r="I3962">
        <v>2.56</v>
      </c>
      <c r="J3962">
        <v>10</v>
      </c>
      <c r="K3962">
        <v>5160.78</v>
      </c>
      <c r="L3962">
        <v>13.8</v>
      </c>
    </row>
    <row r="3963" spans="1:12" x14ac:dyDescent="0.3">
      <c r="A3963" t="s">
        <v>3978</v>
      </c>
      <c r="B3963" t="s">
        <v>13</v>
      </c>
      <c r="C3963" t="s">
        <v>14</v>
      </c>
      <c r="D3963">
        <v>24</v>
      </c>
      <c r="E3963" s="1">
        <v>41386</v>
      </c>
      <c r="F3963">
        <v>2013</v>
      </c>
      <c r="G3963" t="s">
        <v>5040</v>
      </c>
      <c r="H3963">
        <v>22</v>
      </c>
      <c r="I3963">
        <v>3.25</v>
      </c>
      <c r="J3963">
        <v>1</v>
      </c>
      <c r="K3963">
        <v>10626.26</v>
      </c>
      <c r="L3963">
        <v>12.5</v>
      </c>
    </row>
    <row r="3964" spans="1:12" x14ac:dyDescent="0.3">
      <c r="A3964" t="s">
        <v>3979</v>
      </c>
      <c r="B3964" t="s">
        <v>16</v>
      </c>
      <c r="C3964" t="s">
        <v>14</v>
      </c>
      <c r="D3964">
        <v>43</v>
      </c>
      <c r="E3964" s="1">
        <v>45772</v>
      </c>
      <c r="F3964">
        <v>2025</v>
      </c>
      <c r="G3964" t="s">
        <v>5040</v>
      </c>
      <c r="H3964">
        <v>25</v>
      </c>
      <c r="I3964">
        <v>4.28</v>
      </c>
      <c r="J3964">
        <v>7</v>
      </c>
      <c r="K3964">
        <v>10787.76</v>
      </c>
      <c r="L3964">
        <v>0.5</v>
      </c>
    </row>
    <row r="3965" spans="1:12" x14ac:dyDescent="0.3">
      <c r="A3965" t="s">
        <v>3980</v>
      </c>
      <c r="B3965" t="s">
        <v>24</v>
      </c>
      <c r="C3965" t="s">
        <v>11</v>
      </c>
      <c r="D3965">
        <v>50</v>
      </c>
      <c r="E3965" s="1">
        <v>44492</v>
      </c>
      <c r="F3965">
        <v>2021</v>
      </c>
      <c r="G3965" t="s">
        <v>5039</v>
      </c>
      <c r="H3965">
        <v>23</v>
      </c>
      <c r="I3965">
        <v>3.16</v>
      </c>
      <c r="J3965">
        <v>11</v>
      </c>
      <c r="K3965">
        <v>6223.5</v>
      </c>
      <c r="L3965">
        <v>4</v>
      </c>
    </row>
    <row r="3966" spans="1:12" x14ac:dyDescent="0.3">
      <c r="A3966" t="s">
        <v>3981</v>
      </c>
      <c r="B3966" t="s">
        <v>34</v>
      </c>
      <c r="C3966" t="s">
        <v>14</v>
      </c>
      <c r="D3966">
        <v>39</v>
      </c>
      <c r="E3966" s="1">
        <v>42909</v>
      </c>
      <c r="F3966">
        <v>2017</v>
      </c>
      <c r="G3966" t="s">
        <v>5032</v>
      </c>
      <c r="H3966">
        <v>23</v>
      </c>
      <c r="I3966">
        <v>4.6399999999999997</v>
      </c>
      <c r="J3966">
        <v>14</v>
      </c>
      <c r="K3966">
        <v>6812.8</v>
      </c>
      <c r="L3966">
        <v>8.4</v>
      </c>
    </row>
    <row r="3967" spans="1:12" x14ac:dyDescent="0.3">
      <c r="A3967" t="s">
        <v>3982</v>
      </c>
      <c r="B3967" t="s">
        <v>34</v>
      </c>
      <c r="C3967" t="s">
        <v>14</v>
      </c>
      <c r="D3967">
        <v>53</v>
      </c>
      <c r="E3967" s="1">
        <v>41008</v>
      </c>
      <c r="F3967">
        <v>2012</v>
      </c>
      <c r="G3967" t="s">
        <v>5040</v>
      </c>
      <c r="H3967">
        <v>9</v>
      </c>
      <c r="I3967">
        <v>3.1</v>
      </c>
      <c r="J3967">
        <v>6</v>
      </c>
      <c r="K3967">
        <v>6949.43</v>
      </c>
      <c r="L3967">
        <v>13.6</v>
      </c>
    </row>
    <row r="3968" spans="1:12" x14ac:dyDescent="0.3">
      <c r="A3968" t="s">
        <v>3983</v>
      </c>
      <c r="B3968" t="s">
        <v>10</v>
      </c>
      <c r="C3968" t="s">
        <v>14</v>
      </c>
      <c r="D3968">
        <v>43</v>
      </c>
      <c r="E3968" s="1">
        <v>43829</v>
      </c>
      <c r="F3968">
        <v>2019</v>
      </c>
      <c r="G3968" t="s">
        <v>5041</v>
      </c>
      <c r="H3968">
        <v>30</v>
      </c>
      <c r="I3968">
        <v>4.3099999999999996</v>
      </c>
      <c r="J3968">
        <v>11</v>
      </c>
      <c r="K3968">
        <v>7958.18</v>
      </c>
      <c r="L3968">
        <v>5.8</v>
      </c>
    </row>
    <row r="3969" spans="1:12" x14ac:dyDescent="0.3">
      <c r="A3969" t="s">
        <v>3984</v>
      </c>
      <c r="B3969" t="s">
        <v>18</v>
      </c>
      <c r="C3969" t="s">
        <v>14</v>
      </c>
      <c r="D3969">
        <v>58</v>
      </c>
      <c r="E3969" s="1">
        <v>42291</v>
      </c>
      <c r="F3969">
        <v>2015</v>
      </c>
      <c r="G3969" t="s">
        <v>5039</v>
      </c>
      <c r="H3969">
        <v>14</v>
      </c>
      <c r="I3969">
        <v>4.8099999999999996</v>
      </c>
      <c r="J3969">
        <v>8</v>
      </c>
      <c r="K3969">
        <v>13160.63</v>
      </c>
      <c r="L3969">
        <v>10.1</v>
      </c>
    </row>
    <row r="3970" spans="1:12" x14ac:dyDescent="0.3">
      <c r="A3970" t="s">
        <v>3985</v>
      </c>
      <c r="B3970" t="s">
        <v>10</v>
      </c>
      <c r="C3970" t="s">
        <v>14</v>
      </c>
      <c r="D3970">
        <v>40</v>
      </c>
      <c r="E3970" s="1">
        <v>44228</v>
      </c>
      <c r="F3970">
        <v>2021</v>
      </c>
      <c r="G3970" t="s">
        <v>5042</v>
      </c>
      <c r="H3970">
        <v>1</v>
      </c>
      <c r="I3970">
        <v>3.58</v>
      </c>
      <c r="J3970">
        <v>6</v>
      </c>
      <c r="K3970">
        <v>12950.13</v>
      </c>
      <c r="L3970">
        <v>4.8</v>
      </c>
    </row>
    <row r="3971" spans="1:12" x14ac:dyDescent="0.3">
      <c r="A3971" t="s">
        <v>3986</v>
      </c>
      <c r="B3971" t="s">
        <v>13</v>
      </c>
      <c r="C3971" t="s">
        <v>14</v>
      </c>
      <c r="D3971">
        <v>29</v>
      </c>
      <c r="E3971" s="1">
        <v>42419</v>
      </c>
      <c r="F3971">
        <v>2016</v>
      </c>
      <c r="G3971" t="s">
        <v>5042</v>
      </c>
      <c r="H3971">
        <v>19</v>
      </c>
      <c r="I3971">
        <v>3.48</v>
      </c>
      <c r="J3971">
        <v>12</v>
      </c>
      <c r="K3971">
        <v>13898.67</v>
      </c>
      <c r="L3971">
        <v>9.6999999999999993</v>
      </c>
    </row>
    <row r="3972" spans="1:12" x14ac:dyDescent="0.3">
      <c r="A3972" t="s">
        <v>3987</v>
      </c>
      <c r="B3972" t="s">
        <v>34</v>
      </c>
      <c r="C3972" t="s">
        <v>14</v>
      </c>
      <c r="D3972">
        <v>27</v>
      </c>
      <c r="E3972" s="1">
        <v>41256</v>
      </c>
      <c r="F3972">
        <v>2012</v>
      </c>
      <c r="G3972" t="s">
        <v>5041</v>
      </c>
      <c r="H3972">
        <v>13</v>
      </c>
      <c r="I3972">
        <v>3.79</v>
      </c>
      <c r="J3972">
        <v>1</v>
      </c>
      <c r="K3972">
        <v>5410.18</v>
      </c>
      <c r="L3972">
        <v>12.9</v>
      </c>
    </row>
    <row r="3973" spans="1:12" x14ac:dyDescent="0.3">
      <c r="A3973" t="s">
        <v>3988</v>
      </c>
      <c r="B3973" t="s">
        <v>24</v>
      </c>
      <c r="C3973" t="s">
        <v>11</v>
      </c>
      <c r="D3973">
        <v>40</v>
      </c>
      <c r="E3973" s="1">
        <v>44799</v>
      </c>
      <c r="F3973">
        <v>2022</v>
      </c>
      <c r="G3973" t="s">
        <v>5031</v>
      </c>
      <c r="H3973">
        <v>26</v>
      </c>
      <c r="I3973">
        <v>4.3899999999999997</v>
      </c>
      <c r="J3973">
        <v>4</v>
      </c>
      <c r="K3973">
        <v>7320.91</v>
      </c>
      <c r="L3973">
        <v>3.2</v>
      </c>
    </row>
    <row r="3974" spans="1:12" x14ac:dyDescent="0.3">
      <c r="A3974" t="s">
        <v>3989</v>
      </c>
      <c r="B3974" t="s">
        <v>16</v>
      </c>
      <c r="C3974" t="s">
        <v>14</v>
      </c>
      <c r="D3974">
        <v>48</v>
      </c>
      <c r="E3974" s="1">
        <v>42459</v>
      </c>
      <c r="F3974">
        <v>2016</v>
      </c>
      <c r="G3974" t="s">
        <v>5035</v>
      </c>
      <c r="H3974">
        <v>30</v>
      </c>
      <c r="I3974">
        <v>3.59</v>
      </c>
      <c r="J3974">
        <v>11</v>
      </c>
      <c r="K3974">
        <v>5147.1099999999997</v>
      </c>
      <c r="L3974">
        <v>9.6</v>
      </c>
    </row>
    <row r="3975" spans="1:12" x14ac:dyDescent="0.3">
      <c r="A3975" t="s">
        <v>3990</v>
      </c>
      <c r="B3975" t="s">
        <v>13</v>
      </c>
      <c r="C3975" t="s">
        <v>11</v>
      </c>
      <c r="D3975">
        <v>24</v>
      </c>
      <c r="E3975" s="1">
        <v>41347</v>
      </c>
      <c r="F3975">
        <v>2013</v>
      </c>
      <c r="G3975" t="s">
        <v>5035</v>
      </c>
      <c r="H3975">
        <v>14</v>
      </c>
      <c r="I3975">
        <v>4.08</v>
      </c>
      <c r="J3975">
        <v>5</v>
      </c>
      <c r="K3975">
        <v>14547.31</v>
      </c>
      <c r="L3975">
        <v>12.6</v>
      </c>
    </row>
    <row r="3976" spans="1:12" x14ac:dyDescent="0.3">
      <c r="A3976" t="s">
        <v>3991</v>
      </c>
      <c r="B3976" t="s">
        <v>10</v>
      </c>
      <c r="C3976" t="s">
        <v>14</v>
      </c>
      <c r="D3976">
        <v>55</v>
      </c>
      <c r="E3976" s="1">
        <v>44601</v>
      </c>
      <c r="F3976">
        <v>2022</v>
      </c>
      <c r="G3976" t="s">
        <v>5042</v>
      </c>
      <c r="H3976">
        <v>9</v>
      </c>
      <c r="I3976">
        <v>3.98</v>
      </c>
      <c r="J3976">
        <v>7</v>
      </c>
      <c r="K3976">
        <v>9651.7999999999993</v>
      </c>
      <c r="L3976">
        <v>3.7</v>
      </c>
    </row>
    <row r="3977" spans="1:12" x14ac:dyDescent="0.3">
      <c r="A3977" t="s">
        <v>3992</v>
      </c>
      <c r="B3977" t="s">
        <v>24</v>
      </c>
      <c r="C3977" t="s">
        <v>14</v>
      </c>
      <c r="D3977">
        <v>25</v>
      </c>
      <c r="E3977" s="1">
        <v>45397</v>
      </c>
      <c r="F3977">
        <v>2024</v>
      </c>
      <c r="G3977" t="s">
        <v>5040</v>
      </c>
      <c r="H3977">
        <v>15</v>
      </c>
      <c r="I3977">
        <v>4.49</v>
      </c>
      <c r="J3977">
        <v>2</v>
      </c>
      <c r="K3977">
        <v>6163.07</v>
      </c>
      <c r="L3977">
        <v>1.5</v>
      </c>
    </row>
    <row r="3978" spans="1:12" x14ac:dyDescent="0.3">
      <c r="A3978" t="s">
        <v>3993</v>
      </c>
      <c r="B3978" t="s">
        <v>10</v>
      </c>
      <c r="C3978" t="s">
        <v>14</v>
      </c>
      <c r="D3978">
        <v>51</v>
      </c>
      <c r="E3978" s="1">
        <v>40543</v>
      </c>
      <c r="F3978">
        <v>2010</v>
      </c>
      <c r="G3978" t="s">
        <v>5041</v>
      </c>
      <c r="H3978">
        <v>31</v>
      </c>
      <c r="I3978">
        <v>4.2699999999999996</v>
      </c>
      <c r="J3978">
        <v>4</v>
      </c>
      <c r="K3978">
        <v>14632.68</v>
      </c>
      <c r="L3978">
        <v>14.8</v>
      </c>
    </row>
    <row r="3979" spans="1:12" x14ac:dyDescent="0.3">
      <c r="A3979" t="s">
        <v>3994</v>
      </c>
      <c r="B3979" t="s">
        <v>18</v>
      </c>
      <c r="C3979" t="s">
        <v>14</v>
      </c>
      <c r="D3979">
        <v>44</v>
      </c>
      <c r="E3979" s="1">
        <v>42533</v>
      </c>
      <c r="F3979">
        <v>2016</v>
      </c>
      <c r="G3979" t="s">
        <v>5032</v>
      </c>
      <c r="H3979">
        <v>12</v>
      </c>
      <c r="I3979">
        <v>4.0199999999999996</v>
      </c>
      <c r="J3979">
        <v>3</v>
      </c>
      <c r="K3979">
        <v>7728.99</v>
      </c>
      <c r="L3979">
        <v>9.4</v>
      </c>
    </row>
    <row r="3980" spans="1:12" x14ac:dyDescent="0.3">
      <c r="A3980" t="s">
        <v>3995</v>
      </c>
      <c r="B3980" t="s">
        <v>16</v>
      </c>
      <c r="C3980" t="s">
        <v>11</v>
      </c>
      <c r="D3980">
        <v>32</v>
      </c>
      <c r="E3980" s="1">
        <v>45828</v>
      </c>
      <c r="F3980">
        <v>2025</v>
      </c>
      <c r="G3980" t="s">
        <v>5032</v>
      </c>
      <c r="H3980">
        <v>20</v>
      </c>
      <c r="I3980">
        <v>4.54</v>
      </c>
      <c r="J3980">
        <v>4</v>
      </c>
      <c r="K3980">
        <v>12661.79</v>
      </c>
      <c r="L3980">
        <v>0.4</v>
      </c>
    </row>
    <row r="3981" spans="1:12" x14ac:dyDescent="0.3">
      <c r="A3981" t="s">
        <v>3996</v>
      </c>
      <c r="B3981" t="s">
        <v>16</v>
      </c>
      <c r="C3981" t="s">
        <v>14</v>
      </c>
      <c r="D3981">
        <v>26</v>
      </c>
      <c r="E3981" s="1">
        <v>43230</v>
      </c>
      <c r="F3981">
        <v>2018</v>
      </c>
      <c r="G3981" t="s">
        <v>5036</v>
      </c>
      <c r="H3981">
        <v>10</v>
      </c>
      <c r="I3981">
        <v>4.5199999999999996</v>
      </c>
      <c r="J3981">
        <v>10</v>
      </c>
      <c r="K3981">
        <v>5635.14</v>
      </c>
      <c r="L3981">
        <v>7.5</v>
      </c>
    </row>
    <row r="3982" spans="1:12" x14ac:dyDescent="0.3">
      <c r="A3982" t="s">
        <v>3997</v>
      </c>
      <c r="B3982" t="s">
        <v>18</v>
      </c>
      <c r="C3982" t="s">
        <v>14</v>
      </c>
      <c r="D3982">
        <v>53</v>
      </c>
      <c r="E3982" s="1">
        <v>43696</v>
      </c>
      <c r="F3982">
        <v>2019</v>
      </c>
      <c r="G3982" t="s">
        <v>5031</v>
      </c>
      <c r="H3982">
        <v>19</v>
      </c>
      <c r="I3982">
        <v>3.85</v>
      </c>
      <c r="J3982">
        <v>10</v>
      </c>
      <c r="K3982">
        <v>12543.73</v>
      </c>
      <c r="L3982">
        <v>6.2</v>
      </c>
    </row>
    <row r="3983" spans="1:12" x14ac:dyDescent="0.3">
      <c r="A3983" t="s">
        <v>3998</v>
      </c>
      <c r="B3983" t="s">
        <v>16</v>
      </c>
      <c r="C3983" t="s">
        <v>11</v>
      </c>
      <c r="D3983">
        <v>52</v>
      </c>
      <c r="E3983" s="1">
        <v>44589</v>
      </c>
      <c r="F3983">
        <v>2022</v>
      </c>
      <c r="G3983" t="s">
        <v>5037</v>
      </c>
      <c r="H3983">
        <v>28</v>
      </c>
      <c r="I3983">
        <v>3.67</v>
      </c>
      <c r="J3983">
        <v>12</v>
      </c>
      <c r="K3983">
        <v>5380.11</v>
      </c>
      <c r="L3983">
        <v>3.8</v>
      </c>
    </row>
    <row r="3984" spans="1:12" x14ac:dyDescent="0.3">
      <c r="A3984" t="s">
        <v>3999</v>
      </c>
      <c r="B3984" t="s">
        <v>34</v>
      </c>
      <c r="C3984" t="s">
        <v>14</v>
      </c>
      <c r="D3984">
        <v>49</v>
      </c>
      <c r="E3984" s="1">
        <v>41987</v>
      </c>
      <c r="F3984">
        <v>2014</v>
      </c>
      <c r="G3984" t="s">
        <v>5041</v>
      </c>
      <c r="H3984">
        <v>14</v>
      </c>
      <c r="I3984">
        <v>3.32</v>
      </c>
      <c r="J3984">
        <v>2</v>
      </c>
      <c r="K3984">
        <v>8002.42</v>
      </c>
      <c r="L3984">
        <v>10.9</v>
      </c>
    </row>
    <row r="3985" spans="1:12" x14ac:dyDescent="0.3">
      <c r="A3985" t="s">
        <v>4000</v>
      </c>
      <c r="B3985" t="s">
        <v>16</v>
      </c>
      <c r="C3985" t="s">
        <v>14</v>
      </c>
      <c r="D3985">
        <v>33</v>
      </c>
      <c r="E3985" s="1">
        <v>43646</v>
      </c>
      <c r="F3985">
        <v>2019</v>
      </c>
      <c r="G3985" t="s">
        <v>5032</v>
      </c>
      <c r="H3985">
        <v>30</v>
      </c>
      <c r="I3985">
        <v>2.98</v>
      </c>
      <c r="J3985">
        <v>3</v>
      </c>
      <c r="K3985">
        <v>6084.69</v>
      </c>
      <c r="L3985">
        <v>6.3</v>
      </c>
    </row>
    <row r="3986" spans="1:12" x14ac:dyDescent="0.3">
      <c r="A3986" t="s">
        <v>4001</v>
      </c>
      <c r="B3986" t="s">
        <v>13</v>
      </c>
      <c r="C3986" t="s">
        <v>11</v>
      </c>
      <c r="D3986">
        <v>33</v>
      </c>
      <c r="E3986" s="1">
        <v>41685</v>
      </c>
      <c r="F3986">
        <v>2014</v>
      </c>
      <c r="G3986" t="s">
        <v>5042</v>
      </c>
      <c r="H3986">
        <v>15</v>
      </c>
      <c r="I3986">
        <v>3.19</v>
      </c>
      <c r="J3986">
        <v>5</v>
      </c>
      <c r="K3986">
        <v>6795.53</v>
      </c>
      <c r="L3986">
        <v>11.7</v>
      </c>
    </row>
    <row r="3987" spans="1:12" x14ac:dyDescent="0.3">
      <c r="A3987" t="s">
        <v>4002</v>
      </c>
      <c r="B3987" t="s">
        <v>10</v>
      </c>
      <c r="C3987" t="s">
        <v>14</v>
      </c>
      <c r="D3987">
        <v>32</v>
      </c>
      <c r="E3987" s="1">
        <v>43640</v>
      </c>
      <c r="F3987">
        <v>2019</v>
      </c>
      <c r="G3987" t="s">
        <v>5032</v>
      </c>
      <c r="H3987">
        <v>24</v>
      </c>
      <c r="I3987">
        <v>4.7699999999999996</v>
      </c>
      <c r="J3987">
        <v>6</v>
      </c>
      <c r="K3987">
        <v>10026.870000000001</v>
      </c>
      <c r="L3987">
        <v>6.4</v>
      </c>
    </row>
    <row r="3988" spans="1:12" x14ac:dyDescent="0.3">
      <c r="A3988" t="s">
        <v>4003</v>
      </c>
      <c r="B3988" t="s">
        <v>24</v>
      </c>
      <c r="C3988" t="s">
        <v>14</v>
      </c>
      <c r="D3988">
        <v>54</v>
      </c>
      <c r="E3988" s="1">
        <v>45619</v>
      </c>
      <c r="F3988">
        <v>2024</v>
      </c>
      <c r="G3988" t="s">
        <v>5038</v>
      </c>
      <c r="H3988">
        <v>23</v>
      </c>
      <c r="I3988">
        <v>2.39</v>
      </c>
      <c r="J3988">
        <v>5</v>
      </c>
      <c r="K3988">
        <v>3160.47</v>
      </c>
      <c r="L3988">
        <v>0.9</v>
      </c>
    </row>
    <row r="3989" spans="1:12" x14ac:dyDescent="0.3">
      <c r="A3989" t="s">
        <v>4004</v>
      </c>
      <c r="B3989" t="s">
        <v>13</v>
      </c>
      <c r="C3989" t="s">
        <v>11</v>
      </c>
      <c r="D3989">
        <v>33</v>
      </c>
      <c r="E3989" s="1">
        <v>40344</v>
      </c>
      <c r="F3989">
        <v>2010</v>
      </c>
      <c r="G3989" t="s">
        <v>5032</v>
      </c>
      <c r="H3989">
        <v>15</v>
      </c>
      <c r="I3989">
        <v>4.2</v>
      </c>
      <c r="J3989">
        <v>2</v>
      </c>
      <c r="K3989">
        <v>11179.88</v>
      </c>
      <c r="L3989">
        <v>15.4</v>
      </c>
    </row>
    <row r="3990" spans="1:12" x14ac:dyDescent="0.3">
      <c r="A3990" t="s">
        <v>4005</v>
      </c>
      <c r="B3990" t="s">
        <v>24</v>
      </c>
      <c r="C3990" t="s">
        <v>11</v>
      </c>
      <c r="D3990">
        <v>37</v>
      </c>
      <c r="E3990" s="1">
        <v>41136</v>
      </c>
      <c r="F3990">
        <v>2012</v>
      </c>
      <c r="G3990" t="s">
        <v>5031</v>
      </c>
      <c r="H3990">
        <v>15</v>
      </c>
      <c r="I3990">
        <v>4.78</v>
      </c>
      <c r="J3990">
        <v>2</v>
      </c>
      <c r="K3990">
        <v>9724.27</v>
      </c>
      <c r="L3990">
        <v>13.2</v>
      </c>
    </row>
    <row r="3991" spans="1:12" x14ac:dyDescent="0.3">
      <c r="A3991" t="s">
        <v>4006</v>
      </c>
      <c r="B3991" t="s">
        <v>16</v>
      </c>
      <c r="C3991" t="s">
        <v>11</v>
      </c>
      <c r="D3991">
        <v>52</v>
      </c>
      <c r="E3991" s="1">
        <v>42393</v>
      </c>
      <c r="F3991">
        <v>2016</v>
      </c>
      <c r="G3991" t="s">
        <v>5037</v>
      </c>
      <c r="H3991">
        <v>24</v>
      </c>
      <c r="I3991">
        <v>1.95</v>
      </c>
      <c r="J3991">
        <v>9</v>
      </c>
      <c r="K3991">
        <v>3281.97</v>
      </c>
      <c r="L3991">
        <v>9.8000000000000007</v>
      </c>
    </row>
    <row r="3992" spans="1:12" x14ac:dyDescent="0.3">
      <c r="A3992" t="s">
        <v>4007</v>
      </c>
      <c r="B3992" t="s">
        <v>24</v>
      </c>
      <c r="C3992" t="s">
        <v>11</v>
      </c>
      <c r="D3992">
        <v>48</v>
      </c>
      <c r="E3992" s="1">
        <v>42675</v>
      </c>
      <c r="F3992">
        <v>2016</v>
      </c>
      <c r="G3992" t="s">
        <v>5038</v>
      </c>
      <c r="H3992">
        <v>1</v>
      </c>
      <c r="I3992">
        <v>3.94</v>
      </c>
      <c r="J3992">
        <v>11</v>
      </c>
      <c r="K3992">
        <v>6199.19</v>
      </c>
      <c r="L3992">
        <v>9</v>
      </c>
    </row>
    <row r="3993" spans="1:12" x14ac:dyDescent="0.3">
      <c r="A3993" t="s">
        <v>4008</v>
      </c>
      <c r="B3993" t="s">
        <v>16</v>
      </c>
      <c r="C3993" t="s">
        <v>11</v>
      </c>
      <c r="D3993">
        <v>36</v>
      </c>
      <c r="E3993" s="1">
        <v>44741</v>
      </c>
      <c r="F3993">
        <v>2022</v>
      </c>
      <c r="G3993" t="s">
        <v>5032</v>
      </c>
      <c r="H3993">
        <v>29</v>
      </c>
      <c r="I3993">
        <v>1.59</v>
      </c>
      <c r="J3993">
        <v>13</v>
      </c>
      <c r="K3993">
        <v>3024.17</v>
      </c>
      <c r="L3993">
        <v>3.3</v>
      </c>
    </row>
    <row r="3994" spans="1:12" x14ac:dyDescent="0.3">
      <c r="A3994" t="s">
        <v>4009</v>
      </c>
      <c r="B3994" t="s">
        <v>10</v>
      </c>
      <c r="C3994" t="s">
        <v>14</v>
      </c>
      <c r="D3994">
        <v>56</v>
      </c>
      <c r="E3994" s="1">
        <v>40382</v>
      </c>
      <c r="F3994">
        <v>2010</v>
      </c>
      <c r="G3994" t="s">
        <v>5034</v>
      </c>
      <c r="H3994">
        <v>23</v>
      </c>
      <c r="I3994">
        <v>2.1</v>
      </c>
      <c r="J3994">
        <v>3</v>
      </c>
      <c r="K3994">
        <v>8894.92</v>
      </c>
      <c r="L3994">
        <v>15.3</v>
      </c>
    </row>
    <row r="3995" spans="1:12" x14ac:dyDescent="0.3">
      <c r="A3995" t="s">
        <v>4010</v>
      </c>
      <c r="B3995" t="s">
        <v>13</v>
      </c>
      <c r="C3995" t="s">
        <v>11</v>
      </c>
      <c r="D3995">
        <v>25</v>
      </c>
      <c r="E3995" s="1">
        <v>45378</v>
      </c>
      <c r="F3995">
        <v>2024</v>
      </c>
      <c r="G3995" t="s">
        <v>5035</v>
      </c>
      <c r="H3995">
        <v>27</v>
      </c>
      <c r="I3995">
        <v>4.1100000000000003</v>
      </c>
      <c r="J3995">
        <v>10</v>
      </c>
      <c r="K3995">
        <v>11735.16</v>
      </c>
      <c r="L3995">
        <v>1.6</v>
      </c>
    </row>
    <row r="3996" spans="1:12" x14ac:dyDescent="0.3">
      <c r="A3996" t="s">
        <v>4011</v>
      </c>
      <c r="B3996" t="s">
        <v>13</v>
      </c>
      <c r="C3996" t="s">
        <v>14</v>
      </c>
      <c r="D3996">
        <v>31</v>
      </c>
      <c r="E3996" s="1">
        <v>41085</v>
      </c>
      <c r="F3996">
        <v>2012</v>
      </c>
      <c r="G3996" t="s">
        <v>5032</v>
      </c>
      <c r="H3996">
        <v>25</v>
      </c>
      <c r="I3996">
        <v>4.76</v>
      </c>
      <c r="J3996">
        <v>13</v>
      </c>
      <c r="K3996">
        <v>9246.36</v>
      </c>
      <c r="L3996">
        <v>13.4</v>
      </c>
    </row>
    <row r="3997" spans="1:12" x14ac:dyDescent="0.3">
      <c r="A3997" t="s">
        <v>4012</v>
      </c>
      <c r="B3997" t="s">
        <v>13</v>
      </c>
      <c r="C3997" t="s">
        <v>14</v>
      </c>
      <c r="D3997">
        <v>44</v>
      </c>
      <c r="E3997" s="1">
        <v>42063</v>
      </c>
      <c r="F3997">
        <v>2015</v>
      </c>
      <c r="G3997" t="s">
        <v>5042</v>
      </c>
      <c r="H3997">
        <v>28</v>
      </c>
      <c r="I3997">
        <v>2.59</v>
      </c>
      <c r="J3997">
        <v>10</v>
      </c>
      <c r="K3997">
        <v>3633.46</v>
      </c>
      <c r="L3997">
        <v>10.7</v>
      </c>
    </row>
    <row r="3998" spans="1:12" x14ac:dyDescent="0.3">
      <c r="A3998" t="s">
        <v>4013</v>
      </c>
      <c r="B3998" t="s">
        <v>34</v>
      </c>
      <c r="C3998" t="s">
        <v>14</v>
      </c>
      <c r="D3998">
        <v>29</v>
      </c>
      <c r="E3998" s="1">
        <v>45357</v>
      </c>
      <c r="F3998">
        <v>2024</v>
      </c>
      <c r="G3998" t="s">
        <v>5035</v>
      </c>
      <c r="H3998">
        <v>6</v>
      </c>
      <c r="I3998">
        <v>3.52</v>
      </c>
      <c r="J3998">
        <v>12</v>
      </c>
      <c r="K3998">
        <v>4415.41</v>
      </c>
      <c r="L3998">
        <v>1.7</v>
      </c>
    </row>
    <row r="3999" spans="1:12" x14ac:dyDescent="0.3">
      <c r="A3999" t="s">
        <v>4014</v>
      </c>
      <c r="B3999" t="s">
        <v>10</v>
      </c>
      <c r="C3999" t="s">
        <v>14</v>
      </c>
      <c r="D3999">
        <v>53</v>
      </c>
      <c r="E3999" s="1">
        <v>43391</v>
      </c>
      <c r="F3999">
        <v>2018</v>
      </c>
      <c r="G3999" t="s">
        <v>5039</v>
      </c>
      <c r="H3999">
        <v>18</v>
      </c>
      <c r="I3999">
        <v>1.76</v>
      </c>
      <c r="J3999">
        <v>15</v>
      </c>
      <c r="K3999">
        <v>6098.42</v>
      </c>
      <c r="L3999">
        <v>7</v>
      </c>
    </row>
    <row r="4000" spans="1:12" x14ac:dyDescent="0.3">
      <c r="A4000" t="s">
        <v>4015</v>
      </c>
      <c r="B4000" t="s">
        <v>18</v>
      </c>
      <c r="C4000" t="s">
        <v>11</v>
      </c>
      <c r="D4000">
        <v>51</v>
      </c>
      <c r="E4000" s="1">
        <v>42802</v>
      </c>
      <c r="F4000">
        <v>2017</v>
      </c>
      <c r="G4000" t="s">
        <v>5035</v>
      </c>
      <c r="H4000">
        <v>8</v>
      </c>
      <c r="I4000">
        <v>4.2</v>
      </c>
      <c r="J4000">
        <v>8</v>
      </c>
      <c r="K4000">
        <v>5781.76</v>
      </c>
      <c r="L4000">
        <v>8.6999999999999993</v>
      </c>
    </row>
    <row r="4001" spans="1:12" x14ac:dyDescent="0.3">
      <c r="A4001" t="s">
        <v>4016</v>
      </c>
      <c r="B4001" t="s">
        <v>10</v>
      </c>
      <c r="C4001" t="s">
        <v>14</v>
      </c>
      <c r="D4001">
        <v>25</v>
      </c>
      <c r="E4001" s="1">
        <v>44962</v>
      </c>
      <c r="F4001">
        <v>2023</v>
      </c>
      <c r="G4001" t="s">
        <v>5042</v>
      </c>
      <c r="H4001">
        <v>5</v>
      </c>
      <c r="I4001">
        <v>1.53</v>
      </c>
      <c r="J4001">
        <v>4</v>
      </c>
      <c r="K4001">
        <v>7617.97</v>
      </c>
      <c r="L4001">
        <v>2.7</v>
      </c>
    </row>
    <row r="4002" spans="1:12" x14ac:dyDescent="0.3">
      <c r="A4002" t="s">
        <v>4017</v>
      </c>
      <c r="B4002" t="s">
        <v>13</v>
      </c>
      <c r="C4002" t="s">
        <v>11</v>
      </c>
      <c r="D4002">
        <v>48</v>
      </c>
      <c r="E4002" s="1">
        <v>40541</v>
      </c>
      <c r="F4002">
        <v>2010</v>
      </c>
      <c r="G4002" t="s">
        <v>5041</v>
      </c>
      <c r="H4002">
        <v>29</v>
      </c>
      <c r="I4002">
        <v>2.65</v>
      </c>
      <c r="J4002">
        <v>1</v>
      </c>
      <c r="K4002">
        <v>11474.89</v>
      </c>
      <c r="L4002">
        <v>14.9</v>
      </c>
    </row>
    <row r="4003" spans="1:12" x14ac:dyDescent="0.3">
      <c r="A4003" t="s">
        <v>4018</v>
      </c>
      <c r="B4003" t="s">
        <v>24</v>
      </c>
      <c r="C4003" t="s">
        <v>11</v>
      </c>
      <c r="D4003">
        <v>36</v>
      </c>
      <c r="E4003" s="1">
        <v>43345</v>
      </c>
      <c r="F4003">
        <v>2018</v>
      </c>
      <c r="G4003" t="s">
        <v>5033</v>
      </c>
      <c r="H4003">
        <v>2</v>
      </c>
      <c r="I4003">
        <v>4.8499999999999996</v>
      </c>
      <c r="J4003">
        <v>11</v>
      </c>
      <c r="K4003">
        <v>13225.82</v>
      </c>
      <c r="L4003">
        <v>7.2</v>
      </c>
    </row>
    <row r="4004" spans="1:12" x14ac:dyDescent="0.3">
      <c r="A4004" t="s">
        <v>4019</v>
      </c>
      <c r="B4004" t="s">
        <v>10</v>
      </c>
      <c r="C4004" t="s">
        <v>14</v>
      </c>
      <c r="D4004">
        <v>25</v>
      </c>
      <c r="E4004" s="1">
        <v>45691</v>
      </c>
      <c r="F4004">
        <v>2025</v>
      </c>
      <c r="G4004" t="s">
        <v>5042</v>
      </c>
      <c r="H4004">
        <v>3</v>
      </c>
      <c r="I4004">
        <v>2.2799999999999998</v>
      </c>
      <c r="J4004">
        <v>13</v>
      </c>
      <c r="K4004">
        <v>4058.29</v>
      </c>
      <c r="L4004">
        <v>0.7</v>
      </c>
    </row>
    <row r="4005" spans="1:12" x14ac:dyDescent="0.3">
      <c r="A4005" t="s">
        <v>4020</v>
      </c>
      <c r="B4005" t="s">
        <v>24</v>
      </c>
      <c r="C4005" t="s">
        <v>11</v>
      </c>
      <c r="D4005">
        <v>27</v>
      </c>
      <c r="E4005" s="1">
        <v>43677</v>
      </c>
      <c r="F4005">
        <v>2019</v>
      </c>
      <c r="G4005" t="s">
        <v>5034</v>
      </c>
      <c r="H4005">
        <v>31</v>
      </c>
      <c r="I4005">
        <v>4.25</v>
      </c>
      <c r="J4005">
        <v>13</v>
      </c>
      <c r="K4005">
        <v>6973</v>
      </c>
      <c r="L4005">
        <v>6.3</v>
      </c>
    </row>
    <row r="4006" spans="1:12" x14ac:dyDescent="0.3">
      <c r="A4006" t="s">
        <v>4021</v>
      </c>
      <c r="B4006" t="s">
        <v>13</v>
      </c>
      <c r="C4006" t="s">
        <v>14</v>
      </c>
      <c r="D4006">
        <v>35</v>
      </c>
      <c r="E4006" s="1">
        <v>45282</v>
      </c>
      <c r="F4006">
        <v>2023</v>
      </c>
      <c r="G4006" t="s">
        <v>5041</v>
      </c>
      <c r="H4006">
        <v>22</v>
      </c>
      <c r="I4006">
        <v>2.5299999999999998</v>
      </c>
      <c r="J4006">
        <v>0</v>
      </c>
      <c r="K4006">
        <v>5008.82</v>
      </c>
      <c r="L4006">
        <v>1.9</v>
      </c>
    </row>
    <row r="4007" spans="1:12" x14ac:dyDescent="0.3">
      <c r="A4007" t="s">
        <v>4022</v>
      </c>
      <c r="B4007" t="s">
        <v>10</v>
      </c>
      <c r="C4007" t="s">
        <v>11</v>
      </c>
      <c r="D4007">
        <v>50</v>
      </c>
      <c r="E4007" s="1">
        <v>43227</v>
      </c>
      <c r="F4007">
        <v>2018</v>
      </c>
      <c r="G4007" t="s">
        <v>5036</v>
      </c>
      <c r="H4007">
        <v>7</v>
      </c>
      <c r="I4007">
        <v>3.19</v>
      </c>
      <c r="J4007">
        <v>2</v>
      </c>
      <c r="K4007">
        <v>13933.79</v>
      </c>
      <c r="L4007">
        <v>7.5</v>
      </c>
    </row>
    <row r="4008" spans="1:12" x14ac:dyDescent="0.3">
      <c r="A4008" t="s">
        <v>4023</v>
      </c>
      <c r="B4008" t="s">
        <v>13</v>
      </c>
      <c r="C4008" t="s">
        <v>11</v>
      </c>
      <c r="D4008">
        <v>38</v>
      </c>
      <c r="E4008" s="1">
        <v>40425</v>
      </c>
      <c r="F4008">
        <v>2010</v>
      </c>
      <c r="G4008" t="s">
        <v>5033</v>
      </c>
      <c r="H4008">
        <v>4</v>
      </c>
      <c r="I4008">
        <v>2.1</v>
      </c>
      <c r="J4008">
        <v>6</v>
      </c>
      <c r="K4008">
        <v>6710.65</v>
      </c>
      <c r="L4008">
        <v>15.2</v>
      </c>
    </row>
    <row r="4009" spans="1:12" x14ac:dyDescent="0.3">
      <c r="A4009" t="s">
        <v>4024</v>
      </c>
      <c r="B4009" t="s">
        <v>10</v>
      </c>
      <c r="C4009" t="s">
        <v>11</v>
      </c>
      <c r="D4009">
        <v>40</v>
      </c>
      <c r="E4009" s="1">
        <v>43221</v>
      </c>
      <c r="F4009">
        <v>2018</v>
      </c>
      <c r="G4009" t="s">
        <v>5036</v>
      </c>
      <c r="H4009">
        <v>1</v>
      </c>
      <c r="I4009">
        <v>4.8099999999999996</v>
      </c>
      <c r="J4009">
        <v>10</v>
      </c>
      <c r="K4009">
        <v>4621.34</v>
      </c>
      <c r="L4009">
        <v>7.5</v>
      </c>
    </row>
    <row r="4010" spans="1:12" x14ac:dyDescent="0.3">
      <c r="A4010" t="s">
        <v>4025</v>
      </c>
      <c r="B4010" t="s">
        <v>24</v>
      </c>
      <c r="C4010" t="s">
        <v>14</v>
      </c>
      <c r="D4010">
        <v>59</v>
      </c>
      <c r="E4010" s="1">
        <v>44839</v>
      </c>
      <c r="F4010">
        <v>2022</v>
      </c>
      <c r="G4010" t="s">
        <v>5039</v>
      </c>
      <c r="H4010">
        <v>5</v>
      </c>
      <c r="I4010">
        <v>4.46</v>
      </c>
      <c r="J4010">
        <v>15</v>
      </c>
      <c r="K4010">
        <v>5946.73</v>
      </c>
      <c r="L4010">
        <v>3.1</v>
      </c>
    </row>
    <row r="4011" spans="1:12" x14ac:dyDescent="0.3">
      <c r="A4011" t="s">
        <v>4026</v>
      </c>
      <c r="B4011" t="s">
        <v>16</v>
      </c>
      <c r="C4011" t="s">
        <v>14</v>
      </c>
      <c r="D4011">
        <v>30</v>
      </c>
      <c r="E4011" s="1">
        <v>44205</v>
      </c>
      <c r="F4011">
        <v>2021</v>
      </c>
      <c r="G4011" t="s">
        <v>5037</v>
      </c>
      <c r="H4011">
        <v>9</v>
      </c>
      <c r="I4011">
        <v>5</v>
      </c>
      <c r="J4011">
        <v>7</v>
      </c>
      <c r="K4011">
        <v>9431.18</v>
      </c>
      <c r="L4011">
        <v>4.8</v>
      </c>
    </row>
    <row r="4012" spans="1:12" x14ac:dyDescent="0.3">
      <c r="A4012" t="s">
        <v>4027</v>
      </c>
      <c r="B4012" t="s">
        <v>24</v>
      </c>
      <c r="C4012" t="s">
        <v>11</v>
      </c>
      <c r="D4012">
        <v>22</v>
      </c>
      <c r="E4012" s="1">
        <v>42136</v>
      </c>
      <c r="F4012">
        <v>2015</v>
      </c>
      <c r="G4012" t="s">
        <v>5036</v>
      </c>
      <c r="H4012">
        <v>12</v>
      </c>
      <c r="I4012">
        <v>2.04</v>
      </c>
      <c r="J4012">
        <v>7</v>
      </c>
      <c r="K4012">
        <v>12076.16</v>
      </c>
      <c r="L4012">
        <v>10.5</v>
      </c>
    </row>
    <row r="4013" spans="1:12" x14ac:dyDescent="0.3">
      <c r="A4013" t="s">
        <v>4028</v>
      </c>
      <c r="B4013" t="s">
        <v>34</v>
      </c>
      <c r="C4013" t="s">
        <v>11</v>
      </c>
      <c r="D4013">
        <v>57</v>
      </c>
      <c r="E4013" s="1">
        <v>45551</v>
      </c>
      <c r="F4013">
        <v>2024</v>
      </c>
      <c r="G4013" t="s">
        <v>5033</v>
      </c>
      <c r="H4013">
        <v>16</v>
      </c>
      <c r="I4013">
        <v>4.22</v>
      </c>
      <c r="J4013">
        <v>14</v>
      </c>
      <c r="K4013">
        <v>5958.86</v>
      </c>
      <c r="L4013">
        <v>1.1000000000000001</v>
      </c>
    </row>
    <row r="4014" spans="1:12" x14ac:dyDescent="0.3">
      <c r="A4014" t="s">
        <v>4029</v>
      </c>
      <c r="B4014" t="s">
        <v>13</v>
      </c>
      <c r="C4014" t="s">
        <v>11</v>
      </c>
      <c r="D4014">
        <v>60</v>
      </c>
      <c r="E4014" s="1">
        <v>42252</v>
      </c>
      <c r="F4014">
        <v>2015</v>
      </c>
      <c r="G4014" t="s">
        <v>5033</v>
      </c>
      <c r="H4014">
        <v>5</v>
      </c>
      <c r="I4014">
        <v>2.1</v>
      </c>
      <c r="J4014">
        <v>1</v>
      </c>
      <c r="K4014">
        <v>14498.18</v>
      </c>
      <c r="L4014">
        <v>10.199999999999999</v>
      </c>
    </row>
    <row r="4015" spans="1:12" x14ac:dyDescent="0.3">
      <c r="A4015" t="s">
        <v>4030</v>
      </c>
      <c r="B4015" t="s">
        <v>18</v>
      </c>
      <c r="C4015" t="s">
        <v>11</v>
      </c>
      <c r="D4015">
        <v>55</v>
      </c>
      <c r="E4015" s="1">
        <v>43337</v>
      </c>
      <c r="F4015">
        <v>2018</v>
      </c>
      <c r="G4015" t="s">
        <v>5031</v>
      </c>
      <c r="H4015">
        <v>25</v>
      </c>
      <c r="I4015">
        <v>3.24</v>
      </c>
      <c r="J4015">
        <v>8</v>
      </c>
      <c r="K4015">
        <v>10882.1</v>
      </c>
      <c r="L4015">
        <v>7.2</v>
      </c>
    </row>
    <row r="4016" spans="1:12" x14ac:dyDescent="0.3">
      <c r="A4016" t="s">
        <v>4031</v>
      </c>
      <c r="B4016" t="s">
        <v>34</v>
      </c>
      <c r="C4016" t="s">
        <v>14</v>
      </c>
      <c r="D4016">
        <v>27</v>
      </c>
      <c r="E4016" s="1">
        <v>43174</v>
      </c>
      <c r="F4016">
        <v>2018</v>
      </c>
      <c r="G4016" t="s">
        <v>5035</v>
      </c>
      <c r="H4016">
        <v>15</v>
      </c>
      <c r="I4016">
        <v>3.78</v>
      </c>
      <c r="J4016">
        <v>0</v>
      </c>
      <c r="K4016">
        <v>11531.67</v>
      </c>
      <c r="L4016">
        <v>7.6</v>
      </c>
    </row>
    <row r="4017" spans="1:12" x14ac:dyDescent="0.3">
      <c r="A4017" t="s">
        <v>4032</v>
      </c>
      <c r="B4017" t="s">
        <v>24</v>
      </c>
      <c r="C4017" t="s">
        <v>11</v>
      </c>
      <c r="D4017">
        <v>51</v>
      </c>
      <c r="E4017" s="1">
        <v>45151</v>
      </c>
      <c r="F4017">
        <v>2023</v>
      </c>
      <c r="G4017" t="s">
        <v>5031</v>
      </c>
      <c r="H4017">
        <v>13</v>
      </c>
      <c r="I4017">
        <v>4.8</v>
      </c>
      <c r="J4017">
        <v>10</v>
      </c>
      <c r="K4017">
        <v>4657.8999999999996</v>
      </c>
      <c r="L4017">
        <v>2.2000000000000002</v>
      </c>
    </row>
    <row r="4018" spans="1:12" x14ac:dyDescent="0.3">
      <c r="A4018" t="s">
        <v>4033</v>
      </c>
      <c r="B4018" t="s">
        <v>24</v>
      </c>
      <c r="C4018" t="s">
        <v>14</v>
      </c>
      <c r="D4018">
        <v>25</v>
      </c>
      <c r="E4018" s="1">
        <v>43413</v>
      </c>
      <c r="F4018">
        <v>2018</v>
      </c>
      <c r="G4018" t="s">
        <v>5038</v>
      </c>
      <c r="H4018">
        <v>9</v>
      </c>
      <c r="I4018">
        <v>3.98</v>
      </c>
      <c r="J4018">
        <v>15</v>
      </c>
      <c r="K4018">
        <v>4664.99</v>
      </c>
      <c r="L4018">
        <v>7</v>
      </c>
    </row>
    <row r="4019" spans="1:12" x14ac:dyDescent="0.3">
      <c r="A4019" t="s">
        <v>4034</v>
      </c>
      <c r="B4019" t="s">
        <v>18</v>
      </c>
      <c r="C4019" t="s">
        <v>14</v>
      </c>
      <c r="D4019">
        <v>28</v>
      </c>
      <c r="E4019" s="1">
        <v>40662</v>
      </c>
      <c r="F4019">
        <v>2011</v>
      </c>
      <c r="G4019" t="s">
        <v>5040</v>
      </c>
      <c r="H4019">
        <v>29</v>
      </c>
      <c r="I4019">
        <v>3.61</v>
      </c>
      <c r="J4019">
        <v>15</v>
      </c>
      <c r="K4019">
        <v>14959.09</v>
      </c>
      <c r="L4019">
        <v>14.5</v>
      </c>
    </row>
    <row r="4020" spans="1:12" x14ac:dyDescent="0.3">
      <c r="A4020" t="s">
        <v>4035</v>
      </c>
      <c r="B4020" t="s">
        <v>18</v>
      </c>
      <c r="C4020" t="s">
        <v>11</v>
      </c>
      <c r="D4020">
        <v>37</v>
      </c>
      <c r="E4020" s="1">
        <v>45151</v>
      </c>
      <c r="F4020">
        <v>2023</v>
      </c>
      <c r="G4020" t="s">
        <v>5031</v>
      </c>
      <c r="H4020">
        <v>13</v>
      </c>
      <c r="I4020">
        <v>3.47</v>
      </c>
      <c r="J4020">
        <v>12</v>
      </c>
      <c r="K4020">
        <v>10124.89</v>
      </c>
      <c r="L4020">
        <v>2.2000000000000002</v>
      </c>
    </row>
    <row r="4021" spans="1:12" x14ac:dyDescent="0.3">
      <c r="A4021" t="s">
        <v>4036</v>
      </c>
      <c r="B4021" t="s">
        <v>18</v>
      </c>
      <c r="C4021" t="s">
        <v>11</v>
      </c>
      <c r="D4021">
        <v>31</v>
      </c>
      <c r="E4021" s="1">
        <v>41582</v>
      </c>
      <c r="F4021">
        <v>2013</v>
      </c>
      <c r="G4021" t="s">
        <v>5038</v>
      </c>
      <c r="H4021">
        <v>4</v>
      </c>
      <c r="I4021">
        <v>1.97</v>
      </c>
      <c r="J4021">
        <v>9</v>
      </c>
      <c r="K4021">
        <v>6363.43</v>
      </c>
      <c r="L4021">
        <v>12</v>
      </c>
    </row>
    <row r="4022" spans="1:12" x14ac:dyDescent="0.3">
      <c r="A4022" t="s">
        <v>4037</v>
      </c>
      <c r="B4022" t="s">
        <v>16</v>
      </c>
      <c r="C4022" t="s">
        <v>11</v>
      </c>
      <c r="D4022">
        <v>37</v>
      </c>
      <c r="E4022" s="1">
        <v>43371</v>
      </c>
      <c r="F4022">
        <v>2018</v>
      </c>
      <c r="G4022" t="s">
        <v>5033</v>
      </c>
      <c r="H4022">
        <v>28</v>
      </c>
      <c r="I4022">
        <v>2.8</v>
      </c>
      <c r="J4022">
        <v>14</v>
      </c>
      <c r="K4022">
        <v>10604.13</v>
      </c>
      <c r="L4022">
        <v>7.1</v>
      </c>
    </row>
    <row r="4023" spans="1:12" x14ac:dyDescent="0.3">
      <c r="A4023" t="s">
        <v>4038</v>
      </c>
      <c r="B4023" t="s">
        <v>13</v>
      </c>
      <c r="C4023" t="s">
        <v>11</v>
      </c>
      <c r="D4023">
        <v>40</v>
      </c>
      <c r="E4023" s="1">
        <v>42592</v>
      </c>
      <c r="F4023">
        <v>2016</v>
      </c>
      <c r="G4023" t="s">
        <v>5031</v>
      </c>
      <c r="H4023">
        <v>10</v>
      </c>
      <c r="I4023">
        <v>3.32</v>
      </c>
      <c r="J4023">
        <v>10</v>
      </c>
      <c r="K4023">
        <v>8142.39</v>
      </c>
      <c r="L4023">
        <v>9.1999999999999993</v>
      </c>
    </row>
    <row r="4024" spans="1:12" x14ac:dyDescent="0.3">
      <c r="A4024" t="s">
        <v>4039</v>
      </c>
      <c r="B4024" t="s">
        <v>13</v>
      </c>
      <c r="C4024" t="s">
        <v>11</v>
      </c>
      <c r="D4024">
        <v>30</v>
      </c>
      <c r="E4024" s="1">
        <v>44960</v>
      </c>
      <c r="F4024">
        <v>2023</v>
      </c>
      <c r="G4024" t="s">
        <v>5042</v>
      </c>
      <c r="H4024">
        <v>3</v>
      </c>
      <c r="I4024">
        <v>4.54</v>
      </c>
      <c r="J4024">
        <v>9</v>
      </c>
      <c r="K4024">
        <v>6680.46</v>
      </c>
      <c r="L4024">
        <v>2.7</v>
      </c>
    </row>
    <row r="4025" spans="1:12" x14ac:dyDescent="0.3">
      <c r="A4025" t="s">
        <v>4040</v>
      </c>
      <c r="B4025" t="s">
        <v>13</v>
      </c>
      <c r="C4025" t="s">
        <v>11</v>
      </c>
      <c r="D4025">
        <v>51</v>
      </c>
      <c r="E4025" s="1">
        <v>40378</v>
      </c>
      <c r="F4025">
        <v>2010</v>
      </c>
      <c r="G4025" t="s">
        <v>5034</v>
      </c>
      <c r="H4025">
        <v>19</v>
      </c>
      <c r="I4025">
        <v>3.35</v>
      </c>
      <c r="J4025">
        <v>12</v>
      </c>
      <c r="K4025">
        <v>4632.43</v>
      </c>
      <c r="L4025">
        <v>15.3</v>
      </c>
    </row>
    <row r="4026" spans="1:12" x14ac:dyDescent="0.3">
      <c r="A4026" t="s">
        <v>4041</v>
      </c>
      <c r="B4026" t="s">
        <v>16</v>
      </c>
      <c r="C4026" t="s">
        <v>14</v>
      </c>
      <c r="D4026">
        <v>29</v>
      </c>
      <c r="E4026" s="1">
        <v>41513</v>
      </c>
      <c r="F4026">
        <v>2013</v>
      </c>
      <c r="G4026" t="s">
        <v>5031</v>
      </c>
      <c r="H4026">
        <v>27</v>
      </c>
      <c r="I4026">
        <v>3.06</v>
      </c>
      <c r="J4026">
        <v>11</v>
      </c>
      <c r="K4026">
        <v>8697.15</v>
      </c>
      <c r="L4026">
        <v>12.2</v>
      </c>
    </row>
    <row r="4027" spans="1:12" x14ac:dyDescent="0.3">
      <c r="A4027" t="s">
        <v>4042</v>
      </c>
      <c r="B4027" t="s">
        <v>13</v>
      </c>
      <c r="C4027" t="s">
        <v>11</v>
      </c>
      <c r="D4027">
        <v>34</v>
      </c>
      <c r="E4027" s="1">
        <v>42174</v>
      </c>
      <c r="F4027">
        <v>2015</v>
      </c>
      <c r="G4027" t="s">
        <v>5032</v>
      </c>
      <c r="H4027">
        <v>19</v>
      </c>
      <c r="I4027">
        <v>3.24</v>
      </c>
      <c r="J4027">
        <v>12</v>
      </c>
      <c r="K4027">
        <v>7094.45</v>
      </c>
      <c r="L4027">
        <v>10.4</v>
      </c>
    </row>
    <row r="4028" spans="1:12" x14ac:dyDescent="0.3">
      <c r="A4028" t="s">
        <v>4043</v>
      </c>
      <c r="B4028" t="s">
        <v>18</v>
      </c>
      <c r="C4028" t="s">
        <v>11</v>
      </c>
      <c r="D4028">
        <v>42</v>
      </c>
      <c r="E4028" s="1">
        <v>41429</v>
      </c>
      <c r="F4028">
        <v>2013</v>
      </c>
      <c r="G4028" t="s">
        <v>5032</v>
      </c>
      <c r="H4028">
        <v>4</v>
      </c>
      <c r="I4028">
        <v>3.62</v>
      </c>
      <c r="J4028">
        <v>1</v>
      </c>
      <c r="K4028">
        <v>3104.67</v>
      </c>
      <c r="L4028">
        <v>12.4</v>
      </c>
    </row>
    <row r="4029" spans="1:12" x14ac:dyDescent="0.3">
      <c r="A4029" t="s">
        <v>4044</v>
      </c>
      <c r="B4029" t="s">
        <v>18</v>
      </c>
      <c r="C4029" t="s">
        <v>14</v>
      </c>
      <c r="D4029">
        <v>58</v>
      </c>
      <c r="E4029" s="1">
        <v>44234</v>
      </c>
      <c r="F4029">
        <v>2021</v>
      </c>
      <c r="G4029" t="s">
        <v>5042</v>
      </c>
      <c r="H4029">
        <v>7</v>
      </c>
      <c r="I4029">
        <v>4.12</v>
      </c>
      <c r="J4029">
        <v>5</v>
      </c>
      <c r="K4029">
        <v>5823.65</v>
      </c>
      <c r="L4029">
        <v>4.7</v>
      </c>
    </row>
    <row r="4030" spans="1:12" x14ac:dyDescent="0.3">
      <c r="A4030" t="s">
        <v>4045</v>
      </c>
      <c r="B4030" t="s">
        <v>16</v>
      </c>
      <c r="C4030" t="s">
        <v>14</v>
      </c>
      <c r="D4030">
        <v>36</v>
      </c>
      <c r="E4030" s="1">
        <v>41236</v>
      </c>
      <c r="F4030">
        <v>2012</v>
      </c>
      <c r="G4030" t="s">
        <v>5038</v>
      </c>
      <c r="H4030">
        <v>23</v>
      </c>
      <c r="I4030">
        <v>1.61</v>
      </c>
      <c r="J4030">
        <v>7</v>
      </c>
      <c r="K4030">
        <v>10949.35</v>
      </c>
      <c r="L4030">
        <v>12.9</v>
      </c>
    </row>
    <row r="4031" spans="1:12" x14ac:dyDescent="0.3">
      <c r="A4031" t="s">
        <v>4046</v>
      </c>
      <c r="B4031" t="s">
        <v>24</v>
      </c>
      <c r="C4031" t="s">
        <v>14</v>
      </c>
      <c r="D4031">
        <v>48</v>
      </c>
      <c r="E4031" s="1">
        <v>44227</v>
      </c>
      <c r="F4031">
        <v>2021</v>
      </c>
      <c r="G4031" t="s">
        <v>5037</v>
      </c>
      <c r="H4031">
        <v>31</v>
      </c>
      <c r="I4031">
        <v>2.5499999999999998</v>
      </c>
      <c r="J4031">
        <v>12</v>
      </c>
      <c r="K4031">
        <v>6481.64</v>
      </c>
      <c r="L4031">
        <v>4.8</v>
      </c>
    </row>
    <row r="4032" spans="1:12" x14ac:dyDescent="0.3">
      <c r="A4032" t="s">
        <v>4047</v>
      </c>
      <c r="B4032" t="s">
        <v>10</v>
      </c>
      <c r="C4032" t="s">
        <v>11</v>
      </c>
      <c r="D4032">
        <v>36</v>
      </c>
      <c r="E4032" s="1">
        <v>41193</v>
      </c>
      <c r="F4032">
        <v>2012</v>
      </c>
      <c r="G4032" t="s">
        <v>5039</v>
      </c>
      <c r="H4032">
        <v>11</v>
      </c>
      <c r="I4032">
        <v>2.23</v>
      </c>
      <c r="J4032">
        <v>15</v>
      </c>
      <c r="K4032">
        <v>5576.64</v>
      </c>
      <c r="L4032">
        <v>13.1</v>
      </c>
    </row>
    <row r="4033" spans="1:12" x14ac:dyDescent="0.3">
      <c r="A4033" t="s">
        <v>4048</v>
      </c>
      <c r="B4033" t="s">
        <v>13</v>
      </c>
      <c r="C4033" t="s">
        <v>14</v>
      </c>
      <c r="D4033">
        <v>25</v>
      </c>
      <c r="E4033" s="1">
        <v>40410</v>
      </c>
      <c r="F4033">
        <v>2010</v>
      </c>
      <c r="G4033" t="s">
        <v>5031</v>
      </c>
      <c r="H4033">
        <v>20</v>
      </c>
      <c r="I4033">
        <v>3.97</v>
      </c>
      <c r="J4033">
        <v>10</v>
      </c>
      <c r="K4033">
        <v>10452.36</v>
      </c>
      <c r="L4033">
        <v>15.2</v>
      </c>
    </row>
    <row r="4034" spans="1:12" x14ac:dyDescent="0.3">
      <c r="A4034" t="s">
        <v>4049</v>
      </c>
      <c r="B4034" t="s">
        <v>24</v>
      </c>
      <c r="C4034" t="s">
        <v>11</v>
      </c>
      <c r="D4034">
        <v>51</v>
      </c>
      <c r="E4034" s="1">
        <v>43424</v>
      </c>
      <c r="F4034">
        <v>2018</v>
      </c>
      <c r="G4034" t="s">
        <v>5038</v>
      </c>
      <c r="H4034">
        <v>20</v>
      </c>
      <c r="I4034">
        <v>3.83</v>
      </c>
      <c r="J4034">
        <v>4</v>
      </c>
      <c r="K4034">
        <v>11717.32</v>
      </c>
      <c r="L4034">
        <v>7</v>
      </c>
    </row>
    <row r="4035" spans="1:12" x14ac:dyDescent="0.3">
      <c r="A4035" t="s">
        <v>4050</v>
      </c>
      <c r="B4035" t="s">
        <v>16</v>
      </c>
      <c r="C4035" t="s">
        <v>14</v>
      </c>
      <c r="D4035">
        <v>52</v>
      </c>
      <c r="E4035" s="1">
        <v>42526</v>
      </c>
      <c r="F4035">
        <v>2016</v>
      </c>
      <c r="G4035" t="s">
        <v>5032</v>
      </c>
      <c r="H4035">
        <v>5</v>
      </c>
      <c r="I4035">
        <v>2.2799999999999998</v>
      </c>
      <c r="J4035">
        <v>11</v>
      </c>
      <c r="K4035">
        <v>12366.13</v>
      </c>
      <c r="L4035">
        <v>9.4</v>
      </c>
    </row>
    <row r="4036" spans="1:12" x14ac:dyDescent="0.3">
      <c r="A4036" t="s">
        <v>4051</v>
      </c>
      <c r="B4036" t="s">
        <v>13</v>
      </c>
      <c r="C4036" t="s">
        <v>14</v>
      </c>
      <c r="D4036">
        <v>45</v>
      </c>
      <c r="E4036" s="1">
        <v>42013</v>
      </c>
      <c r="F4036">
        <v>2015</v>
      </c>
      <c r="G4036" t="s">
        <v>5037</v>
      </c>
      <c r="H4036">
        <v>9</v>
      </c>
      <c r="I4036">
        <v>4.83</v>
      </c>
      <c r="J4036">
        <v>1</v>
      </c>
      <c r="K4036">
        <v>4023.85</v>
      </c>
      <c r="L4036">
        <v>10.8</v>
      </c>
    </row>
    <row r="4037" spans="1:12" x14ac:dyDescent="0.3">
      <c r="A4037" t="s">
        <v>4052</v>
      </c>
      <c r="B4037" t="s">
        <v>18</v>
      </c>
      <c r="C4037" t="s">
        <v>11</v>
      </c>
      <c r="D4037">
        <v>28</v>
      </c>
      <c r="E4037" s="1">
        <v>43562</v>
      </c>
      <c r="F4037">
        <v>2019</v>
      </c>
      <c r="G4037" t="s">
        <v>5040</v>
      </c>
      <c r="H4037">
        <v>7</v>
      </c>
      <c r="I4037">
        <v>3.32</v>
      </c>
      <c r="J4037">
        <v>10</v>
      </c>
      <c r="K4037">
        <v>5867.1</v>
      </c>
      <c r="L4037">
        <v>6.6</v>
      </c>
    </row>
    <row r="4038" spans="1:12" x14ac:dyDescent="0.3">
      <c r="A4038" t="s">
        <v>4053</v>
      </c>
      <c r="B4038" t="s">
        <v>16</v>
      </c>
      <c r="C4038" t="s">
        <v>14</v>
      </c>
      <c r="D4038">
        <v>29</v>
      </c>
      <c r="E4038" s="1">
        <v>42854</v>
      </c>
      <c r="F4038">
        <v>2017</v>
      </c>
      <c r="G4038" t="s">
        <v>5040</v>
      </c>
      <c r="H4038">
        <v>29</v>
      </c>
      <c r="I4038">
        <v>4</v>
      </c>
      <c r="J4038">
        <v>4</v>
      </c>
      <c r="K4038">
        <v>7786.43</v>
      </c>
      <c r="L4038">
        <v>8.5</v>
      </c>
    </row>
    <row r="4039" spans="1:12" x14ac:dyDescent="0.3">
      <c r="A4039" t="s">
        <v>4054</v>
      </c>
      <c r="B4039" t="s">
        <v>13</v>
      </c>
      <c r="C4039" t="s">
        <v>14</v>
      </c>
      <c r="D4039">
        <v>42</v>
      </c>
      <c r="E4039" s="1">
        <v>40269</v>
      </c>
      <c r="F4039">
        <v>2010</v>
      </c>
      <c r="G4039" t="s">
        <v>5040</v>
      </c>
      <c r="H4039">
        <v>1</v>
      </c>
      <c r="I4039">
        <v>3.73</v>
      </c>
      <c r="J4039">
        <v>4</v>
      </c>
      <c r="K4039">
        <v>10045.049999999999</v>
      </c>
      <c r="L4039">
        <v>15.6</v>
      </c>
    </row>
    <row r="4040" spans="1:12" x14ac:dyDescent="0.3">
      <c r="A4040" t="s">
        <v>4055</v>
      </c>
      <c r="B4040" t="s">
        <v>24</v>
      </c>
      <c r="C4040" t="s">
        <v>14</v>
      </c>
      <c r="D4040">
        <v>39</v>
      </c>
      <c r="E4040" s="1">
        <v>42391</v>
      </c>
      <c r="F4040">
        <v>2016</v>
      </c>
      <c r="G4040" t="s">
        <v>5037</v>
      </c>
      <c r="H4040">
        <v>22</v>
      </c>
      <c r="I4040">
        <v>4.1900000000000004</v>
      </c>
      <c r="J4040">
        <v>7</v>
      </c>
      <c r="K4040">
        <v>4943.6899999999996</v>
      </c>
      <c r="L4040">
        <v>9.8000000000000007</v>
      </c>
    </row>
    <row r="4041" spans="1:12" x14ac:dyDescent="0.3">
      <c r="A4041" t="s">
        <v>4056</v>
      </c>
      <c r="B4041" t="s">
        <v>16</v>
      </c>
      <c r="C4041" t="s">
        <v>11</v>
      </c>
      <c r="D4041">
        <v>22</v>
      </c>
      <c r="E4041" s="1">
        <v>43866</v>
      </c>
      <c r="F4041">
        <v>2020</v>
      </c>
      <c r="G4041" t="s">
        <v>5042</v>
      </c>
      <c r="H4041">
        <v>5</v>
      </c>
      <c r="I4041">
        <v>3.24</v>
      </c>
      <c r="J4041">
        <v>12</v>
      </c>
      <c r="K4041">
        <v>7356.23</v>
      </c>
      <c r="L4041">
        <v>5.7</v>
      </c>
    </row>
    <row r="4042" spans="1:12" x14ac:dyDescent="0.3">
      <c r="A4042" t="s">
        <v>4057</v>
      </c>
      <c r="B4042" t="s">
        <v>16</v>
      </c>
      <c r="C4042" t="s">
        <v>14</v>
      </c>
      <c r="D4042">
        <v>35</v>
      </c>
      <c r="E4042" s="1">
        <v>44274</v>
      </c>
      <c r="F4042">
        <v>2021</v>
      </c>
      <c r="G4042" t="s">
        <v>5035</v>
      </c>
      <c r="H4042">
        <v>19</v>
      </c>
      <c r="I4042">
        <v>4.93</v>
      </c>
      <c r="J4042">
        <v>4</v>
      </c>
      <c r="K4042">
        <v>13667.28</v>
      </c>
      <c r="L4042">
        <v>4.5999999999999996</v>
      </c>
    </row>
    <row r="4043" spans="1:12" x14ac:dyDescent="0.3">
      <c r="A4043" t="s">
        <v>4058</v>
      </c>
      <c r="B4043" t="s">
        <v>34</v>
      </c>
      <c r="C4043" t="s">
        <v>14</v>
      </c>
      <c r="D4043">
        <v>30</v>
      </c>
      <c r="E4043" s="1">
        <v>41164</v>
      </c>
      <c r="F4043">
        <v>2012</v>
      </c>
      <c r="G4043" t="s">
        <v>5033</v>
      </c>
      <c r="H4043">
        <v>12</v>
      </c>
      <c r="I4043">
        <v>2.2999999999999998</v>
      </c>
      <c r="J4043">
        <v>8</v>
      </c>
      <c r="K4043">
        <v>13225.38</v>
      </c>
      <c r="L4043">
        <v>13.1</v>
      </c>
    </row>
    <row r="4044" spans="1:12" x14ac:dyDescent="0.3">
      <c r="A4044" t="s">
        <v>4059</v>
      </c>
      <c r="B4044" t="s">
        <v>13</v>
      </c>
      <c r="C4044" t="s">
        <v>11</v>
      </c>
      <c r="D4044">
        <v>24</v>
      </c>
      <c r="E4044" s="1">
        <v>41198</v>
      </c>
      <c r="F4044">
        <v>2012</v>
      </c>
      <c r="G4044" t="s">
        <v>5039</v>
      </c>
      <c r="H4044">
        <v>16</v>
      </c>
      <c r="I4044">
        <v>3.97</v>
      </c>
      <c r="J4044">
        <v>8</v>
      </c>
      <c r="K4044">
        <v>14961.76</v>
      </c>
      <c r="L4044">
        <v>13.1</v>
      </c>
    </row>
    <row r="4045" spans="1:12" x14ac:dyDescent="0.3">
      <c r="A4045" t="s">
        <v>4060</v>
      </c>
      <c r="B4045" t="s">
        <v>34</v>
      </c>
      <c r="C4045" t="s">
        <v>14</v>
      </c>
      <c r="D4045">
        <v>40</v>
      </c>
      <c r="E4045" s="1">
        <v>42658</v>
      </c>
      <c r="F4045">
        <v>2016</v>
      </c>
      <c r="G4045" t="s">
        <v>5039</v>
      </c>
      <c r="H4045">
        <v>15</v>
      </c>
      <c r="I4045">
        <v>2.14</v>
      </c>
      <c r="J4045">
        <v>9</v>
      </c>
      <c r="K4045">
        <v>3458.96</v>
      </c>
      <c r="L4045">
        <v>9.1</v>
      </c>
    </row>
    <row r="4046" spans="1:12" x14ac:dyDescent="0.3">
      <c r="A4046" t="s">
        <v>4061</v>
      </c>
      <c r="B4046" t="s">
        <v>10</v>
      </c>
      <c r="C4046" t="s">
        <v>11</v>
      </c>
      <c r="D4046">
        <v>36</v>
      </c>
      <c r="E4046" s="1">
        <v>41276</v>
      </c>
      <c r="F4046">
        <v>2013</v>
      </c>
      <c r="G4046" t="s">
        <v>5037</v>
      </c>
      <c r="H4046">
        <v>2</v>
      </c>
      <c r="I4046">
        <v>2.52</v>
      </c>
      <c r="J4046">
        <v>3</v>
      </c>
      <c r="K4046">
        <v>7873.05</v>
      </c>
      <c r="L4046">
        <v>12.8</v>
      </c>
    </row>
    <row r="4047" spans="1:12" x14ac:dyDescent="0.3">
      <c r="A4047" t="s">
        <v>4062</v>
      </c>
      <c r="B4047" t="s">
        <v>10</v>
      </c>
      <c r="C4047" t="s">
        <v>14</v>
      </c>
      <c r="D4047">
        <v>51</v>
      </c>
      <c r="E4047" s="1">
        <v>44022</v>
      </c>
      <c r="F4047">
        <v>2020</v>
      </c>
      <c r="G4047" t="s">
        <v>5034</v>
      </c>
      <c r="H4047">
        <v>10</v>
      </c>
      <c r="I4047">
        <v>4.49</v>
      </c>
      <c r="J4047">
        <v>2</v>
      </c>
      <c r="K4047">
        <v>10457.629999999999</v>
      </c>
      <c r="L4047">
        <v>5.3</v>
      </c>
    </row>
    <row r="4048" spans="1:12" x14ac:dyDescent="0.3">
      <c r="A4048" t="s">
        <v>4063</v>
      </c>
      <c r="B4048" t="s">
        <v>16</v>
      </c>
      <c r="C4048" t="s">
        <v>14</v>
      </c>
      <c r="D4048">
        <v>56</v>
      </c>
      <c r="E4048" s="1">
        <v>42839</v>
      </c>
      <c r="F4048">
        <v>2017</v>
      </c>
      <c r="G4048" t="s">
        <v>5040</v>
      </c>
      <c r="H4048">
        <v>14</v>
      </c>
      <c r="I4048">
        <v>4.05</v>
      </c>
      <c r="J4048">
        <v>3</v>
      </c>
      <c r="K4048">
        <v>13832.45</v>
      </c>
      <c r="L4048">
        <v>8.6</v>
      </c>
    </row>
    <row r="4049" spans="1:12" x14ac:dyDescent="0.3">
      <c r="A4049" t="s">
        <v>4064</v>
      </c>
      <c r="B4049" t="s">
        <v>34</v>
      </c>
      <c r="C4049" t="s">
        <v>11</v>
      </c>
      <c r="D4049">
        <v>39</v>
      </c>
      <c r="E4049" s="1">
        <v>41446</v>
      </c>
      <c r="F4049">
        <v>2013</v>
      </c>
      <c r="G4049" t="s">
        <v>5032</v>
      </c>
      <c r="H4049">
        <v>21</v>
      </c>
      <c r="I4049">
        <v>3.61</v>
      </c>
      <c r="J4049">
        <v>2</v>
      </c>
      <c r="K4049">
        <v>11570.38</v>
      </c>
      <c r="L4049">
        <v>12.4</v>
      </c>
    </row>
    <row r="4050" spans="1:12" x14ac:dyDescent="0.3">
      <c r="A4050" t="s">
        <v>4065</v>
      </c>
      <c r="B4050" t="s">
        <v>24</v>
      </c>
      <c r="C4050" t="s">
        <v>11</v>
      </c>
      <c r="D4050">
        <v>27</v>
      </c>
      <c r="E4050" s="1">
        <v>44767</v>
      </c>
      <c r="F4050">
        <v>2022</v>
      </c>
      <c r="G4050" t="s">
        <v>5034</v>
      </c>
      <c r="H4050">
        <v>25</v>
      </c>
      <c r="I4050">
        <v>2.89</v>
      </c>
      <c r="J4050">
        <v>1</v>
      </c>
      <c r="K4050">
        <v>12024.37</v>
      </c>
      <c r="L4050">
        <v>3.3</v>
      </c>
    </row>
    <row r="4051" spans="1:12" x14ac:dyDescent="0.3">
      <c r="A4051" t="s">
        <v>4066</v>
      </c>
      <c r="B4051" t="s">
        <v>18</v>
      </c>
      <c r="C4051" t="s">
        <v>14</v>
      </c>
      <c r="D4051">
        <v>36</v>
      </c>
      <c r="E4051" s="1">
        <v>40220</v>
      </c>
      <c r="F4051">
        <v>2010</v>
      </c>
      <c r="G4051" t="s">
        <v>5042</v>
      </c>
      <c r="H4051">
        <v>11</v>
      </c>
      <c r="I4051">
        <v>1.81</v>
      </c>
      <c r="J4051">
        <v>7</v>
      </c>
      <c r="K4051">
        <v>12311.83</v>
      </c>
      <c r="L4051">
        <v>15.7</v>
      </c>
    </row>
    <row r="4052" spans="1:12" x14ac:dyDescent="0.3">
      <c r="A4052" t="s">
        <v>4067</v>
      </c>
      <c r="B4052" t="s">
        <v>18</v>
      </c>
      <c r="C4052" t="s">
        <v>14</v>
      </c>
      <c r="D4052">
        <v>51</v>
      </c>
      <c r="E4052" s="1">
        <v>41660</v>
      </c>
      <c r="F4052">
        <v>2014</v>
      </c>
      <c r="G4052" t="s">
        <v>5037</v>
      </c>
      <c r="H4052">
        <v>21</v>
      </c>
      <c r="I4052">
        <v>1.7</v>
      </c>
      <c r="J4052">
        <v>4</v>
      </c>
      <c r="K4052">
        <v>8351.81</v>
      </c>
      <c r="L4052">
        <v>11.8</v>
      </c>
    </row>
    <row r="4053" spans="1:12" x14ac:dyDescent="0.3">
      <c r="A4053" t="s">
        <v>4068</v>
      </c>
      <c r="B4053" t="s">
        <v>16</v>
      </c>
      <c r="C4053" t="s">
        <v>11</v>
      </c>
      <c r="D4053">
        <v>22</v>
      </c>
      <c r="E4053" s="1">
        <v>45249</v>
      </c>
      <c r="F4053">
        <v>2023</v>
      </c>
      <c r="G4053" t="s">
        <v>5038</v>
      </c>
      <c r="H4053">
        <v>19</v>
      </c>
      <c r="I4053">
        <v>1.97</v>
      </c>
      <c r="J4053">
        <v>12</v>
      </c>
      <c r="K4053">
        <v>13066.78</v>
      </c>
      <c r="L4053">
        <v>2</v>
      </c>
    </row>
    <row r="4054" spans="1:12" x14ac:dyDescent="0.3">
      <c r="A4054" t="s">
        <v>4069</v>
      </c>
      <c r="B4054" t="s">
        <v>24</v>
      </c>
      <c r="C4054" t="s">
        <v>11</v>
      </c>
      <c r="D4054">
        <v>40</v>
      </c>
      <c r="E4054" s="1">
        <v>40575</v>
      </c>
      <c r="F4054">
        <v>2011</v>
      </c>
      <c r="G4054" t="s">
        <v>5042</v>
      </c>
      <c r="H4054">
        <v>1</v>
      </c>
      <c r="I4054">
        <v>2.27</v>
      </c>
      <c r="J4054">
        <v>8</v>
      </c>
      <c r="K4054">
        <v>10572.72</v>
      </c>
      <c r="L4054">
        <v>14.8</v>
      </c>
    </row>
    <row r="4055" spans="1:12" x14ac:dyDescent="0.3">
      <c r="A4055" t="s">
        <v>4070</v>
      </c>
      <c r="B4055" t="s">
        <v>34</v>
      </c>
      <c r="C4055" t="s">
        <v>11</v>
      </c>
      <c r="D4055">
        <v>60</v>
      </c>
      <c r="E4055" s="1">
        <v>45755</v>
      </c>
      <c r="F4055">
        <v>2025</v>
      </c>
      <c r="G4055" t="s">
        <v>5040</v>
      </c>
      <c r="H4055">
        <v>8</v>
      </c>
      <c r="I4055">
        <v>4.8499999999999996</v>
      </c>
      <c r="J4055">
        <v>13</v>
      </c>
      <c r="K4055">
        <v>6806.06</v>
      </c>
      <c r="L4055">
        <v>0.6</v>
      </c>
    </row>
    <row r="4056" spans="1:12" x14ac:dyDescent="0.3">
      <c r="A4056" t="s">
        <v>4071</v>
      </c>
      <c r="B4056" t="s">
        <v>24</v>
      </c>
      <c r="C4056" t="s">
        <v>14</v>
      </c>
      <c r="D4056">
        <v>48</v>
      </c>
      <c r="E4056" s="1">
        <v>42972</v>
      </c>
      <c r="F4056">
        <v>2017</v>
      </c>
      <c r="G4056" t="s">
        <v>5031</v>
      </c>
      <c r="H4056">
        <v>25</v>
      </c>
      <c r="I4056">
        <v>4.6399999999999997</v>
      </c>
      <c r="J4056">
        <v>9</v>
      </c>
      <c r="K4056">
        <v>11457.57</v>
      </c>
      <c r="L4056">
        <v>8.1999999999999993</v>
      </c>
    </row>
    <row r="4057" spans="1:12" x14ac:dyDescent="0.3">
      <c r="A4057" t="s">
        <v>4072</v>
      </c>
      <c r="B4057" t="s">
        <v>24</v>
      </c>
      <c r="C4057" t="s">
        <v>14</v>
      </c>
      <c r="D4057">
        <v>25</v>
      </c>
      <c r="E4057" s="1">
        <v>42779</v>
      </c>
      <c r="F4057">
        <v>2017</v>
      </c>
      <c r="G4057" t="s">
        <v>5042</v>
      </c>
      <c r="H4057">
        <v>13</v>
      </c>
      <c r="I4057">
        <v>2.7</v>
      </c>
      <c r="J4057">
        <v>2</v>
      </c>
      <c r="K4057">
        <v>6357.5</v>
      </c>
      <c r="L4057">
        <v>8.6999999999999993</v>
      </c>
    </row>
    <row r="4058" spans="1:12" x14ac:dyDescent="0.3">
      <c r="A4058" t="s">
        <v>4073</v>
      </c>
      <c r="B4058" t="s">
        <v>34</v>
      </c>
      <c r="C4058" t="s">
        <v>11</v>
      </c>
      <c r="D4058">
        <v>48</v>
      </c>
      <c r="E4058" s="1">
        <v>45033</v>
      </c>
      <c r="F4058">
        <v>2023</v>
      </c>
      <c r="G4058" t="s">
        <v>5040</v>
      </c>
      <c r="H4058">
        <v>17</v>
      </c>
      <c r="I4058">
        <v>2.16</v>
      </c>
      <c r="J4058">
        <v>3</v>
      </c>
      <c r="K4058">
        <v>14835.98</v>
      </c>
      <c r="L4058">
        <v>2.5</v>
      </c>
    </row>
    <row r="4059" spans="1:12" x14ac:dyDescent="0.3">
      <c r="A4059" t="s">
        <v>4074</v>
      </c>
      <c r="B4059" t="s">
        <v>13</v>
      </c>
      <c r="C4059" t="s">
        <v>11</v>
      </c>
      <c r="D4059">
        <v>27</v>
      </c>
      <c r="E4059" s="1">
        <v>43944</v>
      </c>
      <c r="F4059">
        <v>2020</v>
      </c>
      <c r="G4059" t="s">
        <v>5040</v>
      </c>
      <c r="H4059">
        <v>23</v>
      </c>
      <c r="I4059">
        <v>4.3499999999999996</v>
      </c>
      <c r="J4059">
        <v>6</v>
      </c>
      <c r="K4059">
        <v>12473.94</v>
      </c>
      <c r="L4059">
        <v>5.5</v>
      </c>
    </row>
    <row r="4060" spans="1:12" x14ac:dyDescent="0.3">
      <c r="A4060" t="s">
        <v>4075</v>
      </c>
      <c r="B4060" t="s">
        <v>10</v>
      </c>
      <c r="C4060" t="s">
        <v>14</v>
      </c>
      <c r="D4060">
        <v>60</v>
      </c>
      <c r="E4060" s="1">
        <v>41332</v>
      </c>
      <c r="F4060">
        <v>2013</v>
      </c>
      <c r="G4060" t="s">
        <v>5042</v>
      </c>
      <c r="H4060">
        <v>27</v>
      </c>
      <c r="I4060">
        <v>2.17</v>
      </c>
      <c r="J4060">
        <v>6</v>
      </c>
      <c r="K4060">
        <v>5403.21</v>
      </c>
      <c r="L4060">
        <v>12.7</v>
      </c>
    </row>
    <row r="4061" spans="1:12" x14ac:dyDescent="0.3">
      <c r="A4061" t="s">
        <v>4076</v>
      </c>
      <c r="B4061" t="s">
        <v>18</v>
      </c>
      <c r="C4061" t="s">
        <v>11</v>
      </c>
      <c r="D4061">
        <v>28</v>
      </c>
      <c r="E4061" s="1">
        <v>44006</v>
      </c>
      <c r="F4061">
        <v>2020</v>
      </c>
      <c r="G4061" t="s">
        <v>5032</v>
      </c>
      <c r="H4061">
        <v>24</v>
      </c>
      <c r="I4061">
        <v>4.93</v>
      </c>
      <c r="J4061">
        <v>15</v>
      </c>
      <c r="K4061">
        <v>8939.07</v>
      </c>
      <c r="L4061">
        <v>5.4</v>
      </c>
    </row>
    <row r="4062" spans="1:12" x14ac:dyDescent="0.3">
      <c r="A4062" t="s">
        <v>4077</v>
      </c>
      <c r="B4062" t="s">
        <v>13</v>
      </c>
      <c r="C4062" t="s">
        <v>11</v>
      </c>
      <c r="D4062">
        <v>47</v>
      </c>
      <c r="E4062" s="1">
        <v>43925</v>
      </c>
      <c r="F4062">
        <v>2020</v>
      </c>
      <c r="G4062" t="s">
        <v>5040</v>
      </c>
      <c r="H4062">
        <v>4</v>
      </c>
      <c r="I4062">
        <v>2.4900000000000002</v>
      </c>
      <c r="J4062">
        <v>11</v>
      </c>
      <c r="K4062">
        <v>11543.11</v>
      </c>
      <c r="L4062">
        <v>5.6</v>
      </c>
    </row>
    <row r="4063" spans="1:12" x14ac:dyDescent="0.3">
      <c r="A4063" t="s">
        <v>4078</v>
      </c>
      <c r="B4063" t="s">
        <v>10</v>
      </c>
      <c r="C4063" t="s">
        <v>11</v>
      </c>
      <c r="D4063">
        <v>30</v>
      </c>
      <c r="E4063" s="1">
        <v>42695</v>
      </c>
      <c r="F4063">
        <v>2016</v>
      </c>
      <c r="G4063" t="s">
        <v>5038</v>
      </c>
      <c r="H4063">
        <v>21</v>
      </c>
      <c r="I4063">
        <v>2.4900000000000002</v>
      </c>
      <c r="J4063">
        <v>9</v>
      </c>
      <c r="K4063">
        <v>9438.5499999999993</v>
      </c>
      <c r="L4063">
        <v>9</v>
      </c>
    </row>
    <row r="4064" spans="1:12" x14ac:dyDescent="0.3">
      <c r="A4064" t="s">
        <v>4079</v>
      </c>
      <c r="B4064" t="s">
        <v>34</v>
      </c>
      <c r="C4064" t="s">
        <v>11</v>
      </c>
      <c r="D4064">
        <v>41</v>
      </c>
      <c r="E4064" s="1">
        <v>43974</v>
      </c>
      <c r="F4064">
        <v>2020</v>
      </c>
      <c r="G4064" t="s">
        <v>5036</v>
      </c>
      <c r="H4064">
        <v>23</v>
      </c>
      <c r="I4064">
        <v>3.45</v>
      </c>
      <c r="J4064">
        <v>2</v>
      </c>
      <c r="K4064">
        <v>6115.54</v>
      </c>
      <c r="L4064">
        <v>5.4</v>
      </c>
    </row>
    <row r="4065" spans="1:12" x14ac:dyDescent="0.3">
      <c r="A4065" t="s">
        <v>4080</v>
      </c>
      <c r="B4065" t="s">
        <v>34</v>
      </c>
      <c r="C4065" t="s">
        <v>14</v>
      </c>
      <c r="D4065">
        <v>27</v>
      </c>
      <c r="E4065" s="1">
        <v>44624</v>
      </c>
      <c r="F4065">
        <v>2022</v>
      </c>
      <c r="G4065" t="s">
        <v>5035</v>
      </c>
      <c r="H4065">
        <v>4</v>
      </c>
      <c r="I4065">
        <v>4.16</v>
      </c>
      <c r="J4065">
        <v>8</v>
      </c>
      <c r="K4065">
        <v>9038.41</v>
      </c>
      <c r="L4065">
        <v>3.7</v>
      </c>
    </row>
    <row r="4066" spans="1:12" x14ac:dyDescent="0.3">
      <c r="A4066" t="s">
        <v>4081</v>
      </c>
      <c r="B4066" t="s">
        <v>24</v>
      </c>
      <c r="C4066" t="s">
        <v>11</v>
      </c>
      <c r="D4066">
        <v>25</v>
      </c>
      <c r="E4066" s="1">
        <v>41074</v>
      </c>
      <c r="F4066">
        <v>2012</v>
      </c>
      <c r="G4066" t="s">
        <v>5032</v>
      </c>
      <c r="H4066">
        <v>14</v>
      </c>
      <c r="I4066">
        <v>4.43</v>
      </c>
      <c r="J4066">
        <v>8</v>
      </c>
      <c r="K4066">
        <v>14609.02</v>
      </c>
      <c r="L4066">
        <v>13.4</v>
      </c>
    </row>
    <row r="4067" spans="1:12" x14ac:dyDescent="0.3">
      <c r="A4067" t="s">
        <v>4082</v>
      </c>
      <c r="B4067" t="s">
        <v>34</v>
      </c>
      <c r="C4067" t="s">
        <v>11</v>
      </c>
      <c r="D4067">
        <v>36</v>
      </c>
      <c r="E4067" s="1">
        <v>43132</v>
      </c>
      <c r="F4067">
        <v>2018</v>
      </c>
      <c r="G4067" t="s">
        <v>5042</v>
      </c>
      <c r="H4067">
        <v>1</v>
      </c>
      <c r="I4067">
        <v>2.79</v>
      </c>
      <c r="J4067">
        <v>13</v>
      </c>
      <c r="K4067">
        <v>3940.42</v>
      </c>
      <c r="L4067">
        <v>7.8</v>
      </c>
    </row>
    <row r="4068" spans="1:12" x14ac:dyDescent="0.3">
      <c r="A4068" t="s">
        <v>4083</v>
      </c>
      <c r="B4068" t="s">
        <v>24</v>
      </c>
      <c r="C4068" t="s">
        <v>11</v>
      </c>
      <c r="D4068">
        <v>44</v>
      </c>
      <c r="E4068" s="1">
        <v>42046</v>
      </c>
      <c r="F4068">
        <v>2015</v>
      </c>
      <c r="G4068" t="s">
        <v>5042</v>
      </c>
      <c r="H4068">
        <v>11</v>
      </c>
      <c r="I4068">
        <v>2.0099999999999998</v>
      </c>
      <c r="J4068">
        <v>14</v>
      </c>
      <c r="K4068">
        <v>7450.1</v>
      </c>
      <c r="L4068">
        <v>10.7</v>
      </c>
    </row>
    <row r="4069" spans="1:12" x14ac:dyDescent="0.3">
      <c r="A4069" t="s">
        <v>4084</v>
      </c>
      <c r="B4069" t="s">
        <v>10</v>
      </c>
      <c r="C4069" t="s">
        <v>14</v>
      </c>
      <c r="D4069">
        <v>49</v>
      </c>
      <c r="E4069" s="1">
        <v>44898</v>
      </c>
      <c r="F4069">
        <v>2022</v>
      </c>
      <c r="G4069" t="s">
        <v>5041</v>
      </c>
      <c r="H4069">
        <v>3</v>
      </c>
      <c r="I4069">
        <v>3.44</v>
      </c>
      <c r="J4069">
        <v>12</v>
      </c>
      <c r="K4069">
        <v>6855.28</v>
      </c>
      <c r="L4069">
        <v>2.9</v>
      </c>
    </row>
    <row r="4070" spans="1:12" x14ac:dyDescent="0.3">
      <c r="A4070" t="s">
        <v>4085</v>
      </c>
      <c r="B4070" t="s">
        <v>13</v>
      </c>
      <c r="C4070" t="s">
        <v>11</v>
      </c>
      <c r="D4070">
        <v>49</v>
      </c>
      <c r="E4070" s="1">
        <v>44016</v>
      </c>
      <c r="F4070">
        <v>2020</v>
      </c>
      <c r="G4070" t="s">
        <v>5034</v>
      </c>
      <c r="H4070">
        <v>4</v>
      </c>
      <c r="I4070">
        <v>3.97</v>
      </c>
      <c r="J4070">
        <v>6</v>
      </c>
      <c r="K4070">
        <v>12028.22</v>
      </c>
      <c r="L4070">
        <v>5.3</v>
      </c>
    </row>
    <row r="4071" spans="1:12" x14ac:dyDescent="0.3">
      <c r="A4071" t="s">
        <v>4086</v>
      </c>
      <c r="B4071" t="s">
        <v>34</v>
      </c>
      <c r="C4071" t="s">
        <v>11</v>
      </c>
      <c r="D4071">
        <v>31</v>
      </c>
      <c r="E4071" s="1">
        <v>45946</v>
      </c>
      <c r="F4071">
        <v>2025</v>
      </c>
      <c r="G4071" t="s">
        <v>5039</v>
      </c>
      <c r="H4071">
        <v>16</v>
      </c>
      <c r="I4071">
        <v>4.8</v>
      </c>
      <c r="J4071">
        <v>3</v>
      </c>
      <c r="K4071">
        <v>11984.64</v>
      </c>
      <c r="L4071">
        <v>0</v>
      </c>
    </row>
    <row r="4072" spans="1:12" x14ac:dyDescent="0.3">
      <c r="A4072" t="s">
        <v>4087</v>
      </c>
      <c r="B4072" t="s">
        <v>18</v>
      </c>
      <c r="C4072" t="s">
        <v>14</v>
      </c>
      <c r="D4072">
        <v>58</v>
      </c>
      <c r="E4072" s="1">
        <v>40237</v>
      </c>
      <c r="F4072">
        <v>2010</v>
      </c>
      <c r="G4072" t="s">
        <v>5042</v>
      </c>
      <c r="H4072">
        <v>28</v>
      </c>
      <c r="I4072">
        <v>2.74</v>
      </c>
      <c r="J4072">
        <v>0</v>
      </c>
      <c r="K4072">
        <v>3881.23</v>
      </c>
      <c r="L4072">
        <v>15.7</v>
      </c>
    </row>
    <row r="4073" spans="1:12" x14ac:dyDescent="0.3">
      <c r="A4073" t="s">
        <v>4088</v>
      </c>
      <c r="B4073" t="s">
        <v>34</v>
      </c>
      <c r="C4073" t="s">
        <v>14</v>
      </c>
      <c r="D4073">
        <v>23</v>
      </c>
      <c r="E4073" s="1">
        <v>43185</v>
      </c>
      <c r="F4073">
        <v>2018</v>
      </c>
      <c r="G4073" t="s">
        <v>5035</v>
      </c>
      <c r="H4073">
        <v>26</v>
      </c>
      <c r="I4073">
        <v>5</v>
      </c>
      <c r="J4073">
        <v>9</v>
      </c>
      <c r="K4073">
        <v>6561.59</v>
      </c>
      <c r="L4073">
        <v>7.6</v>
      </c>
    </row>
    <row r="4074" spans="1:12" x14ac:dyDescent="0.3">
      <c r="A4074" t="s">
        <v>4089</v>
      </c>
      <c r="B4074" t="s">
        <v>24</v>
      </c>
      <c r="C4074" t="s">
        <v>11</v>
      </c>
      <c r="D4074">
        <v>56</v>
      </c>
      <c r="E4074" s="1">
        <v>43887</v>
      </c>
      <c r="F4074">
        <v>2020</v>
      </c>
      <c r="G4074" t="s">
        <v>5042</v>
      </c>
      <c r="H4074">
        <v>26</v>
      </c>
      <c r="I4074">
        <v>3.88</v>
      </c>
      <c r="J4074">
        <v>2</v>
      </c>
      <c r="K4074">
        <v>4909.58</v>
      </c>
      <c r="L4074">
        <v>5.7</v>
      </c>
    </row>
    <row r="4075" spans="1:12" x14ac:dyDescent="0.3">
      <c r="A4075" t="s">
        <v>4090</v>
      </c>
      <c r="B4075" t="s">
        <v>24</v>
      </c>
      <c r="C4075" t="s">
        <v>14</v>
      </c>
      <c r="D4075">
        <v>27</v>
      </c>
      <c r="E4075" s="1">
        <v>41468</v>
      </c>
      <c r="F4075">
        <v>2013</v>
      </c>
      <c r="G4075" t="s">
        <v>5034</v>
      </c>
      <c r="H4075">
        <v>13</v>
      </c>
      <c r="I4075">
        <v>2.25</v>
      </c>
      <c r="J4075">
        <v>7</v>
      </c>
      <c r="K4075">
        <v>3845.27</v>
      </c>
      <c r="L4075">
        <v>12.3</v>
      </c>
    </row>
    <row r="4076" spans="1:12" x14ac:dyDescent="0.3">
      <c r="A4076" t="s">
        <v>4091</v>
      </c>
      <c r="B4076" t="s">
        <v>10</v>
      </c>
      <c r="C4076" t="s">
        <v>14</v>
      </c>
      <c r="D4076">
        <v>44</v>
      </c>
      <c r="E4076" s="1">
        <v>41943</v>
      </c>
      <c r="F4076">
        <v>2014</v>
      </c>
      <c r="G4076" t="s">
        <v>5039</v>
      </c>
      <c r="H4076">
        <v>31</v>
      </c>
      <c r="I4076">
        <v>4.96</v>
      </c>
      <c r="J4076">
        <v>14</v>
      </c>
      <c r="K4076">
        <v>4997.3599999999997</v>
      </c>
      <c r="L4076">
        <v>11</v>
      </c>
    </row>
    <row r="4077" spans="1:12" x14ac:dyDescent="0.3">
      <c r="A4077" t="s">
        <v>4092</v>
      </c>
      <c r="B4077" t="s">
        <v>24</v>
      </c>
      <c r="C4077" t="s">
        <v>14</v>
      </c>
      <c r="D4077">
        <v>24</v>
      </c>
      <c r="E4077" s="1">
        <v>42319</v>
      </c>
      <c r="F4077">
        <v>2015</v>
      </c>
      <c r="G4077" t="s">
        <v>5038</v>
      </c>
      <c r="H4077">
        <v>11</v>
      </c>
      <c r="I4077">
        <v>4.6100000000000003</v>
      </c>
      <c r="J4077">
        <v>10</v>
      </c>
      <c r="K4077">
        <v>12248.08</v>
      </c>
      <c r="L4077">
        <v>10</v>
      </c>
    </row>
    <row r="4078" spans="1:12" x14ac:dyDescent="0.3">
      <c r="A4078" t="s">
        <v>4093</v>
      </c>
      <c r="B4078" t="s">
        <v>16</v>
      </c>
      <c r="C4078" t="s">
        <v>14</v>
      </c>
      <c r="D4078">
        <v>22</v>
      </c>
      <c r="E4078" s="1">
        <v>42907</v>
      </c>
      <c r="F4078">
        <v>2017</v>
      </c>
      <c r="G4078" t="s">
        <v>5032</v>
      </c>
      <c r="H4078">
        <v>21</v>
      </c>
      <c r="I4078">
        <v>2.02</v>
      </c>
      <c r="J4078">
        <v>15</v>
      </c>
      <c r="K4078">
        <v>10462.23</v>
      </c>
      <c r="L4078">
        <v>8.4</v>
      </c>
    </row>
    <row r="4079" spans="1:12" x14ac:dyDescent="0.3">
      <c r="A4079" t="s">
        <v>4094</v>
      </c>
      <c r="B4079" t="s">
        <v>24</v>
      </c>
      <c r="C4079" t="s">
        <v>11</v>
      </c>
      <c r="D4079">
        <v>29</v>
      </c>
      <c r="E4079" s="1">
        <v>43562</v>
      </c>
      <c r="F4079">
        <v>2019</v>
      </c>
      <c r="G4079" t="s">
        <v>5040</v>
      </c>
      <c r="H4079">
        <v>7</v>
      </c>
      <c r="I4079">
        <v>3.96</v>
      </c>
      <c r="J4079">
        <v>13</v>
      </c>
      <c r="K4079">
        <v>7086.69</v>
      </c>
      <c r="L4079">
        <v>6.6</v>
      </c>
    </row>
    <row r="4080" spans="1:12" x14ac:dyDescent="0.3">
      <c r="A4080" t="s">
        <v>4095</v>
      </c>
      <c r="B4080" t="s">
        <v>18</v>
      </c>
      <c r="C4080" t="s">
        <v>11</v>
      </c>
      <c r="D4080">
        <v>52</v>
      </c>
      <c r="E4080" s="1">
        <v>44865</v>
      </c>
      <c r="F4080">
        <v>2022</v>
      </c>
      <c r="G4080" t="s">
        <v>5039</v>
      </c>
      <c r="H4080">
        <v>31</v>
      </c>
      <c r="I4080">
        <v>4.57</v>
      </c>
      <c r="J4080">
        <v>1</v>
      </c>
      <c r="K4080">
        <v>12486.15</v>
      </c>
      <c r="L4080">
        <v>3</v>
      </c>
    </row>
    <row r="4081" spans="1:12" x14ac:dyDescent="0.3">
      <c r="A4081" t="s">
        <v>4096</v>
      </c>
      <c r="B4081" t="s">
        <v>13</v>
      </c>
      <c r="C4081" t="s">
        <v>14</v>
      </c>
      <c r="D4081">
        <v>32</v>
      </c>
      <c r="E4081" s="1">
        <v>43720</v>
      </c>
      <c r="F4081">
        <v>2019</v>
      </c>
      <c r="G4081" t="s">
        <v>5033</v>
      </c>
      <c r="H4081">
        <v>12</v>
      </c>
      <c r="I4081">
        <v>4.01</v>
      </c>
      <c r="J4081">
        <v>1</v>
      </c>
      <c r="K4081">
        <v>13204.79</v>
      </c>
      <c r="L4081">
        <v>6.1</v>
      </c>
    </row>
    <row r="4082" spans="1:12" x14ac:dyDescent="0.3">
      <c r="A4082" t="s">
        <v>4097</v>
      </c>
      <c r="B4082" t="s">
        <v>18</v>
      </c>
      <c r="C4082" t="s">
        <v>11</v>
      </c>
      <c r="D4082">
        <v>35</v>
      </c>
      <c r="E4082" s="1">
        <v>44085</v>
      </c>
      <c r="F4082">
        <v>2020</v>
      </c>
      <c r="G4082" t="s">
        <v>5033</v>
      </c>
      <c r="H4082">
        <v>11</v>
      </c>
      <c r="I4082">
        <v>4.2699999999999996</v>
      </c>
      <c r="J4082">
        <v>6</v>
      </c>
      <c r="K4082">
        <v>10154.69</v>
      </c>
      <c r="L4082">
        <v>5.0999999999999996</v>
      </c>
    </row>
    <row r="4083" spans="1:12" x14ac:dyDescent="0.3">
      <c r="A4083" t="s">
        <v>4098</v>
      </c>
      <c r="B4083" t="s">
        <v>10</v>
      </c>
      <c r="C4083" t="s">
        <v>11</v>
      </c>
      <c r="D4083">
        <v>47</v>
      </c>
      <c r="E4083" s="1">
        <v>41025</v>
      </c>
      <c r="F4083">
        <v>2012</v>
      </c>
      <c r="G4083" t="s">
        <v>5040</v>
      </c>
      <c r="H4083">
        <v>26</v>
      </c>
      <c r="I4083">
        <v>4.91</v>
      </c>
      <c r="J4083">
        <v>0</v>
      </c>
      <c r="K4083">
        <v>10787.89</v>
      </c>
      <c r="L4083">
        <v>13.5</v>
      </c>
    </row>
    <row r="4084" spans="1:12" x14ac:dyDescent="0.3">
      <c r="A4084" t="s">
        <v>4099</v>
      </c>
      <c r="B4084" t="s">
        <v>24</v>
      </c>
      <c r="C4084" t="s">
        <v>14</v>
      </c>
      <c r="D4084">
        <v>29</v>
      </c>
      <c r="E4084" s="1">
        <v>43328</v>
      </c>
      <c r="F4084">
        <v>2018</v>
      </c>
      <c r="G4084" t="s">
        <v>5031</v>
      </c>
      <c r="H4084">
        <v>16</v>
      </c>
      <c r="I4084">
        <v>2.52</v>
      </c>
      <c r="J4084">
        <v>5</v>
      </c>
      <c r="K4084">
        <v>12777.1</v>
      </c>
      <c r="L4084">
        <v>7.2</v>
      </c>
    </row>
    <row r="4085" spans="1:12" x14ac:dyDescent="0.3">
      <c r="A4085" t="s">
        <v>4100</v>
      </c>
      <c r="B4085" t="s">
        <v>34</v>
      </c>
      <c r="C4085" t="s">
        <v>14</v>
      </c>
      <c r="D4085">
        <v>55</v>
      </c>
      <c r="E4085" s="1">
        <v>43764</v>
      </c>
      <c r="F4085">
        <v>2019</v>
      </c>
      <c r="G4085" t="s">
        <v>5039</v>
      </c>
      <c r="H4085">
        <v>26</v>
      </c>
      <c r="I4085">
        <v>3.42</v>
      </c>
      <c r="J4085">
        <v>14</v>
      </c>
      <c r="K4085">
        <v>13950.99</v>
      </c>
      <c r="L4085">
        <v>6</v>
      </c>
    </row>
    <row r="4086" spans="1:12" x14ac:dyDescent="0.3">
      <c r="A4086" t="s">
        <v>4101</v>
      </c>
      <c r="B4086" t="s">
        <v>24</v>
      </c>
      <c r="C4086" t="s">
        <v>14</v>
      </c>
      <c r="D4086">
        <v>38</v>
      </c>
      <c r="E4086" s="1">
        <v>45826</v>
      </c>
      <c r="F4086">
        <v>2025</v>
      </c>
      <c r="G4086" t="s">
        <v>5032</v>
      </c>
      <c r="H4086">
        <v>18</v>
      </c>
      <c r="I4086">
        <v>3.99</v>
      </c>
      <c r="J4086">
        <v>6</v>
      </c>
      <c r="K4086">
        <v>11653.84</v>
      </c>
      <c r="L4086">
        <v>0.4</v>
      </c>
    </row>
    <row r="4087" spans="1:12" x14ac:dyDescent="0.3">
      <c r="A4087" t="s">
        <v>4102</v>
      </c>
      <c r="B4087" t="s">
        <v>18</v>
      </c>
      <c r="C4087" t="s">
        <v>11</v>
      </c>
      <c r="D4087">
        <v>55</v>
      </c>
      <c r="E4087" s="1">
        <v>42751</v>
      </c>
      <c r="F4087">
        <v>2017</v>
      </c>
      <c r="G4087" t="s">
        <v>5037</v>
      </c>
      <c r="H4087">
        <v>16</v>
      </c>
      <c r="I4087">
        <v>4.6100000000000003</v>
      </c>
      <c r="J4087">
        <v>7</v>
      </c>
      <c r="K4087">
        <v>13072.03</v>
      </c>
      <c r="L4087">
        <v>8.8000000000000007</v>
      </c>
    </row>
    <row r="4088" spans="1:12" x14ac:dyDescent="0.3">
      <c r="A4088" t="s">
        <v>4103</v>
      </c>
      <c r="B4088" t="s">
        <v>24</v>
      </c>
      <c r="C4088" t="s">
        <v>14</v>
      </c>
      <c r="D4088">
        <v>49</v>
      </c>
      <c r="E4088" s="1">
        <v>42528</v>
      </c>
      <c r="F4088">
        <v>2016</v>
      </c>
      <c r="G4088" t="s">
        <v>5032</v>
      </c>
      <c r="H4088">
        <v>7</v>
      </c>
      <c r="I4088">
        <v>4.9000000000000004</v>
      </c>
      <c r="J4088">
        <v>8</v>
      </c>
      <c r="K4088">
        <v>10924.83</v>
      </c>
      <c r="L4088">
        <v>9.4</v>
      </c>
    </row>
    <row r="4089" spans="1:12" x14ac:dyDescent="0.3">
      <c r="A4089" t="s">
        <v>4104</v>
      </c>
      <c r="B4089" t="s">
        <v>18</v>
      </c>
      <c r="C4089" t="s">
        <v>11</v>
      </c>
      <c r="D4089">
        <v>41</v>
      </c>
      <c r="E4089" s="1">
        <v>42807</v>
      </c>
      <c r="F4089">
        <v>2017</v>
      </c>
      <c r="G4089" t="s">
        <v>5035</v>
      </c>
      <c r="H4089">
        <v>13</v>
      </c>
      <c r="I4089">
        <v>3.34</v>
      </c>
      <c r="J4089">
        <v>6</v>
      </c>
      <c r="K4089">
        <v>5460.79</v>
      </c>
      <c r="L4089">
        <v>8.6</v>
      </c>
    </row>
    <row r="4090" spans="1:12" x14ac:dyDescent="0.3">
      <c r="A4090" t="s">
        <v>4105</v>
      </c>
      <c r="B4090" t="s">
        <v>34</v>
      </c>
      <c r="C4090" t="s">
        <v>11</v>
      </c>
      <c r="D4090">
        <v>54</v>
      </c>
      <c r="E4090" s="1">
        <v>45160</v>
      </c>
      <c r="F4090">
        <v>2023</v>
      </c>
      <c r="G4090" t="s">
        <v>5031</v>
      </c>
      <c r="H4090">
        <v>22</v>
      </c>
      <c r="I4090">
        <v>3.58</v>
      </c>
      <c r="J4090">
        <v>3</v>
      </c>
      <c r="K4090">
        <v>8986.64</v>
      </c>
      <c r="L4090">
        <v>2.2000000000000002</v>
      </c>
    </row>
    <row r="4091" spans="1:12" x14ac:dyDescent="0.3">
      <c r="A4091" t="s">
        <v>4106</v>
      </c>
      <c r="B4091" t="s">
        <v>18</v>
      </c>
      <c r="C4091" t="s">
        <v>11</v>
      </c>
      <c r="D4091">
        <v>23</v>
      </c>
      <c r="E4091" s="1">
        <v>43902</v>
      </c>
      <c r="F4091">
        <v>2020</v>
      </c>
      <c r="G4091" t="s">
        <v>5035</v>
      </c>
      <c r="H4091">
        <v>12</v>
      </c>
      <c r="I4091">
        <v>3.34</v>
      </c>
      <c r="J4091">
        <v>10</v>
      </c>
      <c r="K4091">
        <v>11858.69</v>
      </c>
      <c r="L4091">
        <v>5.6</v>
      </c>
    </row>
    <row r="4092" spans="1:12" x14ac:dyDescent="0.3">
      <c r="A4092" t="s">
        <v>4107</v>
      </c>
      <c r="B4092" t="s">
        <v>10</v>
      </c>
      <c r="C4092" t="s">
        <v>11</v>
      </c>
      <c r="D4092">
        <v>47</v>
      </c>
      <c r="E4092" s="1">
        <v>42715</v>
      </c>
      <c r="F4092">
        <v>2016</v>
      </c>
      <c r="G4092" t="s">
        <v>5041</v>
      </c>
      <c r="H4092">
        <v>11</v>
      </c>
      <c r="I4092">
        <v>4.24</v>
      </c>
      <c r="J4092">
        <v>0</v>
      </c>
      <c r="K4092">
        <v>7491.92</v>
      </c>
      <c r="L4092">
        <v>8.9</v>
      </c>
    </row>
    <row r="4093" spans="1:12" x14ac:dyDescent="0.3">
      <c r="A4093" t="s">
        <v>4108</v>
      </c>
      <c r="B4093" t="s">
        <v>34</v>
      </c>
      <c r="C4093" t="s">
        <v>14</v>
      </c>
      <c r="D4093">
        <v>48</v>
      </c>
      <c r="E4093" s="1">
        <v>40618</v>
      </c>
      <c r="F4093">
        <v>2011</v>
      </c>
      <c r="G4093" t="s">
        <v>5035</v>
      </c>
      <c r="H4093">
        <v>16</v>
      </c>
      <c r="I4093">
        <v>4.4000000000000004</v>
      </c>
      <c r="J4093">
        <v>9</v>
      </c>
      <c r="K4093">
        <v>11108.58</v>
      </c>
      <c r="L4093">
        <v>14.6</v>
      </c>
    </row>
    <row r="4094" spans="1:12" x14ac:dyDescent="0.3">
      <c r="A4094" t="s">
        <v>4109</v>
      </c>
      <c r="B4094" t="s">
        <v>18</v>
      </c>
      <c r="C4094" t="s">
        <v>11</v>
      </c>
      <c r="D4094">
        <v>28</v>
      </c>
      <c r="E4094" s="1">
        <v>40668</v>
      </c>
      <c r="F4094">
        <v>2011</v>
      </c>
      <c r="G4094" t="s">
        <v>5036</v>
      </c>
      <c r="H4094">
        <v>5</v>
      </c>
      <c r="I4094">
        <v>4.8600000000000003</v>
      </c>
      <c r="J4094">
        <v>6</v>
      </c>
      <c r="K4094">
        <v>10242.280000000001</v>
      </c>
      <c r="L4094">
        <v>14.5</v>
      </c>
    </row>
    <row r="4095" spans="1:12" x14ac:dyDescent="0.3">
      <c r="A4095" t="s">
        <v>4110</v>
      </c>
      <c r="B4095" t="s">
        <v>34</v>
      </c>
      <c r="C4095" t="s">
        <v>11</v>
      </c>
      <c r="D4095">
        <v>47</v>
      </c>
      <c r="E4095" s="1">
        <v>40325</v>
      </c>
      <c r="F4095">
        <v>2010</v>
      </c>
      <c r="G4095" t="s">
        <v>5036</v>
      </c>
      <c r="H4095">
        <v>27</v>
      </c>
      <c r="I4095">
        <v>4.33</v>
      </c>
      <c r="J4095">
        <v>13</v>
      </c>
      <c r="K4095">
        <v>7526.68</v>
      </c>
      <c r="L4095">
        <v>15.4</v>
      </c>
    </row>
    <row r="4096" spans="1:12" x14ac:dyDescent="0.3">
      <c r="A4096" t="s">
        <v>4111</v>
      </c>
      <c r="B4096" t="s">
        <v>16</v>
      </c>
      <c r="C4096" t="s">
        <v>14</v>
      </c>
      <c r="D4096">
        <v>39</v>
      </c>
      <c r="E4096" s="1">
        <v>45250</v>
      </c>
      <c r="F4096">
        <v>2023</v>
      </c>
      <c r="G4096" t="s">
        <v>5038</v>
      </c>
      <c r="H4096">
        <v>20</v>
      </c>
      <c r="I4096">
        <v>4.8</v>
      </c>
      <c r="J4096">
        <v>1</v>
      </c>
      <c r="K4096">
        <v>14576.38</v>
      </c>
      <c r="L4096">
        <v>2</v>
      </c>
    </row>
    <row r="4097" spans="1:12" x14ac:dyDescent="0.3">
      <c r="A4097" t="s">
        <v>4112</v>
      </c>
      <c r="B4097" t="s">
        <v>10</v>
      </c>
      <c r="C4097" t="s">
        <v>14</v>
      </c>
      <c r="D4097">
        <v>36</v>
      </c>
      <c r="E4097" s="1">
        <v>41353</v>
      </c>
      <c r="F4097">
        <v>2013</v>
      </c>
      <c r="G4097" t="s">
        <v>5035</v>
      </c>
      <c r="H4097">
        <v>20</v>
      </c>
      <c r="I4097">
        <v>2.4300000000000002</v>
      </c>
      <c r="J4097">
        <v>0</v>
      </c>
      <c r="K4097">
        <v>4156.92</v>
      </c>
      <c r="L4097">
        <v>12.6</v>
      </c>
    </row>
    <row r="4098" spans="1:12" x14ac:dyDescent="0.3">
      <c r="A4098" t="s">
        <v>4113</v>
      </c>
      <c r="B4098" t="s">
        <v>10</v>
      </c>
      <c r="C4098" t="s">
        <v>14</v>
      </c>
      <c r="D4098">
        <v>56</v>
      </c>
      <c r="E4098" s="1">
        <v>43028</v>
      </c>
      <c r="F4098">
        <v>2017</v>
      </c>
      <c r="G4098" t="s">
        <v>5039</v>
      </c>
      <c r="H4098">
        <v>20</v>
      </c>
      <c r="I4098">
        <v>3.02</v>
      </c>
      <c r="J4098">
        <v>9</v>
      </c>
      <c r="K4098">
        <v>3076.87</v>
      </c>
      <c r="L4098">
        <v>8</v>
      </c>
    </row>
    <row r="4099" spans="1:12" x14ac:dyDescent="0.3">
      <c r="A4099" t="s">
        <v>4114</v>
      </c>
      <c r="B4099" t="s">
        <v>18</v>
      </c>
      <c r="C4099" t="s">
        <v>14</v>
      </c>
      <c r="D4099">
        <v>38</v>
      </c>
      <c r="E4099" s="1">
        <v>42842</v>
      </c>
      <c r="F4099">
        <v>2017</v>
      </c>
      <c r="G4099" t="s">
        <v>5040</v>
      </c>
      <c r="H4099">
        <v>17</v>
      </c>
      <c r="I4099">
        <v>4.29</v>
      </c>
      <c r="J4099">
        <v>6</v>
      </c>
      <c r="K4099">
        <v>9336.8700000000008</v>
      </c>
      <c r="L4099">
        <v>8.5</v>
      </c>
    </row>
    <row r="4100" spans="1:12" x14ac:dyDescent="0.3">
      <c r="A4100" t="s">
        <v>4115</v>
      </c>
      <c r="B4100" t="s">
        <v>16</v>
      </c>
      <c r="C4100" t="s">
        <v>14</v>
      </c>
      <c r="D4100">
        <v>35</v>
      </c>
      <c r="E4100" s="1">
        <v>42339</v>
      </c>
      <c r="F4100">
        <v>2015</v>
      </c>
      <c r="G4100" t="s">
        <v>5041</v>
      </c>
      <c r="H4100">
        <v>1</v>
      </c>
      <c r="I4100">
        <v>2.5299999999999998</v>
      </c>
      <c r="J4100">
        <v>14</v>
      </c>
      <c r="K4100">
        <v>6742.39</v>
      </c>
      <c r="L4100">
        <v>9.9</v>
      </c>
    </row>
    <row r="4101" spans="1:12" x14ac:dyDescent="0.3">
      <c r="A4101" t="s">
        <v>4116</v>
      </c>
      <c r="B4101" t="s">
        <v>16</v>
      </c>
      <c r="C4101" t="s">
        <v>11</v>
      </c>
      <c r="D4101">
        <v>51</v>
      </c>
      <c r="E4101" s="1">
        <v>44962</v>
      </c>
      <c r="F4101">
        <v>2023</v>
      </c>
      <c r="G4101" t="s">
        <v>5042</v>
      </c>
      <c r="H4101">
        <v>5</v>
      </c>
      <c r="I4101">
        <v>4.67</v>
      </c>
      <c r="J4101">
        <v>11</v>
      </c>
      <c r="K4101">
        <v>13147.4</v>
      </c>
      <c r="L4101">
        <v>2.7</v>
      </c>
    </row>
    <row r="4102" spans="1:12" x14ac:dyDescent="0.3">
      <c r="A4102" t="s">
        <v>4117</v>
      </c>
      <c r="B4102" t="s">
        <v>10</v>
      </c>
      <c r="C4102" t="s">
        <v>14</v>
      </c>
      <c r="D4102">
        <v>45</v>
      </c>
      <c r="E4102" s="1">
        <v>41474</v>
      </c>
      <c r="F4102">
        <v>2013</v>
      </c>
      <c r="G4102" t="s">
        <v>5034</v>
      </c>
      <c r="H4102">
        <v>19</v>
      </c>
      <c r="I4102">
        <v>3.42</v>
      </c>
      <c r="J4102">
        <v>11</v>
      </c>
      <c r="K4102">
        <v>12341.17</v>
      </c>
      <c r="L4102">
        <v>12.3</v>
      </c>
    </row>
    <row r="4103" spans="1:12" x14ac:dyDescent="0.3">
      <c r="A4103" t="s">
        <v>4118</v>
      </c>
      <c r="B4103" t="s">
        <v>16</v>
      </c>
      <c r="C4103" t="s">
        <v>14</v>
      </c>
      <c r="D4103">
        <v>28</v>
      </c>
      <c r="E4103" s="1">
        <v>40504</v>
      </c>
      <c r="F4103">
        <v>2010</v>
      </c>
      <c r="G4103" t="s">
        <v>5038</v>
      </c>
      <c r="H4103">
        <v>22</v>
      </c>
      <c r="I4103">
        <v>2.48</v>
      </c>
      <c r="J4103">
        <v>6</v>
      </c>
      <c r="K4103">
        <v>9445.93</v>
      </c>
      <c r="L4103">
        <v>15</v>
      </c>
    </row>
    <row r="4104" spans="1:12" x14ac:dyDescent="0.3">
      <c r="A4104" t="s">
        <v>4119</v>
      </c>
      <c r="B4104" t="s">
        <v>13</v>
      </c>
      <c r="C4104" t="s">
        <v>14</v>
      </c>
      <c r="D4104">
        <v>50</v>
      </c>
      <c r="E4104" s="1">
        <v>44098</v>
      </c>
      <c r="F4104">
        <v>2020</v>
      </c>
      <c r="G4104" t="s">
        <v>5033</v>
      </c>
      <c r="H4104">
        <v>24</v>
      </c>
      <c r="I4104">
        <v>3.73</v>
      </c>
      <c r="J4104">
        <v>14</v>
      </c>
      <c r="K4104">
        <v>4982.25</v>
      </c>
      <c r="L4104">
        <v>5.0999999999999996</v>
      </c>
    </row>
    <row r="4105" spans="1:12" x14ac:dyDescent="0.3">
      <c r="A4105" t="s">
        <v>4120</v>
      </c>
      <c r="B4105" t="s">
        <v>24</v>
      </c>
      <c r="C4105" t="s">
        <v>11</v>
      </c>
      <c r="D4105">
        <v>43</v>
      </c>
      <c r="E4105" s="1">
        <v>44592</v>
      </c>
      <c r="F4105">
        <v>2022</v>
      </c>
      <c r="G4105" t="s">
        <v>5037</v>
      </c>
      <c r="H4105">
        <v>31</v>
      </c>
      <c r="I4105">
        <v>4.97</v>
      </c>
      <c r="J4105">
        <v>11</v>
      </c>
      <c r="K4105">
        <v>8894.18</v>
      </c>
      <c r="L4105">
        <v>3.8</v>
      </c>
    </row>
    <row r="4106" spans="1:12" x14ac:dyDescent="0.3">
      <c r="A4106" t="s">
        <v>4121</v>
      </c>
      <c r="B4106" t="s">
        <v>34</v>
      </c>
      <c r="C4106" t="s">
        <v>14</v>
      </c>
      <c r="D4106">
        <v>25</v>
      </c>
      <c r="E4106" s="1">
        <v>44097</v>
      </c>
      <c r="F4106">
        <v>2020</v>
      </c>
      <c r="G4106" t="s">
        <v>5033</v>
      </c>
      <c r="H4106">
        <v>23</v>
      </c>
      <c r="I4106">
        <v>3.7</v>
      </c>
      <c r="J4106">
        <v>3</v>
      </c>
      <c r="K4106">
        <v>7238.36</v>
      </c>
      <c r="L4106">
        <v>5.0999999999999996</v>
      </c>
    </row>
    <row r="4107" spans="1:12" x14ac:dyDescent="0.3">
      <c r="A4107" t="s">
        <v>4122</v>
      </c>
      <c r="B4107" t="s">
        <v>10</v>
      </c>
      <c r="C4107" t="s">
        <v>14</v>
      </c>
      <c r="D4107">
        <v>48</v>
      </c>
      <c r="E4107" s="1">
        <v>43243</v>
      </c>
      <c r="F4107">
        <v>2018</v>
      </c>
      <c r="G4107" t="s">
        <v>5036</v>
      </c>
      <c r="H4107">
        <v>23</v>
      </c>
      <c r="I4107">
        <v>2.2200000000000002</v>
      </c>
      <c r="J4107">
        <v>0</v>
      </c>
      <c r="K4107">
        <v>13219.88</v>
      </c>
      <c r="L4107">
        <v>7.4</v>
      </c>
    </row>
    <row r="4108" spans="1:12" x14ac:dyDescent="0.3">
      <c r="A4108" t="s">
        <v>4123</v>
      </c>
      <c r="B4108" t="s">
        <v>10</v>
      </c>
      <c r="C4108" t="s">
        <v>14</v>
      </c>
      <c r="D4108">
        <v>47</v>
      </c>
      <c r="E4108" s="1">
        <v>40617</v>
      </c>
      <c r="F4108">
        <v>2011</v>
      </c>
      <c r="G4108" t="s">
        <v>5035</v>
      </c>
      <c r="H4108">
        <v>15</v>
      </c>
      <c r="I4108">
        <v>1.58</v>
      </c>
      <c r="J4108">
        <v>1</v>
      </c>
      <c r="K4108">
        <v>11406.24</v>
      </c>
      <c r="L4108">
        <v>14.6</v>
      </c>
    </row>
    <row r="4109" spans="1:12" x14ac:dyDescent="0.3">
      <c r="A4109" t="s">
        <v>4124</v>
      </c>
      <c r="B4109" t="s">
        <v>16</v>
      </c>
      <c r="C4109" t="s">
        <v>11</v>
      </c>
      <c r="D4109">
        <v>45</v>
      </c>
      <c r="E4109" s="1">
        <v>43315</v>
      </c>
      <c r="F4109">
        <v>2018</v>
      </c>
      <c r="G4109" t="s">
        <v>5031</v>
      </c>
      <c r="H4109">
        <v>3</v>
      </c>
      <c r="I4109">
        <v>4.13</v>
      </c>
      <c r="J4109">
        <v>12</v>
      </c>
      <c r="K4109">
        <v>10735.18</v>
      </c>
      <c r="L4109">
        <v>7.3</v>
      </c>
    </row>
    <row r="4110" spans="1:12" x14ac:dyDescent="0.3">
      <c r="A4110" t="s">
        <v>4125</v>
      </c>
      <c r="B4110" t="s">
        <v>18</v>
      </c>
      <c r="C4110" t="s">
        <v>11</v>
      </c>
      <c r="D4110">
        <v>55</v>
      </c>
      <c r="E4110" s="1">
        <v>43587</v>
      </c>
      <c r="F4110">
        <v>2019</v>
      </c>
      <c r="G4110" t="s">
        <v>5036</v>
      </c>
      <c r="H4110">
        <v>2</v>
      </c>
      <c r="I4110">
        <v>3.17</v>
      </c>
      <c r="J4110">
        <v>6</v>
      </c>
      <c r="K4110">
        <v>11242.69</v>
      </c>
      <c r="L4110">
        <v>6.5</v>
      </c>
    </row>
    <row r="4111" spans="1:12" x14ac:dyDescent="0.3">
      <c r="A4111" t="s">
        <v>4126</v>
      </c>
      <c r="B4111" t="s">
        <v>10</v>
      </c>
      <c r="C4111" t="s">
        <v>11</v>
      </c>
      <c r="D4111">
        <v>29</v>
      </c>
      <c r="E4111" s="1">
        <v>44449</v>
      </c>
      <c r="F4111">
        <v>2021</v>
      </c>
      <c r="G4111" t="s">
        <v>5033</v>
      </c>
      <c r="H4111">
        <v>10</v>
      </c>
      <c r="I4111">
        <v>4.29</v>
      </c>
      <c r="J4111">
        <v>14</v>
      </c>
      <c r="K4111">
        <v>10999.81</v>
      </c>
      <c r="L4111">
        <v>4.0999999999999996</v>
      </c>
    </row>
    <row r="4112" spans="1:12" x14ac:dyDescent="0.3">
      <c r="A4112" t="s">
        <v>4127</v>
      </c>
      <c r="B4112" t="s">
        <v>24</v>
      </c>
      <c r="C4112" t="s">
        <v>11</v>
      </c>
      <c r="D4112">
        <v>43</v>
      </c>
      <c r="E4112" s="1">
        <v>41546</v>
      </c>
      <c r="F4112">
        <v>2013</v>
      </c>
      <c r="G4112" t="s">
        <v>5033</v>
      </c>
      <c r="H4112">
        <v>29</v>
      </c>
      <c r="I4112">
        <v>2.04</v>
      </c>
      <c r="J4112">
        <v>10</v>
      </c>
      <c r="K4112">
        <v>7266.97</v>
      </c>
      <c r="L4112">
        <v>12.1</v>
      </c>
    </row>
    <row r="4113" spans="1:12" x14ac:dyDescent="0.3">
      <c r="A4113" t="s">
        <v>4128</v>
      </c>
      <c r="B4113" t="s">
        <v>10</v>
      </c>
      <c r="C4113" t="s">
        <v>11</v>
      </c>
      <c r="D4113">
        <v>38</v>
      </c>
      <c r="E4113" s="1">
        <v>40665</v>
      </c>
      <c r="F4113">
        <v>2011</v>
      </c>
      <c r="G4113" t="s">
        <v>5036</v>
      </c>
      <c r="H4113">
        <v>2</v>
      </c>
      <c r="I4113">
        <v>4.6100000000000003</v>
      </c>
      <c r="J4113">
        <v>1</v>
      </c>
      <c r="K4113">
        <v>13942.63</v>
      </c>
      <c r="L4113">
        <v>14.5</v>
      </c>
    </row>
    <row r="4114" spans="1:12" x14ac:dyDescent="0.3">
      <c r="A4114" t="s">
        <v>4129</v>
      </c>
      <c r="B4114" t="s">
        <v>34</v>
      </c>
      <c r="C4114" t="s">
        <v>14</v>
      </c>
      <c r="D4114">
        <v>34</v>
      </c>
      <c r="E4114" s="1">
        <v>44285</v>
      </c>
      <c r="F4114">
        <v>2021</v>
      </c>
      <c r="G4114" t="s">
        <v>5035</v>
      </c>
      <c r="H4114">
        <v>30</v>
      </c>
      <c r="I4114">
        <v>2.48</v>
      </c>
      <c r="J4114">
        <v>11</v>
      </c>
      <c r="K4114">
        <v>8075.09</v>
      </c>
      <c r="L4114">
        <v>4.5999999999999996</v>
      </c>
    </row>
    <row r="4115" spans="1:12" x14ac:dyDescent="0.3">
      <c r="A4115" t="s">
        <v>4130</v>
      </c>
      <c r="B4115" t="s">
        <v>24</v>
      </c>
      <c r="C4115" t="s">
        <v>14</v>
      </c>
      <c r="D4115">
        <v>36</v>
      </c>
      <c r="E4115" s="1">
        <v>44062</v>
      </c>
      <c r="F4115">
        <v>2020</v>
      </c>
      <c r="G4115" t="s">
        <v>5031</v>
      </c>
      <c r="H4115">
        <v>19</v>
      </c>
      <c r="I4115">
        <v>2.35</v>
      </c>
      <c r="J4115">
        <v>10</v>
      </c>
      <c r="K4115">
        <v>12575.15</v>
      </c>
      <c r="L4115">
        <v>5.2</v>
      </c>
    </row>
    <row r="4116" spans="1:12" x14ac:dyDescent="0.3">
      <c r="A4116" t="s">
        <v>4131</v>
      </c>
      <c r="B4116" t="s">
        <v>13</v>
      </c>
      <c r="C4116" t="s">
        <v>11</v>
      </c>
      <c r="D4116">
        <v>49</v>
      </c>
      <c r="E4116" s="1">
        <v>40961</v>
      </c>
      <c r="F4116">
        <v>2012</v>
      </c>
      <c r="G4116" t="s">
        <v>5042</v>
      </c>
      <c r="H4116">
        <v>22</v>
      </c>
      <c r="I4116">
        <v>3.53</v>
      </c>
      <c r="J4116">
        <v>1</v>
      </c>
      <c r="K4116">
        <v>3373.55</v>
      </c>
      <c r="L4116">
        <v>13.7</v>
      </c>
    </row>
    <row r="4117" spans="1:12" x14ac:dyDescent="0.3">
      <c r="A4117" t="s">
        <v>4132</v>
      </c>
      <c r="B4117" t="s">
        <v>34</v>
      </c>
      <c r="C4117" t="s">
        <v>11</v>
      </c>
      <c r="D4117">
        <v>56</v>
      </c>
      <c r="E4117" s="1">
        <v>42019</v>
      </c>
      <c r="F4117">
        <v>2015</v>
      </c>
      <c r="G4117" t="s">
        <v>5037</v>
      </c>
      <c r="H4117">
        <v>15</v>
      </c>
      <c r="I4117">
        <v>3.37</v>
      </c>
      <c r="J4117">
        <v>14</v>
      </c>
      <c r="K4117">
        <v>9443.09</v>
      </c>
      <c r="L4117">
        <v>10.8</v>
      </c>
    </row>
    <row r="4118" spans="1:12" x14ac:dyDescent="0.3">
      <c r="A4118" t="s">
        <v>4133</v>
      </c>
      <c r="B4118" t="s">
        <v>18</v>
      </c>
      <c r="C4118" t="s">
        <v>11</v>
      </c>
      <c r="D4118">
        <v>25</v>
      </c>
      <c r="E4118" s="1">
        <v>45049</v>
      </c>
      <c r="F4118">
        <v>2023</v>
      </c>
      <c r="G4118" t="s">
        <v>5036</v>
      </c>
      <c r="H4118">
        <v>3</v>
      </c>
      <c r="I4118">
        <v>4.3099999999999996</v>
      </c>
      <c r="J4118">
        <v>15</v>
      </c>
      <c r="K4118">
        <v>5640.09</v>
      </c>
      <c r="L4118">
        <v>2.5</v>
      </c>
    </row>
    <row r="4119" spans="1:12" x14ac:dyDescent="0.3">
      <c r="A4119" t="s">
        <v>4134</v>
      </c>
      <c r="B4119" t="s">
        <v>18</v>
      </c>
      <c r="C4119" t="s">
        <v>11</v>
      </c>
      <c r="D4119">
        <v>58</v>
      </c>
      <c r="E4119" s="1">
        <v>43102</v>
      </c>
      <c r="F4119">
        <v>2018</v>
      </c>
      <c r="G4119" t="s">
        <v>5037</v>
      </c>
      <c r="H4119">
        <v>2</v>
      </c>
      <c r="I4119">
        <v>3.14</v>
      </c>
      <c r="J4119">
        <v>12</v>
      </c>
      <c r="K4119">
        <v>5098.6899999999996</v>
      </c>
      <c r="L4119">
        <v>7.8</v>
      </c>
    </row>
    <row r="4120" spans="1:12" x14ac:dyDescent="0.3">
      <c r="A4120" t="s">
        <v>4135</v>
      </c>
      <c r="B4120" t="s">
        <v>18</v>
      </c>
      <c r="C4120" t="s">
        <v>11</v>
      </c>
      <c r="D4120">
        <v>47</v>
      </c>
      <c r="E4120" s="1">
        <v>41198</v>
      </c>
      <c r="F4120">
        <v>2012</v>
      </c>
      <c r="G4120" t="s">
        <v>5039</v>
      </c>
      <c r="H4120">
        <v>16</v>
      </c>
      <c r="I4120">
        <v>3.48</v>
      </c>
      <c r="J4120">
        <v>6</v>
      </c>
      <c r="K4120">
        <v>6927.65</v>
      </c>
      <c r="L4120">
        <v>13.1</v>
      </c>
    </row>
    <row r="4121" spans="1:12" x14ac:dyDescent="0.3">
      <c r="A4121" t="s">
        <v>4136</v>
      </c>
      <c r="B4121" t="s">
        <v>18</v>
      </c>
      <c r="C4121" t="s">
        <v>11</v>
      </c>
      <c r="D4121">
        <v>56</v>
      </c>
      <c r="E4121" s="1">
        <v>42688</v>
      </c>
      <c r="F4121">
        <v>2016</v>
      </c>
      <c r="G4121" t="s">
        <v>5038</v>
      </c>
      <c r="H4121">
        <v>14</v>
      </c>
      <c r="I4121">
        <v>4.3499999999999996</v>
      </c>
      <c r="J4121">
        <v>4</v>
      </c>
      <c r="K4121">
        <v>8143.13</v>
      </c>
      <c r="L4121">
        <v>9</v>
      </c>
    </row>
    <row r="4122" spans="1:12" x14ac:dyDescent="0.3">
      <c r="A4122" t="s">
        <v>4137</v>
      </c>
      <c r="B4122" t="s">
        <v>13</v>
      </c>
      <c r="C4122" t="s">
        <v>14</v>
      </c>
      <c r="D4122">
        <v>50</v>
      </c>
      <c r="E4122" s="1">
        <v>44036</v>
      </c>
      <c r="F4122">
        <v>2020</v>
      </c>
      <c r="G4122" t="s">
        <v>5034</v>
      </c>
      <c r="H4122">
        <v>24</v>
      </c>
      <c r="I4122">
        <v>1.94</v>
      </c>
      <c r="J4122">
        <v>3</v>
      </c>
      <c r="K4122">
        <v>10995.09</v>
      </c>
      <c r="L4122">
        <v>5.3</v>
      </c>
    </row>
    <row r="4123" spans="1:12" x14ac:dyDescent="0.3">
      <c r="A4123" t="s">
        <v>4138</v>
      </c>
      <c r="B4123" t="s">
        <v>24</v>
      </c>
      <c r="C4123" t="s">
        <v>11</v>
      </c>
      <c r="D4123">
        <v>59</v>
      </c>
      <c r="E4123" s="1">
        <v>41311</v>
      </c>
      <c r="F4123">
        <v>2013</v>
      </c>
      <c r="G4123" t="s">
        <v>5042</v>
      </c>
      <c r="H4123">
        <v>6</v>
      </c>
      <c r="I4123">
        <v>5</v>
      </c>
      <c r="J4123">
        <v>0</v>
      </c>
      <c r="K4123">
        <v>11071.46</v>
      </c>
      <c r="L4123">
        <v>12.7</v>
      </c>
    </row>
    <row r="4124" spans="1:12" x14ac:dyDescent="0.3">
      <c r="A4124" t="s">
        <v>4139</v>
      </c>
      <c r="B4124" t="s">
        <v>10</v>
      </c>
      <c r="C4124" t="s">
        <v>14</v>
      </c>
      <c r="D4124">
        <v>35</v>
      </c>
      <c r="E4124" s="1">
        <v>42319</v>
      </c>
      <c r="F4124">
        <v>2015</v>
      </c>
      <c r="G4124" t="s">
        <v>5038</v>
      </c>
      <c r="H4124">
        <v>11</v>
      </c>
      <c r="I4124">
        <v>2.98</v>
      </c>
      <c r="J4124">
        <v>15</v>
      </c>
      <c r="K4124">
        <v>5752.74</v>
      </c>
      <c r="L4124">
        <v>10</v>
      </c>
    </row>
    <row r="4125" spans="1:12" x14ac:dyDescent="0.3">
      <c r="A4125" t="s">
        <v>4140</v>
      </c>
      <c r="B4125" t="s">
        <v>18</v>
      </c>
      <c r="C4125" t="s">
        <v>14</v>
      </c>
      <c r="D4125">
        <v>53</v>
      </c>
      <c r="E4125" s="1">
        <v>45202</v>
      </c>
      <c r="F4125">
        <v>2023</v>
      </c>
      <c r="G4125" t="s">
        <v>5039</v>
      </c>
      <c r="H4125">
        <v>3</v>
      </c>
      <c r="I4125">
        <v>3.32</v>
      </c>
      <c r="J4125">
        <v>1</v>
      </c>
      <c r="K4125">
        <v>10139.91</v>
      </c>
      <c r="L4125">
        <v>2.1</v>
      </c>
    </row>
    <row r="4126" spans="1:12" x14ac:dyDescent="0.3">
      <c r="A4126" t="s">
        <v>4141</v>
      </c>
      <c r="B4126" t="s">
        <v>13</v>
      </c>
      <c r="C4126" t="s">
        <v>11</v>
      </c>
      <c r="D4126">
        <v>34</v>
      </c>
      <c r="E4126" s="1">
        <v>41011</v>
      </c>
      <c r="F4126">
        <v>2012</v>
      </c>
      <c r="G4126" t="s">
        <v>5040</v>
      </c>
      <c r="H4126">
        <v>12</v>
      </c>
      <c r="I4126">
        <v>3.49</v>
      </c>
      <c r="J4126">
        <v>13</v>
      </c>
      <c r="K4126">
        <v>8711.0400000000009</v>
      </c>
      <c r="L4126">
        <v>13.6</v>
      </c>
    </row>
    <row r="4127" spans="1:12" x14ac:dyDescent="0.3">
      <c r="A4127" t="s">
        <v>4142</v>
      </c>
      <c r="B4127" t="s">
        <v>24</v>
      </c>
      <c r="C4127" t="s">
        <v>14</v>
      </c>
      <c r="D4127">
        <v>51</v>
      </c>
      <c r="E4127" s="1">
        <v>41244</v>
      </c>
      <c r="F4127">
        <v>2012</v>
      </c>
      <c r="G4127" t="s">
        <v>5041</v>
      </c>
      <c r="H4127">
        <v>1</v>
      </c>
      <c r="I4127">
        <v>1.51</v>
      </c>
      <c r="J4127">
        <v>5</v>
      </c>
      <c r="K4127">
        <v>6851.59</v>
      </c>
      <c r="L4127">
        <v>12.9</v>
      </c>
    </row>
    <row r="4128" spans="1:12" x14ac:dyDescent="0.3">
      <c r="A4128" t="s">
        <v>4143</v>
      </c>
      <c r="B4128" t="s">
        <v>18</v>
      </c>
      <c r="C4128" t="s">
        <v>11</v>
      </c>
      <c r="D4128">
        <v>25</v>
      </c>
      <c r="E4128" s="1">
        <v>42455</v>
      </c>
      <c r="F4128">
        <v>2016</v>
      </c>
      <c r="G4128" t="s">
        <v>5035</v>
      </c>
      <c r="H4128">
        <v>26</v>
      </c>
      <c r="I4128">
        <v>2.74</v>
      </c>
      <c r="J4128">
        <v>10</v>
      </c>
      <c r="K4128">
        <v>9265.34</v>
      </c>
      <c r="L4128">
        <v>9.6</v>
      </c>
    </row>
    <row r="4129" spans="1:12" x14ac:dyDescent="0.3">
      <c r="A4129" t="s">
        <v>4144</v>
      </c>
      <c r="B4129" t="s">
        <v>18</v>
      </c>
      <c r="C4129" t="s">
        <v>14</v>
      </c>
      <c r="D4129">
        <v>59</v>
      </c>
      <c r="E4129" s="1">
        <v>45185</v>
      </c>
      <c r="F4129">
        <v>2023</v>
      </c>
      <c r="G4129" t="s">
        <v>5033</v>
      </c>
      <c r="H4129">
        <v>16</v>
      </c>
      <c r="I4129">
        <v>2.21</v>
      </c>
      <c r="J4129">
        <v>13</v>
      </c>
      <c r="K4129">
        <v>10211.67</v>
      </c>
      <c r="L4129">
        <v>2.1</v>
      </c>
    </row>
    <row r="4130" spans="1:12" x14ac:dyDescent="0.3">
      <c r="A4130" t="s">
        <v>4145</v>
      </c>
      <c r="B4130" t="s">
        <v>24</v>
      </c>
      <c r="C4130" t="s">
        <v>11</v>
      </c>
      <c r="D4130">
        <v>40</v>
      </c>
      <c r="E4130" s="1">
        <v>41262</v>
      </c>
      <c r="F4130">
        <v>2012</v>
      </c>
      <c r="G4130" t="s">
        <v>5041</v>
      </c>
      <c r="H4130">
        <v>19</v>
      </c>
      <c r="I4130">
        <v>1.79</v>
      </c>
      <c r="J4130">
        <v>15</v>
      </c>
      <c r="K4130">
        <v>9276.9</v>
      </c>
      <c r="L4130">
        <v>12.9</v>
      </c>
    </row>
    <row r="4131" spans="1:12" x14ac:dyDescent="0.3">
      <c r="A4131" t="s">
        <v>4146</v>
      </c>
      <c r="B4131" t="s">
        <v>10</v>
      </c>
      <c r="C4131" t="s">
        <v>11</v>
      </c>
      <c r="D4131">
        <v>58</v>
      </c>
      <c r="E4131" s="1">
        <v>43232</v>
      </c>
      <c r="F4131">
        <v>2018</v>
      </c>
      <c r="G4131" t="s">
        <v>5036</v>
      </c>
      <c r="H4131">
        <v>12</v>
      </c>
      <c r="I4131">
        <v>3.06</v>
      </c>
      <c r="J4131">
        <v>4</v>
      </c>
      <c r="K4131">
        <v>4398.6400000000003</v>
      </c>
      <c r="L4131">
        <v>7.5</v>
      </c>
    </row>
    <row r="4132" spans="1:12" x14ac:dyDescent="0.3">
      <c r="A4132" t="s">
        <v>4147</v>
      </c>
      <c r="B4132" t="s">
        <v>16</v>
      </c>
      <c r="C4132" t="s">
        <v>14</v>
      </c>
      <c r="D4132">
        <v>52</v>
      </c>
      <c r="E4132" s="1">
        <v>43289</v>
      </c>
      <c r="F4132">
        <v>2018</v>
      </c>
      <c r="G4132" t="s">
        <v>5034</v>
      </c>
      <c r="H4132">
        <v>8</v>
      </c>
      <c r="I4132">
        <v>3.3</v>
      </c>
      <c r="J4132">
        <v>1</v>
      </c>
      <c r="K4132">
        <v>4952.2700000000004</v>
      </c>
      <c r="L4132">
        <v>7.3</v>
      </c>
    </row>
    <row r="4133" spans="1:12" x14ac:dyDescent="0.3">
      <c r="A4133" t="s">
        <v>4148</v>
      </c>
      <c r="B4133" t="s">
        <v>24</v>
      </c>
      <c r="C4133" t="s">
        <v>14</v>
      </c>
      <c r="D4133">
        <v>24</v>
      </c>
      <c r="E4133" s="1">
        <v>42325</v>
      </c>
      <c r="F4133">
        <v>2015</v>
      </c>
      <c r="G4133" t="s">
        <v>5038</v>
      </c>
      <c r="H4133">
        <v>17</v>
      </c>
      <c r="I4133">
        <v>1.76</v>
      </c>
      <c r="J4133">
        <v>5</v>
      </c>
      <c r="K4133">
        <v>9522.59</v>
      </c>
      <c r="L4133">
        <v>10</v>
      </c>
    </row>
    <row r="4134" spans="1:12" x14ac:dyDescent="0.3">
      <c r="A4134" t="s">
        <v>4149</v>
      </c>
      <c r="B4134" t="s">
        <v>18</v>
      </c>
      <c r="C4134" t="s">
        <v>11</v>
      </c>
      <c r="D4134">
        <v>25</v>
      </c>
      <c r="E4134" s="1">
        <v>43679</v>
      </c>
      <c r="F4134">
        <v>2019</v>
      </c>
      <c r="G4134" t="s">
        <v>5031</v>
      </c>
      <c r="H4134">
        <v>2</v>
      </c>
      <c r="I4134">
        <v>2</v>
      </c>
      <c r="J4134">
        <v>6</v>
      </c>
      <c r="K4134">
        <v>4416.63</v>
      </c>
      <c r="L4134">
        <v>6.3</v>
      </c>
    </row>
    <row r="4135" spans="1:12" x14ac:dyDescent="0.3">
      <c r="A4135" t="s">
        <v>4150</v>
      </c>
      <c r="B4135" t="s">
        <v>13</v>
      </c>
      <c r="C4135" t="s">
        <v>14</v>
      </c>
      <c r="D4135">
        <v>56</v>
      </c>
      <c r="E4135" s="1">
        <v>44076</v>
      </c>
      <c r="F4135">
        <v>2020</v>
      </c>
      <c r="G4135" t="s">
        <v>5033</v>
      </c>
      <c r="H4135">
        <v>2</v>
      </c>
      <c r="I4135">
        <v>3.09</v>
      </c>
      <c r="J4135">
        <v>1</v>
      </c>
      <c r="K4135">
        <v>7242.26</v>
      </c>
      <c r="L4135">
        <v>5.2</v>
      </c>
    </row>
    <row r="4136" spans="1:12" x14ac:dyDescent="0.3">
      <c r="A4136" t="s">
        <v>4151</v>
      </c>
      <c r="B4136" t="s">
        <v>10</v>
      </c>
      <c r="C4136" t="s">
        <v>14</v>
      </c>
      <c r="D4136">
        <v>33</v>
      </c>
      <c r="E4136" s="1">
        <v>42345</v>
      </c>
      <c r="F4136">
        <v>2015</v>
      </c>
      <c r="G4136" t="s">
        <v>5041</v>
      </c>
      <c r="H4136">
        <v>7</v>
      </c>
      <c r="I4136">
        <v>4.5999999999999996</v>
      </c>
      <c r="J4136">
        <v>6</v>
      </c>
      <c r="K4136">
        <v>12248.01</v>
      </c>
      <c r="L4136">
        <v>9.9</v>
      </c>
    </row>
    <row r="4137" spans="1:12" x14ac:dyDescent="0.3">
      <c r="A4137" t="s">
        <v>4152</v>
      </c>
      <c r="B4137" t="s">
        <v>10</v>
      </c>
      <c r="C4137" t="s">
        <v>11</v>
      </c>
      <c r="D4137">
        <v>55</v>
      </c>
      <c r="E4137" s="1">
        <v>44274</v>
      </c>
      <c r="F4137">
        <v>2021</v>
      </c>
      <c r="G4137" t="s">
        <v>5035</v>
      </c>
      <c r="H4137">
        <v>19</v>
      </c>
      <c r="I4137">
        <v>4.16</v>
      </c>
      <c r="J4137">
        <v>1</v>
      </c>
      <c r="K4137">
        <v>10270.26</v>
      </c>
      <c r="L4137">
        <v>4.5999999999999996</v>
      </c>
    </row>
    <row r="4138" spans="1:12" x14ac:dyDescent="0.3">
      <c r="A4138" t="s">
        <v>4153</v>
      </c>
      <c r="B4138" t="s">
        <v>10</v>
      </c>
      <c r="C4138" t="s">
        <v>14</v>
      </c>
      <c r="D4138">
        <v>53</v>
      </c>
      <c r="E4138" s="1">
        <v>43620</v>
      </c>
      <c r="F4138">
        <v>2019</v>
      </c>
      <c r="G4138" t="s">
        <v>5032</v>
      </c>
      <c r="H4138">
        <v>4</v>
      </c>
      <c r="I4138">
        <v>4.96</v>
      </c>
      <c r="J4138">
        <v>5</v>
      </c>
      <c r="K4138">
        <v>12686.85</v>
      </c>
      <c r="L4138">
        <v>6.4</v>
      </c>
    </row>
    <row r="4139" spans="1:12" x14ac:dyDescent="0.3">
      <c r="A4139" t="s">
        <v>4154</v>
      </c>
      <c r="B4139" t="s">
        <v>13</v>
      </c>
      <c r="C4139" t="s">
        <v>11</v>
      </c>
      <c r="D4139">
        <v>49</v>
      </c>
      <c r="E4139" s="1">
        <v>45110</v>
      </c>
      <c r="F4139">
        <v>2023</v>
      </c>
      <c r="G4139" t="s">
        <v>5034</v>
      </c>
      <c r="H4139">
        <v>3</v>
      </c>
      <c r="I4139">
        <v>4.25</v>
      </c>
      <c r="J4139">
        <v>9</v>
      </c>
      <c r="K4139">
        <v>9566.8799999999992</v>
      </c>
      <c r="L4139">
        <v>2.2999999999999998</v>
      </c>
    </row>
    <row r="4140" spans="1:12" x14ac:dyDescent="0.3">
      <c r="A4140" t="s">
        <v>4155</v>
      </c>
      <c r="B4140" t="s">
        <v>18</v>
      </c>
      <c r="C4140" t="s">
        <v>14</v>
      </c>
      <c r="D4140">
        <v>37</v>
      </c>
      <c r="E4140" s="1">
        <v>40532</v>
      </c>
      <c r="F4140">
        <v>2010</v>
      </c>
      <c r="G4140" t="s">
        <v>5041</v>
      </c>
      <c r="H4140">
        <v>20</v>
      </c>
      <c r="I4140">
        <v>3.79</v>
      </c>
      <c r="J4140">
        <v>12</v>
      </c>
      <c r="K4140">
        <v>13761.24</v>
      </c>
      <c r="L4140">
        <v>14.9</v>
      </c>
    </row>
    <row r="4141" spans="1:12" x14ac:dyDescent="0.3">
      <c r="A4141" t="s">
        <v>4156</v>
      </c>
      <c r="B4141" t="s">
        <v>16</v>
      </c>
      <c r="C4141" t="s">
        <v>11</v>
      </c>
      <c r="D4141">
        <v>55</v>
      </c>
      <c r="E4141" s="1">
        <v>44129</v>
      </c>
      <c r="F4141">
        <v>2020</v>
      </c>
      <c r="G4141" t="s">
        <v>5039</v>
      </c>
      <c r="H4141">
        <v>25</v>
      </c>
      <c r="I4141">
        <v>2.69</v>
      </c>
      <c r="J4141">
        <v>11</v>
      </c>
      <c r="K4141">
        <v>12992.79</v>
      </c>
      <c r="L4141">
        <v>5</v>
      </c>
    </row>
    <row r="4142" spans="1:12" x14ac:dyDescent="0.3">
      <c r="A4142" t="s">
        <v>4157</v>
      </c>
      <c r="B4142" t="s">
        <v>24</v>
      </c>
      <c r="C4142" t="s">
        <v>14</v>
      </c>
      <c r="D4142">
        <v>58</v>
      </c>
      <c r="E4142" s="1">
        <v>42687</v>
      </c>
      <c r="F4142">
        <v>2016</v>
      </c>
      <c r="G4142" t="s">
        <v>5038</v>
      </c>
      <c r="H4142">
        <v>13</v>
      </c>
      <c r="I4142">
        <v>4.96</v>
      </c>
      <c r="J4142">
        <v>8</v>
      </c>
      <c r="K4142">
        <v>10054.73</v>
      </c>
      <c r="L4142">
        <v>9</v>
      </c>
    </row>
    <row r="4143" spans="1:12" x14ac:dyDescent="0.3">
      <c r="A4143" t="s">
        <v>4158</v>
      </c>
      <c r="B4143" t="s">
        <v>24</v>
      </c>
      <c r="C4143" t="s">
        <v>14</v>
      </c>
      <c r="D4143">
        <v>41</v>
      </c>
      <c r="E4143" s="1">
        <v>44401</v>
      </c>
      <c r="F4143">
        <v>2021</v>
      </c>
      <c r="G4143" t="s">
        <v>5034</v>
      </c>
      <c r="H4143">
        <v>24</v>
      </c>
      <c r="I4143">
        <v>3.91</v>
      </c>
      <c r="J4143">
        <v>9</v>
      </c>
      <c r="K4143">
        <v>9761.2800000000007</v>
      </c>
      <c r="L4143">
        <v>4.3</v>
      </c>
    </row>
    <row r="4144" spans="1:12" x14ac:dyDescent="0.3">
      <c r="A4144" t="s">
        <v>4159</v>
      </c>
      <c r="B4144" t="s">
        <v>34</v>
      </c>
      <c r="C4144" t="s">
        <v>11</v>
      </c>
      <c r="D4144">
        <v>40</v>
      </c>
      <c r="E4144" s="1">
        <v>45373</v>
      </c>
      <c r="F4144">
        <v>2024</v>
      </c>
      <c r="G4144" t="s">
        <v>5035</v>
      </c>
      <c r="H4144">
        <v>22</v>
      </c>
      <c r="I4144">
        <v>2.2200000000000002</v>
      </c>
      <c r="J4144">
        <v>10</v>
      </c>
      <c r="K4144">
        <v>3567.32</v>
      </c>
      <c r="L4144">
        <v>1.6</v>
      </c>
    </row>
    <row r="4145" spans="1:12" x14ac:dyDescent="0.3">
      <c r="A4145" t="s">
        <v>4160</v>
      </c>
      <c r="B4145" t="s">
        <v>13</v>
      </c>
      <c r="C4145" t="s">
        <v>14</v>
      </c>
      <c r="D4145">
        <v>57</v>
      </c>
      <c r="E4145" s="1">
        <v>44864</v>
      </c>
      <c r="F4145">
        <v>2022</v>
      </c>
      <c r="G4145" t="s">
        <v>5039</v>
      </c>
      <c r="H4145">
        <v>30</v>
      </c>
      <c r="I4145">
        <v>3.32</v>
      </c>
      <c r="J4145">
        <v>11</v>
      </c>
      <c r="K4145">
        <v>12197.71</v>
      </c>
      <c r="L4145">
        <v>3</v>
      </c>
    </row>
    <row r="4146" spans="1:12" x14ac:dyDescent="0.3">
      <c r="A4146" t="s">
        <v>4161</v>
      </c>
      <c r="B4146" t="s">
        <v>13</v>
      </c>
      <c r="C4146" t="s">
        <v>11</v>
      </c>
      <c r="D4146">
        <v>25</v>
      </c>
      <c r="E4146" s="1">
        <v>44447</v>
      </c>
      <c r="F4146">
        <v>2021</v>
      </c>
      <c r="G4146" t="s">
        <v>5033</v>
      </c>
      <c r="H4146">
        <v>8</v>
      </c>
      <c r="I4146">
        <v>1.57</v>
      </c>
      <c r="J4146">
        <v>1</v>
      </c>
      <c r="K4146">
        <v>11784.71</v>
      </c>
      <c r="L4146">
        <v>4.2</v>
      </c>
    </row>
    <row r="4147" spans="1:12" x14ac:dyDescent="0.3">
      <c r="A4147" t="s">
        <v>4162</v>
      </c>
      <c r="B4147" t="s">
        <v>10</v>
      </c>
      <c r="C4147" t="s">
        <v>11</v>
      </c>
      <c r="D4147">
        <v>34</v>
      </c>
      <c r="E4147" s="1">
        <v>42556</v>
      </c>
      <c r="F4147">
        <v>2016</v>
      </c>
      <c r="G4147" t="s">
        <v>5034</v>
      </c>
      <c r="H4147">
        <v>5</v>
      </c>
      <c r="I4147">
        <v>1.86</v>
      </c>
      <c r="J4147">
        <v>10</v>
      </c>
      <c r="K4147">
        <v>5682.32</v>
      </c>
      <c r="L4147">
        <v>9.3000000000000007</v>
      </c>
    </row>
    <row r="4148" spans="1:12" x14ac:dyDescent="0.3">
      <c r="A4148" t="s">
        <v>4163</v>
      </c>
      <c r="B4148" t="s">
        <v>16</v>
      </c>
      <c r="C4148" t="s">
        <v>11</v>
      </c>
      <c r="D4148">
        <v>37</v>
      </c>
      <c r="E4148" s="1">
        <v>43102</v>
      </c>
      <c r="F4148">
        <v>2018</v>
      </c>
      <c r="G4148" t="s">
        <v>5037</v>
      </c>
      <c r="H4148">
        <v>2</v>
      </c>
      <c r="I4148">
        <v>2.4900000000000002</v>
      </c>
      <c r="J4148">
        <v>4</v>
      </c>
      <c r="K4148">
        <v>14479.18</v>
      </c>
      <c r="L4148">
        <v>7.8</v>
      </c>
    </row>
    <row r="4149" spans="1:12" x14ac:dyDescent="0.3">
      <c r="A4149" t="s">
        <v>4164</v>
      </c>
      <c r="B4149" t="s">
        <v>24</v>
      </c>
      <c r="C4149" t="s">
        <v>11</v>
      </c>
      <c r="D4149">
        <v>33</v>
      </c>
      <c r="E4149" s="1">
        <v>42007</v>
      </c>
      <c r="F4149">
        <v>2015</v>
      </c>
      <c r="G4149" t="s">
        <v>5037</v>
      </c>
      <c r="H4149">
        <v>3</v>
      </c>
      <c r="I4149">
        <v>4.75</v>
      </c>
      <c r="J4149">
        <v>14</v>
      </c>
      <c r="K4149">
        <v>8071.7</v>
      </c>
      <c r="L4149">
        <v>10.8</v>
      </c>
    </row>
    <row r="4150" spans="1:12" x14ac:dyDescent="0.3">
      <c r="A4150" t="s">
        <v>4165</v>
      </c>
      <c r="B4150" t="s">
        <v>16</v>
      </c>
      <c r="C4150" t="s">
        <v>14</v>
      </c>
      <c r="D4150">
        <v>43</v>
      </c>
      <c r="E4150" s="1">
        <v>41963</v>
      </c>
      <c r="F4150">
        <v>2014</v>
      </c>
      <c r="G4150" t="s">
        <v>5038</v>
      </c>
      <c r="H4150">
        <v>20</v>
      </c>
      <c r="I4150">
        <v>4.1900000000000004</v>
      </c>
      <c r="J4150">
        <v>7</v>
      </c>
      <c r="K4150">
        <v>6744.35</v>
      </c>
      <c r="L4150">
        <v>11</v>
      </c>
    </row>
    <row r="4151" spans="1:12" x14ac:dyDescent="0.3">
      <c r="A4151" t="s">
        <v>4166</v>
      </c>
      <c r="B4151" t="s">
        <v>10</v>
      </c>
      <c r="C4151" t="s">
        <v>11</v>
      </c>
      <c r="D4151">
        <v>28</v>
      </c>
      <c r="E4151" s="1">
        <v>43723</v>
      </c>
      <c r="F4151">
        <v>2019</v>
      </c>
      <c r="G4151" t="s">
        <v>5033</v>
      </c>
      <c r="H4151">
        <v>15</v>
      </c>
      <c r="I4151">
        <v>3.66</v>
      </c>
      <c r="J4151">
        <v>14</v>
      </c>
      <c r="K4151">
        <v>13289.99</v>
      </c>
      <c r="L4151">
        <v>6.1</v>
      </c>
    </row>
    <row r="4152" spans="1:12" x14ac:dyDescent="0.3">
      <c r="A4152" t="s">
        <v>4167</v>
      </c>
      <c r="B4152" t="s">
        <v>18</v>
      </c>
      <c r="C4152" t="s">
        <v>14</v>
      </c>
      <c r="D4152">
        <v>56</v>
      </c>
      <c r="E4152" s="1">
        <v>45028</v>
      </c>
      <c r="F4152">
        <v>2023</v>
      </c>
      <c r="G4152" t="s">
        <v>5040</v>
      </c>
      <c r="H4152">
        <v>12</v>
      </c>
      <c r="I4152">
        <v>2.9</v>
      </c>
      <c r="J4152">
        <v>9</v>
      </c>
      <c r="K4152">
        <v>4393.2299999999996</v>
      </c>
      <c r="L4152">
        <v>2.6</v>
      </c>
    </row>
    <row r="4153" spans="1:12" x14ac:dyDescent="0.3">
      <c r="A4153" t="s">
        <v>4168</v>
      </c>
      <c r="B4153" t="s">
        <v>24</v>
      </c>
      <c r="C4153" t="s">
        <v>14</v>
      </c>
      <c r="D4153">
        <v>53</v>
      </c>
      <c r="E4153" s="1">
        <v>45630</v>
      </c>
      <c r="F4153">
        <v>2024</v>
      </c>
      <c r="G4153" t="s">
        <v>5041</v>
      </c>
      <c r="H4153">
        <v>4</v>
      </c>
      <c r="I4153">
        <v>4.8099999999999996</v>
      </c>
      <c r="J4153">
        <v>9</v>
      </c>
      <c r="K4153">
        <v>3208.95</v>
      </c>
      <c r="L4153">
        <v>0.9</v>
      </c>
    </row>
    <row r="4154" spans="1:12" x14ac:dyDescent="0.3">
      <c r="A4154" t="s">
        <v>4169</v>
      </c>
      <c r="B4154" t="s">
        <v>10</v>
      </c>
      <c r="C4154" t="s">
        <v>14</v>
      </c>
      <c r="D4154">
        <v>23</v>
      </c>
      <c r="E4154" s="1">
        <v>43815</v>
      </c>
      <c r="F4154">
        <v>2019</v>
      </c>
      <c r="G4154" t="s">
        <v>5041</v>
      </c>
      <c r="H4154">
        <v>16</v>
      </c>
      <c r="I4154">
        <v>3.51</v>
      </c>
      <c r="J4154">
        <v>10</v>
      </c>
      <c r="K4154">
        <v>12342.42</v>
      </c>
      <c r="L4154">
        <v>5.9</v>
      </c>
    </row>
    <row r="4155" spans="1:12" x14ac:dyDescent="0.3">
      <c r="A4155" t="s">
        <v>4170</v>
      </c>
      <c r="B4155" t="s">
        <v>16</v>
      </c>
      <c r="C4155" t="s">
        <v>14</v>
      </c>
      <c r="D4155">
        <v>34</v>
      </c>
      <c r="E4155" s="1">
        <v>42858</v>
      </c>
      <c r="F4155">
        <v>2017</v>
      </c>
      <c r="G4155" t="s">
        <v>5036</v>
      </c>
      <c r="H4155">
        <v>3</v>
      </c>
      <c r="I4155">
        <v>4.91</v>
      </c>
      <c r="J4155">
        <v>4</v>
      </c>
      <c r="K4155">
        <v>4832.97</v>
      </c>
      <c r="L4155">
        <v>8.5</v>
      </c>
    </row>
    <row r="4156" spans="1:12" x14ac:dyDescent="0.3">
      <c r="A4156" t="s">
        <v>4171</v>
      </c>
      <c r="B4156" t="s">
        <v>10</v>
      </c>
      <c r="C4156" t="s">
        <v>11</v>
      </c>
      <c r="D4156">
        <v>28</v>
      </c>
      <c r="E4156" s="1">
        <v>41002</v>
      </c>
      <c r="F4156">
        <v>2012</v>
      </c>
      <c r="G4156" t="s">
        <v>5040</v>
      </c>
      <c r="H4156">
        <v>3</v>
      </c>
      <c r="I4156">
        <v>1.52</v>
      </c>
      <c r="J4156">
        <v>11</v>
      </c>
      <c r="K4156">
        <v>6203.06</v>
      </c>
      <c r="L4156">
        <v>13.6</v>
      </c>
    </row>
    <row r="4157" spans="1:12" x14ac:dyDescent="0.3">
      <c r="A4157" t="s">
        <v>4172</v>
      </c>
      <c r="B4157" t="s">
        <v>10</v>
      </c>
      <c r="C4157" t="s">
        <v>14</v>
      </c>
      <c r="D4157">
        <v>38</v>
      </c>
      <c r="E4157" s="1">
        <v>42768</v>
      </c>
      <c r="F4157">
        <v>2017</v>
      </c>
      <c r="G4157" t="s">
        <v>5042</v>
      </c>
      <c r="H4157">
        <v>2</v>
      </c>
      <c r="I4157">
        <v>2.69</v>
      </c>
      <c r="J4157">
        <v>0</v>
      </c>
      <c r="K4157">
        <v>11280.75</v>
      </c>
      <c r="L4157">
        <v>8.8000000000000007</v>
      </c>
    </row>
    <row r="4158" spans="1:12" x14ac:dyDescent="0.3">
      <c r="A4158" t="s">
        <v>4173</v>
      </c>
      <c r="B4158" t="s">
        <v>13</v>
      </c>
      <c r="C4158" t="s">
        <v>11</v>
      </c>
      <c r="D4158">
        <v>33</v>
      </c>
      <c r="E4158" s="1">
        <v>45334</v>
      </c>
      <c r="F4158">
        <v>2024</v>
      </c>
      <c r="G4158" t="s">
        <v>5042</v>
      </c>
      <c r="H4158">
        <v>12</v>
      </c>
      <c r="I4158">
        <v>3.55</v>
      </c>
      <c r="J4158">
        <v>15</v>
      </c>
      <c r="K4158">
        <v>9093.9699999999993</v>
      </c>
      <c r="L4158">
        <v>1.7</v>
      </c>
    </row>
    <row r="4159" spans="1:12" x14ac:dyDescent="0.3">
      <c r="A4159" t="s">
        <v>4174</v>
      </c>
      <c r="B4159" t="s">
        <v>24</v>
      </c>
      <c r="C4159" t="s">
        <v>11</v>
      </c>
      <c r="D4159">
        <v>40</v>
      </c>
      <c r="E4159" s="1">
        <v>45455</v>
      </c>
      <c r="F4159">
        <v>2024</v>
      </c>
      <c r="G4159" t="s">
        <v>5032</v>
      </c>
      <c r="H4159">
        <v>12</v>
      </c>
      <c r="I4159">
        <v>2.57</v>
      </c>
      <c r="J4159">
        <v>0</v>
      </c>
      <c r="K4159">
        <v>13826.51</v>
      </c>
      <c r="L4159">
        <v>1.4</v>
      </c>
    </row>
    <row r="4160" spans="1:12" x14ac:dyDescent="0.3">
      <c r="A4160" t="s">
        <v>4175</v>
      </c>
      <c r="B4160" t="s">
        <v>16</v>
      </c>
      <c r="C4160" t="s">
        <v>11</v>
      </c>
      <c r="D4160">
        <v>55</v>
      </c>
      <c r="E4160" s="1">
        <v>44487</v>
      </c>
      <c r="F4160">
        <v>2021</v>
      </c>
      <c r="G4160" t="s">
        <v>5039</v>
      </c>
      <c r="H4160">
        <v>18</v>
      </c>
      <c r="I4160">
        <v>4.88</v>
      </c>
      <c r="J4160">
        <v>9</v>
      </c>
      <c r="K4160">
        <v>6257.85</v>
      </c>
      <c r="L4160">
        <v>4</v>
      </c>
    </row>
    <row r="4161" spans="1:12" x14ac:dyDescent="0.3">
      <c r="A4161" t="s">
        <v>4176</v>
      </c>
      <c r="B4161" t="s">
        <v>16</v>
      </c>
      <c r="C4161" t="s">
        <v>11</v>
      </c>
      <c r="D4161">
        <v>47</v>
      </c>
      <c r="E4161" s="1">
        <v>44991</v>
      </c>
      <c r="F4161">
        <v>2023</v>
      </c>
      <c r="G4161" t="s">
        <v>5035</v>
      </c>
      <c r="H4161">
        <v>6</v>
      </c>
      <c r="I4161">
        <v>4.91</v>
      </c>
      <c r="J4161">
        <v>0</v>
      </c>
      <c r="K4161">
        <v>7864.94</v>
      </c>
      <c r="L4161">
        <v>2.7</v>
      </c>
    </row>
    <row r="4162" spans="1:12" x14ac:dyDescent="0.3">
      <c r="A4162" t="s">
        <v>4177</v>
      </c>
      <c r="B4162" t="s">
        <v>18</v>
      </c>
      <c r="C4162" t="s">
        <v>11</v>
      </c>
      <c r="D4162">
        <v>45</v>
      </c>
      <c r="E4162" s="1">
        <v>42813</v>
      </c>
      <c r="F4162">
        <v>2017</v>
      </c>
      <c r="G4162" t="s">
        <v>5035</v>
      </c>
      <c r="H4162">
        <v>19</v>
      </c>
      <c r="I4162">
        <v>1.79</v>
      </c>
      <c r="J4162">
        <v>9</v>
      </c>
      <c r="K4162">
        <v>9963.7199999999993</v>
      </c>
      <c r="L4162">
        <v>8.6</v>
      </c>
    </row>
    <row r="4163" spans="1:12" x14ac:dyDescent="0.3">
      <c r="A4163" t="s">
        <v>4178</v>
      </c>
      <c r="B4163" t="s">
        <v>18</v>
      </c>
      <c r="C4163" t="s">
        <v>14</v>
      </c>
      <c r="D4163">
        <v>60</v>
      </c>
      <c r="E4163" s="1">
        <v>42592</v>
      </c>
      <c r="F4163">
        <v>2016</v>
      </c>
      <c r="G4163" t="s">
        <v>5031</v>
      </c>
      <c r="H4163">
        <v>10</v>
      </c>
      <c r="I4163">
        <v>4.3099999999999996</v>
      </c>
      <c r="J4163">
        <v>1</v>
      </c>
      <c r="K4163">
        <v>6779.92</v>
      </c>
      <c r="L4163">
        <v>9.1999999999999993</v>
      </c>
    </row>
    <row r="4164" spans="1:12" x14ac:dyDescent="0.3">
      <c r="A4164" t="s">
        <v>4179</v>
      </c>
      <c r="B4164" t="s">
        <v>18</v>
      </c>
      <c r="C4164" t="s">
        <v>14</v>
      </c>
      <c r="D4164">
        <v>23</v>
      </c>
      <c r="E4164" s="1">
        <v>41325</v>
      </c>
      <c r="F4164">
        <v>2013</v>
      </c>
      <c r="G4164" t="s">
        <v>5042</v>
      </c>
      <c r="H4164">
        <v>20</v>
      </c>
      <c r="I4164">
        <v>1.71</v>
      </c>
      <c r="J4164">
        <v>1</v>
      </c>
      <c r="K4164">
        <v>3982.21</v>
      </c>
      <c r="L4164">
        <v>12.7</v>
      </c>
    </row>
    <row r="4165" spans="1:12" x14ac:dyDescent="0.3">
      <c r="A4165" t="s">
        <v>4180</v>
      </c>
      <c r="B4165" t="s">
        <v>24</v>
      </c>
      <c r="C4165" t="s">
        <v>14</v>
      </c>
      <c r="D4165">
        <v>28</v>
      </c>
      <c r="E4165" s="1">
        <v>42928</v>
      </c>
      <c r="F4165">
        <v>2017</v>
      </c>
      <c r="G4165" t="s">
        <v>5034</v>
      </c>
      <c r="H4165">
        <v>12</v>
      </c>
      <c r="I4165">
        <v>1.69</v>
      </c>
      <c r="J4165">
        <v>15</v>
      </c>
      <c r="K4165">
        <v>4428.47</v>
      </c>
      <c r="L4165">
        <v>8.3000000000000007</v>
      </c>
    </row>
    <row r="4166" spans="1:12" x14ac:dyDescent="0.3">
      <c r="A4166" t="s">
        <v>4181</v>
      </c>
      <c r="B4166" t="s">
        <v>10</v>
      </c>
      <c r="C4166" t="s">
        <v>14</v>
      </c>
      <c r="D4166">
        <v>53</v>
      </c>
      <c r="E4166" s="1">
        <v>43043</v>
      </c>
      <c r="F4166">
        <v>2017</v>
      </c>
      <c r="G4166" t="s">
        <v>5038</v>
      </c>
      <c r="H4166">
        <v>4</v>
      </c>
      <c r="I4166">
        <v>1.97</v>
      </c>
      <c r="J4166">
        <v>10</v>
      </c>
      <c r="K4166">
        <v>5482.86</v>
      </c>
      <c r="L4166">
        <v>8</v>
      </c>
    </row>
    <row r="4167" spans="1:12" x14ac:dyDescent="0.3">
      <c r="A4167" t="s">
        <v>4182</v>
      </c>
      <c r="B4167" t="s">
        <v>16</v>
      </c>
      <c r="C4167" t="s">
        <v>11</v>
      </c>
      <c r="D4167">
        <v>40</v>
      </c>
      <c r="E4167" s="1">
        <v>43045</v>
      </c>
      <c r="F4167">
        <v>2017</v>
      </c>
      <c r="G4167" t="s">
        <v>5038</v>
      </c>
      <c r="H4167">
        <v>6</v>
      </c>
      <c r="I4167">
        <v>3.04</v>
      </c>
      <c r="J4167">
        <v>6</v>
      </c>
      <c r="K4167">
        <v>7650.18</v>
      </c>
      <c r="L4167">
        <v>8</v>
      </c>
    </row>
    <row r="4168" spans="1:12" x14ac:dyDescent="0.3">
      <c r="A4168" t="s">
        <v>4183</v>
      </c>
      <c r="B4168" t="s">
        <v>18</v>
      </c>
      <c r="C4168" t="s">
        <v>14</v>
      </c>
      <c r="D4168">
        <v>27</v>
      </c>
      <c r="E4168" s="1">
        <v>43192</v>
      </c>
      <c r="F4168">
        <v>2018</v>
      </c>
      <c r="G4168" t="s">
        <v>5040</v>
      </c>
      <c r="H4168">
        <v>2</v>
      </c>
      <c r="I4168">
        <v>4.7</v>
      </c>
      <c r="J4168">
        <v>0</v>
      </c>
      <c r="K4168">
        <v>9261.74</v>
      </c>
      <c r="L4168">
        <v>7.6</v>
      </c>
    </row>
    <row r="4169" spans="1:12" x14ac:dyDescent="0.3">
      <c r="A4169" t="s">
        <v>4184</v>
      </c>
      <c r="B4169" t="s">
        <v>10</v>
      </c>
      <c r="C4169" t="s">
        <v>14</v>
      </c>
      <c r="D4169">
        <v>49</v>
      </c>
      <c r="E4169" s="1">
        <v>42963</v>
      </c>
      <c r="F4169">
        <v>2017</v>
      </c>
      <c r="G4169" t="s">
        <v>5031</v>
      </c>
      <c r="H4169">
        <v>16</v>
      </c>
      <c r="I4169">
        <v>2.37</v>
      </c>
      <c r="J4169">
        <v>4</v>
      </c>
      <c r="K4169">
        <v>13163.49</v>
      </c>
      <c r="L4169">
        <v>8.1999999999999993</v>
      </c>
    </row>
    <row r="4170" spans="1:12" x14ac:dyDescent="0.3">
      <c r="A4170" t="s">
        <v>4185</v>
      </c>
      <c r="B4170" t="s">
        <v>34</v>
      </c>
      <c r="C4170" t="s">
        <v>14</v>
      </c>
      <c r="D4170">
        <v>46</v>
      </c>
      <c r="E4170" s="1">
        <v>40345</v>
      </c>
      <c r="F4170">
        <v>2010</v>
      </c>
      <c r="G4170" t="s">
        <v>5032</v>
      </c>
      <c r="H4170">
        <v>16</v>
      </c>
      <c r="I4170">
        <v>3.86</v>
      </c>
      <c r="J4170">
        <v>4</v>
      </c>
      <c r="K4170">
        <v>3951.61</v>
      </c>
      <c r="L4170">
        <v>15.4</v>
      </c>
    </row>
    <row r="4171" spans="1:12" x14ac:dyDescent="0.3">
      <c r="A4171" t="s">
        <v>4186</v>
      </c>
      <c r="B4171" t="s">
        <v>24</v>
      </c>
      <c r="C4171" t="s">
        <v>11</v>
      </c>
      <c r="D4171">
        <v>32</v>
      </c>
      <c r="E4171" s="1">
        <v>41551</v>
      </c>
      <c r="F4171">
        <v>2013</v>
      </c>
      <c r="G4171" t="s">
        <v>5039</v>
      </c>
      <c r="H4171">
        <v>4</v>
      </c>
      <c r="I4171">
        <v>2.92</v>
      </c>
      <c r="J4171">
        <v>4</v>
      </c>
      <c r="K4171">
        <v>11012.9</v>
      </c>
      <c r="L4171">
        <v>12.1</v>
      </c>
    </row>
    <row r="4172" spans="1:12" x14ac:dyDescent="0.3">
      <c r="A4172" t="s">
        <v>4187</v>
      </c>
      <c r="B4172" t="s">
        <v>34</v>
      </c>
      <c r="C4172" t="s">
        <v>11</v>
      </c>
      <c r="D4172">
        <v>46</v>
      </c>
      <c r="E4172" s="1">
        <v>44582</v>
      </c>
      <c r="F4172">
        <v>2022</v>
      </c>
      <c r="G4172" t="s">
        <v>5037</v>
      </c>
      <c r="H4172">
        <v>21</v>
      </c>
      <c r="I4172">
        <v>4.54</v>
      </c>
      <c r="J4172">
        <v>5</v>
      </c>
      <c r="K4172">
        <v>7542.81</v>
      </c>
      <c r="L4172">
        <v>3.8</v>
      </c>
    </row>
    <row r="4173" spans="1:12" x14ac:dyDescent="0.3">
      <c r="A4173" t="s">
        <v>4188</v>
      </c>
      <c r="B4173" t="s">
        <v>18</v>
      </c>
      <c r="C4173" t="s">
        <v>14</v>
      </c>
      <c r="D4173">
        <v>37</v>
      </c>
      <c r="E4173" s="1">
        <v>43779</v>
      </c>
      <c r="F4173">
        <v>2019</v>
      </c>
      <c r="G4173" t="s">
        <v>5038</v>
      </c>
      <c r="H4173">
        <v>10</v>
      </c>
      <c r="I4173">
        <v>3.72</v>
      </c>
      <c r="J4173">
        <v>9</v>
      </c>
      <c r="K4173">
        <v>6640.37</v>
      </c>
      <c r="L4173">
        <v>6</v>
      </c>
    </row>
    <row r="4174" spans="1:12" x14ac:dyDescent="0.3">
      <c r="A4174" t="s">
        <v>4189</v>
      </c>
      <c r="B4174" t="s">
        <v>10</v>
      </c>
      <c r="C4174" t="s">
        <v>14</v>
      </c>
      <c r="D4174">
        <v>49</v>
      </c>
      <c r="E4174" s="1">
        <v>43174</v>
      </c>
      <c r="F4174">
        <v>2018</v>
      </c>
      <c r="G4174" t="s">
        <v>5035</v>
      </c>
      <c r="H4174">
        <v>15</v>
      </c>
      <c r="I4174">
        <v>1.88</v>
      </c>
      <c r="J4174">
        <v>1</v>
      </c>
      <c r="K4174">
        <v>9808.17</v>
      </c>
      <c r="L4174">
        <v>7.6</v>
      </c>
    </row>
    <row r="4175" spans="1:12" x14ac:dyDescent="0.3">
      <c r="A4175" t="s">
        <v>4190</v>
      </c>
      <c r="B4175" t="s">
        <v>10</v>
      </c>
      <c r="C4175" t="s">
        <v>14</v>
      </c>
      <c r="D4175">
        <v>43</v>
      </c>
      <c r="E4175" s="1">
        <v>42312</v>
      </c>
      <c r="F4175">
        <v>2015</v>
      </c>
      <c r="G4175" t="s">
        <v>5038</v>
      </c>
      <c r="H4175">
        <v>4</v>
      </c>
      <c r="I4175">
        <v>3.71</v>
      </c>
      <c r="J4175">
        <v>4</v>
      </c>
      <c r="K4175">
        <v>5255.94</v>
      </c>
      <c r="L4175">
        <v>10</v>
      </c>
    </row>
    <row r="4176" spans="1:12" x14ac:dyDescent="0.3">
      <c r="A4176" t="s">
        <v>4191</v>
      </c>
      <c r="B4176" t="s">
        <v>34</v>
      </c>
      <c r="C4176" t="s">
        <v>11</v>
      </c>
      <c r="D4176">
        <v>32</v>
      </c>
      <c r="E4176" s="1">
        <v>42364</v>
      </c>
      <c r="F4176">
        <v>2015</v>
      </c>
      <c r="G4176" t="s">
        <v>5041</v>
      </c>
      <c r="H4176">
        <v>26</v>
      </c>
      <c r="I4176">
        <v>1.69</v>
      </c>
      <c r="J4176">
        <v>1</v>
      </c>
      <c r="K4176">
        <v>7060.13</v>
      </c>
      <c r="L4176">
        <v>9.9</v>
      </c>
    </row>
    <row r="4177" spans="1:12" x14ac:dyDescent="0.3">
      <c r="A4177" t="s">
        <v>4192</v>
      </c>
      <c r="B4177" t="s">
        <v>16</v>
      </c>
      <c r="C4177" t="s">
        <v>14</v>
      </c>
      <c r="D4177">
        <v>48</v>
      </c>
      <c r="E4177" s="1">
        <v>41607</v>
      </c>
      <c r="F4177">
        <v>2013</v>
      </c>
      <c r="G4177" t="s">
        <v>5038</v>
      </c>
      <c r="H4177">
        <v>29</v>
      </c>
      <c r="I4177">
        <v>1.75</v>
      </c>
      <c r="J4177">
        <v>10</v>
      </c>
      <c r="K4177">
        <v>6410.46</v>
      </c>
      <c r="L4177">
        <v>11.9</v>
      </c>
    </row>
    <row r="4178" spans="1:12" x14ac:dyDescent="0.3">
      <c r="A4178" t="s">
        <v>4193</v>
      </c>
      <c r="B4178" t="s">
        <v>24</v>
      </c>
      <c r="C4178" t="s">
        <v>11</v>
      </c>
      <c r="D4178">
        <v>27</v>
      </c>
      <c r="E4178" s="1">
        <v>45661</v>
      </c>
      <c r="F4178">
        <v>2025</v>
      </c>
      <c r="G4178" t="s">
        <v>5037</v>
      </c>
      <c r="H4178">
        <v>4</v>
      </c>
      <c r="I4178">
        <v>3.1</v>
      </c>
      <c r="J4178">
        <v>8</v>
      </c>
      <c r="K4178">
        <v>3072.73</v>
      </c>
      <c r="L4178">
        <v>0.8</v>
      </c>
    </row>
    <row r="4179" spans="1:12" x14ac:dyDescent="0.3">
      <c r="A4179" t="s">
        <v>4194</v>
      </c>
      <c r="B4179" t="s">
        <v>34</v>
      </c>
      <c r="C4179" t="s">
        <v>14</v>
      </c>
      <c r="D4179">
        <v>54</v>
      </c>
      <c r="E4179" s="1">
        <v>42369</v>
      </c>
      <c r="F4179">
        <v>2015</v>
      </c>
      <c r="G4179" t="s">
        <v>5041</v>
      </c>
      <c r="H4179">
        <v>31</v>
      </c>
      <c r="I4179">
        <v>4.1900000000000004</v>
      </c>
      <c r="J4179">
        <v>12</v>
      </c>
      <c r="K4179">
        <v>7353.29</v>
      </c>
      <c r="L4179">
        <v>9.8000000000000007</v>
      </c>
    </row>
    <row r="4180" spans="1:12" x14ac:dyDescent="0.3">
      <c r="A4180" t="s">
        <v>4195</v>
      </c>
      <c r="B4180" t="s">
        <v>24</v>
      </c>
      <c r="C4180" t="s">
        <v>14</v>
      </c>
      <c r="D4180">
        <v>42</v>
      </c>
      <c r="E4180" s="1">
        <v>44664</v>
      </c>
      <c r="F4180">
        <v>2022</v>
      </c>
      <c r="G4180" t="s">
        <v>5040</v>
      </c>
      <c r="H4180">
        <v>13</v>
      </c>
      <c r="I4180">
        <v>4.45</v>
      </c>
      <c r="J4180">
        <v>7</v>
      </c>
      <c r="K4180">
        <v>5193.9799999999996</v>
      </c>
      <c r="L4180">
        <v>3.6</v>
      </c>
    </row>
    <row r="4181" spans="1:12" x14ac:dyDescent="0.3">
      <c r="A4181" t="s">
        <v>4196</v>
      </c>
      <c r="B4181" t="s">
        <v>24</v>
      </c>
      <c r="C4181" t="s">
        <v>14</v>
      </c>
      <c r="D4181">
        <v>25</v>
      </c>
      <c r="E4181" s="1">
        <v>41027</v>
      </c>
      <c r="F4181">
        <v>2012</v>
      </c>
      <c r="G4181" t="s">
        <v>5040</v>
      </c>
      <c r="H4181">
        <v>28</v>
      </c>
      <c r="I4181">
        <v>2.99</v>
      </c>
      <c r="J4181">
        <v>15</v>
      </c>
      <c r="K4181">
        <v>13773.48</v>
      </c>
      <c r="L4181">
        <v>13.5</v>
      </c>
    </row>
    <row r="4182" spans="1:12" x14ac:dyDescent="0.3">
      <c r="A4182" t="s">
        <v>4197</v>
      </c>
      <c r="B4182" t="s">
        <v>16</v>
      </c>
      <c r="C4182" t="s">
        <v>11</v>
      </c>
      <c r="D4182">
        <v>58</v>
      </c>
      <c r="E4182" s="1">
        <v>44460</v>
      </c>
      <c r="F4182">
        <v>2021</v>
      </c>
      <c r="G4182" t="s">
        <v>5033</v>
      </c>
      <c r="H4182">
        <v>21</v>
      </c>
      <c r="I4182">
        <v>4.99</v>
      </c>
      <c r="J4182">
        <v>7</v>
      </c>
      <c r="K4182">
        <v>11584.42</v>
      </c>
      <c r="L4182">
        <v>4.0999999999999996</v>
      </c>
    </row>
    <row r="4183" spans="1:12" x14ac:dyDescent="0.3">
      <c r="A4183" t="s">
        <v>4198</v>
      </c>
      <c r="B4183" t="s">
        <v>34</v>
      </c>
      <c r="C4183" t="s">
        <v>14</v>
      </c>
      <c r="D4183">
        <v>32</v>
      </c>
      <c r="E4183" s="1">
        <v>42033</v>
      </c>
      <c r="F4183">
        <v>2015</v>
      </c>
      <c r="G4183" t="s">
        <v>5037</v>
      </c>
      <c r="H4183">
        <v>29</v>
      </c>
      <c r="I4183">
        <v>3.68</v>
      </c>
      <c r="J4183">
        <v>3</v>
      </c>
      <c r="K4183">
        <v>3280.77</v>
      </c>
      <c r="L4183">
        <v>10.8</v>
      </c>
    </row>
    <row r="4184" spans="1:12" x14ac:dyDescent="0.3">
      <c r="A4184" t="s">
        <v>4199</v>
      </c>
      <c r="B4184" t="s">
        <v>16</v>
      </c>
      <c r="C4184" t="s">
        <v>14</v>
      </c>
      <c r="D4184">
        <v>41</v>
      </c>
      <c r="E4184" s="1">
        <v>45936</v>
      </c>
      <c r="F4184">
        <v>2025</v>
      </c>
      <c r="G4184" t="s">
        <v>5039</v>
      </c>
      <c r="H4184">
        <v>6</v>
      </c>
      <c r="I4184">
        <v>2.2000000000000002</v>
      </c>
      <c r="J4184">
        <v>8</v>
      </c>
      <c r="K4184">
        <v>3180.42</v>
      </c>
      <c r="L4184">
        <v>0.1</v>
      </c>
    </row>
    <row r="4185" spans="1:12" x14ac:dyDescent="0.3">
      <c r="A4185" t="s">
        <v>4200</v>
      </c>
      <c r="B4185" t="s">
        <v>18</v>
      </c>
      <c r="C4185" t="s">
        <v>11</v>
      </c>
      <c r="D4185">
        <v>39</v>
      </c>
      <c r="E4185" s="1">
        <v>43779</v>
      </c>
      <c r="F4185">
        <v>2019</v>
      </c>
      <c r="G4185" t="s">
        <v>5038</v>
      </c>
      <c r="H4185">
        <v>10</v>
      </c>
      <c r="I4185">
        <v>1.77</v>
      </c>
      <c r="J4185">
        <v>6</v>
      </c>
      <c r="K4185">
        <v>7248.06</v>
      </c>
      <c r="L4185">
        <v>6</v>
      </c>
    </row>
    <row r="4186" spans="1:12" x14ac:dyDescent="0.3">
      <c r="A4186" t="s">
        <v>4201</v>
      </c>
      <c r="B4186" t="s">
        <v>16</v>
      </c>
      <c r="C4186" t="s">
        <v>14</v>
      </c>
      <c r="D4186">
        <v>45</v>
      </c>
      <c r="E4186" s="1">
        <v>45102</v>
      </c>
      <c r="F4186">
        <v>2023</v>
      </c>
      <c r="G4186" t="s">
        <v>5032</v>
      </c>
      <c r="H4186">
        <v>25</v>
      </c>
      <c r="I4186">
        <v>3.89</v>
      </c>
      <c r="J4186">
        <v>3</v>
      </c>
      <c r="K4186">
        <v>9048.31</v>
      </c>
      <c r="L4186">
        <v>2.4</v>
      </c>
    </row>
    <row r="4187" spans="1:12" x14ac:dyDescent="0.3">
      <c r="A4187" t="s">
        <v>4202</v>
      </c>
      <c r="B4187" t="s">
        <v>18</v>
      </c>
      <c r="C4187" t="s">
        <v>11</v>
      </c>
      <c r="D4187">
        <v>51</v>
      </c>
      <c r="E4187" s="1">
        <v>41634</v>
      </c>
      <c r="F4187">
        <v>2013</v>
      </c>
      <c r="G4187" t="s">
        <v>5041</v>
      </c>
      <c r="H4187">
        <v>26</v>
      </c>
      <c r="I4187">
        <v>1.89</v>
      </c>
      <c r="J4187">
        <v>14</v>
      </c>
      <c r="K4187">
        <v>10844.7</v>
      </c>
      <c r="L4187">
        <v>11.9</v>
      </c>
    </row>
    <row r="4188" spans="1:12" x14ac:dyDescent="0.3">
      <c r="A4188" t="s">
        <v>4203</v>
      </c>
      <c r="B4188" t="s">
        <v>16</v>
      </c>
      <c r="C4188" t="s">
        <v>14</v>
      </c>
      <c r="D4188">
        <v>60</v>
      </c>
      <c r="E4188" s="1">
        <v>42845</v>
      </c>
      <c r="F4188">
        <v>2017</v>
      </c>
      <c r="G4188" t="s">
        <v>5040</v>
      </c>
      <c r="H4188">
        <v>20</v>
      </c>
      <c r="I4188">
        <v>3.31</v>
      </c>
      <c r="J4188">
        <v>12</v>
      </c>
      <c r="K4188">
        <v>9551.51</v>
      </c>
      <c r="L4188">
        <v>8.5</v>
      </c>
    </row>
    <row r="4189" spans="1:12" x14ac:dyDescent="0.3">
      <c r="A4189" t="s">
        <v>4204</v>
      </c>
      <c r="B4189" t="s">
        <v>18</v>
      </c>
      <c r="C4189" t="s">
        <v>14</v>
      </c>
      <c r="D4189">
        <v>53</v>
      </c>
      <c r="E4189" s="1">
        <v>40250</v>
      </c>
      <c r="F4189">
        <v>2010</v>
      </c>
      <c r="G4189" t="s">
        <v>5035</v>
      </c>
      <c r="H4189">
        <v>13</v>
      </c>
      <c r="I4189">
        <v>3.56</v>
      </c>
      <c r="J4189">
        <v>6</v>
      </c>
      <c r="K4189">
        <v>9014.07</v>
      </c>
      <c r="L4189">
        <v>15.6</v>
      </c>
    </row>
    <row r="4190" spans="1:12" x14ac:dyDescent="0.3">
      <c r="A4190" t="s">
        <v>4205</v>
      </c>
      <c r="B4190" t="s">
        <v>18</v>
      </c>
      <c r="C4190" t="s">
        <v>14</v>
      </c>
      <c r="D4190">
        <v>48</v>
      </c>
      <c r="E4190" s="1">
        <v>45961</v>
      </c>
      <c r="F4190">
        <v>2025</v>
      </c>
      <c r="G4190" t="s">
        <v>5039</v>
      </c>
      <c r="H4190">
        <v>31</v>
      </c>
      <c r="I4190">
        <v>4.8899999999999997</v>
      </c>
      <c r="J4190">
        <v>8</v>
      </c>
      <c r="K4190">
        <v>3682.82</v>
      </c>
      <c r="L4190">
        <v>0</v>
      </c>
    </row>
    <row r="4191" spans="1:12" x14ac:dyDescent="0.3">
      <c r="A4191" t="s">
        <v>4206</v>
      </c>
      <c r="B4191" t="s">
        <v>24</v>
      </c>
      <c r="C4191" t="s">
        <v>14</v>
      </c>
      <c r="D4191">
        <v>31</v>
      </c>
      <c r="E4191" s="1">
        <v>41825</v>
      </c>
      <c r="F4191">
        <v>2014</v>
      </c>
      <c r="G4191" t="s">
        <v>5034</v>
      </c>
      <c r="H4191">
        <v>5</v>
      </c>
      <c r="I4191">
        <v>3.89</v>
      </c>
      <c r="J4191">
        <v>10</v>
      </c>
      <c r="K4191">
        <v>10868.39</v>
      </c>
      <c r="L4191">
        <v>11.3</v>
      </c>
    </row>
    <row r="4192" spans="1:12" x14ac:dyDescent="0.3">
      <c r="A4192" t="s">
        <v>4207</v>
      </c>
      <c r="B4192" t="s">
        <v>34</v>
      </c>
      <c r="C4192" t="s">
        <v>11</v>
      </c>
      <c r="D4192">
        <v>57</v>
      </c>
      <c r="E4192" s="1">
        <v>44337</v>
      </c>
      <c r="F4192">
        <v>2021</v>
      </c>
      <c r="G4192" t="s">
        <v>5036</v>
      </c>
      <c r="H4192">
        <v>21</v>
      </c>
      <c r="I4192">
        <v>3.34</v>
      </c>
      <c r="J4192">
        <v>15</v>
      </c>
      <c r="K4192">
        <v>10487.39</v>
      </c>
      <c r="L4192">
        <v>4.5</v>
      </c>
    </row>
    <row r="4193" spans="1:12" x14ac:dyDescent="0.3">
      <c r="A4193" t="s">
        <v>4208</v>
      </c>
      <c r="B4193" t="s">
        <v>18</v>
      </c>
      <c r="C4193" t="s">
        <v>14</v>
      </c>
      <c r="D4193">
        <v>40</v>
      </c>
      <c r="E4193" s="1">
        <v>40298</v>
      </c>
      <c r="F4193">
        <v>2010</v>
      </c>
      <c r="G4193" t="s">
        <v>5040</v>
      </c>
      <c r="H4193">
        <v>30</v>
      </c>
      <c r="I4193">
        <v>2.4900000000000002</v>
      </c>
      <c r="J4193">
        <v>14</v>
      </c>
      <c r="K4193">
        <v>4196.82</v>
      </c>
      <c r="L4193">
        <v>15.5</v>
      </c>
    </row>
    <row r="4194" spans="1:12" x14ac:dyDescent="0.3">
      <c r="A4194" t="s">
        <v>4209</v>
      </c>
      <c r="B4194" t="s">
        <v>16</v>
      </c>
      <c r="C4194" t="s">
        <v>11</v>
      </c>
      <c r="D4194">
        <v>45</v>
      </c>
      <c r="E4194" s="1">
        <v>44068</v>
      </c>
      <c r="F4194">
        <v>2020</v>
      </c>
      <c r="G4194" t="s">
        <v>5031</v>
      </c>
      <c r="H4194">
        <v>25</v>
      </c>
      <c r="I4194">
        <v>3.8</v>
      </c>
      <c r="J4194">
        <v>5</v>
      </c>
      <c r="K4194">
        <v>13957.28</v>
      </c>
      <c r="L4194">
        <v>5.2</v>
      </c>
    </row>
    <row r="4195" spans="1:12" x14ac:dyDescent="0.3">
      <c r="A4195" t="s">
        <v>4210</v>
      </c>
      <c r="B4195" t="s">
        <v>10</v>
      </c>
      <c r="C4195" t="s">
        <v>14</v>
      </c>
      <c r="D4195">
        <v>52</v>
      </c>
      <c r="E4195" s="1">
        <v>43551</v>
      </c>
      <c r="F4195">
        <v>2019</v>
      </c>
      <c r="G4195" t="s">
        <v>5035</v>
      </c>
      <c r="H4195">
        <v>27</v>
      </c>
      <c r="I4195">
        <v>4.08</v>
      </c>
      <c r="J4195">
        <v>10</v>
      </c>
      <c r="K4195">
        <v>6569.18</v>
      </c>
      <c r="L4195">
        <v>6.6</v>
      </c>
    </row>
    <row r="4196" spans="1:12" x14ac:dyDescent="0.3">
      <c r="A4196" t="s">
        <v>4211</v>
      </c>
      <c r="B4196" t="s">
        <v>13</v>
      </c>
      <c r="C4196" t="s">
        <v>11</v>
      </c>
      <c r="D4196">
        <v>33</v>
      </c>
      <c r="E4196" s="1">
        <v>45380</v>
      </c>
      <c r="F4196">
        <v>2024</v>
      </c>
      <c r="G4196" t="s">
        <v>5035</v>
      </c>
      <c r="H4196">
        <v>29</v>
      </c>
      <c r="I4196">
        <v>1.69</v>
      </c>
      <c r="J4196">
        <v>5</v>
      </c>
      <c r="K4196">
        <v>14949.26</v>
      </c>
      <c r="L4196">
        <v>1.6</v>
      </c>
    </row>
    <row r="4197" spans="1:12" x14ac:dyDescent="0.3">
      <c r="A4197" t="s">
        <v>4212</v>
      </c>
      <c r="B4197" t="s">
        <v>10</v>
      </c>
      <c r="C4197" t="s">
        <v>11</v>
      </c>
      <c r="D4197">
        <v>41</v>
      </c>
      <c r="E4197" s="1">
        <v>43870</v>
      </c>
      <c r="F4197">
        <v>2020</v>
      </c>
      <c r="G4197" t="s">
        <v>5042</v>
      </c>
      <c r="H4197">
        <v>9</v>
      </c>
      <c r="I4197">
        <v>2.93</v>
      </c>
      <c r="J4197">
        <v>2</v>
      </c>
      <c r="K4197">
        <v>9510.65</v>
      </c>
      <c r="L4197">
        <v>5.7</v>
      </c>
    </row>
    <row r="4198" spans="1:12" x14ac:dyDescent="0.3">
      <c r="A4198" t="s">
        <v>4213</v>
      </c>
      <c r="B4198" t="s">
        <v>10</v>
      </c>
      <c r="C4198" t="s">
        <v>11</v>
      </c>
      <c r="D4198">
        <v>42</v>
      </c>
      <c r="E4198" s="1">
        <v>41544</v>
      </c>
      <c r="F4198">
        <v>2013</v>
      </c>
      <c r="G4198" t="s">
        <v>5033</v>
      </c>
      <c r="H4198">
        <v>27</v>
      </c>
      <c r="I4198">
        <v>3.42</v>
      </c>
      <c r="J4198">
        <v>11</v>
      </c>
      <c r="K4198">
        <v>13125.65</v>
      </c>
      <c r="L4198">
        <v>12.1</v>
      </c>
    </row>
    <row r="4199" spans="1:12" x14ac:dyDescent="0.3">
      <c r="A4199" t="s">
        <v>4214</v>
      </c>
      <c r="B4199" t="s">
        <v>18</v>
      </c>
      <c r="C4199" t="s">
        <v>11</v>
      </c>
      <c r="D4199">
        <v>50</v>
      </c>
      <c r="E4199" s="1">
        <v>44815</v>
      </c>
      <c r="F4199">
        <v>2022</v>
      </c>
      <c r="G4199" t="s">
        <v>5033</v>
      </c>
      <c r="H4199">
        <v>11</v>
      </c>
      <c r="I4199">
        <v>3.23</v>
      </c>
      <c r="J4199">
        <v>13</v>
      </c>
      <c r="K4199">
        <v>14324.22</v>
      </c>
      <c r="L4199">
        <v>3.1</v>
      </c>
    </row>
    <row r="4200" spans="1:12" x14ac:dyDescent="0.3">
      <c r="A4200" t="s">
        <v>4215</v>
      </c>
      <c r="B4200" t="s">
        <v>18</v>
      </c>
      <c r="C4200" t="s">
        <v>11</v>
      </c>
      <c r="D4200">
        <v>32</v>
      </c>
      <c r="E4200" s="1">
        <v>41411</v>
      </c>
      <c r="F4200">
        <v>2013</v>
      </c>
      <c r="G4200" t="s">
        <v>5036</v>
      </c>
      <c r="H4200">
        <v>17</v>
      </c>
      <c r="I4200">
        <v>4.38</v>
      </c>
      <c r="J4200">
        <v>14</v>
      </c>
      <c r="K4200">
        <v>6658.58</v>
      </c>
      <c r="L4200">
        <v>12.5</v>
      </c>
    </row>
    <row r="4201" spans="1:12" x14ac:dyDescent="0.3">
      <c r="A4201" t="s">
        <v>4216</v>
      </c>
      <c r="B4201" t="s">
        <v>10</v>
      </c>
      <c r="C4201" t="s">
        <v>14</v>
      </c>
      <c r="D4201">
        <v>41</v>
      </c>
      <c r="E4201" s="1">
        <v>44333</v>
      </c>
      <c r="F4201">
        <v>2021</v>
      </c>
      <c r="G4201" t="s">
        <v>5036</v>
      </c>
      <c r="H4201">
        <v>17</v>
      </c>
      <c r="I4201">
        <v>1.82</v>
      </c>
      <c r="J4201">
        <v>8</v>
      </c>
      <c r="K4201">
        <v>13395.42</v>
      </c>
      <c r="L4201">
        <v>4.5</v>
      </c>
    </row>
    <row r="4202" spans="1:12" x14ac:dyDescent="0.3">
      <c r="A4202" t="s">
        <v>4217</v>
      </c>
      <c r="B4202" t="s">
        <v>10</v>
      </c>
      <c r="C4202" t="s">
        <v>11</v>
      </c>
      <c r="D4202">
        <v>60</v>
      </c>
      <c r="E4202" s="1">
        <v>41672</v>
      </c>
      <c r="F4202">
        <v>2014</v>
      </c>
      <c r="G4202" t="s">
        <v>5042</v>
      </c>
      <c r="H4202">
        <v>2</v>
      </c>
      <c r="I4202">
        <v>3.34</v>
      </c>
      <c r="J4202">
        <v>14</v>
      </c>
      <c r="K4202">
        <v>3350.2</v>
      </c>
      <c r="L4202">
        <v>11.8</v>
      </c>
    </row>
    <row r="4203" spans="1:12" x14ac:dyDescent="0.3">
      <c r="A4203" t="s">
        <v>4218</v>
      </c>
      <c r="B4203" t="s">
        <v>13</v>
      </c>
      <c r="C4203" t="s">
        <v>14</v>
      </c>
      <c r="D4203">
        <v>25</v>
      </c>
      <c r="E4203" s="1">
        <v>44457</v>
      </c>
      <c r="F4203">
        <v>2021</v>
      </c>
      <c r="G4203" t="s">
        <v>5033</v>
      </c>
      <c r="H4203">
        <v>18</v>
      </c>
      <c r="I4203">
        <v>2.56</v>
      </c>
      <c r="J4203">
        <v>7</v>
      </c>
      <c r="K4203">
        <v>3525.11</v>
      </c>
      <c r="L4203">
        <v>4.0999999999999996</v>
      </c>
    </row>
    <row r="4204" spans="1:12" x14ac:dyDescent="0.3">
      <c r="A4204" t="s">
        <v>4219</v>
      </c>
      <c r="B4204" t="s">
        <v>24</v>
      </c>
      <c r="C4204" t="s">
        <v>11</v>
      </c>
      <c r="D4204">
        <v>28</v>
      </c>
      <c r="E4204" s="1">
        <v>42438</v>
      </c>
      <c r="F4204">
        <v>2016</v>
      </c>
      <c r="G4204" t="s">
        <v>5035</v>
      </c>
      <c r="H4204">
        <v>9</v>
      </c>
      <c r="I4204">
        <v>1.92</v>
      </c>
      <c r="J4204">
        <v>14</v>
      </c>
      <c r="K4204">
        <v>5368.53</v>
      </c>
      <c r="L4204">
        <v>9.6999999999999993</v>
      </c>
    </row>
    <row r="4205" spans="1:12" x14ac:dyDescent="0.3">
      <c r="A4205" t="s">
        <v>4220</v>
      </c>
      <c r="B4205" t="s">
        <v>34</v>
      </c>
      <c r="C4205" t="s">
        <v>11</v>
      </c>
      <c r="D4205">
        <v>30</v>
      </c>
      <c r="E4205" s="1">
        <v>44380</v>
      </c>
      <c r="F4205">
        <v>2021</v>
      </c>
      <c r="G4205" t="s">
        <v>5034</v>
      </c>
      <c r="H4205">
        <v>3</v>
      </c>
      <c r="I4205">
        <v>3.98</v>
      </c>
      <c r="J4205">
        <v>2</v>
      </c>
      <c r="K4205">
        <v>10918.36</v>
      </c>
      <c r="L4205">
        <v>4.3</v>
      </c>
    </row>
    <row r="4206" spans="1:12" x14ac:dyDescent="0.3">
      <c r="A4206" t="s">
        <v>4221</v>
      </c>
      <c r="B4206" t="s">
        <v>13</v>
      </c>
      <c r="C4206" t="s">
        <v>11</v>
      </c>
      <c r="D4206">
        <v>43</v>
      </c>
      <c r="E4206" s="1">
        <v>41502</v>
      </c>
      <c r="F4206">
        <v>2013</v>
      </c>
      <c r="G4206" t="s">
        <v>5031</v>
      </c>
      <c r="H4206">
        <v>16</v>
      </c>
      <c r="I4206">
        <v>4.66</v>
      </c>
      <c r="J4206">
        <v>11</v>
      </c>
      <c r="K4206">
        <v>14626.23</v>
      </c>
      <c r="L4206">
        <v>12.2</v>
      </c>
    </row>
    <row r="4207" spans="1:12" x14ac:dyDescent="0.3">
      <c r="A4207" t="s">
        <v>4222</v>
      </c>
      <c r="B4207" t="s">
        <v>13</v>
      </c>
      <c r="C4207" t="s">
        <v>11</v>
      </c>
      <c r="D4207">
        <v>32</v>
      </c>
      <c r="E4207" s="1">
        <v>43261</v>
      </c>
      <c r="F4207">
        <v>2018</v>
      </c>
      <c r="G4207" t="s">
        <v>5032</v>
      </c>
      <c r="H4207">
        <v>10</v>
      </c>
      <c r="I4207">
        <v>2.65</v>
      </c>
      <c r="J4207">
        <v>11</v>
      </c>
      <c r="K4207">
        <v>10363.799999999999</v>
      </c>
      <c r="L4207">
        <v>7.4</v>
      </c>
    </row>
    <row r="4208" spans="1:12" x14ac:dyDescent="0.3">
      <c r="A4208" t="s">
        <v>4223</v>
      </c>
      <c r="B4208" t="s">
        <v>13</v>
      </c>
      <c r="C4208" t="s">
        <v>11</v>
      </c>
      <c r="D4208">
        <v>51</v>
      </c>
      <c r="E4208" s="1">
        <v>45954</v>
      </c>
      <c r="F4208">
        <v>2025</v>
      </c>
      <c r="G4208" t="s">
        <v>5039</v>
      </c>
      <c r="H4208">
        <v>24</v>
      </c>
      <c r="I4208">
        <v>4.32</v>
      </c>
      <c r="J4208">
        <v>1</v>
      </c>
      <c r="K4208">
        <v>8077.85</v>
      </c>
      <c r="L4208">
        <v>0</v>
      </c>
    </row>
    <row r="4209" spans="1:12" x14ac:dyDescent="0.3">
      <c r="A4209" t="s">
        <v>4224</v>
      </c>
      <c r="B4209" t="s">
        <v>13</v>
      </c>
      <c r="C4209" t="s">
        <v>14</v>
      </c>
      <c r="D4209">
        <v>52</v>
      </c>
      <c r="E4209" s="1">
        <v>40189</v>
      </c>
      <c r="F4209">
        <v>2010</v>
      </c>
      <c r="G4209" t="s">
        <v>5037</v>
      </c>
      <c r="H4209">
        <v>11</v>
      </c>
      <c r="I4209">
        <v>2.06</v>
      </c>
      <c r="J4209">
        <v>0</v>
      </c>
      <c r="K4209">
        <v>4554.9799999999996</v>
      </c>
      <c r="L4209">
        <v>15.8</v>
      </c>
    </row>
    <row r="4210" spans="1:12" x14ac:dyDescent="0.3">
      <c r="A4210" t="s">
        <v>4225</v>
      </c>
      <c r="B4210" t="s">
        <v>13</v>
      </c>
      <c r="C4210" t="s">
        <v>11</v>
      </c>
      <c r="D4210">
        <v>41</v>
      </c>
      <c r="E4210" s="1">
        <v>42160</v>
      </c>
      <c r="F4210">
        <v>2015</v>
      </c>
      <c r="G4210" t="s">
        <v>5032</v>
      </c>
      <c r="H4210">
        <v>5</v>
      </c>
      <c r="I4210">
        <v>3.21</v>
      </c>
      <c r="J4210">
        <v>4</v>
      </c>
      <c r="K4210">
        <v>9803.56</v>
      </c>
      <c r="L4210">
        <v>10.4</v>
      </c>
    </row>
    <row r="4211" spans="1:12" x14ac:dyDescent="0.3">
      <c r="A4211" t="s">
        <v>4226</v>
      </c>
      <c r="B4211" t="s">
        <v>16</v>
      </c>
      <c r="C4211" t="s">
        <v>14</v>
      </c>
      <c r="D4211">
        <v>43</v>
      </c>
      <c r="E4211" s="1">
        <v>44891</v>
      </c>
      <c r="F4211">
        <v>2022</v>
      </c>
      <c r="G4211" t="s">
        <v>5038</v>
      </c>
      <c r="H4211">
        <v>26</v>
      </c>
      <c r="I4211">
        <v>2.14</v>
      </c>
      <c r="J4211">
        <v>12</v>
      </c>
      <c r="K4211">
        <v>8019.04</v>
      </c>
      <c r="L4211">
        <v>2.9</v>
      </c>
    </row>
    <row r="4212" spans="1:12" x14ac:dyDescent="0.3">
      <c r="A4212" t="s">
        <v>4227</v>
      </c>
      <c r="B4212" t="s">
        <v>34</v>
      </c>
      <c r="C4212" t="s">
        <v>11</v>
      </c>
      <c r="D4212">
        <v>49</v>
      </c>
      <c r="E4212" s="1">
        <v>45070</v>
      </c>
      <c r="F4212">
        <v>2023</v>
      </c>
      <c r="G4212" t="s">
        <v>5036</v>
      </c>
      <c r="H4212">
        <v>24</v>
      </c>
      <c r="I4212">
        <v>4.1500000000000004</v>
      </c>
      <c r="J4212">
        <v>13</v>
      </c>
      <c r="K4212">
        <v>5212.24</v>
      </c>
      <c r="L4212">
        <v>2.4</v>
      </c>
    </row>
    <row r="4213" spans="1:12" x14ac:dyDescent="0.3">
      <c r="A4213" t="s">
        <v>4228</v>
      </c>
      <c r="B4213" t="s">
        <v>24</v>
      </c>
      <c r="C4213" t="s">
        <v>11</v>
      </c>
      <c r="D4213">
        <v>37</v>
      </c>
      <c r="E4213" s="1">
        <v>45573</v>
      </c>
      <c r="F4213">
        <v>2024</v>
      </c>
      <c r="G4213" t="s">
        <v>5039</v>
      </c>
      <c r="H4213">
        <v>8</v>
      </c>
      <c r="I4213">
        <v>3.54</v>
      </c>
      <c r="J4213">
        <v>7</v>
      </c>
      <c r="K4213">
        <v>8019.88</v>
      </c>
      <c r="L4213">
        <v>1.1000000000000001</v>
      </c>
    </row>
    <row r="4214" spans="1:12" x14ac:dyDescent="0.3">
      <c r="A4214" t="s">
        <v>4229</v>
      </c>
      <c r="B4214" t="s">
        <v>13</v>
      </c>
      <c r="C4214" t="s">
        <v>14</v>
      </c>
      <c r="D4214">
        <v>59</v>
      </c>
      <c r="E4214" s="1">
        <v>41757</v>
      </c>
      <c r="F4214">
        <v>2014</v>
      </c>
      <c r="G4214" t="s">
        <v>5040</v>
      </c>
      <c r="H4214">
        <v>28</v>
      </c>
      <c r="I4214">
        <v>2.65</v>
      </c>
      <c r="J4214">
        <v>11</v>
      </c>
      <c r="K4214">
        <v>9179.4599999999991</v>
      </c>
      <c r="L4214">
        <v>11.5</v>
      </c>
    </row>
    <row r="4215" spans="1:12" x14ac:dyDescent="0.3">
      <c r="A4215" t="s">
        <v>4230</v>
      </c>
      <c r="B4215" t="s">
        <v>34</v>
      </c>
      <c r="C4215" t="s">
        <v>14</v>
      </c>
      <c r="D4215">
        <v>49</v>
      </c>
      <c r="E4215" s="1">
        <v>45665</v>
      </c>
      <c r="F4215">
        <v>2025</v>
      </c>
      <c r="G4215" t="s">
        <v>5037</v>
      </c>
      <c r="H4215">
        <v>8</v>
      </c>
      <c r="I4215">
        <v>2.8</v>
      </c>
      <c r="J4215">
        <v>12</v>
      </c>
      <c r="K4215">
        <v>14250.55</v>
      </c>
      <c r="L4215">
        <v>0.8</v>
      </c>
    </row>
    <row r="4216" spans="1:12" x14ac:dyDescent="0.3">
      <c r="A4216" t="s">
        <v>4231</v>
      </c>
      <c r="B4216" t="s">
        <v>34</v>
      </c>
      <c r="C4216" t="s">
        <v>14</v>
      </c>
      <c r="D4216">
        <v>55</v>
      </c>
      <c r="E4216" s="1">
        <v>43799</v>
      </c>
      <c r="F4216">
        <v>2019</v>
      </c>
      <c r="G4216" t="s">
        <v>5038</v>
      </c>
      <c r="H4216">
        <v>30</v>
      </c>
      <c r="I4216">
        <v>3.31</v>
      </c>
      <c r="J4216">
        <v>10</v>
      </c>
      <c r="K4216">
        <v>13907.3</v>
      </c>
      <c r="L4216">
        <v>5.9</v>
      </c>
    </row>
    <row r="4217" spans="1:12" x14ac:dyDescent="0.3">
      <c r="A4217" t="s">
        <v>4232</v>
      </c>
      <c r="B4217" t="s">
        <v>18</v>
      </c>
      <c r="C4217" t="s">
        <v>14</v>
      </c>
      <c r="D4217">
        <v>43</v>
      </c>
      <c r="E4217" s="1">
        <v>45695</v>
      </c>
      <c r="F4217">
        <v>2025</v>
      </c>
      <c r="G4217" t="s">
        <v>5042</v>
      </c>
      <c r="H4217">
        <v>7</v>
      </c>
      <c r="I4217">
        <v>3.18</v>
      </c>
      <c r="J4217">
        <v>6</v>
      </c>
      <c r="K4217">
        <v>6295.22</v>
      </c>
      <c r="L4217">
        <v>0.7</v>
      </c>
    </row>
    <row r="4218" spans="1:12" x14ac:dyDescent="0.3">
      <c r="A4218" t="s">
        <v>4233</v>
      </c>
      <c r="B4218" t="s">
        <v>10</v>
      </c>
      <c r="C4218" t="s">
        <v>14</v>
      </c>
      <c r="D4218">
        <v>23</v>
      </c>
      <c r="E4218" s="1">
        <v>42428</v>
      </c>
      <c r="F4218">
        <v>2016</v>
      </c>
      <c r="G4218" t="s">
        <v>5042</v>
      </c>
      <c r="H4218">
        <v>28</v>
      </c>
      <c r="I4218">
        <v>3.01</v>
      </c>
      <c r="J4218">
        <v>13</v>
      </c>
      <c r="K4218">
        <v>4274.2299999999996</v>
      </c>
      <c r="L4218">
        <v>9.6999999999999993</v>
      </c>
    </row>
    <row r="4219" spans="1:12" x14ac:dyDescent="0.3">
      <c r="A4219" t="s">
        <v>4234</v>
      </c>
      <c r="B4219" t="s">
        <v>24</v>
      </c>
      <c r="C4219" t="s">
        <v>14</v>
      </c>
      <c r="D4219">
        <v>55</v>
      </c>
      <c r="E4219" s="1">
        <v>43512</v>
      </c>
      <c r="F4219">
        <v>2019</v>
      </c>
      <c r="G4219" t="s">
        <v>5042</v>
      </c>
      <c r="H4219">
        <v>16</v>
      </c>
      <c r="I4219">
        <v>4.6399999999999997</v>
      </c>
      <c r="J4219">
        <v>0</v>
      </c>
      <c r="K4219">
        <v>13704.6</v>
      </c>
      <c r="L4219">
        <v>6.7</v>
      </c>
    </row>
    <row r="4220" spans="1:12" x14ac:dyDescent="0.3">
      <c r="A4220" t="s">
        <v>4235</v>
      </c>
      <c r="B4220" t="s">
        <v>24</v>
      </c>
      <c r="C4220" t="s">
        <v>11</v>
      </c>
      <c r="D4220">
        <v>44</v>
      </c>
      <c r="E4220" s="1">
        <v>40707</v>
      </c>
      <c r="F4220">
        <v>2011</v>
      </c>
      <c r="G4220" t="s">
        <v>5032</v>
      </c>
      <c r="H4220">
        <v>13</v>
      </c>
      <c r="I4220">
        <v>1.75</v>
      </c>
      <c r="J4220">
        <v>13</v>
      </c>
      <c r="K4220">
        <v>6165.67</v>
      </c>
      <c r="L4220">
        <v>14.4</v>
      </c>
    </row>
    <row r="4221" spans="1:12" x14ac:dyDescent="0.3">
      <c r="A4221" t="s">
        <v>4236</v>
      </c>
      <c r="B4221" t="s">
        <v>13</v>
      </c>
      <c r="C4221" t="s">
        <v>14</v>
      </c>
      <c r="D4221">
        <v>26</v>
      </c>
      <c r="E4221" s="1">
        <v>45860</v>
      </c>
      <c r="F4221">
        <v>2025</v>
      </c>
      <c r="G4221" t="s">
        <v>5034</v>
      </c>
      <c r="H4221">
        <v>22</v>
      </c>
      <c r="I4221">
        <v>2.82</v>
      </c>
      <c r="J4221">
        <v>11</v>
      </c>
      <c r="K4221">
        <v>5712.68</v>
      </c>
      <c r="L4221">
        <v>0.3</v>
      </c>
    </row>
    <row r="4222" spans="1:12" x14ac:dyDescent="0.3">
      <c r="A4222" t="s">
        <v>4237</v>
      </c>
      <c r="B4222" t="s">
        <v>10</v>
      </c>
      <c r="C4222" t="s">
        <v>11</v>
      </c>
      <c r="D4222">
        <v>51</v>
      </c>
      <c r="E4222" s="1">
        <v>44386</v>
      </c>
      <c r="F4222">
        <v>2021</v>
      </c>
      <c r="G4222" t="s">
        <v>5034</v>
      </c>
      <c r="H4222">
        <v>9</v>
      </c>
      <c r="I4222">
        <v>4.79</v>
      </c>
      <c r="J4222">
        <v>2</v>
      </c>
      <c r="K4222">
        <v>5135.63</v>
      </c>
      <c r="L4222">
        <v>4.3</v>
      </c>
    </row>
    <row r="4223" spans="1:12" x14ac:dyDescent="0.3">
      <c r="A4223" t="s">
        <v>4238</v>
      </c>
      <c r="B4223" t="s">
        <v>34</v>
      </c>
      <c r="C4223" t="s">
        <v>14</v>
      </c>
      <c r="D4223">
        <v>50</v>
      </c>
      <c r="E4223" s="1">
        <v>45671</v>
      </c>
      <c r="F4223">
        <v>2025</v>
      </c>
      <c r="G4223" t="s">
        <v>5037</v>
      </c>
      <c r="H4223">
        <v>14</v>
      </c>
      <c r="I4223">
        <v>3.73</v>
      </c>
      <c r="J4223">
        <v>12</v>
      </c>
      <c r="K4223">
        <v>11545.24</v>
      </c>
      <c r="L4223">
        <v>0.8</v>
      </c>
    </row>
    <row r="4224" spans="1:12" x14ac:dyDescent="0.3">
      <c r="A4224" t="s">
        <v>4239</v>
      </c>
      <c r="B4224" t="s">
        <v>34</v>
      </c>
      <c r="C4224" t="s">
        <v>14</v>
      </c>
      <c r="D4224">
        <v>60</v>
      </c>
      <c r="E4224" s="1">
        <v>43119</v>
      </c>
      <c r="F4224">
        <v>2018</v>
      </c>
      <c r="G4224" t="s">
        <v>5037</v>
      </c>
      <c r="H4224">
        <v>19</v>
      </c>
      <c r="I4224">
        <v>4.53</v>
      </c>
      <c r="J4224">
        <v>3</v>
      </c>
      <c r="K4224">
        <v>14888.04</v>
      </c>
      <c r="L4224">
        <v>7.8</v>
      </c>
    </row>
    <row r="4225" spans="1:12" x14ac:dyDescent="0.3">
      <c r="A4225" t="s">
        <v>4240</v>
      </c>
      <c r="B4225" t="s">
        <v>34</v>
      </c>
      <c r="C4225" t="s">
        <v>11</v>
      </c>
      <c r="D4225">
        <v>46</v>
      </c>
      <c r="E4225" s="1">
        <v>42098</v>
      </c>
      <c r="F4225">
        <v>2015</v>
      </c>
      <c r="G4225" t="s">
        <v>5040</v>
      </c>
      <c r="H4225">
        <v>4</v>
      </c>
      <c r="I4225">
        <v>3.65</v>
      </c>
      <c r="J4225">
        <v>2</v>
      </c>
      <c r="K4225">
        <v>3584.14</v>
      </c>
      <c r="L4225">
        <v>10.6</v>
      </c>
    </row>
    <row r="4226" spans="1:12" x14ac:dyDescent="0.3">
      <c r="A4226" t="s">
        <v>4241</v>
      </c>
      <c r="B4226" t="s">
        <v>13</v>
      </c>
      <c r="C4226" t="s">
        <v>11</v>
      </c>
      <c r="D4226">
        <v>57</v>
      </c>
      <c r="E4226" s="1">
        <v>42010</v>
      </c>
      <c r="F4226">
        <v>2015</v>
      </c>
      <c r="G4226" t="s">
        <v>5037</v>
      </c>
      <c r="H4226">
        <v>6</v>
      </c>
      <c r="I4226">
        <v>3.95</v>
      </c>
      <c r="J4226">
        <v>4</v>
      </c>
      <c r="K4226">
        <v>3350.6</v>
      </c>
      <c r="L4226">
        <v>10.8</v>
      </c>
    </row>
    <row r="4227" spans="1:12" x14ac:dyDescent="0.3">
      <c r="A4227" t="s">
        <v>4242</v>
      </c>
      <c r="B4227" t="s">
        <v>10</v>
      </c>
      <c r="C4227" t="s">
        <v>14</v>
      </c>
      <c r="D4227">
        <v>36</v>
      </c>
      <c r="E4227" s="1">
        <v>45121</v>
      </c>
      <c r="F4227">
        <v>2023</v>
      </c>
      <c r="G4227" t="s">
        <v>5034</v>
      </c>
      <c r="H4227">
        <v>14</v>
      </c>
      <c r="I4227">
        <v>4.2699999999999996</v>
      </c>
      <c r="J4227">
        <v>3</v>
      </c>
      <c r="K4227">
        <v>6745.89</v>
      </c>
      <c r="L4227">
        <v>2.2999999999999998</v>
      </c>
    </row>
    <row r="4228" spans="1:12" x14ac:dyDescent="0.3">
      <c r="A4228" t="s">
        <v>4243</v>
      </c>
      <c r="B4228" t="s">
        <v>24</v>
      </c>
      <c r="C4228" t="s">
        <v>14</v>
      </c>
      <c r="D4228">
        <v>29</v>
      </c>
      <c r="E4228" s="1">
        <v>42985</v>
      </c>
      <c r="F4228">
        <v>2017</v>
      </c>
      <c r="G4228" t="s">
        <v>5033</v>
      </c>
      <c r="H4228">
        <v>7</v>
      </c>
      <c r="I4228">
        <v>2.76</v>
      </c>
      <c r="J4228">
        <v>5</v>
      </c>
      <c r="K4228">
        <v>11257.55</v>
      </c>
      <c r="L4228">
        <v>8.1999999999999993</v>
      </c>
    </row>
    <row r="4229" spans="1:12" x14ac:dyDescent="0.3">
      <c r="A4229" t="s">
        <v>4244</v>
      </c>
      <c r="B4229" t="s">
        <v>16</v>
      </c>
      <c r="C4229" t="s">
        <v>11</v>
      </c>
      <c r="D4229">
        <v>51</v>
      </c>
      <c r="E4229" s="1">
        <v>41142</v>
      </c>
      <c r="F4229">
        <v>2012</v>
      </c>
      <c r="G4229" t="s">
        <v>5031</v>
      </c>
      <c r="H4229">
        <v>21</v>
      </c>
      <c r="I4229">
        <v>1.7</v>
      </c>
      <c r="J4229">
        <v>7</v>
      </c>
      <c r="K4229">
        <v>8016.23</v>
      </c>
      <c r="L4229">
        <v>13.2</v>
      </c>
    </row>
    <row r="4230" spans="1:12" x14ac:dyDescent="0.3">
      <c r="A4230" t="s">
        <v>4245</v>
      </c>
      <c r="B4230" t="s">
        <v>16</v>
      </c>
      <c r="C4230" t="s">
        <v>14</v>
      </c>
      <c r="D4230">
        <v>37</v>
      </c>
      <c r="E4230" s="1">
        <v>45944</v>
      </c>
      <c r="F4230">
        <v>2025</v>
      </c>
      <c r="G4230" t="s">
        <v>5039</v>
      </c>
      <c r="H4230">
        <v>14</v>
      </c>
      <c r="I4230">
        <v>4.6900000000000004</v>
      </c>
      <c r="J4230">
        <v>11</v>
      </c>
      <c r="K4230">
        <v>7673.05</v>
      </c>
      <c r="L4230">
        <v>0</v>
      </c>
    </row>
    <row r="4231" spans="1:12" x14ac:dyDescent="0.3">
      <c r="A4231" t="s">
        <v>4246</v>
      </c>
      <c r="B4231" t="s">
        <v>18</v>
      </c>
      <c r="C4231" t="s">
        <v>14</v>
      </c>
      <c r="D4231">
        <v>37</v>
      </c>
      <c r="E4231" s="1">
        <v>44718</v>
      </c>
      <c r="F4231">
        <v>2022</v>
      </c>
      <c r="G4231" t="s">
        <v>5032</v>
      </c>
      <c r="H4231">
        <v>6</v>
      </c>
      <c r="I4231">
        <v>3.39</v>
      </c>
      <c r="J4231">
        <v>12</v>
      </c>
      <c r="K4231">
        <v>14519.66</v>
      </c>
      <c r="L4231">
        <v>3.4</v>
      </c>
    </row>
    <row r="4232" spans="1:12" x14ac:dyDescent="0.3">
      <c r="A4232" t="s">
        <v>4247</v>
      </c>
      <c r="B4232" t="s">
        <v>13</v>
      </c>
      <c r="C4232" t="s">
        <v>14</v>
      </c>
      <c r="D4232">
        <v>47</v>
      </c>
      <c r="E4232" s="1">
        <v>41630</v>
      </c>
      <c r="F4232">
        <v>2013</v>
      </c>
      <c r="G4232" t="s">
        <v>5041</v>
      </c>
      <c r="H4232">
        <v>22</v>
      </c>
      <c r="I4232">
        <v>3.91</v>
      </c>
      <c r="J4232">
        <v>0</v>
      </c>
      <c r="K4232">
        <v>5372.5</v>
      </c>
      <c r="L4232">
        <v>11.9</v>
      </c>
    </row>
    <row r="4233" spans="1:12" x14ac:dyDescent="0.3">
      <c r="A4233" t="s">
        <v>4248</v>
      </c>
      <c r="B4233" t="s">
        <v>34</v>
      </c>
      <c r="C4233" t="s">
        <v>14</v>
      </c>
      <c r="D4233">
        <v>47</v>
      </c>
      <c r="E4233" s="1">
        <v>45713</v>
      </c>
      <c r="F4233">
        <v>2025</v>
      </c>
      <c r="G4233" t="s">
        <v>5042</v>
      </c>
      <c r="H4233">
        <v>25</v>
      </c>
      <c r="I4233">
        <v>3.64</v>
      </c>
      <c r="J4233">
        <v>7</v>
      </c>
      <c r="K4233">
        <v>10192.209999999999</v>
      </c>
      <c r="L4233">
        <v>0.7</v>
      </c>
    </row>
    <row r="4234" spans="1:12" x14ac:dyDescent="0.3">
      <c r="A4234" t="s">
        <v>4249</v>
      </c>
      <c r="B4234" t="s">
        <v>34</v>
      </c>
      <c r="C4234" t="s">
        <v>11</v>
      </c>
      <c r="D4234">
        <v>41</v>
      </c>
      <c r="E4234" s="1">
        <v>44064</v>
      </c>
      <c r="F4234">
        <v>2020</v>
      </c>
      <c r="G4234" t="s">
        <v>5031</v>
      </c>
      <c r="H4234">
        <v>21</v>
      </c>
      <c r="I4234">
        <v>2.04</v>
      </c>
      <c r="J4234">
        <v>11</v>
      </c>
      <c r="K4234">
        <v>11284.08</v>
      </c>
      <c r="L4234">
        <v>5.2</v>
      </c>
    </row>
    <row r="4235" spans="1:12" x14ac:dyDescent="0.3">
      <c r="A4235" t="s">
        <v>4250</v>
      </c>
      <c r="B4235" t="s">
        <v>18</v>
      </c>
      <c r="C4235" t="s">
        <v>14</v>
      </c>
      <c r="D4235">
        <v>53</v>
      </c>
      <c r="E4235" s="1">
        <v>40298</v>
      </c>
      <c r="F4235">
        <v>2010</v>
      </c>
      <c r="G4235" t="s">
        <v>5040</v>
      </c>
      <c r="H4235">
        <v>30</v>
      </c>
      <c r="I4235">
        <v>3</v>
      </c>
      <c r="J4235">
        <v>1</v>
      </c>
      <c r="K4235">
        <v>8158.37</v>
      </c>
      <c r="L4235">
        <v>15.5</v>
      </c>
    </row>
    <row r="4236" spans="1:12" x14ac:dyDescent="0.3">
      <c r="A4236" t="s">
        <v>4251</v>
      </c>
      <c r="B4236" t="s">
        <v>16</v>
      </c>
      <c r="C4236" t="s">
        <v>14</v>
      </c>
      <c r="D4236">
        <v>27</v>
      </c>
      <c r="E4236" s="1">
        <v>43725</v>
      </c>
      <c r="F4236">
        <v>2019</v>
      </c>
      <c r="G4236" t="s">
        <v>5033</v>
      </c>
      <c r="H4236">
        <v>17</v>
      </c>
      <c r="I4236">
        <v>1.68</v>
      </c>
      <c r="J4236">
        <v>15</v>
      </c>
      <c r="K4236">
        <v>11864.01</v>
      </c>
      <c r="L4236">
        <v>6.1</v>
      </c>
    </row>
    <row r="4237" spans="1:12" x14ac:dyDescent="0.3">
      <c r="A4237" t="s">
        <v>4252</v>
      </c>
      <c r="B4237" t="s">
        <v>18</v>
      </c>
      <c r="C4237" t="s">
        <v>11</v>
      </c>
      <c r="D4237">
        <v>40</v>
      </c>
      <c r="E4237" s="1">
        <v>43604</v>
      </c>
      <c r="F4237">
        <v>2019</v>
      </c>
      <c r="G4237" t="s">
        <v>5036</v>
      </c>
      <c r="H4237">
        <v>19</v>
      </c>
      <c r="I4237">
        <v>2.62</v>
      </c>
      <c r="J4237">
        <v>12</v>
      </c>
      <c r="K4237">
        <v>10472.48</v>
      </c>
      <c r="L4237">
        <v>6.5</v>
      </c>
    </row>
    <row r="4238" spans="1:12" x14ac:dyDescent="0.3">
      <c r="A4238" t="s">
        <v>4253</v>
      </c>
      <c r="B4238" t="s">
        <v>24</v>
      </c>
      <c r="C4238" t="s">
        <v>14</v>
      </c>
      <c r="D4238">
        <v>47</v>
      </c>
      <c r="E4238" s="1">
        <v>43245</v>
      </c>
      <c r="F4238">
        <v>2018</v>
      </c>
      <c r="G4238" t="s">
        <v>5036</v>
      </c>
      <c r="H4238">
        <v>25</v>
      </c>
      <c r="I4238">
        <v>3.3</v>
      </c>
      <c r="J4238">
        <v>11</v>
      </c>
      <c r="K4238">
        <v>5003.43</v>
      </c>
      <c r="L4238">
        <v>7.4</v>
      </c>
    </row>
    <row r="4239" spans="1:12" x14ac:dyDescent="0.3">
      <c r="A4239" t="s">
        <v>4254</v>
      </c>
      <c r="B4239" t="s">
        <v>18</v>
      </c>
      <c r="C4239" t="s">
        <v>11</v>
      </c>
      <c r="D4239">
        <v>48</v>
      </c>
      <c r="E4239" s="1">
        <v>43798</v>
      </c>
      <c r="F4239">
        <v>2019</v>
      </c>
      <c r="G4239" t="s">
        <v>5038</v>
      </c>
      <c r="H4239">
        <v>29</v>
      </c>
      <c r="I4239">
        <v>1.86</v>
      </c>
      <c r="J4239">
        <v>12</v>
      </c>
      <c r="K4239">
        <v>4666.6000000000004</v>
      </c>
      <c r="L4239">
        <v>5.9</v>
      </c>
    </row>
    <row r="4240" spans="1:12" x14ac:dyDescent="0.3">
      <c r="A4240" t="s">
        <v>4255</v>
      </c>
      <c r="B4240" t="s">
        <v>16</v>
      </c>
      <c r="C4240" t="s">
        <v>14</v>
      </c>
      <c r="D4240">
        <v>55</v>
      </c>
      <c r="E4240" s="1">
        <v>42400</v>
      </c>
      <c r="F4240">
        <v>2016</v>
      </c>
      <c r="G4240" t="s">
        <v>5037</v>
      </c>
      <c r="H4240">
        <v>31</v>
      </c>
      <c r="I4240">
        <v>2.09</v>
      </c>
      <c r="J4240">
        <v>12</v>
      </c>
      <c r="K4240">
        <v>14538.37</v>
      </c>
      <c r="L4240">
        <v>9.8000000000000007</v>
      </c>
    </row>
    <row r="4241" spans="1:12" x14ac:dyDescent="0.3">
      <c r="A4241" t="s">
        <v>4256</v>
      </c>
      <c r="B4241" t="s">
        <v>18</v>
      </c>
      <c r="C4241" t="s">
        <v>11</v>
      </c>
      <c r="D4241">
        <v>26</v>
      </c>
      <c r="E4241" s="1">
        <v>42288</v>
      </c>
      <c r="F4241">
        <v>2015</v>
      </c>
      <c r="G4241" t="s">
        <v>5039</v>
      </c>
      <c r="H4241">
        <v>11</v>
      </c>
      <c r="I4241">
        <v>3.44</v>
      </c>
      <c r="J4241">
        <v>14</v>
      </c>
      <c r="K4241">
        <v>6574.12</v>
      </c>
      <c r="L4241">
        <v>10.1</v>
      </c>
    </row>
    <row r="4242" spans="1:12" x14ac:dyDescent="0.3">
      <c r="A4242" t="s">
        <v>4257</v>
      </c>
      <c r="B4242" t="s">
        <v>34</v>
      </c>
      <c r="C4242" t="s">
        <v>14</v>
      </c>
      <c r="D4242">
        <v>23</v>
      </c>
      <c r="E4242" s="1">
        <v>40207</v>
      </c>
      <c r="F4242">
        <v>2010</v>
      </c>
      <c r="G4242" t="s">
        <v>5037</v>
      </c>
      <c r="H4242">
        <v>29</v>
      </c>
      <c r="I4242">
        <v>3.19</v>
      </c>
      <c r="J4242">
        <v>6</v>
      </c>
      <c r="K4242">
        <v>4401.9799999999996</v>
      </c>
      <c r="L4242">
        <v>15.8</v>
      </c>
    </row>
    <row r="4243" spans="1:12" x14ac:dyDescent="0.3">
      <c r="A4243" t="s">
        <v>4258</v>
      </c>
      <c r="B4243" t="s">
        <v>16</v>
      </c>
      <c r="C4243" t="s">
        <v>11</v>
      </c>
      <c r="D4243">
        <v>22</v>
      </c>
      <c r="E4243" s="1">
        <v>41700</v>
      </c>
      <c r="F4243">
        <v>2014</v>
      </c>
      <c r="G4243" t="s">
        <v>5035</v>
      </c>
      <c r="H4243">
        <v>2</v>
      </c>
      <c r="I4243">
        <v>2.63</v>
      </c>
      <c r="J4243">
        <v>8</v>
      </c>
      <c r="K4243">
        <v>12350.3</v>
      </c>
      <c r="L4243">
        <v>11.7</v>
      </c>
    </row>
    <row r="4244" spans="1:12" x14ac:dyDescent="0.3">
      <c r="A4244" t="s">
        <v>4259</v>
      </c>
      <c r="B4244" t="s">
        <v>10</v>
      </c>
      <c r="C4244" t="s">
        <v>14</v>
      </c>
      <c r="D4244">
        <v>27</v>
      </c>
      <c r="E4244" s="1">
        <v>42448</v>
      </c>
      <c r="F4244">
        <v>2016</v>
      </c>
      <c r="G4244" t="s">
        <v>5035</v>
      </c>
      <c r="H4244">
        <v>19</v>
      </c>
      <c r="I4244">
        <v>2.44</v>
      </c>
      <c r="J4244">
        <v>2</v>
      </c>
      <c r="K4244">
        <v>12441.1</v>
      </c>
      <c r="L4244">
        <v>9.6</v>
      </c>
    </row>
    <row r="4245" spans="1:12" x14ac:dyDescent="0.3">
      <c r="A4245" t="s">
        <v>4260</v>
      </c>
      <c r="B4245" t="s">
        <v>16</v>
      </c>
      <c r="C4245" t="s">
        <v>14</v>
      </c>
      <c r="D4245">
        <v>59</v>
      </c>
      <c r="E4245" s="1">
        <v>42038</v>
      </c>
      <c r="F4245">
        <v>2015</v>
      </c>
      <c r="G4245" t="s">
        <v>5042</v>
      </c>
      <c r="H4245">
        <v>3</v>
      </c>
      <c r="I4245">
        <v>3.23</v>
      </c>
      <c r="J4245">
        <v>15</v>
      </c>
      <c r="K4245">
        <v>4829.1899999999996</v>
      </c>
      <c r="L4245">
        <v>10.8</v>
      </c>
    </row>
    <row r="4246" spans="1:12" x14ac:dyDescent="0.3">
      <c r="A4246" t="s">
        <v>4261</v>
      </c>
      <c r="B4246" t="s">
        <v>16</v>
      </c>
      <c r="C4246" t="s">
        <v>11</v>
      </c>
      <c r="D4246">
        <v>46</v>
      </c>
      <c r="E4246" s="1">
        <v>44936</v>
      </c>
      <c r="F4246">
        <v>2023</v>
      </c>
      <c r="G4246" t="s">
        <v>5037</v>
      </c>
      <c r="H4246">
        <v>10</v>
      </c>
      <c r="I4246">
        <v>1.72</v>
      </c>
      <c r="J4246">
        <v>15</v>
      </c>
      <c r="K4246">
        <v>8087.42</v>
      </c>
      <c r="L4246">
        <v>2.8</v>
      </c>
    </row>
    <row r="4247" spans="1:12" x14ac:dyDescent="0.3">
      <c r="A4247" t="s">
        <v>4262</v>
      </c>
      <c r="B4247" t="s">
        <v>13</v>
      </c>
      <c r="C4247" t="s">
        <v>14</v>
      </c>
      <c r="D4247">
        <v>51</v>
      </c>
      <c r="E4247" s="1">
        <v>45532</v>
      </c>
      <c r="F4247">
        <v>2024</v>
      </c>
      <c r="G4247" t="s">
        <v>5031</v>
      </c>
      <c r="H4247">
        <v>28</v>
      </c>
      <c r="I4247">
        <v>2.5499999999999998</v>
      </c>
      <c r="J4247">
        <v>8</v>
      </c>
      <c r="K4247">
        <v>13135.84</v>
      </c>
      <c r="L4247">
        <v>1.2</v>
      </c>
    </row>
    <row r="4248" spans="1:12" x14ac:dyDescent="0.3">
      <c r="A4248" t="s">
        <v>4263</v>
      </c>
      <c r="B4248" t="s">
        <v>34</v>
      </c>
      <c r="C4248" t="s">
        <v>14</v>
      </c>
      <c r="D4248">
        <v>27</v>
      </c>
      <c r="E4248" s="1">
        <v>40229</v>
      </c>
      <c r="F4248">
        <v>2010</v>
      </c>
      <c r="G4248" t="s">
        <v>5042</v>
      </c>
      <c r="H4248">
        <v>20</v>
      </c>
      <c r="I4248">
        <v>2.12</v>
      </c>
      <c r="J4248">
        <v>15</v>
      </c>
      <c r="K4248">
        <v>3938.84</v>
      </c>
      <c r="L4248">
        <v>15.7</v>
      </c>
    </row>
    <row r="4249" spans="1:12" x14ac:dyDescent="0.3">
      <c r="A4249" t="s">
        <v>4264</v>
      </c>
      <c r="B4249" t="s">
        <v>24</v>
      </c>
      <c r="C4249" t="s">
        <v>14</v>
      </c>
      <c r="D4249">
        <v>30</v>
      </c>
      <c r="E4249" s="1">
        <v>41508</v>
      </c>
      <c r="F4249">
        <v>2013</v>
      </c>
      <c r="G4249" t="s">
        <v>5031</v>
      </c>
      <c r="H4249">
        <v>22</v>
      </c>
      <c r="I4249">
        <v>3.9</v>
      </c>
      <c r="J4249">
        <v>0</v>
      </c>
      <c r="K4249">
        <v>11896.47</v>
      </c>
      <c r="L4249">
        <v>12.2</v>
      </c>
    </row>
    <row r="4250" spans="1:12" x14ac:dyDescent="0.3">
      <c r="A4250" t="s">
        <v>4265</v>
      </c>
      <c r="B4250" t="s">
        <v>18</v>
      </c>
      <c r="C4250" t="s">
        <v>11</v>
      </c>
      <c r="D4250">
        <v>59</v>
      </c>
      <c r="E4250" s="1">
        <v>40711</v>
      </c>
      <c r="F4250">
        <v>2011</v>
      </c>
      <c r="G4250" t="s">
        <v>5032</v>
      </c>
      <c r="H4250">
        <v>17</v>
      </c>
      <c r="I4250">
        <v>1.73</v>
      </c>
      <c r="J4250">
        <v>3</v>
      </c>
      <c r="K4250">
        <v>6947.41</v>
      </c>
      <c r="L4250">
        <v>14.4</v>
      </c>
    </row>
    <row r="4251" spans="1:12" x14ac:dyDescent="0.3">
      <c r="A4251" t="s">
        <v>4266</v>
      </c>
      <c r="B4251" t="s">
        <v>13</v>
      </c>
      <c r="C4251" t="s">
        <v>14</v>
      </c>
      <c r="D4251">
        <v>44</v>
      </c>
      <c r="E4251" s="1">
        <v>41438</v>
      </c>
      <c r="F4251">
        <v>2013</v>
      </c>
      <c r="G4251" t="s">
        <v>5032</v>
      </c>
      <c r="H4251">
        <v>13</v>
      </c>
      <c r="I4251">
        <v>2.94</v>
      </c>
      <c r="J4251">
        <v>13</v>
      </c>
      <c r="K4251">
        <v>11445.59</v>
      </c>
      <c r="L4251">
        <v>12.4</v>
      </c>
    </row>
    <row r="4252" spans="1:12" x14ac:dyDescent="0.3">
      <c r="A4252" t="s">
        <v>4267</v>
      </c>
      <c r="B4252" t="s">
        <v>10</v>
      </c>
      <c r="C4252" t="s">
        <v>14</v>
      </c>
      <c r="D4252">
        <v>59</v>
      </c>
      <c r="E4252" s="1">
        <v>45806</v>
      </c>
      <c r="F4252">
        <v>2025</v>
      </c>
      <c r="G4252" t="s">
        <v>5036</v>
      </c>
      <c r="H4252">
        <v>29</v>
      </c>
      <c r="I4252">
        <v>2.4700000000000002</v>
      </c>
      <c r="J4252">
        <v>14</v>
      </c>
      <c r="K4252">
        <v>11155.05</v>
      </c>
      <c r="L4252">
        <v>0.4</v>
      </c>
    </row>
    <row r="4253" spans="1:12" x14ac:dyDescent="0.3">
      <c r="A4253" t="s">
        <v>4268</v>
      </c>
      <c r="B4253" t="s">
        <v>10</v>
      </c>
      <c r="C4253" t="s">
        <v>14</v>
      </c>
      <c r="D4253">
        <v>58</v>
      </c>
      <c r="E4253" s="1">
        <v>40946</v>
      </c>
      <c r="F4253">
        <v>2012</v>
      </c>
      <c r="G4253" t="s">
        <v>5042</v>
      </c>
      <c r="H4253">
        <v>7</v>
      </c>
      <c r="I4253">
        <v>2.04</v>
      </c>
      <c r="J4253">
        <v>14</v>
      </c>
      <c r="K4253">
        <v>13798.67</v>
      </c>
      <c r="L4253">
        <v>13.7</v>
      </c>
    </row>
    <row r="4254" spans="1:12" x14ac:dyDescent="0.3">
      <c r="A4254" t="s">
        <v>4269</v>
      </c>
      <c r="B4254" t="s">
        <v>10</v>
      </c>
      <c r="C4254" t="s">
        <v>11</v>
      </c>
      <c r="D4254">
        <v>27</v>
      </c>
      <c r="E4254" s="1">
        <v>43586</v>
      </c>
      <c r="F4254">
        <v>2019</v>
      </c>
      <c r="G4254" t="s">
        <v>5036</v>
      </c>
      <c r="H4254">
        <v>1</v>
      </c>
      <c r="I4254">
        <v>3.63</v>
      </c>
      <c r="J4254">
        <v>7</v>
      </c>
      <c r="K4254">
        <v>6718.42</v>
      </c>
      <c r="L4254">
        <v>6.5</v>
      </c>
    </row>
    <row r="4255" spans="1:12" x14ac:dyDescent="0.3">
      <c r="A4255" t="s">
        <v>4270</v>
      </c>
      <c r="B4255" t="s">
        <v>24</v>
      </c>
      <c r="C4255" t="s">
        <v>11</v>
      </c>
      <c r="D4255">
        <v>51</v>
      </c>
      <c r="E4255" s="1">
        <v>44901</v>
      </c>
      <c r="F4255">
        <v>2022</v>
      </c>
      <c r="G4255" t="s">
        <v>5041</v>
      </c>
      <c r="H4255">
        <v>6</v>
      </c>
      <c r="I4255">
        <v>4.46</v>
      </c>
      <c r="J4255">
        <v>2</v>
      </c>
      <c r="K4255">
        <v>13753.49</v>
      </c>
      <c r="L4255">
        <v>2.9</v>
      </c>
    </row>
    <row r="4256" spans="1:12" x14ac:dyDescent="0.3">
      <c r="A4256" t="s">
        <v>4271</v>
      </c>
      <c r="B4256" t="s">
        <v>18</v>
      </c>
      <c r="C4256" t="s">
        <v>11</v>
      </c>
      <c r="D4256">
        <v>31</v>
      </c>
      <c r="E4256" s="1">
        <v>43061</v>
      </c>
      <c r="F4256">
        <v>2017</v>
      </c>
      <c r="G4256" t="s">
        <v>5038</v>
      </c>
      <c r="H4256">
        <v>22</v>
      </c>
      <c r="I4256">
        <v>3.36</v>
      </c>
      <c r="J4256">
        <v>7</v>
      </c>
      <c r="K4256">
        <v>4037.65</v>
      </c>
      <c r="L4256">
        <v>7.9</v>
      </c>
    </row>
    <row r="4257" spans="1:12" x14ac:dyDescent="0.3">
      <c r="A4257" t="s">
        <v>4272</v>
      </c>
      <c r="B4257" t="s">
        <v>13</v>
      </c>
      <c r="C4257" t="s">
        <v>11</v>
      </c>
      <c r="D4257">
        <v>53</v>
      </c>
      <c r="E4257" s="1">
        <v>41594</v>
      </c>
      <c r="F4257">
        <v>2013</v>
      </c>
      <c r="G4257" t="s">
        <v>5038</v>
      </c>
      <c r="H4257">
        <v>16</v>
      </c>
      <c r="I4257">
        <v>3.92</v>
      </c>
      <c r="J4257">
        <v>13</v>
      </c>
      <c r="K4257">
        <v>11418.46</v>
      </c>
      <c r="L4257">
        <v>12</v>
      </c>
    </row>
    <row r="4258" spans="1:12" x14ac:dyDescent="0.3">
      <c r="A4258" t="s">
        <v>4273</v>
      </c>
      <c r="B4258" t="s">
        <v>18</v>
      </c>
      <c r="C4258" t="s">
        <v>14</v>
      </c>
      <c r="D4258">
        <v>48</v>
      </c>
      <c r="E4258" s="1">
        <v>40236</v>
      </c>
      <c r="F4258">
        <v>2010</v>
      </c>
      <c r="G4258" t="s">
        <v>5042</v>
      </c>
      <c r="H4258">
        <v>27</v>
      </c>
      <c r="I4258">
        <v>4.79</v>
      </c>
      <c r="J4258">
        <v>10</v>
      </c>
      <c r="K4258">
        <v>5692.97</v>
      </c>
      <c r="L4258">
        <v>15.7</v>
      </c>
    </row>
    <row r="4259" spans="1:12" x14ac:dyDescent="0.3">
      <c r="A4259" t="s">
        <v>4274</v>
      </c>
      <c r="B4259" t="s">
        <v>34</v>
      </c>
      <c r="C4259" t="s">
        <v>11</v>
      </c>
      <c r="D4259">
        <v>36</v>
      </c>
      <c r="E4259" s="1">
        <v>43519</v>
      </c>
      <c r="F4259">
        <v>2019</v>
      </c>
      <c r="G4259" t="s">
        <v>5042</v>
      </c>
      <c r="H4259">
        <v>23</v>
      </c>
      <c r="I4259">
        <v>4.43</v>
      </c>
      <c r="J4259">
        <v>4</v>
      </c>
      <c r="K4259">
        <v>12501.7</v>
      </c>
      <c r="L4259">
        <v>6.7</v>
      </c>
    </row>
    <row r="4260" spans="1:12" x14ac:dyDescent="0.3">
      <c r="A4260" t="s">
        <v>4275</v>
      </c>
      <c r="B4260" t="s">
        <v>10</v>
      </c>
      <c r="C4260" t="s">
        <v>14</v>
      </c>
      <c r="D4260">
        <v>25</v>
      </c>
      <c r="E4260" s="1">
        <v>44142</v>
      </c>
      <c r="F4260">
        <v>2020</v>
      </c>
      <c r="G4260" t="s">
        <v>5038</v>
      </c>
      <c r="H4260">
        <v>7</v>
      </c>
      <c r="I4260">
        <v>1.71</v>
      </c>
      <c r="J4260">
        <v>15</v>
      </c>
      <c r="K4260">
        <v>13269.3</v>
      </c>
      <c r="L4260">
        <v>5</v>
      </c>
    </row>
    <row r="4261" spans="1:12" x14ac:dyDescent="0.3">
      <c r="A4261" t="s">
        <v>4276</v>
      </c>
      <c r="B4261" t="s">
        <v>18</v>
      </c>
      <c r="C4261" t="s">
        <v>11</v>
      </c>
      <c r="D4261">
        <v>58</v>
      </c>
      <c r="E4261" s="1">
        <v>42776</v>
      </c>
      <c r="F4261">
        <v>2017</v>
      </c>
      <c r="G4261" t="s">
        <v>5042</v>
      </c>
      <c r="H4261">
        <v>10</v>
      </c>
      <c r="I4261">
        <v>3.37</v>
      </c>
      <c r="J4261">
        <v>1</v>
      </c>
      <c r="K4261">
        <v>9234.65</v>
      </c>
      <c r="L4261">
        <v>8.6999999999999993</v>
      </c>
    </row>
    <row r="4262" spans="1:12" x14ac:dyDescent="0.3">
      <c r="A4262" t="s">
        <v>4277</v>
      </c>
      <c r="B4262" t="s">
        <v>34</v>
      </c>
      <c r="C4262" t="s">
        <v>14</v>
      </c>
      <c r="D4262">
        <v>57</v>
      </c>
      <c r="E4262" s="1">
        <v>43463</v>
      </c>
      <c r="F4262">
        <v>2018</v>
      </c>
      <c r="G4262" t="s">
        <v>5041</v>
      </c>
      <c r="H4262">
        <v>29</v>
      </c>
      <c r="I4262">
        <v>2.09</v>
      </c>
      <c r="J4262">
        <v>5</v>
      </c>
      <c r="K4262">
        <v>9883.07</v>
      </c>
      <c r="L4262">
        <v>6.8</v>
      </c>
    </row>
    <row r="4263" spans="1:12" x14ac:dyDescent="0.3">
      <c r="A4263" t="s">
        <v>4278</v>
      </c>
      <c r="B4263" t="s">
        <v>18</v>
      </c>
      <c r="C4263" t="s">
        <v>14</v>
      </c>
      <c r="D4263">
        <v>46</v>
      </c>
      <c r="E4263" s="1">
        <v>42306</v>
      </c>
      <c r="F4263">
        <v>2015</v>
      </c>
      <c r="G4263" t="s">
        <v>5039</v>
      </c>
      <c r="H4263">
        <v>29</v>
      </c>
      <c r="I4263">
        <v>4.13</v>
      </c>
      <c r="J4263">
        <v>2</v>
      </c>
      <c r="K4263">
        <v>3153.99</v>
      </c>
      <c r="L4263">
        <v>10</v>
      </c>
    </row>
    <row r="4264" spans="1:12" x14ac:dyDescent="0.3">
      <c r="A4264" t="s">
        <v>4279</v>
      </c>
      <c r="B4264" t="s">
        <v>10</v>
      </c>
      <c r="C4264" t="s">
        <v>11</v>
      </c>
      <c r="D4264">
        <v>33</v>
      </c>
      <c r="E4264" s="1">
        <v>41510</v>
      </c>
      <c r="F4264">
        <v>2013</v>
      </c>
      <c r="G4264" t="s">
        <v>5031</v>
      </c>
      <c r="H4264">
        <v>24</v>
      </c>
      <c r="I4264">
        <v>3.48</v>
      </c>
      <c r="J4264">
        <v>6</v>
      </c>
      <c r="K4264">
        <v>5642.1</v>
      </c>
      <c r="L4264">
        <v>12.2</v>
      </c>
    </row>
    <row r="4265" spans="1:12" x14ac:dyDescent="0.3">
      <c r="A4265" t="s">
        <v>4280</v>
      </c>
      <c r="B4265" t="s">
        <v>10</v>
      </c>
      <c r="C4265" t="s">
        <v>14</v>
      </c>
      <c r="D4265">
        <v>25</v>
      </c>
      <c r="E4265" s="1">
        <v>45779</v>
      </c>
      <c r="F4265">
        <v>2025</v>
      </c>
      <c r="G4265" t="s">
        <v>5036</v>
      </c>
      <c r="H4265">
        <v>2</v>
      </c>
      <c r="I4265">
        <v>4.1100000000000003</v>
      </c>
      <c r="J4265">
        <v>10</v>
      </c>
      <c r="K4265">
        <v>10979.59</v>
      </c>
      <c r="L4265">
        <v>0.5</v>
      </c>
    </row>
    <row r="4266" spans="1:12" x14ac:dyDescent="0.3">
      <c r="A4266" t="s">
        <v>4281</v>
      </c>
      <c r="B4266" t="s">
        <v>18</v>
      </c>
      <c r="C4266" t="s">
        <v>14</v>
      </c>
      <c r="D4266">
        <v>52</v>
      </c>
      <c r="E4266" s="1">
        <v>40585</v>
      </c>
      <c r="F4266">
        <v>2011</v>
      </c>
      <c r="G4266" t="s">
        <v>5042</v>
      </c>
      <c r="H4266">
        <v>11</v>
      </c>
      <c r="I4266">
        <v>4.97</v>
      </c>
      <c r="J4266">
        <v>0</v>
      </c>
      <c r="K4266">
        <v>3176.38</v>
      </c>
      <c r="L4266">
        <v>14.7</v>
      </c>
    </row>
    <row r="4267" spans="1:12" x14ac:dyDescent="0.3">
      <c r="A4267" t="s">
        <v>4282</v>
      </c>
      <c r="B4267" t="s">
        <v>16</v>
      </c>
      <c r="C4267" t="s">
        <v>11</v>
      </c>
      <c r="D4267">
        <v>25</v>
      </c>
      <c r="E4267" s="1">
        <v>42025</v>
      </c>
      <c r="F4267">
        <v>2015</v>
      </c>
      <c r="G4267" t="s">
        <v>5037</v>
      </c>
      <c r="H4267">
        <v>21</v>
      </c>
      <c r="I4267">
        <v>3.29</v>
      </c>
      <c r="J4267">
        <v>4</v>
      </c>
      <c r="K4267">
        <v>3835.33</v>
      </c>
      <c r="L4267">
        <v>10.8</v>
      </c>
    </row>
    <row r="4268" spans="1:12" x14ac:dyDescent="0.3">
      <c r="A4268" t="s">
        <v>4283</v>
      </c>
      <c r="B4268" t="s">
        <v>10</v>
      </c>
      <c r="C4268" t="s">
        <v>14</v>
      </c>
      <c r="D4268">
        <v>48</v>
      </c>
      <c r="E4268" s="1">
        <v>41816</v>
      </c>
      <c r="F4268">
        <v>2014</v>
      </c>
      <c r="G4268" t="s">
        <v>5032</v>
      </c>
      <c r="H4268">
        <v>26</v>
      </c>
      <c r="I4268">
        <v>3.36</v>
      </c>
      <c r="J4268">
        <v>14</v>
      </c>
      <c r="K4268">
        <v>11058.29</v>
      </c>
      <c r="L4268">
        <v>11.4</v>
      </c>
    </row>
    <row r="4269" spans="1:12" x14ac:dyDescent="0.3">
      <c r="A4269" t="s">
        <v>4284</v>
      </c>
      <c r="B4269" t="s">
        <v>16</v>
      </c>
      <c r="C4269" t="s">
        <v>11</v>
      </c>
      <c r="D4269">
        <v>56</v>
      </c>
      <c r="E4269" s="1">
        <v>41776</v>
      </c>
      <c r="F4269">
        <v>2014</v>
      </c>
      <c r="G4269" t="s">
        <v>5036</v>
      </c>
      <c r="H4269">
        <v>17</v>
      </c>
      <c r="I4269">
        <v>3.23</v>
      </c>
      <c r="J4269">
        <v>12</v>
      </c>
      <c r="K4269">
        <v>4485.3100000000004</v>
      </c>
      <c r="L4269">
        <v>11.5</v>
      </c>
    </row>
    <row r="4270" spans="1:12" x14ac:dyDescent="0.3">
      <c r="A4270" t="s">
        <v>4285</v>
      </c>
      <c r="B4270" t="s">
        <v>24</v>
      </c>
      <c r="C4270" t="s">
        <v>11</v>
      </c>
      <c r="D4270">
        <v>55</v>
      </c>
      <c r="E4270" s="1">
        <v>44326</v>
      </c>
      <c r="F4270">
        <v>2021</v>
      </c>
      <c r="G4270" t="s">
        <v>5036</v>
      </c>
      <c r="H4270">
        <v>10</v>
      </c>
      <c r="I4270">
        <v>2.46</v>
      </c>
      <c r="J4270">
        <v>0</v>
      </c>
      <c r="K4270">
        <v>14168.85</v>
      </c>
      <c r="L4270">
        <v>4.5</v>
      </c>
    </row>
    <row r="4271" spans="1:12" x14ac:dyDescent="0.3">
      <c r="A4271" t="s">
        <v>4286</v>
      </c>
      <c r="B4271" t="s">
        <v>24</v>
      </c>
      <c r="C4271" t="s">
        <v>14</v>
      </c>
      <c r="D4271">
        <v>30</v>
      </c>
      <c r="E4271" s="1">
        <v>40659</v>
      </c>
      <c r="F4271">
        <v>2011</v>
      </c>
      <c r="G4271" t="s">
        <v>5040</v>
      </c>
      <c r="H4271">
        <v>26</v>
      </c>
      <c r="I4271">
        <v>2.73</v>
      </c>
      <c r="J4271">
        <v>0</v>
      </c>
      <c r="K4271">
        <v>5597.97</v>
      </c>
      <c r="L4271">
        <v>14.5</v>
      </c>
    </row>
    <row r="4272" spans="1:12" x14ac:dyDescent="0.3">
      <c r="A4272" t="s">
        <v>4287</v>
      </c>
      <c r="B4272" t="s">
        <v>13</v>
      </c>
      <c r="C4272" t="s">
        <v>11</v>
      </c>
      <c r="D4272">
        <v>41</v>
      </c>
      <c r="E4272" s="1">
        <v>40666</v>
      </c>
      <c r="F4272">
        <v>2011</v>
      </c>
      <c r="G4272" t="s">
        <v>5036</v>
      </c>
      <c r="H4272">
        <v>3</v>
      </c>
      <c r="I4272">
        <v>1.6</v>
      </c>
      <c r="J4272">
        <v>7</v>
      </c>
      <c r="K4272">
        <v>9793.82</v>
      </c>
      <c r="L4272">
        <v>14.5</v>
      </c>
    </row>
    <row r="4273" spans="1:12" x14ac:dyDescent="0.3">
      <c r="A4273" t="s">
        <v>4288</v>
      </c>
      <c r="B4273" t="s">
        <v>34</v>
      </c>
      <c r="C4273" t="s">
        <v>11</v>
      </c>
      <c r="D4273">
        <v>34</v>
      </c>
      <c r="E4273" s="1">
        <v>41673</v>
      </c>
      <c r="F4273">
        <v>2014</v>
      </c>
      <c r="G4273" t="s">
        <v>5042</v>
      </c>
      <c r="H4273">
        <v>3</v>
      </c>
      <c r="I4273">
        <v>3.94</v>
      </c>
      <c r="J4273">
        <v>5</v>
      </c>
      <c r="K4273">
        <v>13999.59</v>
      </c>
      <c r="L4273">
        <v>11.8</v>
      </c>
    </row>
    <row r="4274" spans="1:12" x14ac:dyDescent="0.3">
      <c r="A4274" t="s">
        <v>4289</v>
      </c>
      <c r="B4274" t="s">
        <v>24</v>
      </c>
      <c r="C4274" t="s">
        <v>11</v>
      </c>
      <c r="D4274">
        <v>32</v>
      </c>
      <c r="E4274" s="1">
        <v>41936</v>
      </c>
      <c r="F4274">
        <v>2014</v>
      </c>
      <c r="G4274" t="s">
        <v>5039</v>
      </c>
      <c r="H4274">
        <v>24</v>
      </c>
      <c r="I4274">
        <v>3.39</v>
      </c>
      <c r="J4274">
        <v>3</v>
      </c>
      <c r="K4274">
        <v>14415.92</v>
      </c>
      <c r="L4274">
        <v>11</v>
      </c>
    </row>
    <row r="4275" spans="1:12" x14ac:dyDescent="0.3">
      <c r="A4275" t="s">
        <v>4290</v>
      </c>
      <c r="B4275" t="s">
        <v>34</v>
      </c>
      <c r="C4275" t="s">
        <v>11</v>
      </c>
      <c r="D4275">
        <v>27</v>
      </c>
      <c r="E4275" s="1">
        <v>41231</v>
      </c>
      <c r="F4275">
        <v>2012</v>
      </c>
      <c r="G4275" t="s">
        <v>5038</v>
      </c>
      <c r="H4275">
        <v>18</v>
      </c>
      <c r="I4275">
        <v>3.18</v>
      </c>
      <c r="J4275">
        <v>11</v>
      </c>
      <c r="K4275">
        <v>11104.04</v>
      </c>
      <c r="L4275">
        <v>13</v>
      </c>
    </row>
    <row r="4276" spans="1:12" x14ac:dyDescent="0.3">
      <c r="A4276" t="s">
        <v>4291</v>
      </c>
      <c r="B4276" t="s">
        <v>13</v>
      </c>
      <c r="C4276" t="s">
        <v>11</v>
      </c>
      <c r="D4276">
        <v>40</v>
      </c>
      <c r="E4276" s="1">
        <v>45953</v>
      </c>
      <c r="F4276">
        <v>2025</v>
      </c>
      <c r="G4276" t="s">
        <v>5039</v>
      </c>
      <c r="H4276">
        <v>23</v>
      </c>
      <c r="I4276">
        <v>3.46</v>
      </c>
      <c r="J4276">
        <v>6</v>
      </c>
      <c r="K4276">
        <v>7723.82</v>
      </c>
      <c r="L4276">
        <v>0</v>
      </c>
    </row>
    <row r="4277" spans="1:12" x14ac:dyDescent="0.3">
      <c r="A4277" t="s">
        <v>4292</v>
      </c>
      <c r="B4277" t="s">
        <v>16</v>
      </c>
      <c r="C4277" t="s">
        <v>14</v>
      </c>
      <c r="D4277">
        <v>40</v>
      </c>
      <c r="E4277" s="1">
        <v>41633</v>
      </c>
      <c r="F4277">
        <v>2013</v>
      </c>
      <c r="G4277" t="s">
        <v>5041</v>
      </c>
      <c r="H4277">
        <v>25</v>
      </c>
      <c r="I4277">
        <v>2.08</v>
      </c>
      <c r="J4277">
        <v>15</v>
      </c>
      <c r="K4277">
        <v>5515.77</v>
      </c>
      <c r="L4277">
        <v>11.9</v>
      </c>
    </row>
    <row r="4278" spans="1:12" x14ac:dyDescent="0.3">
      <c r="A4278" t="s">
        <v>4293</v>
      </c>
      <c r="B4278" t="s">
        <v>18</v>
      </c>
      <c r="C4278" t="s">
        <v>11</v>
      </c>
      <c r="D4278">
        <v>56</v>
      </c>
      <c r="E4278" s="1">
        <v>43205</v>
      </c>
      <c r="F4278">
        <v>2018</v>
      </c>
      <c r="G4278" t="s">
        <v>5040</v>
      </c>
      <c r="H4278">
        <v>15</v>
      </c>
      <c r="I4278">
        <v>2.36</v>
      </c>
      <c r="J4278">
        <v>13</v>
      </c>
      <c r="K4278">
        <v>6819.75</v>
      </c>
      <c r="L4278">
        <v>7.6</v>
      </c>
    </row>
    <row r="4279" spans="1:12" x14ac:dyDescent="0.3">
      <c r="A4279" t="s">
        <v>4294</v>
      </c>
      <c r="B4279" t="s">
        <v>18</v>
      </c>
      <c r="C4279" t="s">
        <v>11</v>
      </c>
      <c r="D4279">
        <v>48</v>
      </c>
      <c r="E4279" s="1">
        <v>43633</v>
      </c>
      <c r="F4279">
        <v>2019</v>
      </c>
      <c r="G4279" t="s">
        <v>5032</v>
      </c>
      <c r="H4279">
        <v>17</v>
      </c>
      <c r="I4279">
        <v>1.77</v>
      </c>
      <c r="J4279">
        <v>14</v>
      </c>
      <c r="K4279">
        <v>10583.3</v>
      </c>
      <c r="L4279">
        <v>6.4</v>
      </c>
    </row>
    <row r="4280" spans="1:12" x14ac:dyDescent="0.3">
      <c r="A4280" t="s">
        <v>4295</v>
      </c>
      <c r="B4280" t="s">
        <v>16</v>
      </c>
      <c r="C4280" t="s">
        <v>14</v>
      </c>
      <c r="D4280">
        <v>46</v>
      </c>
      <c r="E4280" s="1">
        <v>43438</v>
      </c>
      <c r="F4280">
        <v>2018</v>
      </c>
      <c r="G4280" t="s">
        <v>5041</v>
      </c>
      <c r="H4280">
        <v>4</v>
      </c>
      <c r="I4280">
        <v>4.1500000000000004</v>
      </c>
      <c r="J4280">
        <v>3</v>
      </c>
      <c r="K4280">
        <v>5450.06</v>
      </c>
      <c r="L4280">
        <v>6.9</v>
      </c>
    </row>
    <row r="4281" spans="1:12" x14ac:dyDescent="0.3">
      <c r="A4281" t="s">
        <v>4296</v>
      </c>
      <c r="B4281" t="s">
        <v>10</v>
      </c>
      <c r="C4281" t="s">
        <v>11</v>
      </c>
      <c r="D4281">
        <v>36</v>
      </c>
      <c r="E4281" s="1">
        <v>42699</v>
      </c>
      <c r="F4281">
        <v>2016</v>
      </c>
      <c r="G4281" t="s">
        <v>5038</v>
      </c>
      <c r="H4281">
        <v>25</v>
      </c>
      <c r="I4281">
        <v>3.06</v>
      </c>
      <c r="J4281">
        <v>2</v>
      </c>
      <c r="K4281">
        <v>7554.71</v>
      </c>
      <c r="L4281">
        <v>8.9</v>
      </c>
    </row>
    <row r="4282" spans="1:12" x14ac:dyDescent="0.3">
      <c r="A4282" t="s">
        <v>4297</v>
      </c>
      <c r="B4282" t="s">
        <v>18</v>
      </c>
      <c r="C4282" t="s">
        <v>11</v>
      </c>
      <c r="D4282">
        <v>47</v>
      </c>
      <c r="E4282" s="1">
        <v>41556</v>
      </c>
      <c r="F4282">
        <v>2013</v>
      </c>
      <c r="G4282" t="s">
        <v>5039</v>
      </c>
      <c r="H4282">
        <v>9</v>
      </c>
      <c r="I4282">
        <v>2.2000000000000002</v>
      </c>
      <c r="J4282">
        <v>12</v>
      </c>
      <c r="K4282">
        <v>7553.26</v>
      </c>
      <c r="L4282">
        <v>12.1</v>
      </c>
    </row>
    <row r="4283" spans="1:12" x14ac:dyDescent="0.3">
      <c r="A4283" t="s">
        <v>4298</v>
      </c>
      <c r="B4283" t="s">
        <v>34</v>
      </c>
      <c r="C4283" t="s">
        <v>11</v>
      </c>
      <c r="D4283">
        <v>42</v>
      </c>
      <c r="E4283" s="1">
        <v>40287</v>
      </c>
      <c r="F4283">
        <v>2010</v>
      </c>
      <c r="G4283" t="s">
        <v>5040</v>
      </c>
      <c r="H4283">
        <v>19</v>
      </c>
      <c r="I4283">
        <v>3.11</v>
      </c>
      <c r="J4283">
        <v>15</v>
      </c>
      <c r="K4283">
        <v>11484.68</v>
      </c>
      <c r="L4283">
        <v>15.5</v>
      </c>
    </row>
    <row r="4284" spans="1:12" x14ac:dyDescent="0.3">
      <c r="A4284" t="s">
        <v>4299</v>
      </c>
      <c r="B4284" t="s">
        <v>13</v>
      </c>
      <c r="C4284" t="s">
        <v>11</v>
      </c>
      <c r="D4284">
        <v>55</v>
      </c>
      <c r="E4284" s="1">
        <v>41239</v>
      </c>
      <c r="F4284">
        <v>2012</v>
      </c>
      <c r="G4284" t="s">
        <v>5038</v>
      </c>
      <c r="H4284">
        <v>26</v>
      </c>
      <c r="I4284">
        <v>3.33</v>
      </c>
      <c r="J4284">
        <v>1</v>
      </c>
      <c r="K4284">
        <v>12928.2</v>
      </c>
      <c r="L4284">
        <v>12.9</v>
      </c>
    </row>
    <row r="4285" spans="1:12" x14ac:dyDescent="0.3">
      <c r="A4285" t="s">
        <v>4300</v>
      </c>
      <c r="B4285" t="s">
        <v>10</v>
      </c>
      <c r="C4285" t="s">
        <v>14</v>
      </c>
      <c r="D4285">
        <v>60</v>
      </c>
      <c r="E4285" s="1">
        <v>40566</v>
      </c>
      <c r="F4285">
        <v>2011</v>
      </c>
      <c r="G4285" t="s">
        <v>5037</v>
      </c>
      <c r="H4285">
        <v>23</v>
      </c>
      <c r="I4285">
        <v>2.59</v>
      </c>
      <c r="J4285">
        <v>10</v>
      </c>
      <c r="K4285">
        <v>8055.81</v>
      </c>
      <c r="L4285">
        <v>14.8</v>
      </c>
    </row>
    <row r="4286" spans="1:12" x14ac:dyDescent="0.3">
      <c r="A4286" t="s">
        <v>4301</v>
      </c>
      <c r="B4286" t="s">
        <v>24</v>
      </c>
      <c r="C4286" t="s">
        <v>11</v>
      </c>
      <c r="D4286">
        <v>32</v>
      </c>
      <c r="E4286" s="1">
        <v>41320</v>
      </c>
      <c r="F4286">
        <v>2013</v>
      </c>
      <c r="G4286" t="s">
        <v>5042</v>
      </c>
      <c r="H4286">
        <v>15</v>
      </c>
      <c r="I4286">
        <v>4.7</v>
      </c>
      <c r="J4286">
        <v>9</v>
      </c>
      <c r="K4286">
        <v>7173.7</v>
      </c>
      <c r="L4286">
        <v>12.7</v>
      </c>
    </row>
    <row r="4287" spans="1:12" x14ac:dyDescent="0.3">
      <c r="A4287" t="s">
        <v>4302</v>
      </c>
      <c r="B4287" t="s">
        <v>18</v>
      </c>
      <c r="C4287" t="s">
        <v>11</v>
      </c>
      <c r="D4287">
        <v>51</v>
      </c>
      <c r="E4287" s="1">
        <v>40403</v>
      </c>
      <c r="F4287">
        <v>2010</v>
      </c>
      <c r="G4287" t="s">
        <v>5031</v>
      </c>
      <c r="H4287">
        <v>13</v>
      </c>
      <c r="I4287">
        <v>4.7</v>
      </c>
      <c r="J4287">
        <v>14</v>
      </c>
      <c r="K4287">
        <v>13164.84</v>
      </c>
      <c r="L4287">
        <v>15.2</v>
      </c>
    </row>
    <row r="4288" spans="1:12" x14ac:dyDescent="0.3">
      <c r="A4288" t="s">
        <v>4303</v>
      </c>
      <c r="B4288" t="s">
        <v>18</v>
      </c>
      <c r="C4288" t="s">
        <v>14</v>
      </c>
      <c r="D4288">
        <v>41</v>
      </c>
      <c r="E4288" s="1">
        <v>43494</v>
      </c>
      <c r="F4288">
        <v>2019</v>
      </c>
      <c r="G4288" t="s">
        <v>5037</v>
      </c>
      <c r="H4288">
        <v>29</v>
      </c>
      <c r="I4288">
        <v>4.5999999999999996</v>
      </c>
      <c r="J4288">
        <v>3</v>
      </c>
      <c r="K4288">
        <v>4123.54</v>
      </c>
      <c r="L4288">
        <v>6.8</v>
      </c>
    </row>
    <row r="4289" spans="1:12" x14ac:dyDescent="0.3">
      <c r="A4289" t="s">
        <v>4304</v>
      </c>
      <c r="B4289" t="s">
        <v>16</v>
      </c>
      <c r="C4289" t="s">
        <v>11</v>
      </c>
      <c r="D4289">
        <v>43</v>
      </c>
      <c r="E4289" s="1">
        <v>43230</v>
      </c>
      <c r="F4289">
        <v>2018</v>
      </c>
      <c r="G4289" t="s">
        <v>5036</v>
      </c>
      <c r="H4289">
        <v>10</v>
      </c>
      <c r="I4289">
        <v>2.5299999999999998</v>
      </c>
      <c r="J4289">
        <v>0</v>
      </c>
      <c r="K4289">
        <v>12377.03</v>
      </c>
      <c r="L4289">
        <v>7.5</v>
      </c>
    </row>
    <row r="4290" spans="1:12" x14ac:dyDescent="0.3">
      <c r="A4290" t="s">
        <v>4305</v>
      </c>
      <c r="B4290" t="s">
        <v>16</v>
      </c>
      <c r="C4290" t="s">
        <v>14</v>
      </c>
      <c r="D4290">
        <v>22</v>
      </c>
      <c r="E4290" s="1">
        <v>44288</v>
      </c>
      <c r="F4290">
        <v>2021</v>
      </c>
      <c r="G4290" t="s">
        <v>5040</v>
      </c>
      <c r="H4290">
        <v>2</v>
      </c>
      <c r="I4290">
        <v>4.2</v>
      </c>
      <c r="J4290">
        <v>0</v>
      </c>
      <c r="K4290">
        <v>3591.31</v>
      </c>
      <c r="L4290">
        <v>4.5999999999999996</v>
      </c>
    </row>
    <row r="4291" spans="1:12" x14ac:dyDescent="0.3">
      <c r="A4291" t="s">
        <v>4306</v>
      </c>
      <c r="B4291" t="s">
        <v>24</v>
      </c>
      <c r="C4291" t="s">
        <v>11</v>
      </c>
      <c r="D4291">
        <v>44</v>
      </c>
      <c r="E4291" s="1">
        <v>41171</v>
      </c>
      <c r="F4291">
        <v>2012</v>
      </c>
      <c r="G4291" t="s">
        <v>5033</v>
      </c>
      <c r="H4291">
        <v>19</v>
      </c>
      <c r="I4291">
        <v>3.57</v>
      </c>
      <c r="J4291">
        <v>0</v>
      </c>
      <c r="K4291">
        <v>8479.64</v>
      </c>
      <c r="L4291">
        <v>13.1</v>
      </c>
    </row>
    <row r="4292" spans="1:12" x14ac:dyDescent="0.3">
      <c r="A4292" t="s">
        <v>4307</v>
      </c>
      <c r="B4292" t="s">
        <v>16</v>
      </c>
      <c r="C4292" t="s">
        <v>11</v>
      </c>
      <c r="D4292">
        <v>47</v>
      </c>
      <c r="E4292" s="1">
        <v>45418</v>
      </c>
      <c r="F4292">
        <v>2024</v>
      </c>
      <c r="G4292" t="s">
        <v>5036</v>
      </c>
      <c r="H4292">
        <v>6</v>
      </c>
      <c r="I4292">
        <v>2.46</v>
      </c>
      <c r="J4292">
        <v>3</v>
      </c>
      <c r="K4292">
        <v>9018.6200000000008</v>
      </c>
      <c r="L4292">
        <v>1.5</v>
      </c>
    </row>
    <row r="4293" spans="1:12" x14ac:dyDescent="0.3">
      <c r="A4293" t="s">
        <v>4308</v>
      </c>
      <c r="B4293" t="s">
        <v>18</v>
      </c>
      <c r="C4293" t="s">
        <v>11</v>
      </c>
      <c r="D4293">
        <v>56</v>
      </c>
      <c r="E4293" s="1">
        <v>44569</v>
      </c>
      <c r="F4293">
        <v>2022</v>
      </c>
      <c r="G4293" t="s">
        <v>5037</v>
      </c>
      <c r="H4293">
        <v>8</v>
      </c>
      <c r="I4293">
        <v>1.5</v>
      </c>
      <c r="J4293">
        <v>11</v>
      </c>
      <c r="K4293">
        <v>11854.21</v>
      </c>
      <c r="L4293">
        <v>3.8</v>
      </c>
    </row>
    <row r="4294" spans="1:12" x14ac:dyDescent="0.3">
      <c r="A4294" t="s">
        <v>4309</v>
      </c>
      <c r="B4294" t="s">
        <v>34</v>
      </c>
      <c r="C4294" t="s">
        <v>11</v>
      </c>
      <c r="D4294">
        <v>27</v>
      </c>
      <c r="E4294" s="1">
        <v>43785</v>
      </c>
      <c r="F4294">
        <v>2019</v>
      </c>
      <c r="G4294" t="s">
        <v>5038</v>
      </c>
      <c r="H4294">
        <v>16</v>
      </c>
      <c r="I4294">
        <v>3.3</v>
      </c>
      <c r="J4294">
        <v>15</v>
      </c>
      <c r="K4294">
        <v>9499.64</v>
      </c>
      <c r="L4294">
        <v>6</v>
      </c>
    </row>
    <row r="4295" spans="1:12" x14ac:dyDescent="0.3">
      <c r="A4295" t="s">
        <v>4310</v>
      </c>
      <c r="B4295" t="s">
        <v>10</v>
      </c>
      <c r="C4295" t="s">
        <v>11</v>
      </c>
      <c r="D4295">
        <v>48</v>
      </c>
      <c r="E4295" s="1">
        <v>44623</v>
      </c>
      <c r="F4295">
        <v>2022</v>
      </c>
      <c r="G4295" t="s">
        <v>5035</v>
      </c>
      <c r="H4295">
        <v>3</v>
      </c>
      <c r="I4295">
        <v>3.98</v>
      </c>
      <c r="J4295">
        <v>8</v>
      </c>
      <c r="K4295">
        <v>7483.04</v>
      </c>
      <c r="L4295">
        <v>3.7</v>
      </c>
    </row>
    <row r="4296" spans="1:12" x14ac:dyDescent="0.3">
      <c r="A4296" t="s">
        <v>4311</v>
      </c>
      <c r="B4296" t="s">
        <v>13</v>
      </c>
      <c r="C4296" t="s">
        <v>14</v>
      </c>
      <c r="D4296">
        <v>32</v>
      </c>
      <c r="E4296" s="1">
        <v>44921</v>
      </c>
      <c r="F4296">
        <v>2022</v>
      </c>
      <c r="G4296" t="s">
        <v>5041</v>
      </c>
      <c r="H4296">
        <v>26</v>
      </c>
      <c r="I4296">
        <v>2.12</v>
      </c>
      <c r="J4296">
        <v>15</v>
      </c>
      <c r="K4296">
        <v>8538.31</v>
      </c>
      <c r="L4296">
        <v>2.9</v>
      </c>
    </row>
    <row r="4297" spans="1:12" x14ac:dyDescent="0.3">
      <c r="A4297" t="s">
        <v>4312</v>
      </c>
      <c r="B4297" t="s">
        <v>24</v>
      </c>
      <c r="C4297" t="s">
        <v>14</v>
      </c>
      <c r="D4297">
        <v>33</v>
      </c>
      <c r="E4297" s="1">
        <v>44416</v>
      </c>
      <c r="F4297">
        <v>2021</v>
      </c>
      <c r="G4297" t="s">
        <v>5031</v>
      </c>
      <c r="H4297">
        <v>8</v>
      </c>
      <c r="I4297">
        <v>1.52</v>
      </c>
      <c r="J4297">
        <v>5</v>
      </c>
      <c r="K4297">
        <v>14603.51</v>
      </c>
      <c r="L4297">
        <v>4.2</v>
      </c>
    </row>
    <row r="4298" spans="1:12" x14ac:dyDescent="0.3">
      <c r="A4298" t="s">
        <v>4313</v>
      </c>
      <c r="B4298" t="s">
        <v>24</v>
      </c>
      <c r="C4298" t="s">
        <v>11</v>
      </c>
      <c r="D4298">
        <v>22</v>
      </c>
      <c r="E4298" s="1">
        <v>40234</v>
      </c>
      <c r="F4298">
        <v>2010</v>
      </c>
      <c r="G4298" t="s">
        <v>5042</v>
      </c>
      <c r="H4298">
        <v>25</v>
      </c>
      <c r="I4298">
        <v>3.24</v>
      </c>
      <c r="J4298">
        <v>3</v>
      </c>
      <c r="K4298">
        <v>10297.280000000001</v>
      </c>
      <c r="L4298">
        <v>15.7</v>
      </c>
    </row>
    <row r="4299" spans="1:12" x14ac:dyDescent="0.3">
      <c r="A4299" t="s">
        <v>4314</v>
      </c>
      <c r="B4299" t="s">
        <v>13</v>
      </c>
      <c r="C4299" t="s">
        <v>11</v>
      </c>
      <c r="D4299">
        <v>39</v>
      </c>
      <c r="E4299" s="1">
        <v>42818</v>
      </c>
      <c r="F4299">
        <v>2017</v>
      </c>
      <c r="G4299" t="s">
        <v>5035</v>
      </c>
      <c r="H4299">
        <v>24</v>
      </c>
      <c r="I4299">
        <v>2.4700000000000002</v>
      </c>
      <c r="J4299">
        <v>13</v>
      </c>
      <c r="K4299">
        <v>9001.25</v>
      </c>
      <c r="L4299">
        <v>8.6</v>
      </c>
    </row>
    <row r="4300" spans="1:12" x14ac:dyDescent="0.3">
      <c r="A4300" t="s">
        <v>4315</v>
      </c>
      <c r="B4300" t="s">
        <v>24</v>
      </c>
      <c r="C4300" t="s">
        <v>14</v>
      </c>
      <c r="D4300">
        <v>26</v>
      </c>
      <c r="E4300" s="1">
        <v>44106</v>
      </c>
      <c r="F4300">
        <v>2020</v>
      </c>
      <c r="G4300" t="s">
        <v>5039</v>
      </c>
      <c r="H4300">
        <v>2</v>
      </c>
      <c r="I4300">
        <v>2.8</v>
      </c>
      <c r="J4300">
        <v>11</v>
      </c>
      <c r="K4300">
        <v>6032.77</v>
      </c>
      <c r="L4300">
        <v>5.0999999999999996</v>
      </c>
    </row>
    <row r="4301" spans="1:12" x14ac:dyDescent="0.3">
      <c r="A4301" t="s">
        <v>4316</v>
      </c>
      <c r="B4301" t="s">
        <v>24</v>
      </c>
      <c r="C4301" t="s">
        <v>14</v>
      </c>
      <c r="D4301">
        <v>54</v>
      </c>
      <c r="E4301" s="1">
        <v>45896</v>
      </c>
      <c r="F4301">
        <v>2025</v>
      </c>
      <c r="G4301" t="s">
        <v>5031</v>
      </c>
      <c r="H4301">
        <v>27</v>
      </c>
      <c r="I4301">
        <v>1.5</v>
      </c>
      <c r="J4301">
        <v>14</v>
      </c>
      <c r="K4301">
        <v>10864.25</v>
      </c>
      <c r="L4301">
        <v>0.2</v>
      </c>
    </row>
    <row r="4302" spans="1:12" x14ac:dyDescent="0.3">
      <c r="A4302" t="s">
        <v>4317</v>
      </c>
      <c r="B4302" t="s">
        <v>34</v>
      </c>
      <c r="C4302" t="s">
        <v>14</v>
      </c>
      <c r="D4302">
        <v>58</v>
      </c>
      <c r="E4302" s="1">
        <v>41829</v>
      </c>
      <c r="F4302">
        <v>2014</v>
      </c>
      <c r="G4302" t="s">
        <v>5034</v>
      </c>
      <c r="H4302">
        <v>9</v>
      </c>
      <c r="I4302">
        <v>3.45</v>
      </c>
      <c r="J4302">
        <v>13</v>
      </c>
      <c r="K4302">
        <v>11781.24</v>
      </c>
      <c r="L4302">
        <v>11.3</v>
      </c>
    </row>
    <row r="4303" spans="1:12" x14ac:dyDescent="0.3">
      <c r="A4303" t="s">
        <v>4318</v>
      </c>
      <c r="B4303" t="s">
        <v>16</v>
      </c>
      <c r="C4303" t="s">
        <v>11</v>
      </c>
      <c r="D4303">
        <v>44</v>
      </c>
      <c r="E4303" s="1">
        <v>45864</v>
      </c>
      <c r="F4303">
        <v>2025</v>
      </c>
      <c r="G4303" t="s">
        <v>5034</v>
      </c>
      <c r="H4303">
        <v>26</v>
      </c>
      <c r="I4303">
        <v>2.57</v>
      </c>
      <c r="J4303">
        <v>0</v>
      </c>
      <c r="K4303">
        <v>7052.11</v>
      </c>
      <c r="L4303">
        <v>0.3</v>
      </c>
    </row>
    <row r="4304" spans="1:12" x14ac:dyDescent="0.3">
      <c r="A4304" t="s">
        <v>4319</v>
      </c>
      <c r="B4304" t="s">
        <v>34</v>
      </c>
      <c r="C4304" t="s">
        <v>14</v>
      </c>
      <c r="D4304">
        <v>44</v>
      </c>
      <c r="E4304" s="1">
        <v>40817</v>
      </c>
      <c r="F4304">
        <v>2011</v>
      </c>
      <c r="G4304" t="s">
        <v>5039</v>
      </c>
      <c r="H4304">
        <v>1</v>
      </c>
      <c r="I4304">
        <v>4.95</v>
      </c>
      <c r="J4304">
        <v>7</v>
      </c>
      <c r="K4304">
        <v>10318.83</v>
      </c>
      <c r="L4304">
        <v>14.1</v>
      </c>
    </row>
    <row r="4305" spans="1:12" x14ac:dyDescent="0.3">
      <c r="A4305" t="s">
        <v>4320</v>
      </c>
      <c r="B4305" t="s">
        <v>18</v>
      </c>
      <c r="C4305" t="s">
        <v>11</v>
      </c>
      <c r="D4305">
        <v>57</v>
      </c>
      <c r="E4305" s="1">
        <v>42325</v>
      </c>
      <c r="F4305">
        <v>2015</v>
      </c>
      <c r="G4305" t="s">
        <v>5038</v>
      </c>
      <c r="H4305">
        <v>17</v>
      </c>
      <c r="I4305">
        <v>1.69</v>
      </c>
      <c r="J4305">
        <v>6</v>
      </c>
      <c r="K4305">
        <v>3723.44</v>
      </c>
      <c r="L4305">
        <v>10</v>
      </c>
    </row>
    <row r="4306" spans="1:12" x14ac:dyDescent="0.3">
      <c r="A4306" t="s">
        <v>4321</v>
      </c>
      <c r="B4306" t="s">
        <v>34</v>
      </c>
      <c r="C4306" t="s">
        <v>14</v>
      </c>
      <c r="D4306">
        <v>28</v>
      </c>
      <c r="E4306" s="1">
        <v>40403</v>
      </c>
      <c r="F4306">
        <v>2010</v>
      </c>
      <c r="G4306" t="s">
        <v>5031</v>
      </c>
      <c r="H4306">
        <v>13</v>
      </c>
      <c r="I4306">
        <v>3.12</v>
      </c>
      <c r="J4306">
        <v>11</v>
      </c>
      <c r="K4306">
        <v>3369.92</v>
      </c>
      <c r="L4306">
        <v>15.2</v>
      </c>
    </row>
    <row r="4307" spans="1:12" x14ac:dyDescent="0.3">
      <c r="A4307" t="s">
        <v>4322</v>
      </c>
      <c r="B4307" t="s">
        <v>16</v>
      </c>
      <c r="C4307" t="s">
        <v>11</v>
      </c>
      <c r="D4307">
        <v>30</v>
      </c>
      <c r="E4307" s="1">
        <v>42584</v>
      </c>
      <c r="F4307">
        <v>2016</v>
      </c>
      <c r="G4307" t="s">
        <v>5031</v>
      </c>
      <c r="H4307">
        <v>2</v>
      </c>
      <c r="I4307">
        <v>3.46</v>
      </c>
      <c r="J4307">
        <v>14</v>
      </c>
      <c r="K4307">
        <v>14162.53</v>
      </c>
      <c r="L4307">
        <v>9.3000000000000007</v>
      </c>
    </row>
    <row r="4308" spans="1:12" x14ac:dyDescent="0.3">
      <c r="A4308" t="s">
        <v>4323</v>
      </c>
      <c r="B4308" t="s">
        <v>13</v>
      </c>
      <c r="C4308" t="s">
        <v>11</v>
      </c>
      <c r="D4308">
        <v>48</v>
      </c>
      <c r="E4308" s="1">
        <v>45162</v>
      </c>
      <c r="F4308">
        <v>2023</v>
      </c>
      <c r="G4308" t="s">
        <v>5031</v>
      </c>
      <c r="H4308">
        <v>24</v>
      </c>
      <c r="I4308">
        <v>3.47</v>
      </c>
      <c r="J4308">
        <v>6</v>
      </c>
      <c r="K4308">
        <v>9870.99</v>
      </c>
      <c r="L4308">
        <v>2.2000000000000002</v>
      </c>
    </row>
    <row r="4309" spans="1:12" x14ac:dyDescent="0.3">
      <c r="A4309" t="s">
        <v>4324</v>
      </c>
      <c r="B4309" t="s">
        <v>24</v>
      </c>
      <c r="C4309" t="s">
        <v>11</v>
      </c>
      <c r="D4309">
        <v>33</v>
      </c>
      <c r="E4309" s="1">
        <v>43080</v>
      </c>
      <c r="F4309">
        <v>2017</v>
      </c>
      <c r="G4309" t="s">
        <v>5041</v>
      </c>
      <c r="H4309">
        <v>11</v>
      </c>
      <c r="I4309">
        <v>2</v>
      </c>
      <c r="J4309">
        <v>13</v>
      </c>
      <c r="K4309">
        <v>13192.96</v>
      </c>
      <c r="L4309">
        <v>7.9</v>
      </c>
    </row>
    <row r="4310" spans="1:12" x14ac:dyDescent="0.3">
      <c r="A4310" t="s">
        <v>4325</v>
      </c>
      <c r="B4310" t="s">
        <v>34</v>
      </c>
      <c r="C4310" t="s">
        <v>14</v>
      </c>
      <c r="D4310">
        <v>28</v>
      </c>
      <c r="E4310" s="1">
        <v>41492</v>
      </c>
      <c r="F4310">
        <v>2013</v>
      </c>
      <c r="G4310" t="s">
        <v>5031</v>
      </c>
      <c r="H4310">
        <v>6</v>
      </c>
      <c r="I4310">
        <v>3.21</v>
      </c>
      <c r="J4310">
        <v>2</v>
      </c>
      <c r="K4310">
        <v>14673.4</v>
      </c>
      <c r="L4310">
        <v>12.2</v>
      </c>
    </row>
    <row r="4311" spans="1:12" x14ac:dyDescent="0.3">
      <c r="A4311" t="s">
        <v>4326</v>
      </c>
      <c r="B4311" t="s">
        <v>24</v>
      </c>
      <c r="C4311" t="s">
        <v>14</v>
      </c>
      <c r="D4311">
        <v>49</v>
      </c>
      <c r="E4311" s="1">
        <v>45152</v>
      </c>
      <c r="F4311">
        <v>2023</v>
      </c>
      <c r="G4311" t="s">
        <v>5031</v>
      </c>
      <c r="H4311">
        <v>14</v>
      </c>
      <c r="I4311">
        <v>4.5599999999999996</v>
      </c>
      <c r="J4311">
        <v>9</v>
      </c>
      <c r="K4311">
        <v>8519.07</v>
      </c>
      <c r="L4311">
        <v>2.2000000000000002</v>
      </c>
    </row>
    <row r="4312" spans="1:12" x14ac:dyDescent="0.3">
      <c r="A4312" t="s">
        <v>4327</v>
      </c>
      <c r="B4312" t="s">
        <v>16</v>
      </c>
      <c r="C4312" t="s">
        <v>11</v>
      </c>
      <c r="D4312">
        <v>50</v>
      </c>
      <c r="E4312" s="1">
        <v>45832</v>
      </c>
      <c r="F4312">
        <v>2025</v>
      </c>
      <c r="G4312" t="s">
        <v>5032</v>
      </c>
      <c r="H4312">
        <v>24</v>
      </c>
      <c r="I4312">
        <v>3.89</v>
      </c>
      <c r="J4312">
        <v>1</v>
      </c>
      <c r="K4312">
        <v>6504.02</v>
      </c>
      <c r="L4312">
        <v>0.4</v>
      </c>
    </row>
    <row r="4313" spans="1:12" x14ac:dyDescent="0.3">
      <c r="A4313" t="s">
        <v>4328</v>
      </c>
      <c r="B4313" t="s">
        <v>13</v>
      </c>
      <c r="C4313" t="s">
        <v>14</v>
      </c>
      <c r="D4313">
        <v>34</v>
      </c>
      <c r="E4313" s="1">
        <v>40685</v>
      </c>
      <c r="F4313">
        <v>2011</v>
      </c>
      <c r="G4313" t="s">
        <v>5036</v>
      </c>
      <c r="H4313">
        <v>22</v>
      </c>
      <c r="I4313">
        <v>4.97</v>
      </c>
      <c r="J4313">
        <v>6</v>
      </c>
      <c r="K4313">
        <v>6542.74</v>
      </c>
      <c r="L4313">
        <v>14.5</v>
      </c>
    </row>
    <row r="4314" spans="1:12" x14ac:dyDescent="0.3">
      <c r="A4314" t="s">
        <v>4329</v>
      </c>
      <c r="B4314" t="s">
        <v>16</v>
      </c>
      <c r="C4314" t="s">
        <v>11</v>
      </c>
      <c r="D4314">
        <v>57</v>
      </c>
      <c r="E4314" s="1">
        <v>40766</v>
      </c>
      <c r="F4314">
        <v>2011</v>
      </c>
      <c r="G4314" t="s">
        <v>5031</v>
      </c>
      <c r="H4314">
        <v>11</v>
      </c>
      <c r="I4314">
        <v>1.81</v>
      </c>
      <c r="J4314">
        <v>11</v>
      </c>
      <c r="K4314">
        <v>3162.41</v>
      </c>
      <c r="L4314">
        <v>14.2</v>
      </c>
    </row>
    <row r="4315" spans="1:12" x14ac:dyDescent="0.3">
      <c r="A4315" t="s">
        <v>4330</v>
      </c>
      <c r="B4315" t="s">
        <v>16</v>
      </c>
      <c r="C4315" t="s">
        <v>14</v>
      </c>
      <c r="D4315">
        <v>44</v>
      </c>
      <c r="E4315" s="1">
        <v>41041</v>
      </c>
      <c r="F4315">
        <v>2012</v>
      </c>
      <c r="G4315" t="s">
        <v>5036</v>
      </c>
      <c r="H4315">
        <v>12</v>
      </c>
      <c r="I4315">
        <v>1.75</v>
      </c>
      <c r="J4315">
        <v>10</v>
      </c>
      <c r="K4315">
        <v>11868.13</v>
      </c>
      <c r="L4315">
        <v>13.5</v>
      </c>
    </row>
    <row r="4316" spans="1:12" x14ac:dyDescent="0.3">
      <c r="A4316" t="s">
        <v>4331</v>
      </c>
      <c r="B4316" t="s">
        <v>13</v>
      </c>
      <c r="C4316" t="s">
        <v>14</v>
      </c>
      <c r="D4316">
        <v>60</v>
      </c>
      <c r="E4316" s="1">
        <v>41830</v>
      </c>
      <c r="F4316">
        <v>2014</v>
      </c>
      <c r="G4316" t="s">
        <v>5034</v>
      </c>
      <c r="H4316">
        <v>10</v>
      </c>
      <c r="I4316">
        <v>4.74</v>
      </c>
      <c r="J4316">
        <v>4</v>
      </c>
      <c r="K4316">
        <v>11254.58</v>
      </c>
      <c r="L4316">
        <v>11.3</v>
      </c>
    </row>
    <row r="4317" spans="1:12" x14ac:dyDescent="0.3">
      <c r="A4317" t="s">
        <v>4332</v>
      </c>
      <c r="B4317" t="s">
        <v>24</v>
      </c>
      <c r="C4317" t="s">
        <v>11</v>
      </c>
      <c r="D4317">
        <v>40</v>
      </c>
      <c r="E4317" s="1">
        <v>44284</v>
      </c>
      <c r="F4317">
        <v>2021</v>
      </c>
      <c r="G4317" t="s">
        <v>5035</v>
      </c>
      <c r="H4317">
        <v>29</v>
      </c>
      <c r="I4317">
        <v>1.81</v>
      </c>
      <c r="J4317">
        <v>14</v>
      </c>
      <c r="K4317">
        <v>14347.46</v>
      </c>
      <c r="L4317">
        <v>4.5999999999999996</v>
      </c>
    </row>
    <row r="4318" spans="1:12" x14ac:dyDescent="0.3">
      <c r="A4318" t="s">
        <v>4333</v>
      </c>
      <c r="B4318" t="s">
        <v>18</v>
      </c>
      <c r="C4318" t="s">
        <v>11</v>
      </c>
      <c r="D4318">
        <v>57</v>
      </c>
      <c r="E4318" s="1">
        <v>41960</v>
      </c>
      <c r="F4318">
        <v>2014</v>
      </c>
      <c r="G4318" t="s">
        <v>5038</v>
      </c>
      <c r="H4318">
        <v>17</v>
      </c>
      <c r="I4318">
        <v>3.38</v>
      </c>
      <c r="J4318">
        <v>9</v>
      </c>
      <c r="K4318">
        <v>3655.45</v>
      </c>
      <c r="L4318">
        <v>11</v>
      </c>
    </row>
    <row r="4319" spans="1:12" x14ac:dyDescent="0.3">
      <c r="A4319" t="s">
        <v>4334</v>
      </c>
      <c r="B4319" t="s">
        <v>10</v>
      </c>
      <c r="C4319" t="s">
        <v>11</v>
      </c>
      <c r="D4319">
        <v>57</v>
      </c>
      <c r="E4319" s="1">
        <v>40336</v>
      </c>
      <c r="F4319">
        <v>2010</v>
      </c>
      <c r="G4319" t="s">
        <v>5032</v>
      </c>
      <c r="H4319">
        <v>7</v>
      </c>
      <c r="I4319">
        <v>2.6</v>
      </c>
      <c r="J4319">
        <v>3</v>
      </c>
      <c r="K4319">
        <v>4392.5200000000004</v>
      </c>
      <c r="L4319">
        <v>15.4</v>
      </c>
    </row>
    <row r="4320" spans="1:12" x14ac:dyDescent="0.3">
      <c r="A4320" t="s">
        <v>4335</v>
      </c>
      <c r="B4320" t="s">
        <v>18</v>
      </c>
      <c r="C4320" t="s">
        <v>11</v>
      </c>
      <c r="D4320">
        <v>49</v>
      </c>
      <c r="E4320" s="1">
        <v>42276</v>
      </c>
      <c r="F4320">
        <v>2015</v>
      </c>
      <c r="G4320" t="s">
        <v>5033</v>
      </c>
      <c r="H4320">
        <v>29</v>
      </c>
      <c r="I4320">
        <v>4.0999999999999996</v>
      </c>
      <c r="J4320">
        <v>7</v>
      </c>
      <c r="K4320">
        <v>4022.67</v>
      </c>
      <c r="L4320">
        <v>10.1</v>
      </c>
    </row>
    <row r="4321" spans="1:12" x14ac:dyDescent="0.3">
      <c r="A4321" t="s">
        <v>4336</v>
      </c>
      <c r="B4321" t="s">
        <v>24</v>
      </c>
      <c r="C4321" t="s">
        <v>11</v>
      </c>
      <c r="D4321">
        <v>60</v>
      </c>
      <c r="E4321" s="1">
        <v>45352</v>
      </c>
      <c r="F4321">
        <v>2024</v>
      </c>
      <c r="G4321" t="s">
        <v>5035</v>
      </c>
      <c r="H4321">
        <v>1</v>
      </c>
      <c r="I4321">
        <v>1.95</v>
      </c>
      <c r="J4321">
        <v>3</v>
      </c>
      <c r="K4321">
        <v>11555.76</v>
      </c>
      <c r="L4321">
        <v>1.7</v>
      </c>
    </row>
    <row r="4322" spans="1:12" x14ac:dyDescent="0.3">
      <c r="A4322" t="s">
        <v>4337</v>
      </c>
      <c r="B4322" t="s">
        <v>18</v>
      </c>
      <c r="C4322" t="s">
        <v>11</v>
      </c>
      <c r="D4322">
        <v>32</v>
      </c>
      <c r="E4322" s="1">
        <v>44416</v>
      </c>
      <c r="F4322">
        <v>2021</v>
      </c>
      <c r="G4322" t="s">
        <v>5031</v>
      </c>
      <c r="H4322">
        <v>8</v>
      </c>
      <c r="I4322">
        <v>2.4700000000000002</v>
      </c>
      <c r="J4322">
        <v>7</v>
      </c>
      <c r="K4322">
        <v>4901.99</v>
      </c>
      <c r="L4322">
        <v>4.2</v>
      </c>
    </row>
    <row r="4323" spans="1:12" x14ac:dyDescent="0.3">
      <c r="A4323" t="s">
        <v>4338</v>
      </c>
      <c r="B4323" t="s">
        <v>34</v>
      </c>
      <c r="C4323" t="s">
        <v>11</v>
      </c>
      <c r="D4323">
        <v>34</v>
      </c>
      <c r="E4323" s="1">
        <v>41113</v>
      </c>
      <c r="F4323">
        <v>2012</v>
      </c>
      <c r="G4323" t="s">
        <v>5034</v>
      </c>
      <c r="H4323">
        <v>23</v>
      </c>
      <c r="I4323">
        <v>2.62</v>
      </c>
      <c r="J4323">
        <v>11</v>
      </c>
      <c r="K4323">
        <v>7092.61</v>
      </c>
      <c r="L4323">
        <v>13.3</v>
      </c>
    </row>
    <row r="4324" spans="1:12" x14ac:dyDescent="0.3">
      <c r="A4324" t="s">
        <v>4339</v>
      </c>
      <c r="B4324" t="s">
        <v>18</v>
      </c>
      <c r="C4324" t="s">
        <v>11</v>
      </c>
      <c r="D4324">
        <v>38</v>
      </c>
      <c r="E4324" s="1">
        <v>40515</v>
      </c>
      <c r="F4324">
        <v>2010</v>
      </c>
      <c r="G4324" t="s">
        <v>5041</v>
      </c>
      <c r="H4324">
        <v>3</v>
      </c>
      <c r="I4324">
        <v>4.8899999999999997</v>
      </c>
      <c r="J4324">
        <v>5</v>
      </c>
      <c r="K4324">
        <v>13652.47</v>
      </c>
      <c r="L4324">
        <v>14.9</v>
      </c>
    </row>
    <row r="4325" spans="1:12" x14ac:dyDescent="0.3">
      <c r="A4325" t="s">
        <v>4340</v>
      </c>
      <c r="B4325" t="s">
        <v>16</v>
      </c>
      <c r="C4325" t="s">
        <v>14</v>
      </c>
      <c r="D4325">
        <v>25</v>
      </c>
      <c r="E4325" s="1">
        <v>41342</v>
      </c>
      <c r="F4325">
        <v>2013</v>
      </c>
      <c r="G4325" t="s">
        <v>5035</v>
      </c>
      <c r="H4325">
        <v>9</v>
      </c>
      <c r="I4325">
        <v>4.22</v>
      </c>
      <c r="J4325">
        <v>12</v>
      </c>
      <c r="K4325">
        <v>11056.51</v>
      </c>
      <c r="L4325">
        <v>12.7</v>
      </c>
    </row>
    <row r="4326" spans="1:12" x14ac:dyDescent="0.3">
      <c r="A4326" t="s">
        <v>4341</v>
      </c>
      <c r="B4326" t="s">
        <v>13</v>
      </c>
      <c r="C4326" t="s">
        <v>14</v>
      </c>
      <c r="D4326">
        <v>41</v>
      </c>
      <c r="E4326" s="1">
        <v>42320</v>
      </c>
      <c r="F4326">
        <v>2015</v>
      </c>
      <c r="G4326" t="s">
        <v>5038</v>
      </c>
      <c r="H4326">
        <v>12</v>
      </c>
      <c r="I4326">
        <v>5</v>
      </c>
      <c r="J4326">
        <v>7</v>
      </c>
      <c r="K4326">
        <v>7317.36</v>
      </c>
      <c r="L4326">
        <v>10</v>
      </c>
    </row>
    <row r="4327" spans="1:12" x14ac:dyDescent="0.3">
      <c r="A4327" t="s">
        <v>4342</v>
      </c>
      <c r="B4327" t="s">
        <v>18</v>
      </c>
      <c r="C4327" t="s">
        <v>14</v>
      </c>
      <c r="D4327">
        <v>51</v>
      </c>
      <c r="E4327" s="1">
        <v>41753</v>
      </c>
      <c r="F4327">
        <v>2014</v>
      </c>
      <c r="G4327" t="s">
        <v>5040</v>
      </c>
      <c r="H4327">
        <v>24</v>
      </c>
      <c r="I4327">
        <v>4.01</v>
      </c>
      <c r="J4327">
        <v>3</v>
      </c>
      <c r="K4327">
        <v>13927.78</v>
      </c>
      <c r="L4327">
        <v>11.5</v>
      </c>
    </row>
    <row r="4328" spans="1:12" x14ac:dyDescent="0.3">
      <c r="A4328" t="s">
        <v>4343</v>
      </c>
      <c r="B4328" t="s">
        <v>18</v>
      </c>
      <c r="C4328" t="s">
        <v>11</v>
      </c>
      <c r="D4328">
        <v>55</v>
      </c>
      <c r="E4328" s="1">
        <v>43309</v>
      </c>
      <c r="F4328">
        <v>2018</v>
      </c>
      <c r="G4328" t="s">
        <v>5034</v>
      </c>
      <c r="H4328">
        <v>28</v>
      </c>
      <c r="I4328">
        <v>2.68</v>
      </c>
      <c r="J4328">
        <v>3</v>
      </c>
      <c r="K4328">
        <v>13369.64</v>
      </c>
      <c r="L4328">
        <v>7.3</v>
      </c>
    </row>
    <row r="4329" spans="1:12" x14ac:dyDescent="0.3">
      <c r="A4329" t="s">
        <v>4344</v>
      </c>
      <c r="B4329" t="s">
        <v>13</v>
      </c>
      <c r="C4329" t="s">
        <v>11</v>
      </c>
      <c r="D4329">
        <v>44</v>
      </c>
      <c r="E4329" s="1">
        <v>40919</v>
      </c>
      <c r="F4329">
        <v>2012</v>
      </c>
      <c r="G4329" t="s">
        <v>5037</v>
      </c>
      <c r="H4329">
        <v>11</v>
      </c>
      <c r="I4329">
        <v>3.21</v>
      </c>
      <c r="J4329">
        <v>7</v>
      </c>
      <c r="K4329">
        <v>9581.99</v>
      </c>
      <c r="L4329">
        <v>13.8</v>
      </c>
    </row>
    <row r="4330" spans="1:12" x14ac:dyDescent="0.3">
      <c r="A4330" t="s">
        <v>4345</v>
      </c>
      <c r="B4330" t="s">
        <v>34</v>
      </c>
      <c r="C4330" t="s">
        <v>11</v>
      </c>
      <c r="D4330">
        <v>56</v>
      </c>
      <c r="E4330" s="1">
        <v>44777</v>
      </c>
      <c r="F4330">
        <v>2022</v>
      </c>
      <c r="G4330" t="s">
        <v>5031</v>
      </c>
      <c r="H4330">
        <v>4</v>
      </c>
      <c r="I4330">
        <v>3.99</v>
      </c>
      <c r="J4330">
        <v>4</v>
      </c>
      <c r="K4330">
        <v>4712.83</v>
      </c>
      <c r="L4330">
        <v>3.2</v>
      </c>
    </row>
    <row r="4331" spans="1:12" x14ac:dyDescent="0.3">
      <c r="A4331" t="s">
        <v>4346</v>
      </c>
      <c r="B4331" t="s">
        <v>13</v>
      </c>
      <c r="C4331" t="s">
        <v>11</v>
      </c>
      <c r="D4331">
        <v>24</v>
      </c>
      <c r="E4331" s="1">
        <v>43490</v>
      </c>
      <c r="F4331">
        <v>2019</v>
      </c>
      <c r="G4331" t="s">
        <v>5037</v>
      </c>
      <c r="H4331">
        <v>25</v>
      </c>
      <c r="I4331">
        <v>4.01</v>
      </c>
      <c r="J4331">
        <v>12</v>
      </c>
      <c r="K4331">
        <v>14652.37</v>
      </c>
      <c r="L4331">
        <v>6.8</v>
      </c>
    </row>
    <row r="4332" spans="1:12" x14ac:dyDescent="0.3">
      <c r="A4332" t="s">
        <v>4347</v>
      </c>
      <c r="B4332" t="s">
        <v>18</v>
      </c>
      <c r="C4332" t="s">
        <v>11</v>
      </c>
      <c r="D4332">
        <v>42</v>
      </c>
      <c r="E4332" s="1">
        <v>44338</v>
      </c>
      <c r="F4332">
        <v>2021</v>
      </c>
      <c r="G4332" t="s">
        <v>5036</v>
      </c>
      <c r="H4332">
        <v>22</v>
      </c>
      <c r="I4332">
        <v>2.15</v>
      </c>
      <c r="J4332">
        <v>6</v>
      </c>
      <c r="K4332">
        <v>7189.74</v>
      </c>
      <c r="L4332">
        <v>4.4000000000000004</v>
      </c>
    </row>
    <row r="4333" spans="1:12" x14ac:dyDescent="0.3">
      <c r="A4333" t="s">
        <v>4348</v>
      </c>
      <c r="B4333" t="s">
        <v>13</v>
      </c>
      <c r="C4333" t="s">
        <v>11</v>
      </c>
      <c r="D4333">
        <v>50</v>
      </c>
      <c r="E4333" s="1">
        <v>45868</v>
      </c>
      <c r="F4333">
        <v>2025</v>
      </c>
      <c r="G4333" t="s">
        <v>5034</v>
      </c>
      <c r="H4333">
        <v>30</v>
      </c>
      <c r="I4333">
        <v>3</v>
      </c>
      <c r="J4333">
        <v>14</v>
      </c>
      <c r="K4333">
        <v>9026.41</v>
      </c>
      <c r="L4333">
        <v>0.3</v>
      </c>
    </row>
    <row r="4334" spans="1:12" x14ac:dyDescent="0.3">
      <c r="A4334" t="s">
        <v>4349</v>
      </c>
      <c r="B4334" t="s">
        <v>10</v>
      </c>
      <c r="C4334" t="s">
        <v>11</v>
      </c>
      <c r="D4334">
        <v>53</v>
      </c>
      <c r="E4334" s="1">
        <v>40741</v>
      </c>
      <c r="F4334">
        <v>2011</v>
      </c>
      <c r="G4334" t="s">
        <v>5034</v>
      </c>
      <c r="H4334">
        <v>17</v>
      </c>
      <c r="I4334">
        <v>2.2799999999999998</v>
      </c>
      <c r="J4334">
        <v>15</v>
      </c>
      <c r="K4334">
        <v>4168.58</v>
      </c>
      <c r="L4334">
        <v>14.3</v>
      </c>
    </row>
    <row r="4335" spans="1:12" x14ac:dyDescent="0.3">
      <c r="A4335" t="s">
        <v>4350</v>
      </c>
      <c r="B4335" t="s">
        <v>18</v>
      </c>
      <c r="C4335" t="s">
        <v>14</v>
      </c>
      <c r="D4335">
        <v>45</v>
      </c>
      <c r="E4335" s="1">
        <v>44052</v>
      </c>
      <c r="F4335">
        <v>2020</v>
      </c>
      <c r="G4335" t="s">
        <v>5031</v>
      </c>
      <c r="H4335">
        <v>9</v>
      </c>
      <c r="I4335">
        <v>4.83</v>
      </c>
      <c r="J4335">
        <v>3</v>
      </c>
      <c r="K4335">
        <v>5157.1400000000003</v>
      </c>
      <c r="L4335">
        <v>5.2</v>
      </c>
    </row>
    <row r="4336" spans="1:12" x14ac:dyDescent="0.3">
      <c r="A4336" t="s">
        <v>4351</v>
      </c>
      <c r="B4336" t="s">
        <v>34</v>
      </c>
      <c r="C4336" t="s">
        <v>14</v>
      </c>
      <c r="D4336">
        <v>50</v>
      </c>
      <c r="E4336" s="1">
        <v>45754</v>
      </c>
      <c r="F4336">
        <v>2025</v>
      </c>
      <c r="G4336" t="s">
        <v>5040</v>
      </c>
      <c r="H4336">
        <v>7</v>
      </c>
      <c r="I4336">
        <v>2.59</v>
      </c>
      <c r="J4336">
        <v>4</v>
      </c>
      <c r="K4336">
        <v>11950.94</v>
      </c>
      <c r="L4336">
        <v>0.6</v>
      </c>
    </row>
    <row r="4337" spans="1:12" x14ac:dyDescent="0.3">
      <c r="A4337" t="s">
        <v>4352</v>
      </c>
      <c r="B4337" t="s">
        <v>34</v>
      </c>
      <c r="C4337" t="s">
        <v>14</v>
      </c>
      <c r="D4337">
        <v>29</v>
      </c>
      <c r="E4337" s="1">
        <v>40330</v>
      </c>
      <c r="F4337">
        <v>2010</v>
      </c>
      <c r="G4337" t="s">
        <v>5032</v>
      </c>
      <c r="H4337">
        <v>1</v>
      </c>
      <c r="I4337">
        <v>4.3099999999999996</v>
      </c>
      <c r="J4337">
        <v>4</v>
      </c>
      <c r="K4337">
        <v>4206.49</v>
      </c>
      <c r="L4337">
        <v>15.4</v>
      </c>
    </row>
    <row r="4338" spans="1:12" x14ac:dyDescent="0.3">
      <c r="A4338" t="s">
        <v>4353</v>
      </c>
      <c r="B4338" t="s">
        <v>10</v>
      </c>
      <c r="C4338" t="s">
        <v>11</v>
      </c>
      <c r="D4338">
        <v>41</v>
      </c>
      <c r="E4338" s="1">
        <v>40567</v>
      </c>
      <c r="F4338">
        <v>2011</v>
      </c>
      <c r="G4338" t="s">
        <v>5037</v>
      </c>
      <c r="H4338">
        <v>24</v>
      </c>
      <c r="I4338">
        <v>2.8</v>
      </c>
      <c r="J4338">
        <v>2</v>
      </c>
      <c r="K4338">
        <v>13116.23</v>
      </c>
      <c r="L4338">
        <v>14.8</v>
      </c>
    </row>
    <row r="4339" spans="1:12" x14ac:dyDescent="0.3">
      <c r="A4339" t="s">
        <v>4354</v>
      </c>
      <c r="B4339" t="s">
        <v>10</v>
      </c>
      <c r="C4339" t="s">
        <v>11</v>
      </c>
      <c r="D4339">
        <v>36</v>
      </c>
      <c r="E4339" s="1">
        <v>42314</v>
      </c>
      <c r="F4339">
        <v>2015</v>
      </c>
      <c r="G4339" t="s">
        <v>5038</v>
      </c>
      <c r="H4339">
        <v>6</v>
      </c>
      <c r="I4339">
        <v>4.78</v>
      </c>
      <c r="J4339">
        <v>12</v>
      </c>
      <c r="K4339">
        <v>9562.67</v>
      </c>
      <c r="L4339">
        <v>10</v>
      </c>
    </row>
    <row r="4340" spans="1:12" x14ac:dyDescent="0.3">
      <c r="A4340" t="s">
        <v>4355</v>
      </c>
      <c r="B4340" t="s">
        <v>34</v>
      </c>
      <c r="C4340" t="s">
        <v>11</v>
      </c>
      <c r="D4340">
        <v>34</v>
      </c>
      <c r="E4340" s="1">
        <v>44638</v>
      </c>
      <c r="F4340">
        <v>2022</v>
      </c>
      <c r="G4340" t="s">
        <v>5035</v>
      </c>
      <c r="H4340">
        <v>18</v>
      </c>
      <c r="I4340">
        <v>3.98</v>
      </c>
      <c r="J4340">
        <v>10</v>
      </c>
      <c r="K4340">
        <v>11706.87</v>
      </c>
      <c r="L4340">
        <v>3.6</v>
      </c>
    </row>
    <row r="4341" spans="1:12" x14ac:dyDescent="0.3">
      <c r="A4341" t="s">
        <v>4356</v>
      </c>
      <c r="B4341" t="s">
        <v>24</v>
      </c>
      <c r="C4341" t="s">
        <v>14</v>
      </c>
      <c r="D4341">
        <v>56</v>
      </c>
      <c r="E4341" s="1">
        <v>45741</v>
      </c>
      <c r="F4341">
        <v>2025</v>
      </c>
      <c r="G4341" t="s">
        <v>5035</v>
      </c>
      <c r="H4341">
        <v>25</v>
      </c>
      <c r="I4341">
        <v>2.96</v>
      </c>
      <c r="J4341">
        <v>7</v>
      </c>
      <c r="K4341">
        <v>9057.91</v>
      </c>
      <c r="L4341">
        <v>0.6</v>
      </c>
    </row>
    <row r="4342" spans="1:12" x14ac:dyDescent="0.3">
      <c r="A4342" t="s">
        <v>4357</v>
      </c>
      <c r="B4342" t="s">
        <v>10</v>
      </c>
      <c r="C4342" t="s">
        <v>11</v>
      </c>
      <c r="D4342">
        <v>57</v>
      </c>
      <c r="E4342" s="1">
        <v>40705</v>
      </c>
      <c r="F4342">
        <v>2011</v>
      </c>
      <c r="G4342" t="s">
        <v>5032</v>
      </c>
      <c r="H4342">
        <v>11</v>
      </c>
      <c r="I4342">
        <v>2.54</v>
      </c>
      <c r="J4342">
        <v>8</v>
      </c>
      <c r="K4342">
        <v>14491.39</v>
      </c>
      <c r="L4342">
        <v>14.4</v>
      </c>
    </row>
    <row r="4343" spans="1:12" x14ac:dyDescent="0.3">
      <c r="A4343" t="s">
        <v>4358</v>
      </c>
      <c r="B4343" t="s">
        <v>16</v>
      </c>
      <c r="C4343" t="s">
        <v>11</v>
      </c>
      <c r="D4343">
        <v>41</v>
      </c>
      <c r="E4343" s="1">
        <v>45039</v>
      </c>
      <c r="F4343">
        <v>2023</v>
      </c>
      <c r="G4343" t="s">
        <v>5040</v>
      </c>
      <c r="H4343">
        <v>23</v>
      </c>
      <c r="I4343">
        <v>3.82</v>
      </c>
      <c r="J4343">
        <v>12</v>
      </c>
      <c r="K4343">
        <v>9745.08</v>
      </c>
      <c r="L4343">
        <v>2.5</v>
      </c>
    </row>
    <row r="4344" spans="1:12" x14ac:dyDescent="0.3">
      <c r="A4344" t="s">
        <v>4359</v>
      </c>
      <c r="B4344" t="s">
        <v>24</v>
      </c>
      <c r="C4344" t="s">
        <v>11</v>
      </c>
      <c r="D4344">
        <v>31</v>
      </c>
      <c r="E4344" s="1">
        <v>42411</v>
      </c>
      <c r="F4344">
        <v>2016</v>
      </c>
      <c r="G4344" t="s">
        <v>5042</v>
      </c>
      <c r="H4344">
        <v>11</v>
      </c>
      <c r="I4344">
        <v>3.58</v>
      </c>
      <c r="J4344">
        <v>0</v>
      </c>
      <c r="K4344">
        <v>5292.21</v>
      </c>
      <c r="L4344">
        <v>9.6999999999999993</v>
      </c>
    </row>
    <row r="4345" spans="1:12" x14ac:dyDescent="0.3">
      <c r="A4345" t="s">
        <v>4360</v>
      </c>
      <c r="B4345" t="s">
        <v>16</v>
      </c>
      <c r="C4345" t="s">
        <v>14</v>
      </c>
      <c r="D4345">
        <v>38</v>
      </c>
      <c r="E4345" s="1">
        <v>41039</v>
      </c>
      <c r="F4345">
        <v>2012</v>
      </c>
      <c r="G4345" t="s">
        <v>5036</v>
      </c>
      <c r="H4345">
        <v>10</v>
      </c>
      <c r="I4345">
        <v>3.72</v>
      </c>
      <c r="J4345">
        <v>3</v>
      </c>
      <c r="K4345">
        <v>10626.03</v>
      </c>
      <c r="L4345">
        <v>13.5</v>
      </c>
    </row>
    <row r="4346" spans="1:12" x14ac:dyDescent="0.3">
      <c r="A4346" t="s">
        <v>4361</v>
      </c>
      <c r="B4346" t="s">
        <v>34</v>
      </c>
      <c r="C4346" t="s">
        <v>11</v>
      </c>
      <c r="D4346">
        <v>35</v>
      </c>
      <c r="E4346" s="1">
        <v>43466</v>
      </c>
      <c r="F4346">
        <v>2019</v>
      </c>
      <c r="G4346" t="s">
        <v>5037</v>
      </c>
      <c r="H4346">
        <v>1</v>
      </c>
      <c r="I4346">
        <v>3.68</v>
      </c>
      <c r="J4346">
        <v>4</v>
      </c>
      <c r="K4346">
        <v>8100.21</v>
      </c>
      <c r="L4346">
        <v>6.8</v>
      </c>
    </row>
    <row r="4347" spans="1:12" x14ac:dyDescent="0.3">
      <c r="A4347" t="s">
        <v>4362</v>
      </c>
      <c r="B4347" t="s">
        <v>16</v>
      </c>
      <c r="C4347" t="s">
        <v>14</v>
      </c>
      <c r="D4347">
        <v>56</v>
      </c>
      <c r="E4347" s="1">
        <v>42802</v>
      </c>
      <c r="F4347">
        <v>2017</v>
      </c>
      <c r="G4347" t="s">
        <v>5035</v>
      </c>
      <c r="H4347">
        <v>8</v>
      </c>
      <c r="I4347">
        <v>1.58</v>
      </c>
      <c r="J4347">
        <v>3</v>
      </c>
      <c r="K4347">
        <v>10325.07</v>
      </c>
      <c r="L4347">
        <v>8.6999999999999993</v>
      </c>
    </row>
    <row r="4348" spans="1:12" x14ac:dyDescent="0.3">
      <c r="A4348" t="s">
        <v>4363</v>
      </c>
      <c r="B4348" t="s">
        <v>16</v>
      </c>
      <c r="C4348" t="s">
        <v>11</v>
      </c>
      <c r="D4348">
        <v>57</v>
      </c>
      <c r="E4348" s="1">
        <v>43028</v>
      </c>
      <c r="F4348">
        <v>2017</v>
      </c>
      <c r="G4348" t="s">
        <v>5039</v>
      </c>
      <c r="H4348">
        <v>20</v>
      </c>
      <c r="I4348">
        <v>4.3</v>
      </c>
      <c r="J4348">
        <v>2</v>
      </c>
      <c r="K4348">
        <v>12386.67</v>
      </c>
      <c r="L4348">
        <v>8</v>
      </c>
    </row>
    <row r="4349" spans="1:12" x14ac:dyDescent="0.3">
      <c r="A4349" t="s">
        <v>4364</v>
      </c>
      <c r="B4349" t="s">
        <v>13</v>
      </c>
      <c r="C4349" t="s">
        <v>14</v>
      </c>
      <c r="D4349">
        <v>29</v>
      </c>
      <c r="E4349" s="1">
        <v>43293</v>
      </c>
      <c r="F4349">
        <v>2018</v>
      </c>
      <c r="G4349" t="s">
        <v>5034</v>
      </c>
      <c r="H4349">
        <v>12</v>
      </c>
      <c r="I4349">
        <v>3.94</v>
      </c>
      <c r="J4349">
        <v>3</v>
      </c>
      <c r="K4349">
        <v>13061.92</v>
      </c>
      <c r="L4349">
        <v>7.3</v>
      </c>
    </row>
    <row r="4350" spans="1:12" x14ac:dyDescent="0.3">
      <c r="A4350" t="s">
        <v>4365</v>
      </c>
      <c r="B4350" t="s">
        <v>10</v>
      </c>
      <c r="C4350" t="s">
        <v>14</v>
      </c>
      <c r="D4350">
        <v>56</v>
      </c>
      <c r="E4350" s="1">
        <v>41554</v>
      </c>
      <c r="F4350">
        <v>2013</v>
      </c>
      <c r="G4350" t="s">
        <v>5039</v>
      </c>
      <c r="H4350">
        <v>7</v>
      </c>
      <c r="I4350">
        <v>3.6</v>
      </c>
      <c r="J4350">
        <v>4</v>
      </c>
      <c r="K4350">
        <v>3275.81</v>
      </c>
      <c r="L4350">
        <v>12.1</v>
      </c>
    </row>
    <row r="4351" spans="1:12" x14ac:dyDescent="0.3">
      <c r="A4351" t="s">
        <v>4366</v>
      </c>
      <c r="B4351" t="s">
        <v>10</v>
      </c>
      <c r="C4351" t="s">
        <v>14</v>
      </c>
      <c r="D4351">
        <v>59</v>
      </c>
      <c r="E4351" s="1">
        <v>43008</v>
      </c>
      <c r="F4351">
        <v>2017</v>
      </c>
      <c r="G4351" t="s">
        <v>5033</v>
      </c>
      <c r="H4351">
        <v>30</v>
      </c>
      <c r="I4351">
        <v>4.51</v>
      </c>
      <c r="J4351">
        <v>13</v>
      </c>
      <c r="K4351">
        <v>14566.64</v>
      </c>
      <c r="L4351">
        <v>8.1</v>
      </c>
    </row>
    <row r="4352" spans="1:12" x14ac:dyDescent="0.3">
      <c r="A4352" t="s">
        <v>4367</v>
      </c>
      <c r="B4352" t="s">
        <v>13</v>
      </c>
      <c r="C4352" t="s">
        <v>14</v>
      </c>
      <c r="D4352">
        <v>41</v>
      </c>
      <c r="E4352" s="1">
        <v>44625</v>
      </c>
      <c r="F4352">
        <v>2022</v>
      </c>
      <c r="G4352" t="s">
        <v>5035</v>
      </c>
      <c r="H4352">
        <v>5</v>
      </c>
      <c r="I4352">
        <v>2.37</v>
      </c>
      <c r="J4352">
        <v>9</v>
      </c>
      <c r="K4352">
        <v>12477.75</v>
      </c>
      <c r="L4352">
        <v>3.7</v>
      </c>
    </row>
    <row r="4353" spans="1:12" x14ac:dyDescent="0.3">
      <c r="A4353" t="s">
        <v>4368</v>
      </c>
      <c r="B4353" t="s">
        <v>24</v>
      </c>
      <c r="C4353" t="s">
        <v>14</v>
      </c>
      <c r="D4353">
        <v>33</v>
      </c>
      <c r="E4353" s="1">
        <v>40520</v>
      </c>
      <c r="F4353">
        <v>2010</v>
      </c>
      <c r="G4353" t="s">
        <v>5041</v>
      </c>
      <c r="H4353">
        <v>8</v>
      </c>
      <c r="I4353">
        <v>4.74</v>
      </c>
      <c r="J4353">
        <v>3</v>
      </c>
      <c r="K4353">
        <v>7991.79</v>
      </c>
      <c r="L4353">
        <v>14.9</v>
      </c>
    </row>
    <row r="4354" spans="1:12" x14ac:dyDescent="0.3">
      <c r="A4354" t="s">
        <v>4369</v>
      </c>
      <c r="B4354" t="s">
        <v>16</v>
      </c>
      <c r="C4354" t="s">
        <v>14</v>
      </c>
      <c r="D4354">
        <v>53</v>
      </c>
      <c r="E4354" s="1">
        <v>43410</v>
      </c>
      <c r="F4354">
        <v>2018</v>
      </c>
      <c r="G4354" t="s">
        <v>5038</v>
      </c>
      <c r="H4354">
        <v>6</v>
      </c>
      <c r="I4354">
        <v>3.59</v>
      </c>
      <c r="J4354">
        <v>6</v>
      </c>
      <c r="K4354">
        <v>6258.95</v>
      </c>
      <c r="L4354">
        <v>7</v>
      </c>
    </row>
    <row r="4355" spans="1:12" x14ac:dyDescent="0.3">
      <c r="A4355" t="s">
        <v>4370</v>
      </c>
      <c r="B4355" t="s">
        <v>24</v>
      </c>
      <c r="C4355" t="s">
        <v>14</v>
      </c>
      <c r="D4355">
        <v>35</v>
      </c>
      <c r="E4355" s="1">
        <v>44354</v>
      </c>
      <c r="F4355">
        <v>2021</v>
      </c>
      <c r="G4355" t="s">
        <v>5032</v>
      </c>
      <c r="H4355">
        <v>7</v>
      </c>
      <c r="I4355">
        <v>3.58</v>
      </c>
      <c r="J4355">
        <v>11</v>
      </c>
      <c r="K4355">
        <v>13252.17</v>
      </c>
      <c r="L4355">
        <v>4.4000000000000004</v>
      </c>
    </row>
    <row r="4356" spans="1:12" x14ac:dyDescent="0.3">
      <c r="A4356" t="s">
        <v>4371</v>
      </c>
      <c r="B4356" t="s">
        <v>16</v>
      </c>
      <c r="C4356" t="s">
        <v>14</v>
      </c>
      <c r="D4356">
        <v>30</v>
      </c>
      <c r="E4356" s="1">
        <v>42003</v>
      </c>
      <c r="F4356">
        <v>2014</v>
      </c>
      <c r="G4356" t="s">
        <v>5041</v>
      </c>
      <c r="H4356">
        <v>30</v>
      </c>
      <c r="I4356">
        <v>4.74</v>
      </c>
      <c r="J4356">
        <v>7</v>
      </c>
      <c r="K4356">
        <v>5462.98</v>
      </c>
      <c r="L4356">
        <v>10.8</v>
      </c>
    </row>
    <row r="4357" spans="1:12" x14ac:dyDescent="0.3">
      <c r="A4357" t="s">
        <v>4372</v>
      </c>
      <c r="B4357" t="s">
        <v>34</v>
      </c>
      <c r="C4357" t="s">
        <v>14</v>
      </c>
      <c r="D4357">
        <v>46</v>
      </c>
      <c r="E4357" s="1">
        <v>40638</v>
      </c>
      <c r="F4357">
        <v>2011</v>
      </c>
      <c r="G4357" t="s">
        <v>5040</v>
      </c>
      <c r="H4357">
        <v>5</v>
      </c>
      <c r="I4357">
        <v>3.38</v>
      </c>
      <c r="J4357">
        <v>9</v>
      </c>
      <c r="K4357">
        <v>10541.85</v>
      </c>
      <c r="L4357">
        <v>14.6</v>
      </c>
    </row>
    <row r="4358" spans="1:12" x14ac:dyDescent="0.3">
      <c r="A4358" t="s">
        <v>4373</v>
      </c>
      <c r="B4358" t="s">
        <v>24</v>
      </c>
      <c r="C4358" t="s">
        <v>11</v>
      </c>
      <c r="D4358">
        <v>58</v>
      </c>
      <c r="E4358" s="1">
        <v>43445</v>
      </c>
      <c r="F4358">
        <v>2018</v>
      </c>
      <c r="G4358" t="s">
        <v>5041</v>
      </c>
      <c r="H4358">
        <v>11</v>
      </c>
      <c r="I4358">
        <v>4.59</v>
      </c>
      <c r="J4358">
        <v>15</v>
      </c>
      <c r="K4358">
        <v>5160.57</v>
      </c>
      <c r="L4358">
        <v>6.9</v>
      </c>
    </row>
    <row r="4359" spans="1:12" x14ac:dyDescent="0.3">
      <c r="A4359" t="s">
        <v>4374</v>
      </c>
      <c r="B4359" t="s">
        <v>18</v>
      </c>
      <c r="C4359" t="s">
        <v>11</v>
      </c>
      <c r="D4359">
        <v>59</v>
      </c>
      <c r="E4359" s="1">
        <v>44910</v>
      </c>
      <c r="F4359">
        <v>2022</v>
      </c>
      <c r="G4359" t="s">
        <v>5041</v>
      </c>
      <c r="H4359">
        <v>15</v>
      </c>
      <c r="I4359">
        <v>4.8499999999999996</v>
      </c>
      <c r="J4359">
        <v>3</v>
      </c>
      <c r="K4359">
        <v>10632.92</v>
      </c>
      <c r="L4359">
        <v>2.9</v>
      </c>
    </row>
    <row r="4360" spans="1:12" x14ac:dyDescent="0.3">
      <c r="A4360" t="s">
        <v>4375</v>
      </c>
      <c r="B4360" t="s">
        <v>13</v>
      </c>
      <c r="C4360" t="s">
        <v>11</v>
      </c>
      <c r="D4360">
        <v>48</v>
      </c>
      <c r="E4360" s="1">
        <v>40905</v>
      </c>
      <c r="F4360">
        <v>2011</v>
      </c>
      <c r="G4360" t="s">
        <v>5041</v>
      </c>
      <c r="H4360">
        <v>28</v>
      </c>
      <c r="I4360">
        <v>4.63</v>
      </c>
      <c r="J4360">
        <v>12</v>
      </c>
      <c r="K4360">
        <v>11183.57</v>
      </c>
      <c r="L4360">
        <v>13.9</v>
      </c>
    </row>
    <row r="4361" spans="1:12" x14ac:dyDescent="0.3">
      <c r="A4361" t="s">
        <v>4376</v>
      </c>
      <c r="B4361" t="s">
        <v>16</v>
      </c>
      <c r="C4361" t="s">
        <v>11</v>
      </c>
      <c r="D4361">
        <v>45</v>
      </c>
      <c r="E4361" s="1">
        <v>41754</v>
      </c>
      <c r="F4361">
        <v>2014</v>
      </c>
      <c r="G4361" t="s">
        <v>5040</v>
      </c>
      <c r="H4361">
        <v>25</v>
      </c>
      <c r="I4361">
        <v>4.6100000000000003</v>
      </c>
      <c r="J4361">
        <v>12</v>
      </c>
      <c r="K4361">
        <v>8794.6299999999992</v>
      </c>
      <c r="L4361">
        <v>11.5</v>
      </c>
    </row>
    <row r="4362" spans="1:12" x14ac:dyDescent="0.3">
      <c r="A4362" t="s">
        <v>4377</v>
      </c>
      <c r="B4362" t="s">
        <v>13</v>
      </c>
      <c r="C4362" t="s">
        <v>14</v>
      </c>
      <c r="D4362">
        <v>60</v>
      </c>
      <c r="E4362" s="1">
        <v>41225</v>
      </c>
      <c r="F4362">
        <v>2012</v>
      </c>
      <c r="G4362" t="s">
        <v>5038</v>
      </c>
      <c r="H4362">
        <v>12</v>
      </c>
      <c r="I4362">
        <v>2.73</v>
      </c>
      <c r="J4362">
        <v>5</v>
      </c>
      <c r="K4362">
        <v>10664.32</v>
      </c>
      <c r="L4362">
        <v>13</v>
      </c>
    </row>
    <row r="4363" spans="1:12" x14ac:dyDescent="0.3">
      <c r="A4363" t="s">
        <v>4378</v>
      </c>
      <c r="B4363" t="s">
        <v>10</v>
      </c>
      <c r="C4363" t="s">
        <v>11</v>
      </c>
      <c r="D4363">
        <v>45</v>
      </c>
      <c r="E4363" s="1">
        <v>44513</v>
      </c>
      <c r="F4363">
        <v>2021</v>
      </c>
      <c r="G4363" t="s">
        <v>5038</v>
      </c>
      <c r="H4363">
        <v>13</v>
      </c>
      <c r="I4363">
        <v>1.98</v>
      </c>
      <c r="J4363">
        <v>10</v>
      </c>
      <c r="K4363">
        <v>8565.36</v>
      </c>
      <c r="L4363">
        <v>4</v>
      </c>
    </row>
    <row r="4364" spans="1:12" x14ac:dyDescent="0.3">
      <c r="A4364" t="s">
        <v>4379</v>
      </c>
      <c r="B4364" t="s">
        <v>13</v>
      </c>
      <c r="C4364" t="s">
        <v>11</v>
      </c>
      <c r="D4364">
        <v>55</v>
      </c>
      <c r="E4364" s="1">
        <v>42201</v>
      </c>
      <c r="F4364">
        <v>2015</v>
      </c>
      <c r="G4364" t="s">
        <v>5034</v>
      </c>
      <c r="H4364">
        <v>16</v>
      </c>
      <c r="I4364">
        <v>2.38</v>
      </c>
      <c r="J4364">
        <v>10</v>
      </c>
      <c r="K4364">
        <v>10151.67</v>
      </c>
      <c r="L4364">
        <v>10.3</v>
      </c>
    </row>
    <row r="4365" spans="1:12" x14ac:dyDescent="0.3">
      <c r="A4365" t="s">
        <v>4380</v>
      </c>
      <c r="B4365" t="s">
        <v>24</v>
      </c>
      <c r="C4365" t="s">
        <v>11</v>
      </c>
      <c r="D4365">
        <v>58</v>
      </c>
      <c r="E4365" s="1">
        <v>43954</v>
      </c>
      <c r="F4365">
        <v>2020</v>
      </c>
      <c r="G4365" t="s">
        <v>5036</v>
      </c>
      <c r="H4365">
        <v>3</v>
      </c>
      <c r="I4365">
        <v>4.46</v>
      </c>
      <c r="J4365">
        <v>12</v>
      </c>
      <c r="K4365">
        <v>3568.3</v>
      </c>
      <c r="L4365">
        <v>5.5</v>
      </c>
    </row>
    <row r="4366" spans="1:12" x14ac:dyDescent="0.3">
      <c r="A4366" t="s">
        <v>4381</v>
      </c>
      <c r="B4366" t="s">
        <v>34</v>
      </c>
      <c r="C4366" t="s">
        <v>14</v>
      </c>
      <c r="D4366">
        <v>57</v>
      </c>
      <c r="E4366" s="1">
        <v>41838</v>
      </c>
      <c r="F4366">
        <v>2014</v>
      </c>
      <c r="G4366" t="s">
        <v>5034</v>
      </c>
      <c r="H4366">
        <v>18</v>
      </c>
      <c r="I4366">
        <v>4.33</v>
      </c>
      <c r="J4366">
        <v>12</v>
      </c>
      <c r="K4366">
        <v>8159.16</v>
      </c>
      <c r="L4366">
        <v>11.3</v>
      </c>
    </row>
    <row r="4367" spans="1:12" x14ac:dyDescent="0.3">
      <c r="A4367" t="s">
        <v>4382</v>
      </c>
      <c r="B4367" t="s">
        <v>16</v>
      </c>
      <c r="C4367" t="s">
        <v>11</v>
      </c>
      <c r="D4367">
        <v>43</v>
      </c>
      <c r="E4367" s="1">
        <v>45823</v>
      </c>
      <c r="F4367">
        <v>2025</v>
      </c>
      <c r="G4367" t="s">
        <v>5032</v>
      </c>
      <c r="H4367">
        <v>15</v>
      </c>
      <c r="I4367">
        <v>2.59</v>
      </c>
      <c r="J4367">
        <v>4</v>
      </c>
      <c r="K4367">
        <v>12685.38</v>
      </c>
      <c r="L4367">
        <v>0.4</v>
      </c>
    </row>
    <row r="4368" spans="1:12" x14ac:dyDescent="0.3">
      <c r="A4368" t="s">
        <v>4383</v>
      </c>
      <c r="B4368" t="s">
        <v>10</v>
      </c>
      <c r="C4368" t="s">
        <v>11</v>
      </c>
      <c r="D4368">
        <v>46</v>
      </c>
      <c r="E4368" s="1">
        <v>44052</v>
      </c>
      <c r="F4368">
        <v>2020</v>
      </c>
      <c r="G4368" t="s">
        <v>5031</v>
      </c>
      <c r="H4368">
        <v>9</v>
      </c>
      <c r="I4368">
        <v>4.49</v>
      </c>
      <c r="J4368">
        <v>9</v>
      </c>
      <c r="K4368">
        <v>13468.93</v>
      </c>
      <c r="L4368">
        <v>5.2</v>
      </c>
    </row>
    <row r="4369" spans="1:12" x14ac:dyDescent="0.3">
      <c r="A4369" t="s">
        <v>4384</v>
      </c>
      <c r="B4369" t="s">
        <v>13</v>
      </c>
      <c r="C4369" t="s">
        <v>11</v>
      </c>
      <c r="D4369">
        <v>49</v>
      </c>
      <c r="E4369" s="1">
        <v>42546</v>
      </c>
      <c r="F4369">
        <v>2016</v>
      </c>
      <c r="G4369" t="s">
        <v>5032</v>
      </c>
      <c r="H4369">
        <v>25</v>
      </c>
      <c r="I4369">
        <v>2.16</v>
      </c>
      <c r="J4369">
        <v>13</v>
      </c>
      <c r="K4369">
        <v>3373.72</v>
      </c>
      <c r="L4369">
        <v>9.4</v>
      </c>
    </row>
    <row r="4370" spans="1:12" x14ac:dyDescent="0.3">
      <c r="A4370" t="s">
        <v>4385</v>
      </c>
      <c r="B4370" t="s">
        <v>18</v>
      </c>
      <c r="C4370" t="s">
        <v>14</v>
      </c>
      <c r="D4370">
        <v>23</v>
      </c>
      <c r="E4370" s="1">
        <v>41037</v>
      </c>
      <c r="F4370">
        <v>2012</v>
      </c>
      <c r="G4370" t="s">
        <v>5036</v>
      </c>
      <c r="H4370">
        <v>8</v>
      </c>
      <c r="I4370">
        <v>4.63</v>
      </c>
      <c r="J4370">
        <v>3</v>
      </c>
      <c r="K4370">
        <v>5268.65</v>
      </c>
      <c r="L4370">
        <v>13.5</v>
      </c>
    </row>
    <row r="4371" spans="1:12" x14ac:dyDescent="0.3">
      <c r="A4371" t="s">
        <v>4386</v>
      </c>
      <c r="B4371" t="s">
        <v>24</v>
      </c>
      <c r="C4371" t="s">
        <v>14</v>
      </c>
      <c r="D4371">
        <v>52</v>
      </c>
      <c r="E4371" s="1">
        <v>41832</v>
      </c>
      <c r="F4371">
        <v>2014</v>
      </c>
      <c r="G4371" t="s">
        <v>5034</v>
      </c>
      <c r="H4371">
        <v>12</v>
      </c>
      <c r="I4371">
        <v>3.38</v>
      </c>
      <c r="J4371">
        <v>9</v>
      </c>
      <c r="K4371">
        <v>7321.8</v>
      </c>
      <c r="L4371">
        <v>11.3</v>
      </c>
    </row>
    <row r="4372" spans="1:12" x14ac:dyDescent="0.3">
      <c r="A4372" t="s">
        <v>4387</v>
      </c>
      <c r="B4372" t="s">
        <v>16</v>
      </c>
      <c r="C4372" t="s">
        <v>14</v>
      </c>
      <c r="D4372">
        <v>27</v>
      </c>
      <c r="E4372" s="1">
        <v>41099</v>
      </c>
      <c r="F4372">
        <v>2012</v>
      </c>
      <c r="G4372" t="s">
        <v>5034</v>
      </c>
      <c r="H4372">
        <v>9</v>
      </c>
      <c r="I4372">
        <v>2.4300000000000002</v>
      </c>
      <c r="J4372">
        <v>13</v>
      </c>
      <c r="K4372">
        <v>7608.7</v>
      </c>
      <c r="L4372">
        <v>13.3</v>
      </c>
    </row>
    <row r="4373" spans="1:12" x14ac:dyDescent="0.3">
      <c r="A4373" t="s">
        <v>4388</v>
      </c>
      <c r="B4373" t="s">
        <v>13</v>
      </c>
      <c r="C4373" t="s">
        <v>11</v>
      </c>
      <c r="D4373">
        <v>32</v>
      </c>
      <c r="E4373" s="1">
        <v>45083</v>
      </c>
      <c r="F4373">
        <v>2023</v>
      </c>
      <c r="G4373" t="s">
        <v>5032</v>
      </c>
      <c r="H4373">
        <v>6</v>
      </c>
      <c r="I4373">
        <v>2.27</v>
      </c>
      <c r="J4373">
        <v>13</v>
      </c>
      <c r="K4373">
        <v>4961.37</v>
      </c>
      <c r="L4373">
        <v>2.4</v>
      </c>
    </row>
    <row r="4374" spans="1:12" x14ac:dyDescent="0.3">
      <c r="A4374" t="s">
        <v>4389</v>
      </c>
      <c r="B4374" t="s">
        <v>18</v>
      </c>
      <c r="C4374" t="s">
        <v>11</v>
      </c>
      <c r="D4374">
        <v>35</v>
      </c>
      <c r="E4374" s="1">
        <v>43906</v>
      </c>
      <c r="F4374">
        <v>2020</v>
      </c>
      <c r="G4374" t="s">
        <v>5035</v>
      </c>
      <c r="H4374">
        <v>16</v>
      </c>
      <c r="I4374">
        <v>4.2</v>
      </c>
      <c r="J4374">
        <v>0</v>
      </c>
      <c r="K4374">
        <v>8312.3700000000008</v>
      </c>
      <c r="L4374">
        <v>5.6</v>
      </c>
    </row>
    <row r="4375" spans="1:12" x14ac:dyDescent="0.3">
      <c r="A4375" t="s">
        <v>4390</v>
      </c>
      <c r="B4375" t="s">
        <v>16</v>
      </c>
      <c r="C4375" t="s">
        <v>11</v>
      </c>
      <c r="D4375">
        <v>26</v>
      </c>
      <c r="E4375" s="1">
        <v>45275</v>
      </c>
      <c r="F4375">
        <v>2023</v>
      </c>
      <c r="G4375" t="s">
        <v>5041</v>
      </c>
      <c r="H4375">
        <v>15</v>
      </c>
      <c r="I4375">
        <v>4.96</v>
      </c>
      <c r="J4375">
        <v>6</v>
      </c>
      <c r="K4375">
        <v>13587.24</v>
      </c>
      <c r="L4375">
        <v>1.9</v>
      </c>
    </row>
    <row r="4376" spans="1:12" x14ac:dyDescent="0.3">
      <c r="A4376" t="s">
        <v>4391</v>
      </c>
      <c r="B4376" t="s">
        <v>16</v>
      </c>
      <c r="C4376" t="s">
        <v>11</v>
      </c>
      <c r="D4376">
        <v>59</v>
      </c>
      <c r="E4376" s="1">
        <v>44490</v>
      </c>
      <c r="F4376">
        <v>2021</v>
      </c>
      <c r="G4376" t="s">
        <v>5039</v>
      </c>
      <c r="H4376">
        <v>21</v>
      </c>
      <c r="I4376">
        <v>4.3099999999999996</v>
      </c>
      <c r="J4376">
        <v>1</v>
      </c>
      <c r="K4376">
        <v>13754.69</v>
      </c>
      <c r="L4376">
        <v>4</v>
      </c>
    </row>
    <row r="4377" spans="1:12" x14ac:dyDescent="0.3">
      <c r="A4377" t="s">
        <v>4392</v>
      </c>
      <c r="B4377" t="s">
        <v>13</v>
      </c>
      <c r="C4377" t="s">
        <v>14</v>
      </c>
      <c r="D4377">
        <v>22</v>
      </c>
      <c r="E4377" s="1">
        <v>43863</v>
      </c>
      <c r="F4377">
        <v>2020</v>
      </c>
      <c r="G4377" t="s">
        <v>5042</v>
      </c>
      <c r="H4377">
        <v>2</v>
      </c>
      <c r="I4377">
        <v>2.5099999999999998</v>
      </c>
      <c r="J4377">
        <v>12</v>
      </c>
      <c r="K4377">
        <v>8003.44</v>
      </c>
      <c r="L4377">
        <v>5.8</v>
      </c>
    </row>
    <row r="4378" spans="1:12" x14ac:dyDescent="0.3">
      <c r="A4378" t="s">
        <v>4393</v>
      </c>
      <c r="B4378" t="s">
        <v>18</v>
      </c>
      <c r="C4378" t="s">
        <v>14</v>
      </c>
      <c r="D4378">
        <v>56</v>
      </c>
      <c r="E4378" s="1">
        <v>43005</v>
      </c>
      <c r="F4378">
        <v>2017</v>
      </c>
      <c r="G4378" t="s">
        <v>5033</v>
      </c>
      <c r="H4378">
        <v>27</v>
      </c>
      <c r="I4378">
        <v>3.25</v>
      </c>
      <c r="J4378">
        <v>6</v>
      </c>
      <c r="K4378">
        <v>13351.27</v>
      </c>
      <c r="L4378">
        <v>8.1</v>
      </c>
    </row>
    <row r="4379" spans="1:12" x14ac:dyDescent="0.3">
      <c r="A4379" t="s">
        <v>4394</v>
      </c>
      <c r="B4379" t="s">
        <v>10</v>
      </c>
      <c r="C4379" t="s">
        <v>11</v>
      </c>
      <c r="D4379">
        <v>57</v>
      </c>
      <c r="E4379" s="1">
        <v>44874</v>
      </c>
      <c r="F4379">
        <v>2022</v>
      </c>
      <c r="G4379" t="s">
        <v>5038</v>
      </c>
      <c r="H4379">
        <v>9</v>
      </c>
      <c r="I4379">
        <v>4.16</v>
      </c>
      <c r="J4379">
        <v>11</v>
      </c>
      <c r="K4379">
        <v>13978.46</v>
      </c>
      <c r="L4379">
        <v>3</v>
      </c>
    </row>
    <row r="4380" spans="1:12" x14ac:dyDescent="0.3">
      <c r="A4380" t="s">
        <v>4395</v>
      </c>
      <c r="B4380" t="s">
        <v>34</v>
      </c>
      <c r="C4380" t="s">
        <v>14</v>
      </c>
      <c r="D4380">
        <v>54</v>
      </c>
      <c r="E4380" s="1">
        <v>41263</v>
      </c>
      <c r="F4380">
        <v>2012</v>
      </c>
      <c r="G4380" t="s">
        <v>5041</v>
      </c>
      <c r="H4380">
        <v>20</v>
      </c>
      <c r="I4380">
        <v>4.4000000000000004</v>
      </c>
      <c r="J4380">
        <v>3</v>
      </c>
      <c r="K4380">
        <v>8192.82</v>
      </c>
      <c r="L4380">
        <v>12.9</v>
      </c>
    </row>
    <row r="4381" spans="1:12" x14ac:dyDescent="0.3">
      <c r="A4381" t="s">
        <v>4396</v>
      </c>
      <c r="B4381" t="s">
        <v>24</v>
      </c>
      <c r="C4381" t="s">
        <v>11</v>
      </c>
      <c r="D4381">
        <v>37</v>
      </c>
      <c r="E4381" s="1">
        <v>41103</v>
      </c>
      <c r="F4381">
        <v>2012</v>
      </c>
      <c r="G4381" t="s">
        <v>5034</v>
      </c>
      <c r="H4381">
        <v>13</v>
      </c>
      <c r="I4381">
        <v>2.59</v>
      </c>
      <c r="J4381">
        <v>7</v>
      </c>
      <c r="K4381">
        <v>8515.4699999999993</v>
      </c>
      <c r="L4381">
        <v>13.3</v>
      </c>
    </row>
    <row r="4382" spans="1:12" x14ac:dyDescent="0.3">
      <c r="A4382" t="s">
        <v>4397</v>
      </c>
      <c r="B4382" t="s">
        <v>18</v>
      </c>
      <c r="C4382" t="s">
        <v>14</v>
      </c>
      <c r="D4382">
        <v>24</v>
      </c>
      <c r="E4382" s="1">
        <v>43519</v>
      </c>
      <c r="F4382">
        <v>2019</v>
      </c>
      <c r="G4382" t="s">
        <v>5042</v>
      </c>
      <c r="H4382">
        <v>23</v>
      </c>
      <c r="I4382">
        <v>3.46</v>
      </c>
      <c r="J4382">
        <v>4</v>
      </c>
      <c r="K4382">
        <v>6243.72</v>
      </c>
      <c r="L4382">
        <v>6.7</v>
      </c>
    </row>
    <row r="4383" spans="1:12" x14ac:dyDescent="0.3">
      <c r="A4383" t="s">
        <v>4398</v>
      </c>
      <c r="B4383" t="s">
        <v>24</v>
      </c>
      <c r="C4383" t="s">
        <v>14</v>
      </c>
      <c r="D4383">
        <v>28</v>
      </c>
      <c r="E4383" s="1">
        <v>43409</v>
      </c>
      <c r="F4383">
        <v>2018</v>
      </c>
      <c r="G4383" t="s">
        <v>5038</v>
      </c>
      <c r="H4383">
        <v>5</v>
      </c>
      <c r="I4383">
        <v>3.33</v>
      </c>
      <c r="J4383">
        <v>2</v>
      </c>
      <c r="K4383">
        <v>6105.48</v>
      </c>
      <c r="L4383">
        <v>7</v>
      </c>
    </row>
    <row r="4384" spans="1:12" x14ac:dyDescent="0.3">
      <c r="A4384" t="s">
        <v>4399</v>
      </c>
      <c r="B4384" t="s">
        <v>16</v>
      </c>
      <c r="C4384" t="s">
        <v>14</v>
      </c>
      <c r="D4384">
        <v>53</v>
      </c>
      <c r="E4384" s="1">
        <v>43841</v>
      </c>
      <c r="F4384">
        <v>2020</v>
      </c>
      <c r="G4384" t="s">
        <v>5037</v>
      </c>
      <c r="H4384">
        <v>11</v>
      </c>
      <c r="I4384">
        <v>4.62</v>
      </c>
      <c r="J4384">
        <v>10</v>
      </c>
      <c r="K4384">
        <v>11834.45</v>
      </c>
      <c r="L4384">
        <v>5.8</v>
      </c>
    </row>
    <row r="4385" spans="1:12" x14ac:dyDescent="0.3">
      <c r="A4385" t="s">
        <v>4400</v>
      </c>
      <c r="B4385" t="s">
        <v>13</v>
      </c>
      <c r="C4385" t="s">
        <v>11</v>
      </c>
      <c r="D4385">
        <v>45</v>
      </c>
      <c r="E4385" s="1">
        <v>43078</v>
      </c>
      <c r="F4385">
        <v>2017</v>
      </c>
      <c r="G4385" t="s">
        <v>5041</v>
      </c>
      <c r="H4385">
        <v>9</v>
      </c>
      <c r="I4385">
        <v>4.01</v>
      </c>
      <c r="J4385">
        <v>3</v>
      </c>
      <c r="K4385">
        <v>13375.74</v>
      </c>
      <c r="L4385">
        <v>7.9</v>
      </c>
    </row>
    <row r="4386" spans="1:12" x14ac:dyDescent="0.3">
      <c r="A4386" t="s">
        <v>4401</v>
      </c>
      <c r="B4386" t="s">
        <v>34</v>
      </c>
      <c r="C4386" t="s">
        <v>14</v>
      </c>
      <c r="D4386">
        <v>32</v>
      </c>
      <c r="E4386" s="1">
        <v>41410</v>
      </c>
      <c r="F4386">
        <v>2013</v>
      </c>
      <c r="G4386" t="s">
        <v>5036</v>
      </c>
      <c r="H4386">
        <v>16</v>
      </c>
      <c r="I4386">
        <v>4.8499999999999996</v>
      </c>
      <c r="J4386">
        <v>9</v>
      </c>
      <c r="K4386">
        <v>12011.12</v>
      </c>
      <c r="L4386">
        <v>12.5</v>
      </c>
    </row>
    <row r="4387" spans="1:12" x14ac:dyDescent="0.3">
      <c r="A4387" t="s">
        <v>4402</v>
      </c>
      <c r="B4387" t="s">
        <v>16</v>
      </c>
      <c r="C4387" t="s">
        <v>14</v>
      </c>
      <c r="D4387">
        <v>27</v>
      </c>
      <c r="E4387" s="1">
        <v>40811</v>
      </c>
      <c r="F4387">
        <v>2011</v>
      </c>
      <c r="G4387" t="s">
        <v>5033</v>
      </c>
      <c r="H4387">
        <v>25</v>
      </c>
      <c r="I4387">
        <v>4.16</v>
      </c>
      <c r="J4387">
        <v>3</v>
      </c>
      <c r="K4387">
        <v>5916.27</v>
      </c>
      <c r="L4387">
        <v>14.1</v>
      </c>
    </row>
    <row r="4388" spans="1:12" x14ac:dyDescent="0.3">
      <c r="A4388" t="s">
        <v>4403</v>
      </c>
      <c r="B4388" t="s">
        <v>24</v>
      </c>
      <c r="C4388" t="s">
        <v>11</v>
      </c>
      <c r="D4388">
        <v>52</v>
      </c>
      <c r="E4388" s="1">
        <v>40209</v>
      </c>
      <c r="F4388">
        <v>2010</v>
      </c>
      <c r="G4388" t="s">
        <v>5037</v>
      </c>
      <c r="H4388">
        <v>31</v>
      </c>
      <c r="I4388">
        <v>2.23</v>
      </c>
      <c r="J4388">
        <v>11</v>
      </c>
      <c r="K4388">
        <v>4453.33</v>
      </c>
      <c r="L4388">
        <v>15.8</v>
      </c>
    </row>
    <row r="4389" spans="1:12" x14ac:dyDescent="0.3">
      <c r="A4389" t="s">
        <v>4404</v>
      </c>
      <c r="B4389" t="s">
        <v>18</v>
      </c>
      <c r="C4389" t="s">
        <v>11</v>
      </c>
      <c r="D4389">
        <v>30</v>
      </c>
      <c r="E4389" s="1">
        <v>45739</v>
      </c>
      <c r="F4389">
        <v>2025</v>
      </c>
      <c r="G4389" t="s">
        <v>5035</v>
      </c>
      <c r="H4389">
        <v>23</v>
      </c>
      <c r="I4389">
        <v>3.41</v>
      </c>
      <c r="J4389">
        <v>4</v>
      </c>
      <c r="K4389">
        <v>11948.25</v>
      </c>
      <c r="L4389">
        <v>0.6</v>
      </c>
    </row>
    <row r="4390" spans="1:12" x14ac:dyDescent="0.3">
      <c r="A4390" t="s">
        <v>4405</v>
      </c>
      <c r="B4390" t="s">
        <v>13</v>
      </c>
      <c r="C4390" t="s">
        <v>14</v>
      </c>
      <c r="D4390">
        <v>47</v>
      </c>
      <c r="E4390" s="1">
        <v>43617</v>
      </c>
      <c r="F4390">
        <v>2019</v>
      </c>
      <c r="G4390" t="s">
        <v>5032</v>
      </c>
      <c r="H4390">
        <v>1</v>
      </c>
      <c r="I4390">
        <v>1.57</v>
      </c>
      <c r="J4390">
        <v>0</v>
      </c>
      <c r="K4390">
        <v>10456.709999999999</v>
      </c>
      <c r="L4390">
        <v>6.4</v>
      </c>
    </row>
    <row r="4391" spans="1:12" x14ac:dyDescent="0.3">
      <c r="A4391" t="s">
        <v>4406</v>
      </c>
      <c r="B4391" t="s">
        <v>34</v>
      </c>
      <c r="C4391" t="s">
        <v>11</v>
      </c>
      <c r="D4391">
        <v>25</v>
      </c>
      <c r="E4391" s="1">
        <v>43440</v>
      </c>
      <c r="F4391">
        <v>2018</v>
      </c>
      <c r="G4391" t="s">
        <v>5041</v>
      </c>
      <c r="H4391">
        <v>6</v>
      </c>
      <c r="I4391">
        <v>1.87</v>
      </c>
      <c r="J4391">
        <v>6</v>
      </c>
      <c r="K4391">
        <v>14177.59</v>
      </c>
      <c r="L4391">
        <v>6.9</v>
      </c>
    </row>
    <row r="4392" spans="1:12" x14ac:dyDescent="0.3">
      <c r="A4392" t="s">
        <v>4407</v>
      </c>
      <c r="B4392" t="s">
        <v>34</v>
      </c>
      <c r="C4392" t="s">
        <v>11</v>
      </c>
      <c r="D4392">
        <v>56</v>
      </c>
      <c r="E4392" s="1">
        <v>44935</v>
      </c>
      <c r="F4392">
        <v>2023</v>
      </c>
      <c r="G4392" t="s">
        <v>5037</v>
      </c>
      <c r="H4392">
        <v>9</v>
      </c>
      <c r="I4392">
        <v>4.57</v>
      </c>
      <c r="J4392">
        <v>1</v>
      </c>
      <c r="K4392">
        <v>3094.25</v>
      </c>
      <c r="L4392">
        <v>2.8</v>
      </c>
    </row>
    <row r="4393" spans="1:12" x14ac:dyDescent="0.3">
      <c r="A4393" t="s">
        <v>4408</v>
      </c>
      <c r="B4393" t="s">
        <v>10</v>
      </c>
      <c r="C4393" t="s">
        <v>11</v>
      </c>
      <c r="D4393">
        <v>35</v>
      </c>
      <c r="E4393" s="1">
        <v>41939</v>
      </c>
      <c r="F4393">
        <v>2014</v>
      </c>
      <c r="G4393" t="s">
        <v>5039</v>
      </c>
      <c r="H4393">
        <v>27</v>
      </c>
      <c r="I4393">
        <v>3.61</v>
      </c>
      <c r="J4393">
        <v>13</v>
      </c>
      <c r="K4393">
        <v>14301.02</v>
      </c>
      <c r="L4393">
        <v>11</v>
      </c>
    </row>
    <row r="4394" spans="1:12" x14ac:dyDescent="0.3">
      <c r="A4394" t="s">
        <v>4409</v>
      </c>
      <c r="B4394" t="s">
        <v>34</v>
      </c>
      <c r="C4394" t="s">
        <v>11</v>
      </c>
      <c r="D4394">
        <v>34</v>
      </c>
      <c r="E4394" s="1">
        <v>40823</v>
      </c>
      <c r="F4394">
        <v>2011</v>
      </c>
      <c r="G4394" t="s">
        <v>5039</v>
      </c>
      <c r="H4394">
        <v>7</v>
      </c>
      <c r="I4394">
        <v>3.53</v>
      </c>
      <c r="J4394">
        <v>6</v>
      </c>
      <c r="K4394">
        <v>11248.48</v>
      </c>
      <c r="L4394">
        <v>14.1</v>
      </c>
    </row>
    <row r="4395" spans="1:12" x14ac:dyDescent="0.3">
      <c r="A4395" t="s">
        <v>4410</v>
      </c>
      <c r="B4395" t="s">
        <v>10</v>
      </c>
      <c r="C4395" t="s">
        <v>14</v>
      </c>
      <c r="D4395">
        <v>30</v>
      </c>
      <c r="E4395" s="1">
        <v>45141</v>
      </c>
      <c r="F4395">
        <v>2023</v>
      </c>
      <c r="G4395" t="s">
        <v>5031</v>
      </c>
      <c r="H4395">
        <v>3</v>
      </c>
      <c r="I4395">
        <v>5</v>
      </c>
      <c r="J4395">
        <v>0</v>
      </c>
      <c r="K4395">
        <v>3830.62</v>
      </c>
      <c r="L4395">
        <v>2.2000000000000002</v>
      </c>
    </row>
    <row r="4396" spans="1:12" x14ac:dyDescent="0.3">
      <c r="A4396" t="s">
        <v>4411</v>
      </c>
      <c r="B4396" t="s">
        <v>16</v>
      </c>
      <c r="C4396" t="s">
        <v>11</v>
      </c>
      <c r="D4396">
        <v>50</v>
      </c>
      <c r="E4396" s="1">
        <v>40942</v>
      </c>
      <c r="F4396">
        <v>2012</v>
      </c>
      <c r="G4396" t="s">
        <v>5042</v>
      </c>
      <c r="H4396">
        <v>3</v>
      </c>
      <c r="I4396">
        <v>3.01</v>
      </c>
      <c r="J4396">
        <v>13</v>
      </c>
      <c r="K4396">
        <v>13659.58</v>
      </c>
      <c r="L4396">
        <v>13.8</v>
      </c>
    </row>
    <row r="4397" spans="1:12" x14ac:dyDescent="0.3">
      <c r="A4397" t="s">
        <v>4412</v>
      </c>
      <c r="B4397" t="s">
        <v>13</v>
      </c>
      <c r="C4397" t="s">
        <v>11</v>
      </c>
      <c r="D4397">
        <v>35</v>
      </c>
      <c r="E4397" s="1">
        <v>42307</v>
      </c>
      <c r="F4397">
        <v>2015</v>
      </c>
      <c r="G4397" t="s">
        <v>5039</v>
      </c>
      <c r="H4397">
        <v>30</v>
      </c>
      <c r="I4397">
        <v>3.2</v>
      </c>
      <c r="J4397">
        <v>9</v>
      </c>
      <c r="K4397">
        <v>11114.27</v>
      </c>
      <c r="L4397">
        <v>10</v>
      </c>
    </row>
    <row r="4398" spans="1:12" x14ac:dyDescent="0.3">
      <c r="A4398" t="s">
        <v>4413</v>
      </c>
      <c r="B4398" t="s">
        <v>34</v>
      </c>
      <c r="C4398" t="s">
        <v>14</v>
      </c>
      <c r="D4398">
        <v>36</v>
      </c>
      <c r="E4398" s="1">
        <v>42737</v>
      </c>
      <c r="F4398">
        <v>2017</v>
      </c>
      <c r="G4398" t="s">
        <v>5037</v>
      </c>
      <c r="H4398">
        <v>2</v>
      </c>
      <c r="I4398">
        <v>4.29</v>
      </c>
      <c r="J4398">
        <v>11</v>
      </c>
      <c r="K4398">
        <v>13609.28</v>
      </c>
      <c r="L4398">
        <v>8.8000000000000007</v>
      </c>
    </row>
    <row r="4399" spans="1:12" x14ac:dyDescent="0.3">
      <c r="A4399" t="s">
        <v>4414</v>
      </c>
      <c r="B4399" t="s">
        <v>34</v>
      </c>
      <c r="C4399" t="s">
        <v>14</v>
      </c>
      <c r="D4399">
        <v>55</v>
      </c>
      <c r="E4399" s="1">
        <v>41753</v>
      </c>
      <c r="F4399">
        <v>2014</v>
      </c>
      <c r="G4399" t="s">
        <v>5040</v>
      </c>
      <c r="H4399">
        <v>24</v>
      </c>
      <c r="I4399">
        <v>4.08</v>
      </c>
      <c r="J4399">
        <v>2</v>
      </c>
      <c r="K4399">
        <v>14886.23</v>
      </c>
      <c r="L4399">
        <v>11.5</v>
      </c>
    </row>
    <row r="4400" spans="1:12" x14ac:dyDescent="0.3">
      <c r="A4400" t="s">
        <v>4415</v>
      </c>
      <c r="B4400" t="s">
        <v>16</v>
      </c>
      <c r="C4400" t="s">
        <v>11</v>
      </c>
      <c r="D4400">
        <v>27</v>
      </c>
      <c r="E4400" s="1">
        <v>42934</v>
      </c>
      <c r="F4400">
        <v>2017</v>
      </c>
      <c r="G4400" t="s">
        <v>5034</v>
      </c>
      <c r="H4400">
        <v>18</v>
      </c>
      <c r="I4400">
        <v>2.95</v>
      </c>
      <c r="J4400">
        <v>9</v>
      </c>
      <c r="K4400">
        <v>13297.33</v>
      </c>
      <c r="L4400">
        <v>8.3000000000000007</v>
      </c>
    </row>
    <row r="4401" spans="1:12" x14ac:dyDescent="0.3">
      <c r="A4401" t="s">
        <v>4416</v>
      </c>
      <c r="B4401" t="s">
        <v>10</v>
      </c>
      <c r="C4401" t="s">
        <v>14</v>
      </c>
      <c r="D4401">
        <v>57</v>
      </c>
      <c r="E4401" s="1">
        <v>40310</v>
      </c>
      <c r="F4401">
        <v>2010</v>
      </c>
      <c r="G4401" t="s">
        <v>5036</v>
      </c>
      <c r="H4401">
        <v>12</v>
      </c>
      <c r="I4401">
        <v>4.57</v>
      </c>
      <c r="J4401">
        <v>6</v>
      </c>
      <c r="K4401">
        <v>6430</v>
      </c>
      <c r="L4401">
        <v>15.5</v>
      </c>
    </row>
    <row r="4402" spans="1:12" x14ac:dyDescent="0.3">
      <c r="A4402" t="s">
        <v>4417</v>
      </c>
      <c r="B4402" t="s">
        <v>16</v>
      </c>
      <c r="C4402" t="s">
        <v>14</v>
      </c>
      <c r="D4402">
        <v>28</v>
      </c>
      <c r="E4402" s="1">
        <v>42660</v>
      </c>
      <c r="F4402">
        <v>2016</v>
      </c>
      <c r="G4402" t="s">
        <v>5039</v>
      </c>
      <c r="H4402">
        <v>17</v>
      </c>
      <c r="I4402">
        <v>4.7</v>
      </c>
      <c r="J4402">
        <v>13</v>
      </c>
      <c r="K4402">
        <v>3574.91</v>
      </c>
      <c r="L4402">
        <v>9</v>
      </c>
    </row>
    <row r="4403" spans="1:12" x14ac:dyDescent="0.3">
      <c r="A4403" t="s">
        <v>4418</v>
      </c>
      <c r="B4403" t="s">
        <v>24</v>
      </c>
      <c r="C4403" t="s">
        <v>14</v>
      </c>
      <c r="D4403">
        <v>51</v>
      </c>
      <c r="E4403" s="1">
        <v>43025</v>
      </c>
      <c r="F4403">
        <v>2017</v>
      </c>
      <c r="G4403" t="s">
        <v>5039</v>
      </c>
      <c r="H4403">
        <v>17</v>
      </c>
      <c r="I4403">
        <v>2.73</v>
      </c>
      <c r="J4403">
        <v>15</v>
      </c>
      <c r="K4403">
        <v>5620.47</v>
      </c>
      <c r="L4403">
        <v>8</v>
      </c>
    </row>
    <row r="4404" spans="1:12" x14ac:dyDescent="0.3">
      <c r="A4404" t="s">
        <v>4419</v>
      </c>
      <c r="B4404" t="s">
        <v>18</v>
      </c>
      <c r="C4404" t="s">
        <v>11</v>
      </c>
      <c r="D4404">
        <v>41</v>
      </c>
      <c r="E4404" s="1">
        <v>43896</v>
      </c>
      <c r="F4404">
        <v>2020</v>
      </c>
      <c r="G4404" t="s">
        <v>5035</v>
      </c>
      <c r="H4404">
        <v>6</v>
      </c>
      <c r="I4404">
        <v>3.76</v>
      </c>
      <c r="J4404">
        <v>6</v>
      </c>
      <c r="K4404">
        <v>8833.42</v>
      </c>
      <c r="L4404">
        <v>5.7</v>
      </c>
    </row>
    <row r="4405" spans="1:12" x14ac:dyDescent="0.3">
      <c r="A4405" t="s">
        <v>4420</v>
      </c>
      <c r="B4405" t="s">
        <v>10</v>
      </c>
      <c r="C4405" t="s">
        <v>14</v>
      </c>
      <c r="D4405">
        <v>54</v>
      </c>
      <c r="E4405" s="1">
        <v>40190</v>
      </c>
      <c r="F4405">
        <v>2010</v>
      </c>
      <c r="G4405" t="s">
        <v>5037</v>
      </c>
      <c r="H4405">
        <v>12</v>
      </c>
      <c r="I4405">
        <v>4.63</v>
      </c>
      <c r="J4405">
        <v>11</v>
      </c>
      <c r="K4405">
        <v>10989.57</v>
      </c>
      <c r="L4405">
        <v>15.8</v>
      </c>
    </row>
    <row r="4406" spans="1:12" x14ac:dyDescent="0.3">
      <c r="A4406" t="s">
        <v>4421</v>
      </c>
      <c r="B4406" t="s">
        <v>24</v>
      </c>
      <c r="C4406" t="s">
        <v>14</v>
      </c>
      <c r="D4406">
        <v>32</v>
      </c>
      <c r="E4406" s="1">
        <v>45916</v>
      </c>
      <c r="F4406">
        <v>2025</v>
      </c>
      <c r="G4406" t="s">
        <v>5033</v>
      </c>
      <c r="H4406">
        <v>16</v>
      </c>
      <c r="I4406">
        <v>3.01</v>
      </c>
      <c r="J4406">
        <v>7</v>
      </c>
      <c r="K4406">
        <v>5804.88</v>
      </c>
      <c r="L4406">
        <v>0.1</v>
      </c>
    </row>
    <row r="4407" spans="1:12" x14ac:dyDescent="0.3">
      <c r="A4407" t="s">
        <v>4422</v>
      </c>
      <c r="B4407" t="s">
        <v>16</v>
      </c>
      <c r="C4407" t="s">
        <v>14</v>
      </c>
      <c r="D4407">
        <v>33</v>
      </c>
      <c r="E4407" s="1">
        <v>43572</v>
      </c>
      <c r="F4407">
        <v>2019</v>
      </c>
      <c r="G4407" t="s">
        <v>5040</v>
      </c>
      <c r="H4407">
        <v>17</v>
      </c>
      <c r="I4407">
        <v>1.78</v>
      </c>
      <c r="J4407">
        <v>5</v>
      </c>
      <c r="K4407">
        <v>5724.11</v>
      </c>
      <c r="L4407">
        <v>6.5</v>
      </c>
    </row>
    <row r="4408" spans="1:12" x14ac:dyDescent="0.3">
      <c r="A4408" t="s">
        <v>4423</v>
      </c>
      <c r="B4408" t="s">
        <v>16</v>
      </c>
      <c r="C4408" t="s">
        <v>14</v>
      </c>
      <c r="D4408">
        <v>25</v>
      </c>
      <c r="E4408" s="1">
        <v>40371</v>
      </c>
      <c r="F4408">
        <v>2010</v>
      </c>
      <c r="G4408" t="s">
        <v>5034</v>
      </c>
      <c r="H4408">
        <v>12</v>
      </c>
      <c r="I4408">
        <v>3.45</v>
      </c>
      <c r="J4408">
        <v>8</v>
      </c>
      <c r="K4408">
        <v>9140.51</v>
      </c>
      <c r="L4408">
        <v>15.3</v>
      </c>
    </row>
    <row r="4409" spans="1:12" x14ac:dyDescent="0.3">
      <c r="A4409" t="s">
        <v>4424</v>
      </c>
      <c r="B4409" t="s">
        <v>24</v>
      </c>
      <c r="C4409" t="s">
        <v>14</v>
      </c>
      <c r="D4409">
        <v>52</v>
      </c>
      <c r="E4409" s="1">
        <v>42640</v>
      </c>
      <c r="F4409">
        <v>2016</v>
      </c>
      <c r="G4409" t="s">
        <v>5033</v>
      </c>
      <c r="H4409">
        <v>27</v>
      </c>
      <c r="I4409">
        <v>4.04</v>
      </c>
      <c r="J4409">
        <v>4</v>
      </c>
      <c r="K4409">
        <v>11034.03</v>
      </c>
      <c r="L4409">
        <v>9.1</v>
      </c>
    </row>
    <row r="4410" spans="1:12" x14ac:dyDescent="0.3">
      <c r="A4410" t="s">
        <v>4425</v>
      </c>
      <c r="B4410" t="s">
        <v>34</v>
      </c>
      <c r="C4410" t="s">
        <v>11</v>
      </c>
      <c r="D4410">
        <v>25</v>
      </c>
      <c r="E4410" s="1">
        <v>45369</v>
      </c>
      <c r="F4410">
        <v>2024</v>
      </c>
      <c r="G4410" t="s">
        <v>5035</v>
      </c>
      <c r="H4410">
        <v>18</v>
      </c>
      <c r="I4410">
        <v>4.05</v>
      </c>
      <c r="J4410">
        <v>12</v>
      </c>
      <c r="K4410">
        <v>7679.99</v>
      </c>
      <c r="L4410">
        <v>1.6</v>
      </c>
    </row>
    <row r="4411" spans="1:12" x14ac:dyDescent="0.3">
      <c r="A4411" t="s">
        <v>4426</v>
      </c>
      <c r="B4411" t="s">
        <v>18</v>
      </c>
      <c r="C4411" t="s">
        <v>14</v>
      </c>
      <c r="D4411">
        <v>48</v>
      </c>
      <c r="E4411" s="1">
        <v>44739</v>
      </c>
      <c r="F4411">
        <v>2022</v>
      </c>
      <c r="G4411" t="s">
        <v>5032</v>
      </c>
      <c r="H4411">
        <v>27</v>
      </c>
      <c r="I4411">
        <v>1.84</v>
      </c>
      <c r="J4411">
        <v>3</v>
      </c>
      <c r="K4411">
        <v>6026.55</v>
      </c>
      <c r="L4411">
        <v>3.4</v>
      </c>
    </row>
    <row r="4412" spans="1:12" x14ac:dyDescent="0.3">
      <c r="A4412" t="s">
        <v>4427</v>
      </c>
      <c r="B4412" t="s">
        <v>13</v>
      </c>
      <c r="C4412" t="s">
        <v>11</v>
      </c>
      <c r="D4412">
        <v>47</v>
      </c>
      <c r="E4412" s="1">
        <v>44059</v>
      </c>
      <c r="F4412">
        <v>2020</v>
      </c>
      <c r="G4412" t="s">
        <v>5031</v>
      </c>
      <c r="H4412">
        <v>16</v>
      </c>
      <c r="I4412">
        <v>3.41</v>
      </c>
      <c r="J4412">
        <v>10</v>
      </c>
      <c r="K4412">
        <v>10738.01</v>
      </c>
      <c r="L4412">
        <v>5.2</v>
      </c>
    </row>
    <row r="4413" spans="1:12" x14ac:dyDescent="0.3">
      <c r="A4413" t="s">
        <v>4428</v>
      </c>
      <c r="B4413" t="s">
        <v>16</v>
      </c>
      <c r="C4413" t="s">
        <v>14</v>
      </c>
      <c r="D4413">
        <v>24</v>
      </c>
      <c r="E4413" s="1">
        <v>42337</v>
      </c>
      <c r="F4413">
        <v>2015</v>
      </c>
      <c r="G4413" t="s">
        <v>5038</v>
      </c>
      <c r="H4413">
        <v>29</v>
      </c>
      <c r="I4413">
        <v>1.85</v>
      </c>
      <c r="J4413">
        <v>15</v>
      </c>
      <c r="K4413">
        <v>9802.14</v>
      </c>
      <c r="L4413">
        <v>9.9</v>
      </c>
    </row>
    <row r="4414" spans="1:12" x14ac:dyDescent="0.3">
      <c r="A4414" t="s">
        <v>4429</v>
      </c>
      <c r="B4414" t="s">
        <v>16</v>
      </c>
      <c r="C4414" t="s">
        <v>14</v>
      </c>
      <c r="D4414">
        <v>28</v>
      </c>
      <c r="E4414" s="1">
        <v>44784</v>
      </c>
      <c r="F4414">
        <v>2022</v>
      </c>
      <c r="G4414" t="s">
        <v>5031</v>
      </c>
      <c r="H4414">
        <v>11</v>
      </c>
      <c r="I4414">
        <v>3.61</v>
      </c>
      <c r="J4414">
        <v>6</v>
      </c>
      <c r="K4414">
        <v>6780.74</v>
      </c>
      <c r="L4414">
        <v>3.2</v>
      </c>
    </row>
    <row r="4415" spans="1:12" x14ac:dyDescent="0.3">
      <c r="A4415" t="s">
        <v>4430</v>
      </c>
      <c r="B4415" t="s">
        <v>24</v>
      </c>
      <c r="C4415" t="s">
        <v>14</v>
      </c>
      <c r="D4415">
        <v>33</v>
      </c>
      <c r="E4415" s="1">
        <v>44149</v>
      </c>
      <c r="F4415">
        <v>2020</v>
      </c>
      <c r="G4415" t="s">
        <v>5038</v>
      </c>
      <c r="H4415">
        <v>14</v>
      </c>
      <c r="I4415">
        <v>2.78</v>
      </c>
      <c r="J4415">
        <v>4</v>
      </c>
      <c r="K4415">
        <v>12984.48</v>
      </c>
      <c r="L4415">
        <v>5</v>
      </c>
    </row>
    <row r="4416" spans="1:12" x14ac:dyDescent="0.3">
      <c r="A4416" t="s">
        <v>4431</v>
      </c>
      <c r="B4416" t="s">
        <v>18</v>
      </c>
      <c r="C4416" t="s">
        <v>11</v>
      </c>
      <c r="D4416">
        <v>57</v>
      </c>
      <c r="E4416" s="1">
        <v>41302</v>
      </c>
      <c r="F4416">
        <v>2013</v>
      </c>
      <c r="G4416" t="s">
        <v>5037</v>
      </c>
      <c r="H4416">
        <v>28</v>
      </c>
      <c r="I4416">
        <v>3.57</v>
      </c>
      <c r="J4416">
        <v>1</v>
      </c>
      <c r="K4416">
        <v>10081.57</v>
      </c>
      <c r="L4416">
        <v>12.8</v>
      </c>
    </row>
    <row r="4417" spans="1:12" x14ac:dyDescent="0.3">
      <c r="A4417" t="s">
        <v>4432</v>
      </c>
      <c r="B4417" t="s">
        <v>24</v>
      </c>
      <c r="C4417" t="s">
        <v>14</v>
      </c>
      <c r="D4417">
        <v>38</v>
      </c>
      <c r="E4417" s="1">
        <v>43271</v>
      </c>
      <c r="F4417">
        <v>2018</v>
      </c>
      <c r="G4417" t="s">
        <v>5032</v>
      </c>
      <c r="H4417">
        <v>20</v>
      </c>
      <c r="I4417">
        <v>4</v>
      </c>
      <c r="J4417">
        <v>15</v>
      </c>
      <c r="K4417">
        <v>10612.08</v>
      </c>
      <c r="L4417">
        <v>7.4</v>
      </c>
    </row>
    <row r="4418" spans="1:12" x14ac:dyDescent="0.3">
      <c r="A4418" t="s">
        <v>4433</v>
      </c>
      <c r="B4418" t="s">
        <v>16</v>
      </c>
      <c r="C4418" t="s">
        <v>14</v>
      </c>
      <c r="D4418">
        <v>25</v>
      </c>
      <c r="E4418" s="1">
        <v>41739</v>
      </c>
      <c r="F4418">
        <v>2014</v>
      </c>
      <c r="G4418" t="s">
        <v>5040</v>
      </c>
      <c r="H4418">
        <v>10</v>
      </c>
      <c r="I4418">
        <v>4.7</v>
      </c>
      <c r="J4418">
        <v>2</v>
      </c>
      <c r="K4418">
        <v>7498.24</v>
      </c>
      <c r="L4418">
        <v>11.6</v>
      </c>
    </row>
    <row r="4419" spans="1:12" x14ac:dyDescent="0.3">
      <c r="A4419" t="s">
        <v>4434</v>
      </c>
      <c r="B4419" t="s">
        <v>13</v>
      </c>
      <c r="C4419" t="s">
        <v>11</v>
      </c>
      <c r="D4419">
        <v>51</v>
      </c>
      <c r="E4419" s="1">
        <v>43475</v>
      </c>
      <c r="F4419">
        <v>2019</v>
      </c>
      <c r="G4419" t="s">
        <v>5037</v>
      </c>
      <c r="H4419">
        <v>10</v>
      </c>
      <c r="I4419">
        <v>3.18</v>
      </c>
      <c r="J4419">
        <v>1</v>
      </c>
      <c r="K4419">
        <v>4116.83</v>
      </c>
      <c r="L4419">
        <v>6.8</v>
      </c>
    </row>
    <row r="4420" spans="1:12" x14ac:dyDescent="0.3">
      <c r="A4420" t="s">
        <v>4435</v>
      </c>
      <c r="B4420" t="s">
        <v>18</v>
      </c>
      <c r="C4420" t="s">
        <v>14</v>
      </c>
      <c r="D4420">
        <v>57</v>
      </c>
      <c r="E4420" s="1">
        <v>40458</v>
      </c>
      <c r="F4420">
        <v>2010</v>
      </c>
      <c r="G4420" t="s">
        <v>5039</v>
      </c>
      <c r="H4420">
        <v>7</v>
      </c>
      <c r="I4420">
        <v>3.96</v>
      </c>
      <c r="J4420">
        <v>13</v>
      </c>
      <c r="K4420">
        <v>8785.0400000000009</v>
      </c>
      <c r="L4420">
        <v>15.1</v>
      </c>
    </row>
    <row r="4421" spans="1:12" x14ac:dyDescent="0.3">
      <c r="A4421" t="s">
        <v>4436</v>
      </c>
      <c r="B4421" t="s">
        <v>34</v>
      </c>
      <c r="C4421" t="s">
        <v>11</v>
      </c>
      <c r="D4421">
        <v>33</v>
      </c>
      <c r="E4421" s="1">
        <v>40251</v>
      </c>
      <c r="F4421">
        <v>2010</v>
      </c>
      <c r="G4421" t="s">
        <v>5035</v>
      </c>
      <c r="H4421">
        <v>14</v>
      </c>
      <c r="I4421">
        <v>4.78</v>
      </c>
      <c r="J4421">
        <v>7</v>
      </c>
      <c r="K4421">
        <v>12964.49</v>
      </c>
      <c r="L4421">
        <v>15.6</v>
      </c>
    </row>
    <row r="4422" spans="1:12" x14ac:dyDescent="0.3">
      <c r="A4422" t="s">
        <v>4437</v>
      </c>
      <c r="B4422" t="s">
        <v>18</v>
      </c>
      <c r="C4422" t="s">
        <v>14</v>
      </c>
      <c r="D4422">
        <v>59</v>
      </c>
      <c r="E4422" s="1">
        <v>41605</v>
      </c>
      <c r="F4422">
        <v>2013</v>
      </c>
      <c r="G4422" t="s">
        <v>5038</v>
      </c>
      <c r="H4422">
        <v>27</v>
      </c>
      <c r="I4422">
        <v>3.82</v>
      </c>
      <c r="J4422">
        <v>1</v>
      </c>
      <c r="K4422">
        <v>6429.73</v>
      </c>
      <c r="L4422">
        <v>11.9</v>
      </c>
    </row>
    <row r="4423" spans="1:12" x14ac:dyDescent="0.3">
      <c r="A4423" t="s">
        <v>4438</v>
      </c>
      <c r="B4423" t="s">
        <v>16</v>
      </c>
      <c r="C4423" t="s">
        <v>14</v>
      </c>
      <c r="D4423">
        <v>23</v>
      </c>
      <c r="E4423" s="1">
        <v>45313</v>
      </c>
      <c r="F4423">
        <v>2024</v>
      </c>
      <c r="G4423" t="s">
        <v>5037</v>
      </c>
      <c r="H4423">
        <v>22</v>
      </c>
      <c r="I4423">
        <v>1.55</v>
      </c>
      <c r="J4423">
        <v>11</v>
      </c>
      <c r="K4423">
        <v>3095.37</v>
      </c>
      <c r="L4423">
        <v>1.8</v>
      </c>
    </row>
    <row r="4424" spans="1:12" x14ac:dyDescent="0.3">
      <c r="A4424" t="s">
        <v>4439</v>
      </c>
      <c r="B4424" t="s">
        <v>10</v>
      </c>
      <c r="C4424" t="s">
        <v>14</v>
      </c>
      <c r="D4424">
        <v>24</v>
      </c>
      <c r="E4424" s="1">
        <v>44375</v>
      </c>
      <c r="F4424">
        <v>2021</v>
      </c>
      <c r="G4424" t="s">
        <v>5032</v>
      </c>
      <c r="H4424">
        <v>28</v>
      </c>
      <c r="I4424">
        <v>1.81</v>
      </c>
      <c r="J4424">
        <v>2</v>
      </c>
      <c r="K4424">
        <v>9758.2000000000007</v>
      </c>
      <c r="L4424">
        <v>4.3</v>
      </c>
    </row>
    <row r="4425" spans="1:12" x14ac:dyDescent="0.3">
      <c r="A4425" t="s">
        <v>4440</v>
      </c>
      <c r="B4425" t="s">
        <v>13</v>
      </c>
      <c r="C4425" t="s">
        <v>14</v>
      </c>
      <c r="D4425">
        <v>25</v>
      </c>
      <c r="E4425" s="1">
        <v>42681</v>
      </c>
      <c r="F4425">
        <v>2016</v>
      </c>
      <c r="G4425" t="s">
        <v>5038</v>
      </c>
      <c r="H4425">
        <v>7</v>
      </c>
      <c r="I4425">
        <v>3.24</v>
      </c>
      <c r="J4425">
        <v>3</v>
      </c>
      <c r="K4425">
        <v>10205.799999999999</v>
      </c>
      <c r="L4425">
        <v>9</v>
      </c>
    </row>
    <row r="4426" spans="1:12" x14ac:dyDescent="0.3">
      <c r="A4426" t="s">
        <v>4441</v>
      </c>
      <c r="B4426" t="s">
        <v>10</v>
      </c>
      <c r="C4426" t="s">
        <v>14</v>
      </c>
      <c r="D4426">
        <v>25</v>
      </c>
      <c r="E4426" s="1">
        <v>42287</v>
      </c>
      <c r="F4426">
        <v>2015</v>
      </c>
      <c r="G4426" t="s">
        <v>5039</v>
      </c>
      <c r="H4426">
        <v>10</v>
      </c>
      <c r="I4426">
        <v>4</v>
      </c>
      <c r="J4426">
        <v>2</v>
      </c>
      <c r="K4426">
        <v>6086.73</v>
      </c>
      <c r="L4426">
        <v>10.1</v>
      </c>
    </row>
    <row r="4427" spans="1:12" x14ac:dyDescent="0.3">
      <c r="A4427" t="s">
        <v>4442</v>
      </c>
      <c r="B4427" t="s">
        <v>16</v>
      </c>
      <c r="C4427" t="s">
        <v>11</v>
      </c>
      <c r="D4427">
        <v>25</v>
      </c>
      <c r="E4427" s="1">
        <v>42750</v>
      </c>
      <c r="F4427">
        <v>2017</v>
      </c>
      <c r="G4427" t="s">
        <v>5037</v>
      </c>
      <c r="H4427">
        <v>15</v>
      </c>
      <c r="I4427">
        <v>2.4700000000000002</v>
      </c>
      <c r="J4427">
        <v>7</v>
      </c>
      <c r="K4427">
        <v>9277.24</v>
      </c>
      <c r="L4427">
        <v>8.8000000000000007</v>
      </c>
    </row>
    <row r="4428" spans="1:12" x14ac:dyDescent="0.3">
      <c r="A4428" t="s">
        <v>4443</v>
      </c>
      <c r="B4428" t="s">
        <v>18</v>
      </c>
      <c r="C4428" t="s">
        <v>11</v>
      </c>
      <c r="D4428">
        <v>45</v>
      </c>
      <c r="E4428" s="1">
        <v>41327</v>
      </c>
      <c r="F4428">
        <v>2013</v>
      </c>
      <c r="G4428" t="s">
        <v>5042</v>
      </c>
      <c r="H4428">
        <v>22</v>
      </c>
      <c r="I4428">
        <v>3.81</v>
      </c>
      <c r="J4428">
        <v>5</v>
      </c>
      <c r="K4428">
        <v>12510.1</v>
      </c>
      <c r="L4428">
        <v>12.7</v>
      </c>
    </row>
    <row r="4429" spans="1:12" x14ac:dyDescent="0.3">
      <c r="A4429" t="s">
        <v>4444</v>
      </c>
      <c r="B4429" t="s">
        <v>34</v>
      </c>
      <c r="C4429" t="s">
        <v>14</v>
      </c>
      <c r="D4429">
        <v>50</v>
      </c>
      <c r="E4429" s="1">
        <v>43731</v>
      </c>
      <c r="F4429">
        <v>2019</v>
      </c>
      <c r="G4429" t="s">
        <v>5033</v>
      </c>
      <c r="H4429">
        <v>23</v>
      </c>
      <c r="I4429">
        <v>4.5</v>
      </c>
      <c r="J4429">
        <v>5</v>
      </c>
      <c r="K4429">
        <v>12973.4</v>
      </c>
      <c r="L4429">
        <v>6.1</v>
      </c>
    </row>
    <row r="4430" spans="1:12" x14ac:dyDescent="0.3">
      <c r="A4430" t="s">
        <v>4445</v>
      </c>
      <c r="B4430" t="s">
        <v>34</v>
      </c>
      <c r="C4430" t="s">
        <v>11</v>
      </c>
      <c r="D4430">
        <v>46</v>
      </c>
      <c r="E4430" s="1">
        <v>40257</v>
      </c>
      <c r="F4430">
        <v>2010</v>
      </c>
      <c r="G4430" t="s">
        <v>5035</v>
      </c>
      <c r="H4430">
        <v>20</v>
      </c>
      <c r="I4430">
        <v>2.61</v>
      </c>
      <c r="J4430">
        <v>10</v>
      </c>
      <c r="K4430">
        <v>13463.33</v>
      </c>
      <c r="L4430">
        <v>15.6</v>
      </c>
    </row>
    <row r="4431" spans="1:12" x14ac:dyDescent="0.3">
      <c r="A4431" t="s">
        <v>4446</v>
      </c>
      <c r="B4431" t="s">
        <v>24</v>
      </c>
      <c r="C4431" t="s">
        <v>11</v>
      </c>
      <c r="D4431">
        <v>35</v>
      </c>
      <c r="E4431" s="1">
        <v>42005</v>
      </c>
      <c r="F4431">
        <v>2015</v>
      </c>
      <c r="G4431" t="s">
        <v>5037</v>
      </c>
      <c r="H4431">
        <v>1</v>
      </c>
      <c r="I4431">
        <v>2.3199999999999998</v>
      </c>
      <c r="J4431">
        <v>14</v>
      </c>
      <c r="K4431">
        <v>4177.2700000000004</v>
      </c>
      <c r="L4431">
        <v>10.8</v>
      </c>
    </row>
    <row r="4432" spans="1:12" x14ac:dyDescent="0.3">
      <c r="A4432" t="s">
        <v>4447</v>
      </c>
      <c r="B4432" t="s">
        <v>10</v>
      </c>
      <c r="C4432" t="s">
        <v>14</v>
      </c>
      <c r="D4432">
        <v>55</v>
      </c>
      <c r="E4432" s="1">
        <v>45535</v>
      </c>
      <c r="F4432">
        <v>2024</v>
      </c>
      <c r="G4432" t="s">
        <v>5031</v>
      </c>
      <c r="H4432">
        <v>31</v>
      </c>
      <c r="I4432">
        <v>1.92</v>
      </c>
      <c r="J4432">
        <v>3</v>
      </c>
      <c r="K4432">
        <v>10524.89</v>
      </c>
      <c r="L4432">
        <v>1.2</v>
      </c>
    </row>
    <row r="4433" spans="1:12" x14ac:dyDescent="0.3">
      <c r="A4433" t="s">
        <v>4448</v>
      </c>
      <c r="B4433" t="s">
        <v>10</v>
      </c>
      <c r="C4433" t="s">
        <v>14</v>
      </c>
      <c r="D4433">
        <v>38</v>
      </c>
      <c r="E4433" s="1">
        <v>42166</v>
      </c>
      <c r="F4433">
        <v>2015</v>
      </c>
      <c r="G4433" t="s">
        <v>5032</v>
      </c>
      <c r="H4433">
        <v>11</v>
      </c>
      <c r="I4433">
        <v>1.59</v>
      </c>
      <c r="J4433">
        <v>0</v>
      </c>
      <c r="K4433">
        <v>13073.87</v>
      </c>
      <c r="L4433">
        <v>10.4</v>
      </c>
    </row>
    <row r="4434" spans="1:12" x14ac:dyDescent="0.3">
      <c r="A4434" t="s">
        <v>4449</v>
      </c>
      <c r="B4434" t="s">
        <v>16</v>
      </c>
      <c r="C4434" t="s">
        <v>14</v>
      </c>
      <c r="D4434">
        <v>36</v>
      </c>
      <c r="E4434" s="1">
        <v>42281</v>
      </c>
      <c r="F4434">
        <v>2015</v>
      </c>
      <c r="G4434" t="s">
        <v>5039</v>
      </c>
      <c r="H4434">
        <v>4</v>
      </c>
      <c r="I4434">
        <v>4.3499999999999996</v>
      </c>
      <c r="J4434">
        <v>15</v>
      </c>
      <c r="K4434">
        <v>3141.83</v>
      </c>
      <c r="L4434">
        <v>10.1</v>
      </c>
    </row>
    <row r="4435" spans="1:12" x14ac:dyDescent="0.3">
      <c r="A4435" t="s">
        <v>4450</v>
      </c>
      <c r="B4435" t="s">
        <v>10</v>
      </c>
      <c r="C4435" t="s">
        <v>14</v>
      </c>
      <c r="D4435">
        <v>59</v>
      </c>
      <c r="E4435" s="1">
        <v>41879</v>
      </c>
      <c r="F4435">
        <v>2014</v>
      </c>
      <c r="G4435" t="s">
        <v>5031</v>
      </c>
      <c r="H4435">
        <v>28</v>
      </c>
      <c r="I4435">
        <v>2.2200000000000002</v>
      </c>
      <c r="J4435">
        <v>8</v>
      </c>
      <c r="K4435">
        <v>4633.22</v>
      </c>
      <c r="L4435">
        <v>11.2</v>
      </c>
    </row>
    <row r="4436" spans="1:12" x14ac:dyDescent="0.3">
      <c r="A4436" t="s">
        <v>4451</v>
      </c>
      <c r="B4436" t="s">
        <v>24</v>
      </c>
      <c r="C4436" t="s">
        <v>11</v>
      </c>
      <c r="D4436">
        <v>54</v>
      </c>
      <c r="E4436" s="1">
        <v>42952</v>
      </c>
      <c r="F4436">
        <v>2017</v>
      </c>
      <c r="G4436" t="s">
        <v>5031</v>
      </c>
      <c r="H4436">
        <v>5</v>
      </c>
      <c r="I4436">
        <v>2.35</v>
      </c>
      <c r="J4436">
        <v>8</v>
      </c>
      <c r="K4436">
        <v>3818.21</v>
      </c>
      <c r="L4436">
        <v>8.1999999999999993</v>
      </c>
    </row>
    <row r="4437" spans="1:12" x14ac:dyDescent="0.3">
      <c r="A4437" t="s">
        <v>4452</v>
      </c>
      <c r="B4437" t="s">
        <v>13</v>
      </c>
      <c r="C4437" t="s">
        <v>14</v>
      </c>
      <c r="D4437">
        <v>42</v>
      </c>
      <c r="E4437" s="1">
        <v>45527</v>
      </c>
      <c r="F4437">
        <v>2024</v>
      </c>
      <c r="G4437" t="s">
        <v>5031</v>
      </c>
      <c r="H4437">
        <v>23</v>
      </c>
      <c r="I4437">
        <v>2.4300000000000002</v>
      </c>
      <c r="J4437">
        <v>7</v>
      </c>
      <c r="K4437">
        <v>13745.88</v>
      </c>
      <c r="L4437">
        <v>1.2</v>
      </c>
    </row>
    <row r="4438" spans="1:12" x14ac:dyDescent="0.3">
      <c r="A4438" t="s">
        <v>4453</v>
      </c>
      <c r="B4438" t="s">
        <v>18</v>
      </c>
      <c r="C4438" t="s">
        <v>14</v>
      </c>
      <c r="D4438">
        <v>46</v>
      </c>
      <c r="E4438" s="1">
        <v>41948</v>
      </c>
      <c r="F4438">
        <v>2014</v>
      </c>
      <c r="G4438" t="s">
        <v>5038</v>
      </c>
      <c r="H4438">
        <v>5</v>
      </c>
      <c r="I4438">
        <v>4.67</v>
      </c>
      <c r="J4438">
        <v>9</v>
      </c>
      <c r="K4438">
        <v>7025.96</v>
      </c>
      <c r="L4438">
        <v>11</v>
      </c>
    </row>
    <row r="4439" spans="1:12" x14ac:dyDescent="0.3">
      <c r="A4439" t="s">
        <v>4454</v>
      </c>
      <c r="B4439" t="s">
        <v>34</v>
      </c>
      <c r="C4439" t="s">
        <v>14</v>
      </c>
      <c r="D4439">
        <v>26</v>
      </c>
      <c r="E4439" s="1">
        <v>42195</v>
      </c>
      <c r="F4439">
        <v>2015</v>
      </c>
      <c r="G4439" t="s">
        <v>5034</v>
      </c>
      <c r="H4439">
        <v>10</v>
      </c>
      <c r="I4439">
        <v>3.98</v>
      </c>
      <c r="J4439">
        <v>4</v>
      </c>
      <c r="K4439">
        <v>8663.64</v>
      </c>
      <c r="L4439">
        <v>10.3</v>
      </c>
    </row>
    <row r="4440" spans="1:12" x14ac:dyDescent="0.3">
      <c r="A4440" t="s">
        <v>4455</v>
      </c>
      <c r="B4440" t="s">
        <v>34</v>
      </c>
      <c r="C4440" t="s">
        <v>11</v>
      </c>
      <c r="D4440">
        <v>37</v>
      </c>
      <c r="E4440" s="1">
        <v>42735</v>
      </c>
      <c r="F4440">
        <v>2016</v>
      </c>
      <c r="G4440" t="s">
        <v>5041</v>
      </c>
      <c r="H4440">
        <v>31</v>
      </c>
      <c r="I4440">
        <v>3.53</v>
      </c>
      <c r="J4440">
        <v>15</v>
      </c>
      <c r="K4440">
        <v>3716.94</v>
      </c>
      <c r="L4440">
        <v>8.8000000000000007</v>
      </c>
    </row>
    <row r="4441" spans="1:12" x14ac:dyDescent="0.3">
      <c r="A4441" t="s">
        <v>4456</v>
      </c>
      <c r="B4441" t="s">
        <v>16</v>
      </c>
      <c r="C4441" t="s">
        <v>11</v>
      </c>
      <c r="D4441">
        <v>55</v>
      </c>
      <c r="E4441" s="1">
        <v>44023</v>
      </c>
      <c r="F4441">
        <v>2020</v>
      </c>
      <c r="G4441" t="s">
        <v>5034</v>
      </c>
      <c r="H4441">
        <v>11</v>
      </c>
      <c r="I4441">
        <v>3.26</v>
      </c>
      <c r="J4441">
        <v>9</v>
      </c>
      <c r="K4441">
        <v>6310.72</v>
      </c>
      <c r="L4441">
        <v>5.3</v>
      </c>
    </row>
    <row r="4442" spans="1:12" x14ac:dyDescent="0.3">
      <c r="A4442" t="s">
        <v>4457</v>
      </c>
      <c r="B4442" t="s">
        <v>34</v>
      </c>
      <c r="C4442" t="s">
        <v>14</v>
      </c>
      <c r="D4442">
        <v>34</v>
      </c>
      <c r="E4442" s="1">
        <v>44977</v>
      </c>
      <c r="F4442">
        <v>2023</v>
      </c>
      <c r="G4442" t="s">
        <v>5042</v>
      </c>
      <c r="H4442">
        <v>20</v>
      </c>
      <c r="I4442">
        <v>2.71</v>
      </c>
      <c r="J4442">
        <v>11</v>
      </c>
      <c r="K4442">
        <v>7539.76</v>
      </c>
      <c r="L4442">
        <v>2.7</v>
      </c>
    </row>
    <row r="4443" spans="1:12" x14ac:dyDescent="0.3">
      <c r="A4443" t="s">
        <v>4458</v>
      </c>
      <c r="B4443" t="s">
        <v>10</v>
      </c>
      <c r="C4443" t="s">
        <v>11</v>
      </c>
      <c r="D4443">
        <v>48</v>
      </c>
      <c r="E4443" s="1">
        <v>40576</v>
      </c>
      <c r="F4443">
        <v>2011</v>
      </c>
      <c r="G4443" t="s">
        <v>5042</v>
      </c>
      <c r="H4443">
        <v>2</v>
      </c>
      <c r="I4443">
        <v>4.4800000000000004</v>
      </c>
      <c r="J4443">
        <v>12</v>
      </c>
      <c r="K4443">
        <v>10828.19</v>
      </c>
      <c r="L4443">
        <v>14.8</v>
      </c>
    </row>
    <row r="4444" spans="1:12" x14ac:dyDescent="0.3">
      <c r="A4444" t="s">
        <v>4459</v>
      </c>
      <c r="B4444" t="s">
        <v>18</v>
      </c>
      <c r="C4444" t="s">
        <v>11</v>
      </c>
      <c r="D4444">
        <v>46</v>
      </c>
      <c r="E4444" s="1">
        <v>43034</v>
      </c>
      <c r="F4444">
        <v>2017</v>
      </c>
      <c r="G4444" t="s">
        <v>5039</v>
      </c>
      <c r="H4444">
        <v>26</v>
      </c>
      <c r="I4444">
        <v>2.89</v>
      </c>
      <c r="J4444">
        <v>11</v>
      </c>
      <c r="K4444">
        <v>14379.61</v>
      </c>
      <c r="L4444">
        <v>8</v>
      </c>
    </row>
    <row r="4445" spans="1:12" x14ac:dyDescent="0.3">
      <c r="A4445" t="s">
        <v>4460</v>
      </c>
      <c r="B4445" t="s">
        <v>13</v>
      </c>
      <c r="C4445" t="s">
        <v>11</v>
      </c>
      <c r="D4445">
        <v>46</v>
      </c>
      <c r="E4445" s="1">
        <v>43198</v>
      </c>
      <c r="F4445">
        <v>2018</v>
      </c>
      <c r="G4445" t="s">
        <v>5040</v>
      </c>
      <c r="H4445">
        <v>8</v>
      </c>
      <c r="I4445">
        <v>1.71</v>
      </c>
      <c r="J4445">
        <v>15</v>
      </c>
      <c r="K4445">
        <v>14020.95</v>
      </c>
      <c r="L4445">
        <v>7.6</v>
      </c>
    </row>
    <row r="4446" spans="1:12" x14ac:dyDescent="0.3">
      <c r="A4446" t="s">
        <v>4461</v>
      </c>
      <c r="B4446" t="s">
        <v>16</v>
      </c>
      <c r="C4446" t="s">
        <v>14</v>
      </c>
      <c r="D4446">
        <v>29</v>
      </c>
      <c r="E4446" s="1">
        <v>40302</v>
      </c>
      <c r="F4446">
        <v>2010</v>
      </c>
      <c r="G4446" t="s">
        <v>5036</v>
      </c>
      <c r="H4446">
        <v>4</v>
      </c>
      <c r="I4446">
        <v>4.7300000000000004</v>
      </c>
      <c r="J4446">
        <v>1</v>
      </c>
      <c r="K4446">
        <v>5201.6499999999996</v>
      </c>
      <c r="L4446">
        <v>15.5</v>
      </c>
    </row>
    <row r="4447" spans="1:12" x14ac:dyDescent="0.3">
      <c r="A4447" t="s">
        <v>4462</v>
      </c>
      <c r="B4447" t="s">
        <v>10</v>
      </c>
      <c r="C4447" t="s">
        <v>11</v>
      </c>
      <c r="D4447">
        <v>32</v>
      </c>
      <c r="E4447" s="1">
        <v>41096</v>
      </c>
      <c r="F4447">
        <v>2012</v>
      </c>
      <c r="G4447" t="s">
        <v>5034</v>
      </c>
      <c r="H4447">
        <v>6</v>
      </c>
      <c r="I4447">
        <v>4.66</v>
      </c>
      <c r="J4447">
        <v>10</v>
      </c>
      <c r="K4447">
        <v>5376.2</v>
      </c>
      <c r="L4447">
        <v>13.3</v>
      </c>
    </row>
    <row r="4448" spans="1:12" x14ac:dyDescent="0.3">
      <c r="A4448" t="s">
        <v>4463</v>
      </c>
      <c r="B4448" t="s">
        <v>10</v>
      </c>
      <c r="C4448" t="s">
        <v>14</v>
      </c>
      <c r="D4448">
        <v>60</v>
      </c>
      <c r="E4448" s="1">
        <v>42093</v>
      </c>
      <c r="F4448">
        <v>2015</v>
      </c>
      <c r="G4448" t="s">
        <v>5035</v>
      </c>
      <c r="H4448">
        <v>30</v>
      </c>
      <c r="I4448">
        <v>3.58</v>
      </c>
      <c r="J4448">
        <v>9</v>
      </c>
      <c r="K4448">
        <v>7478.98</v>
      </c>
      <c r="L4448">
        <v>10.6</v>
      </c>
    </row>
    <row r="4449" spans="1:12" x14ac:dyDescent="0.3">
      <c r="A4449" t="s">
        <v>4464</v>
      </c>
      <c r="B4449" t="s">
        <v>13</v>
      </c>
      <c r="C4449" t="s">
        <v>11</v>
      </c>
      <c r="D4449">
        <v>27</v>
      </c>
      <c r="E4449" s="1">
        <v>40424</v>
      </c>
      <c r="F4449">
        <v>2010</v>
      </c>
      <c r="G4449" t="s">
        <v>5033</v>
      </c>
      <c r="H4449">
        <v>3</v>
      </c>
      <c r="I4449">
        <v>4.82</v>
      </c>
      <c r="J4449">
        <v>5</v>
      </c>
      <c r="K4449">
        <v>8873.2800000000007</v>
      </c>
      <c r="L4449">
        <v>15.2</v>
      </c>
    </row>
    <row r="4450" spans="1:12" x14ac:dyDescent="0.3">
      <c r="A4450" t="s">
        <v>4465</v>
      </c>
      <c r="B4450" t="s">
        <v>13</v>
      </c>
      <c r="C4450" t="s">
        <v>11</v>
      </c>
      <c r="D4450">
        <v>39</v>
      </c>
      <c r="E4450" s="1">
        <v>45189</v>
      </c>
      <c r="F4450">
        <v>2023</v>
      </c>
      <c r="G4450" t="s">
        <v>5033</v>
      </c>
      <c r="H4450">
        <v>20</v>
      </c>
      <c r="I4450">
        <v>4.5599999999999996</v>
      </c>
      <c r="J4450">
        <v>9</v>
      </c>
      <c r="K4450">
        <v>12032.34</v>
      </c>
      <c r="L4450">
        <v>2.1</v>
      </c>
    </row>
    <row r="4451" spans="1:12" x14ac:dyDescent="0.3">
      <c r="A4451" t="s">
        <v>4466</v>
      </c>
      <c r="B4451" t="s">
        <v>18</v>
      </c>
      <c r="C4451" t="s">
        <v>14</v>
      </c>
      <c r="D4451">
        <v>33</v>
      </c>
      <c r="E4451" s="1">
        <v>40668</v>
      </c>
      <c r="F4451">
        <v>2011</v>
      </c>
      <c r="G4451" t="s">
        <v>5036</v>
      </c>
      <c r="H4451">
        <v>5</v>
      </c>
      <c r="I4451">
        <v>4.03</v>
      </c>
      <c r="J4451">
        <v>14</v>
      </c>
      <c r="K4451">
        <v>5501.08</v>
      </c>
      <c r="L4451">
        <v>14.5</v>
      </c>
    </row>
    <row r="4452" spans="1:12" x14ac:dyDescent="0.3">
      <c r="A4452" t="s">
        <v>4467</v>
      </c>
      <c r="B4452" t="s">
        <v>24</v>
      </c>
      <c r="C4452" t="s">
        <v>14</v>
      </c>
      <c r="D4452">
        <v>60</v>
      </c>
      <c r="E4452" s="1">
        <v>42007</v>
      </c>
      <c r="F4452">
        <v>2015</v>
      </c>
      <c r="G4452" t="s">
        <v>5037</v>
      </c>
      <c r="H4452">
        <v>3</v>
      </c>
      <c r="I4452">
        <v>3.81</v>
      </c>
      <c r="J4452">
        <v>8</v>
      </c>
      <c r="K4452">
        <v>9981.76</v>
      </c>
      <c r="L4452">
        <v>10.8</v>
      </c>
    </row>
    <row r="4453" spans="1:12" x14ac:dyDescent="0.3">
      <c r="A4453" t="s">
        <v>4468</v>
      </c>
      <c r="B4453" t="s">
        <v>13</v>
      </c>
      <c r="C4453" t="s">
        <v>14</v>
      </c>
      <c r="D4453">
        <v>58</v>
      </c>
      <c r="E4453" s="1">
        <v>42922</v>
      </c>
      <c r="F4453">
        <v>2017</v>
      </c>
      <c r="G4453" t="s">
        <v>5034</v>
      </c>
      <c r="H4453">
        <v>6</v>
      </c>
      <c r="I4453">
        <v>4.9800000000000004</v>
      </c>
      <c r="J4453">
        <v>2</v>
      </c>
      <c r="K4453">
        <v>11054.33</v>
      </c>
      <c r="L4453">
        <v>8.3000000000000007</v>
      </c>
    </row>
    <row r="4454" spans="1:12" x14ac:dyDescent="0.3">
      <c r="A4454" t="s">
        <v>4469</v>
      </c>
      <c r="B4454" t="s">
        <v>34</v>
      </c>
      <c r="C4454" t="s">
        <v>14</v>
      </c>
      <c r="D4454">
        <v>55</v>
      </c>
      <c r="E4454" s="1">
        <v>40200</v>
      </c>
      <c r="F4454">
        <v>2010</v>
      </c>
      <c r="G4454" t="s">
        <v>5037</v>
      </c>
      <c r="H4454">
        <v>22</v>
      </c>
      <c r="I4454">
        <v>4.17</v>
      </c>
      <c r="J4454">
        <v>8</v>
      </c>
      <c r="K4454">
        <v>5845.37</v>
      </c>
      <c r="L4454">
        <v>15.8</v>
      </c>
    </row>
    <row r="4455" spans="1:12" x14ac:dyDescent="0.3">
      <c r="A4455" t="s">
        <v>4470</v>
      </c>
      <c r="B4455" t="s">
        <v>10</v>
      </c>
      <c r="C4455" t="s">
        <v>14</v>
      </c>
      <c r="D4455">
        <v>52</v>
      </c>
      <c r="E4455" s="1">
        <v>44543</v>
      </c>
      <c r="F4455">
        <v>2021</v>
      </c>
      <c r="G4455" t="s">
        <v>5041</v>
      </c>
      <c r="H4455">
        <v>13</v>
      </c>
      <c r="I4455">
        <v>1.77</v>
      </c>
      <c r="J4455">
        <v>5</v>
      </c>
      <c r="K4455">
        <v>13380.52</v>
      </c>
      <c r="L4455">
        <v>3.9</v>
      </c>
    </row>
    <row r="4456" spans="1:12" x14ac:dyDescent="0.3">
      <c r="A4456" t="s">
        <v>4471</v>
      </c>
      <c r="B4456" t="s">
        <v>34</v>
      </c>
      <c r="C4456" t="s">
        <v>11</v>
      </c>
      <c r="D4456">
        <v>44</v>
      </c>
      <c r="E4456" s="1">
        <v>40955</v>
      </c>
      <c r="F4456">
        <v>2012</v>
      </c>
      <c r="G4456" t="s">
        <v>5042</v>
      </c>
      <c r="H4456">
        <v>16</v>
      </c>
      <c r="I4456">
        <v>3.72</v>
      </c>
      <c r="J4456">
        <v>9</v>
      </c>
      <c r="K4456">
        <v>10394.93</v>
      </c>
      <c r="L4456">
        <v>13.7</v>
      </c>
    </row>
    <row r="4457" spans="1:12" x14ac:dyDescent="0.3">
      <c r="A4457" t="s">
        <v>4472</v>
      </c>
      <c r="B4457" t="s">
        <v>16</v>
      </c>
      <c r="C4457" t="s">
        <v>11</v>
      </c>
      <c r="D4457">
        <v>38</v>
      </c>
      <c r="E4457" s="1">
        <v>42344</v>
      </c>
      <c r="F4457">
        <v>2015</v>
      </c>
      <c r="G4457" t="s">
        <v>5041</v>
      </c>
      <c r="H4457">
        <v>6</v>
      </c>
      <c r="I4457">
        <v>4.63</v>
      </c>
      <c r="J4457">
        <v>2</v>
      </c>
      <c r="K4457">
        <v>7190.41</v>
      </c>
      <c r="L4457">
        <v>9.9</v>
      </c>
    </row>
    <row r="4458" spans="1:12" x14ac:dyDescent="0.3">
      <c r="A4458" t="s">
        <v>4473</v>
      </c>
      <c r="B4458" t="s">
        <v>10</v>
      </c>
      <c r="C4458" t="s">
        <v>14</v>
      </c>
      <c r="D4458">
        <v>36</v>
      </c>
      <c r="E4458" s="1">
        <v>40225</v>
      </c>
      <c r="F4458">
        <v>2010</v>
      </c>
      <c r="G4458" t="s">
        <v>5042</v>
      </c>
      <c r="H4458">
        <v>16</v>
      </c>
      <c r="I4458">
        <v>2.41</v>
      </c>
      <c r="J4458">
        <v>15</v>
      </c>
      <c r="K4458">
        <v>8007.78</v>
      </c>
      <c r="L4458">
        <v>15.7</v>
      </c>
    </row>
    <row r="4459" spans="1:12" x14ac:dyDescent="0.3">
      <c r="A4459" t="s">
        <v>4474</v>
      </c>
      <c r="B4459" t="s">
        <v>34</v>
      </c>
      <c r="C4459" t="s">
        <v>14</v>
      </c>
      <c r="D4459">
        <v>30</v>
      </c>
      <c r="E4459" s="1">
        <v>40814</v>
      </c>
      <c r="F4459">
        <v>2011</v>
      </c>
      <c r="G4459" t="s">
        <v>5033</v>
      </c>
      <c r="H4459">
        <v>28</v>
      </c>
      <c r="I4459">
        <v>4.7699999999999996</v>
      </c>
      <c r="J4459">
        <v>6</v>
      </c>
      <c r="K4459">
        <v>12991.77</v>
      </c>
      <c r="L4459">
        <v>14.1</v>
      </c>
    </row>
    <row r="4460" spans="1:12" x14ac:dyDescent="0.3">
      <c r="A4460" t="s">
        <v>4475</v>
      </c>
      <c r="B4460" t="s">
        <v>24</v>
      </c>
      <c r="C4460" t="s">
        <v>14</v>
      </c>
      <c r="D4460">
        <v>31</v>
      </c>
      <c r="E4460" s="1">
        <v>41196</v>
      </c>
      <c r="F4460">
        <v>2012</v>
      </c>
      <c r="G4460" t="s">
        <v>5039</v>
      </c>
      <c r="H4460">
        <v>14</v>
      </c>
      <c r="I4460">
        <v>4.13</v>
      </c>
      <c r="J4460">
        <v>3</v>
      </c>
      <c r="K4460">
        <v>11627.97</v>
      </c>
      <c r="L4460">
        <v>13.1</v>
      </c>
    </row>
    <row r="4461" spans="1:12" x14ac:dyDescent="0.3">
      <c r="A4461" t="s">
        <v>4476</v>
      </c>
      <c r="B4461" t="s">
        <v>13</v>
      </c>
      <c r="C4461" t="s">
        <v>14</v>
      </c>
      <c r="D4461">
        <v>39</v>
      </c>
      <c r="E4461" s="1">
        <v>43179</v>
      </c>
      <c r="F4461">
        <v>2018</v>
      </c>
      <c r="G4461" t="s">
        <v>5035</v>
      </c>
      <c r="H4461">
        <v>20</v>
      </c>
      <c r="I4461">
        <v>3.75</v>
      </c>
      <c r="J4461">
        <v>3</v>
      </c>
      <c r="K4461">
        <v>12586.3</v>
      </c>
      <c r="L4461">
        <v>7.6</v>
      </c>
    </row>
    <row r="4462" spans="1:12" x14ac:dyDescent="0.3">
      <c r="A4462" t="s">
        <v>4477</v>
      </c>
      <c r="B4462" t="s">
        <v>16</v>
      </c>
      <c r="C4462" t="s">
        <v>14</v>
      </c>
      <c r="D4462">
        <v>32</v>
      </c>
      <c r="E4462" s="1">
        <v>44198</v>
      </c>
      <c r="F4462">
        <v>2021</v>
      </c>
      <c r="G4462" t="s">
        <v>5037</v>
      </c>
      <c r="H4462">
        <v>2</v>
      </c>
      <c r="I4462">
        <v>4.92</v>
      </c>
      <c r="J4462">
        <v>7</v>
      </c>
      <c r="K4462">
        <v>14465.84</v>
      </c>
      <c r="L4462">
        <v>4.8</v>
      </c>
    </row>
    <row r="4463" spans="1:12" x14ac:dyDescent="0.3">
      <c r="A4463" t="s">
        <v>4478</v>
      </c>
      <c r="B4463" t="s">
        <v>18</v>
      </c>
      <c r="C4463" t="s">
        <v>14</v>
      </c>
      <c r="D4463">
        <v>29</v>
      </c>
      <c r="E4463" s="1">
        <v>42009</v>
      </c>
      <c r="F4463">
        <v>2015</v>
      </c>
      <c r="G4463" t="s">
        <v>5037</v>
      </c>
      <c r="H4463">
        <v>5</v>
      </c>
      <c r="I4463">
        <v>2.57</v>
      </c>
      <c r="J4463">
        <v>14</v>
      </c>
      <c r="K4463">
        <v>7183.92</v>
      </c>
      <c r="L4463">
        <v>10.8</v>
      </c>
    </row>
    <row r="4464" spans="1:12" x14ac:dyDescent="0.3">
      <c r="A4464" t="s">
        <v>4479</v>
      </c>
      <c r="B4464" t="s">
        <v>13</v>
      </c>
      <c r="C4464" t="s">
        <v>11</v>
      </c>
      <c r="D4464">
        <v>44</v>
      </c>
      <c r="E4464" s="1">
        <v>44257</v>
      </c>
      <c r="F4464">
        <v>2021</v>
      </c>
      <c r="G4464" t="s">
        <v>5035</v>
      </c>
      <c r="H4464">
        <v>2</v>
      </c>
      <c r="I4464">
        <v>2.08</v>
      </c>
      <c r="J4464">
        <v>1</v>
      </c>
      <c r="K4464">
        <v>8849.08</v>
      </c>
      <c r="L4464">
        <v>4.7</v>
      </c>
    </row>
    <row r="4465" spans="1:12" x14ac:dyDescent="0.3">
      <c r="A4465" t="s">
        <v>4480</v>
      </c>
      <c r="B4465" t="s">
        <v>10</v>
      </c>
      <c r="C4465" t="s">
        <v>14</v>
      </c>
      <c r="D4465">
        <v>43</v>
      </c>
      <c r="E4465" s="1">
        <v>43266</v>
      </c>
      <c r="F4465">
        <v>2018</v>
      </c>
      <c r="G4465" t="s">
        <v>5032</v>
      </c>
      <c r="H4465">
        <v>15</v>
      </c>
      <c r="I4465">
        <v>3.05</v>
      </c>
      <c r="J4465">
        <v>0</v>
      </c>
      <c r="K4465">
        <v>9855.3700000000008</v>
      </c>
      <c r="L4465">
        <v>7.4</v>
      </c>
    </row>
    <row r="4466" spans="1:12" x14ac:dyDescent="0.3">
      <c r="A4466" t="s">
        <v>4481</v>
      </c>
      <c r="B4466" t="s">
        <v>16</v>
      </c>
      <c r="C4466" t="s">
        <v>14</v>
      </c>
      <c r="D4466">
        <v>53</v>
      </c>
      <c r="E4466" s="1">
        <v>41811</v>
      </c>
      <c r="F4466">
        <v>2014</v>
      </c>
      <c r="G4466" t="s">
        <v>5032</v>
      </c>
      <c r="H4466">
        <v>21</v>
      </c>
      <c r="I4466">
        <v>4.53</v>
      </c>
      <c r="J4466">
        <v>1</v>
      </c>
      <c r="K4466">
        <v>9075.81</v>
      </c>
      <c r="L4466">
        <v>11.4</v>
      </c>
    </row>
    <row r="4467" spans="1:12" x14ac:dyDescent="0.3">
      <c r="A4467" t="s">
        <v>4482</v>
      </c>
      <c r="B4467" t="s">
        <v>16</v>
      </c>
      <c r="C4467" t="s">
        <v>14</v>
      </c>
      <c r="D4467">
        <v>41</v>
      </c>
      <c r="E4467" s="1">
        <v>44295</v>
      </c>
      <c r="F4467">
        <v>2021</v>
      </c>
      <c r="G4467" t="s">
        <v>5040</v>
      </c>
      <c r="H4467">
        <v>9</v>
      </c>
      <c r="I4467">
        <v>3.57</v>
      </c>
      <c r="J4467">
        <v>11</v>
      </c>
      <c r="K4467">
        <v>5580.01</v>
      </c>
      <c r="L4467">
        <v>4.5999999999999996</v>
      </c>
    </row>
    <row r="4468" spans="1:12" x14ac:dyDescent="0.3">
      <c r="A4468" t="s">
        <v>4483</v>
      </c>
      <c r="B4468" t="s">
        <v>34</v>
      </c>
      <c r="C4468" t="s">
        <v>11</v>
      </c>
      <c r="D4468">
        <v>35</v>
      </c>
      <c r="E4468" s="1">
        <v>44477</v>
      </c>
      <c r="F4468">
        <v>2021</v>
      </c>
      <c r="G4468" t="s">
        <v>5039</v>
      </c>
      <c r="H4468">
        <v>8</v>
      </c>
      <c r="I4468">
        <v>1.76</v>
      </c>
      <c r="J4468">
        <v>12</v>
      </c>
      <c r="K4468">
        <v>3622.77</v>
      </c>
      <c r="L4468">
        <v>4.0999999999999996</v>
      </c>
    </row>
    <row r="4469" spans="1:12" x14ac:dyDescent="0.3">
      <c r="A4469" t="s">
        <v>4484</v>
      </c>
      <c r="B4469" t="s">
        <v>24</v>
      </c>
      <c r="C4469" t="s">
        <v>11</v>
      </c>
      <c r="D4469">
        <v>29</v>
      </c>
      <c r="E4469" s="1">
        <v>44453</v>
      </c>
      <c r="F4469">
        <v>2021</v>
      </c>
      <c r="G4469" t="s">
        <v>5033</v>
      </c>
      <c r="H4469">
        <v>14</v>
      </c>
      <c r="I4469">
        <v>3.56</v>
      </c>
      <c r="J4469">
        <v>7</v>
      </c>
      <c r="K4469">
        <v>14479.36</v>
      </c>
      <c r="L4469">
        <v>4.0999999999999996</v>
      </c>
    </row>
    <row r="4470" spans="1:12" x14ac:dyDescent="0.3">
      <c r="A4470" t="s">
        <v>4485</v>
      </c>
      <c r="B4470" t="s">
        <v>16</v>
      </c>
      <c r="C4470" t="s">
        <v>11</v>
      </c>
      <c r="D4470">
        <v>45</v>
      </c>
      <c r="E4470" s="1">
        <v>42482</v>
      </c>
      <c r="F4470">
        <v>2016</v>
      </c>
      <c r="G4470" t="s">
        <v>5040</v>
      </c>
      <c r="H4470">
        <v>22</v>
      </c>
      <c r="I4470">
        <v>4.78</v>
      </c>
      <c r="J4470">
        <v>3</v>
      </c>
      <c r="K4470">
        <v>10288.370000000001</v>
      </c>
      <c r="L4470">
        <v>9.5</v>
      </c>
    </row>
    <row r="4471" spans="1:12" x14ac:dyDescent="0.3">
      <c r="A4471" t="s">
        <v>4486</v>
      </c>
      <c r="B4471" t="s">
        <v>18</v>
      </c>
      <c r="C4471" t="s">
        <v>14</v>
      </c>
      <c r="D4471">
        <v>47</v>
      </c>
      <c r="E4471" s="1">
        <v>41088</v>
      </c>
      <c r="F4471">
        <v>2012</v>
      </c>
      <c r="G4471" t="s">
        <v>5032</v>
      </c>
      <c r="H4471">
        <v>28</v>
      </c>
      <c r="I4471">
        <v>4</v>
      </c>
      <c r="J4471">
        <v>9</v>
      </c>
      <c r="K4471">
        <v>11012.06</v>
      </c>
      <c r="L4471">
        <v>13.4</v>
      </c>
    </row>
    <row r="4472" spans="1:12" x14ac:dyDescent="0.3">
      <c r="A4472" t="s">
        <v>4487</v>
      </c>
      <c r="B4472" t="s">
        <v>24</v>
      </c>
      <c r="C4472" t="s">
        <v>11</v>
      </c>
      <c r="D4472">
        <v>47</v>
      </c>
      <c r="E4472" s="1">
        <v>43580</v>
      </c>
      <c r="F4472">
        <v>2019</v>
      </c>
      <c r="G4472" t="s">
        <v>5040</v>
      </c>
      <c r="H4472">
        <v>25</v>
      </c>
      <c r="I4472">
        <v>2.64</v>
      </c>
      <c r="J4472">
        <v>10</v>
      </c>
      <c r="K4472">
        <v>7850.69</v>
      </c>
      <c r="L4472">
        <v>6.5</v>
      </c>
    </row>
    <row r="4473" spans="1:12" x14ac:dyDescent="0.3">
      <c r="A4473" t="s">
        <v>4488</v>
      </c>
      <c r="B4473" t="s">
        <v>18</v>
      </c>
      <c r="C4473" t="s">
        <v>11</v>
      </c>
      <c r="D4473">
        <v>47</v>
      </c>
      <c r="E4473" s="1">
        <v>44749</v>
      </c>
      <c r="F4473">
        <v>2022</v>
      </c>
      <c r="G4473" t="s">
        <v>5034</v>
      </c>
      <c r="H4473">
        <v>7</v>
      </c>
      <c r="I4473">
        <v>3.56</v>
      </c>
      <c r="J4473">
        <v>4</v>
      </c>
      <c r="K4473">
        <v>10583.88</v>
      </c>
      <c r="L4473">
        <v>3.3</v>
      </c>
    </row>
    <row r="4474" spans="1:12" x14ac:dyDescent="0.3">
      <c r="A4474" t="s">
        <v>4489</v>
      </c>
      <c r="B4474" t="s">
        <v>13</v>
      </c>
      <c r="C4474" t="s">
        <v>14</v>
      </c>
      <c r="D4474">
        <v>51</v>
      </c>
      <c r="E4474" s="1">
        <v>45607</v>
      </c>
      <c r="F4474">
        <v>2024</v>
      </c>
      <c r="G4474" t="s">
        <v>5038</v>
      </c>
      <c r="H4474">
        <v>11</v>
      </c>
      <c r="I4474">
        <v>4.3499999999999996</v>
      </c>
      <c r="J4474">
        <v>13</v>
      </c>
      <c r="K4474">
        <v>9270.5400000000009</v>
      </c>
      <c r="L4474">
        <v>1</v>
      </c>
    </row>
    <row r="4475" spans="1:12" x14ac:dyDescent="0.3">
      <c r="A4475" t="s">
        <v>4490</v>
      </c>
      <c r="B4475" t="s">
        <v>16</v>
      </c>
      <c r="C4475" t="s">
        <v>11</v>
      </c>
      <c r="D4475">
        <v>59</v>
      </c>
      <c r="E4475" s="1">
        <v>45254</v>
      </c>
      <c r="F4475">
        <v>2023</v>
      </c>
      <c r="G4475" t="s">
        <v>5038</v>
      </c>
      <c r="H4475">
        <v>24</v>
      </c>
      <c r="I4475">
        <v>4.04</v>
      </c>
      <c r="J4475">
        <v>0</v>
      </c>
      <c r="K4475">
        <v>10068.959999999999</v>
      </c>
      <c r="L4475">
        <v>1.9</v>
      </c>
    </row>
    <row r="4476" spans="1:12" x14ac:dyDescent="0.3">
      <c r="A4476" t="s">
        <v>4491</v>
      </c>
      <c r="B4476" t="s">
        <v>13</v>
      </c>
      <c r="C4476" t="s">
        <v>11</v>
      </c>
      <c r="D4476">
        <v>30</v>
      </c>
      <c r="E4476" s="1">
        <v>45251</v>
      </c>
      <c r="F4476">
        <v>2023</v>
      </c>
      <c r="G4476" t="s">
        <v>5038</v>
      </c>
      <c r="H4476">
        <v>21</v>
      </c>
      <c r="I4476">
        <v>4.5599999999999996</v>
      </c>
      <c r="J4476">
        <v>14</v>
      </c>
      <c r="K4476">
        <v>6367.64</v>
      </c>
      <c r="L4476">
        <v>1.9</v>
      </c>
    </row>
    <row r="4477" spans="1:12" x14ac:dyDescent="0.3">
      <c r="A4477" t="s">
        <v>4492</v>
      </c>
      <c r="B4477" t="s">
        <v>10</v>
      </c>
      <c r="C4477" t="s">
        <v>14</v>
      </c>
      <c r="D4477">
        <v>29</v>
      </c>
      <c r="E4477" s="1">
        <v>44713</v>
      </c>
      <c r="F4477">
        <v>2022</v>
      </c>
      <c r="G4477" t="s">
        <v>5032</v>
      </c>
      <c r="H4477">
        <v>1</v>
      </c>
      <c r="I4477">
        <v>3.22</v>
      </c>
      <c r="J4477">
        <v>15</v>
      </c>
      <c r="K4477">
        <v>8069.98</v>
      </c>
      <c r="L4477">
        <v>3.4</v>
      </c>
    </row>
    <row r="4478" spans="1:12" x14ac:dyDescent="0.3">
      <c r="A4478" t="s">
        <v>4493</v>
      </c>
      <c r="B4478" t="s">
        <v>34</v>
      </c>
      <c r="C4478" t="s">
        <v>14</v>
      </c>
      <c r="D4478">
        <v>34</v>
      </c>
      <c r="E4478" s="1">
        <v>42747</v>
      </c>
      <c r="F4478">
        <v>2017</v>
      </c>
      <c r="G4478" t="s">
        <v>5037</v>
      </c>
      <c r="H4478">
        <v>12</v>
      </c>
      <c r="I4478">
        <v>1.64</v>
      </c>
      <c r="J4478">
        <v>8</v>
      </c>
      <c r="K4478">
        <v>4477.78</v>
      </c>
      <c r="L4478">
        <v>8.8000000000000007</v>
      </c>
    </row>
    <row r="4479" spans="1:12" x14ac:dyDescent="0.3">
      <c r="A4479" t="s">
        <v>4494</v>
      </c>
      <c r="B4479" t="s">
        <v>13</v>
      </c>
      <c r="C4479" t="s">
        <v>11</v>
      </c>
      <c r="D4479">
        <v>60</v>
      </c>
      <c r="E4479" s="1">
        <v>44092</v>
      </c>
      <c r="F4479">
        <v>2020</v>
      </c>
      <c r="G4479" t="s">
        <v>5033</v>
      </c>
      <c r="H4479">
        <v>18</v>
      </c>
      <c r="I4479">
        <v>3.67</v>
      </c>
      <c r="J4479">
        <v>9</v>
      </c>
      <c r="K4479">
        <v>11483.48</v>
      </c>
      <c r="L4479">
        <v>5.0999999999999996</v>
      </c>
    </row>
    <row r="4480" spans="1:12" x14ac:dyDescent="0.3">
      <c r="A4480" t="s">
        <v>4495</v>
      </c>
      <c r="B4480" t="s">
        <v>10</v>
      </c>
      <c r="C4480" t="s">
        <v>11</v>
      </c>
      <c r="D4480">
        <v>47</v>
      </c>
      <c r="E4480" s="1">
        <v>45012</v>
      </c>
      <c r="F4480">
        <v>2023</v>
      </c>
      <c r="G4480" t="s">
        <v>5035</v>
      </c>
      <c r="H4480">
        <v>27</v>
      </c>
      <c r="I4480">
        <v>4.4400000000000004</v>
      </c>
      <c r="J4480">
        <v>5</v>
      </c>
      <c r="K4480">
        <v>13625.19</v>
      </c>
      <c r="L4480">
        <v>2.6</v>
      </c>
    </row>
    <row r="4481" spans="1:12" x14ac:dyDescent="0.3">
      <c r="A4481" t="s">
        <v>4496</v>
      </c>
      <c r="B4481" t="s">
        <v>18</v>
      </c>
      <c r="C4481" t="s">
        <v>11</v>
      </c>
      <c r="D4481">
        <v>56</v>
      </c>
      <c r="E4481" s="1">
        <v>40537</v>
      </c>
      <c r="F4481">
        <v>2010</v>
      </c>
      <c r="G4481" t="s">
        <v>5041</v>
      </c>
      <c r="H4481">
        <v>25</v>
      </c>
      <c r="I4481">
        <v>3.45</v>
      </c>
      <c r="J4481">
        <v>9</v>
      </c>
      <c r="K4481">
        <v>10202.07</v>
      </c>
      <c r="L4481">
        <v>14.9</v>
      </c>
    </row>
    <row r="4482" spans="1:12" x14ac:dyDescent="0.3">
      <c r="A4482" t="s">
        <v>4497</v>
      </c>
      <c r="B4482" t="s">
        <v>34</v>
      </c>
      <c r="C4482" t="s">
        <v>11</v>
      </c>
      <c r="D4482">
        <v>39</v>
      </c>
      <c r="E4482" s="1">
        <v>41039</v>
      </c>
      <c r="F4482">
        <v>2012</v>
      </c>
      <c r="G4482" t="s">
        <v>5036</v>
      </c>
      <c r="H4482">
        <v>10</v>
      </c>
      <c r="I4482">
        <v>4.93</v>
      </c>
      <c r="J4482">
        <v>8</v>
      </c>
      <c r="K4482">
        <v>9405.65</v>
      </c>
      <c r="L4482">
        <v>13.5</v>
      </c>
    </row>
    <row r="4483" spans="1:12" x14ac:dyDescent="0.3">
      <c r="A4483" t="s">
        <v>4498</v>
      </c>
      <c r="B4483" t="s">
        <v>16</v>
      </c>
      <c r="C4483" t="s">
        <v>11</v>
      </c>
      <c r="D4483">
        <v>42</v>
      </c>
      <c r="E4483" s="1">
        <v>41754</v>
      </c>
      <c r="F4483">
        <v>2014</v>
      </c>
      <c r="G4483" t="s">
        <v>5040</v>
      </c>
      <c r="H4483">
        <v>25</v>
      </c>
      <c r="I4483">
        <v>4.49</v>
      </c>
      <c r="J4483">
        <v>6</v>
      </c>
      <c r="K4483">
        <v>10961.32</v>
      </c>
      <c r="L4483">
        <v>11.5</v>
      </c>
    </row>
    <row r="4484" spans="1:12" x14ac:dyDescent="0.3">
      <c r="A4484" t="s">
        <v>4499</v>
      </c>
      <c r="B4484" t="s">
        <v>18</v>
      </c>
      <c r="C4484" t="s">
        <v>14</v>
      </c>
      <c r="D4484">
        <v>46</v>
      </c>
      <c r="E4484" s="1">
        <v>45900</v>
      </c>
      <c r="F4484">
        <v>2025</v>
      </c>
      <c r="G4484" t="s">
        <v>5031</v>
      </c>
      <c r="H4484">
        <v>31</v>
      </c>
      <c r="I4484">
        <v>2.79</v>
      </c>
      <c r="J4484">
        <v>4</v>
      </c>
      <c r="K4484">
        <v>8446.91</v>
      </c>
      <c r="L4484">
        <v>0.2</v>
      </c>
    </row>
    <row r="4485" spans="1:12" x14ac:dyDescent="0.3">
      <c r="A4485" t="s">
        <v>4500</v>
      </c>
      <c r="B4485" t="s">
        <v>13</v>
      </c>
      <c r="C4485" t="s">
        <v>11</v>
      </c>
      <c r="D4485">
        <v>60</v>
      </c>
      <c r="E4485" s="1">
        <v>44061</v>
      </c>
      <c r="F4485">
        <v>2020</v>
      </c>
      <c r="G4485" t="s">
        <v>5031</v>
      </c>
      <c r="H4485">
        <v>18</v>
      </c>
      <c r="I4485">
        <v>4.3499999999999996</v>
      </c>
      <c r="J4485">
        <v>11</v>
      </c>
      <c r="K4485">
        <v>12292.14</v>
      </c>
      <c r="L4485">
        <v>5.2</v>
      </c>
    </row>
    <row r="4486" spans="1:12" x14ac:dyDescent="0.3">
      <c r="A4486" t="s">
        <v>4501</v>
      </c>
      <c r="B4486" t="s">
        <v>24</v>
      </c>
      <c r="C4486" t="s">
        <v>11</v>
      </c>
      <c r="D4486">
        <v>34</v>
      </c>
      <c r="E4486" s="1">
        <v>41817</v>
      </c>
      <c r="F4486">
        <v>2014</v>
      </c>
      <c r="G4486" t="s">
        <v>5032</v>
      </c>
      <c r="H4486">
        <v>27</v>
      </c>
      <c r="I4486">
        <v>3.67</v>
      </c>
      <c r="J4486">
        <v>4</v>
      </c>
      <c r="K4486">
        <v>5010.7700000000004</v>
      </c>
      <c r="L4486">
        <v>11.4</v>
      </c>
    </row>
    <row r="4487" spans="1:12" x14ac:dyDescent="0.3">
      <c r="A4487" t="s">
        <v>4502</v>
      </c>
      <c r="B4487" t="s">
        <v>10</v>
      </c>
      <c r="C4487" t="s">
        <v>11</v>
      </c>
      <c r="D4487">
        <v>24</v>
      </c>
      <c r="E4487" s="1">
        <v>45295</v>
      </c>
      <c r="F4487">
        <v>2024</v>
      </c>
      <c r="G4487" t="s">
        <v>5037</v>
      </c>
      <c r="H4487">
        <v>4</v>
      </c>
      <c r="I4487">
        <v>4.78</v>
      </c>
      <c r="J4487">
        <v>12</v>
      </c>
      <c r="K4487">
        <v>6179.96</v>
      </c>
      <c r="L4487">
        <v>1.8</v>
      </c>
    </row>
    <row r="4488" spans="1:12" x14ac:dyDescent="0.3">
      <c r="A4488" t="s">
        <v>4503</v>
      </c>
      <c r="B4488" t="s">
        <v>24</v>
      </c>
      <c r="C4488" t="s">
        <v>11</v>
      </c>
      <c r="D4488">
        <v>42</v>
      </c>
      <c r="E4488" s="1">
        <v>43888</v>
      </c>
      <c r="F4488">
        <v>2020</v>
      </c>
      <c r="G4488" t="s">
        <v>5042</v>
      </c>
      <c r="H4488">
        <v>27</v>
      </c>
      <c r="I4488">
        <v>3.26</v>
      </c>
      <c r="J4488">
        <v>8</v>
      </c>
      <c r="K4488">
        <v>14932.02</v>
      </c>
      <c r="L4488">
        <v>5.7</v>
      </c>
    </row>
    <row r="4489" spans="1:12" x14ac:dyDescent="0.3">
      <c r="A4489" t="s">
        <v>4504</v>
      </c>
      <c r="B4489" t="s">
        <v>16</v>
      </c>
      <c r="C4489" t="s">
        <v>11</v>
      </c>
      <c r="D4489">
        <v>29</v>
      </c>
      <c r="E4489" s="1">
        <v>44720</v>
      </c>
      <c r="F4489">
        <v>2022</v>
      </c>
      <c r="G4489" t="s">
        <v>5032</v>
      </c>
      <c r="H4489">
        <v>8</v>
      </c>
      <c r="I4489">
        <v>2.76</v>
      </c>
      <c r="J4489">
        <v>4</v>
      </c>
      <c r="K4489">
        <v>7775.24</v>
      </c>
      <c r="L4489">
        <v>3.4</v>
      </c>
    </row>
    <row r="4490" spans="1:12" x14ac:dyDescent="0.3">
      <c r="A4490" t="s">
        <v>4505</v>
      </c>
      <c r="B4490" t="s">
        <v>16</v>
      </c>
      <c r="C4490" t="s">
        <v>14</v>
      </c>
      <c r="D4490">
        <v>55</v>
      </c>
      <c r="E4490" s="1">
        <v>44269</v>
      </c>
      <c r="F4490">
        <v>2021</v>
      </c>
      <c r="G4490" t="s">
        <v>5035</v>
      </c>
      <c r="H4490">
        <v>14</v>
      </c>
      <c r="I4490">
        <v>4.67</v>
      </c>
      <c r="J4490">
        <v>7</v>
      </c>
      <c r="K4490">
        <v>11180.04</v>
      </c>
      <c r="L4490">
        <v>4.5999999999999996</v>
      </c>
    </row>
    <row r="4491" spans="1:12" x14ac:dyDescent="0.3">
      <c r="A4491" t="s">
        <v>4506</v>
      </c>
      <c r="B4491" t="s">
        <v>24</v>
      </c>
      <c r="C4491" t="s">
        <v>14</v>
      </c>
      <c r="D4491">
        <v>60</v>
      </c>
      <c r="E4491" s="1">
        <v>43253</v>
      </c>
      <c r="F4491">
        <v>2018</v>
      </c>
      <c r="G4491" t="s">
        <v>5032</v>
      </c>
      <c r="H4491">
        <v>2</v>
      </c>
      <c r="I4491">
        <v>4.54</v>
      </c>
      <c r="J4491">
        <v>8</v>
      </c>
      <c r="K4491">
        <v>6224.68</v>
      </c>
      <c r="L4491">
        <v>7.4</v>
      </c>
    </row>
    <row r="4492" spans="1:12" x14ac:dyDescent="0.3">
      <c r="A4492" t="s">
        <v>4507</v>
      </c>
      <c r="B4492" t="s">
        <v>16</v>
      </c>
      <c r="C4492" t="s">
        <v>14</v>
      </c>
      <c r="D4492">
        <v>38</v>
      </c>
      <c r="E4492" s="1">
        <v>44233</v>
      </c>
      <c r="F4492">
        <v>2021</v>
      </c>
      <c r="G4492" t="s">
        <v>5042</v>
      </c>
      <c r="H4492">
        <v>6</v>
      </c>
      <c r="I4492">
        <v>4.8099999999999996</v>
      </c>
      <c r="J4492">
        <v>15</v>
      </c>
      <c r="K4492">
        <v>3132.23</v>
      </c>
      <c r="L4492">
        <v>4.7</v>
      </c>
    </row>
    <row r="4493" spans="1:12" x14ac:dyDescent="0.3">
      <c r="A4493" t="s">
        <v>4508</v>
      </c>
      <c r="B4493" t="s">
        <v>10</v>
      </c>
      <c r="C4493" t="s">
        <v>11</v>
      </c>
      <c r="D4493">
        <v>23</v>
      </c>
      <c r="E4493" s="1">
        <v>44408</v>
      </c>
      <c r="F4493">
        <v>2021</v>
      </c>
      <c r="G4493" t="s">
        <v>5034</v>
      </c>
      <c r="H4493">
        <v>31</v>
      </c>
      <c r="I4493">
        <v>2.09</v>
      </c>
      <c r="J4493">
        <v>9</v>
      </c>
      <c r="K4493">
        <v>3007.42</v>
      </c>
      <c r="L4493">
        <v>4.3</v>
      </c>
    </row>
    <row r="4494" spans="1:12" x14ac:dyDescent="0.3">
      <c r="A4494" t="s">
        <v>4509</v>
      </c>
      <c r="B4494" t="s">
        <v>24</v>
      </c>
      <c r="C4494" t="s">
        <v>14</v>
      </c>
      <c r="D4494">
        <v>35</v>
      </c>
      <c r="E4494" s="1">
        <v>42609</v>
      </c>
      <c r="F4494">
        <v>2016</v>
      </c>
      <c r="G4494" t="s">
        <v>5031</v>
      </c>
      <c r="H4494">
        <v>27</v>
      </c>
      <c r="I4494">
        <v>2.15</v>
      </c>
      <c r="J4494">
        <v>6</v>
      </c>
      <c r="K4494">
        <v>10519.67</v>
      </c>
      <c r="L4494">
        <v>9.1999999999999993</v>
      </c>
    </row>
    <row r="4495" spans="1:12" x14ac:dyDescent="0.3">
      <c r="A4495" t="s">
        <v>4510</v>
      </c>
      <c r="B4495" t="s">
        <v>24</v>
      </c>
      <c r="C4495" t="s">
        <v>11</v>
      </c>
      <c r="D4495">
        <v>37</v>
      </c>
      <c r="E4495" s="1">
        <v>45434</v>
      </c>
      <c r="F4495">
        <v>2024</v>
      </c>
      <c r="G4495" t="s">
        <v>5036</v>
      </c>
      <c r="H4495">
        <v>22</v>
      </c>
      <c r="I4495">
        <v>4.9400000000000004</v>
      </c>
      <c r="J4495">
        <v>11</v>
      </c>
      <c r="K4495">
        <v>13172.83</v>
      </c>
      <c r="L4495">
        <v>1.4</v>
      </c>
    </row>
    <row r="4496" spans="1:12" x14ac:dyDescent="0.3">
      <c r="A4496" t="s">
        <v>4511</v>
      </c>
      <c r="B4496" t="s">
        <v>34</v>
      </c>
      <c r="C4496" t="s">
        <v>14</v>
      </c>
      <c r="D4496">
        <v>55</v>
      </c>
      <c r="E4496" s="1">
        <v>40352</v>
      </c>
      <c r="F4496">
        <v>2010</v>
      </c>
      <c r="G4496" t="s">
        <v>5032</v>
      </c>
      <c r="H4496">
        <v>23</v>
      </c>
      <c r="I4496">
        <v>4.2300000000000004</v>
      </c>
      <c r="J4496">
        <v>3</v>
      </c>
      <c r="K4496">
        <v>6875.33</v>
      </c>
      <c r="L4496">
        <v>15.4</v>
      </c>
    </row>
    <row r="4497" spans="1:12" x14ac:dyDescent="0.3">
      <c r="A4497" t="s">
        <v>4512</v>
      </c>
      <c r="B4497" t="s">
        <v>24</v>
      </c>
      <c r="C4497" t="s">
        <v>11</v>
      </c>
      <c r="D4497">
        <v>40</v>
      </c>
      <c r="E4497" s="1">
        <v>42973</v>
      </c>
      <c r="F4497">
        <v>2017</v>
      </c>
      <c r="G4497" t="s">
        <v>5031</v>
      </c>
      <c r="H4497">
        <v>26</v>
      </c>
      <c r="I4497">
        <v>3.61</v>
      </c>
      <c r="J4497">
        <v>11</v>
      </c>
      <c r="K4497">
        <v>14352.64</v>
      </c>
      <c r="L4497">
        <v>8.1999999999999993</v>
      </c>
    </row>
    <row r="4498" spans="1:12" x14ac:dyDescent="0.3">
      <c r="A4498" t="s">
        <v>4513</v>
      </c>
      <c r="B4498" t="s">
        <v>34</v>
      </c>
      <c r="C4498" t="s">
        <v>11</v>
      </c>
      <c r="D4498">
        <v>55</v>
      </c>
      <c r="E4498" s="1">
        <v>40808</v>
      </c>
      <c r="F4498">
        <v>2011</v>
      </c>
      <c r="G4498" t="s">
        <v>5033</v>
      </c>
      <c r="H4498">
        <v>22</v>
      </c>
      <c r="I4498">
        <v>3.03</v>
      </c>
      <c r="J4498">
        <v>7</v>
      </c>
      <c r="K4498">
        <v>9787.06</v>
      </c>
      <c r="L4498">
        <v>14.1</v>
      </c>
    </row>
    <row r="4499" spans="1:12" x14ac:dyDescent="0.3">
      <c r="A4499" t="s">
        <v>4514</v>
      </c>
      <c r="B4499" t="s">
        <v>34</v>
      </c>
      <c r="C4499" t="s">
        <v>14</v>
      </c>
      <c r="D4499">
        <v>39</v>
      </c>
      <c r="E4499" s="1">
        <v>42020</v>
      </c>
      <c r="F4499">
        <v>2015</v>
      </c>
      <c r="G4499" t="s">
        <v>5037</v>
      </c>
      <c r="H4499">
        <v>16</v>
      </c>
      <c r="I4499">
        <v>5</v>
      </c>
      <c r="J4499">
        <v>3</v>
      </c>
      <c r="K4499">
        <v>10439.6</v>
      </c>
      <c r="L4499">
        <v>10.8</v>
      </c>
    </row>
    <row r="4500" spans="1:12" x14ac:dyDescent="0.3">
      <c r="A4500" t="s">
        <v>4515</v>
      </c>
      <c r="B4500" t="s">
        <v>18</v>
      </c>
      <c r="C4500" t="s">
        <v>14</v>
      </c>
      <c r="D4500">
        <v>42</v>
      </c>
      <c r="E4500" s="1">
        <v>43752</v>
      </c>
      <c r="F4500">
        <v>2019</v>
      </c>
      <c r="G4500" t="s">
        <v>5039</v>
      </c>
      <c r="H4500">
        <v>14</v>
      </c>
      <c r="I4500">
        <v>1.8</v>
      </c>
      <c r="J4500">
        <v>4</v>
      </c>
      <c r="K4500">
        <v>7289.97</v>
      </c>
      <c r="L4500">
        <v>6.1</v>
      </c>
    </row>
    <row r="4501" spans="1:12" x14ac:dyDescent="0.3">
      <c r="A4501" t="s">
        <v>4516</v>
      </c>
      <c r="B4501" t="s">
        <v>16</v>
      </c>
      <c r="C4501" t="s">
        <v>14</v>
      </c>
      <c r="D4501">
        <v>36</v>
      </c>
      <c r="E4501" s="1">
        <v>40401</v>
      </c>
      <c r="F4501">
        <v>2010</v>
      </c>
      <c r="G4501" t="s">
        <v>5031</v>
      </c>
      <c r="H4501">
        <v>11</v>
      </c>
      <c r="I4501">
        <v>1.58</v>
      </c>
      <c r="J4501">
        <v>7</v>
      </c>
      <c r="K4501">
        <v>11793.75</v>
      </c>
      <c r="L4501">
        <v>15.2</v>
      </c>
    </row>
    <row r="4502" spans="1:12" x14ac:dyDescent="0.3">
      <c r="A4502" t="s">
        <v>4517</v>
      </c>
      <c r="B4502" t="s">
        <v>34</v>
      </c>
      <c r="C4502" t="s">
        <v>14</v>
      </c>
      <c r="D4502">
        <v>38</v>
      </c>
      <c r="E4502" s="1">
        <v>42344</v>
      </c>
      <c r="F4502">
        <v>2015</v>
      </c>
      <c r="G4502" t="s">
        <v>5041</v>
      </c>
      <c r="H4502">
        <v>6</v>
      </c>
      <c r="I4502">
        <v>3.85</v>
      </c>
      <c r="J4502">
        <v>13</v>
      </c>
      <c r="K4502">
        <v>7392.96</v>
      </c>
      <c r="L4502">
        <v>9.9</v>
      </c>
    </row>
    <row r="4503" spans="1:12" x14ac:dyDescent="0.3">
      <c r="A4503" t="s">
        <v>4518</v>
      </c>
      <c r="B4503" t="s">
        <v>10</v>
      </c>
      <c r="C4503" t="s">
        <v>14</v>
      </c>
      <c r="D4503">
        <v>56</v>
      </c>
      <c r="E4503" s="1">
        <v>42533</v>
      </c>
      <c r="F4503">
        <v>2016</v>
      </c>
      <c r="G4503" t="s">
        <v>5032</v>
      </c>
      <c r="H4503">
        <v>12</v>
      </c>
      <c r="I4503">
        <v>3.88</v>
      </c>
      <c r="J4503">
        <v>6</v>
      </c>
      <c r="K4503">
        <v>7363.86</v>
      </c>
      <c r="L4503">
        <v>9.4</v>
      </c>
    </row>
    <row r="4504" spans="1:12" x14ac:dyDescent="0.3">
      <c r="A4504" t="s">
        <v>4519</v>
      </c>
      <c r="B4504" t="s">
        <v>13</v>
      </c>
      <c r="C4504" t="s">
        <v>14</v>
      </c>
      <c r="D4504">
        <v>36</v>
      </c>
      <c r="E4504" s="1">
        <v>43862</v>
      </c>
      <c r="F4504">
        <v>2020</v>
      </c>
      <c r="G4504" t="s">
        <v>5042</v>
      </c>
      <c r="H4504">
        <v>1</v>
      </c>
      <c r="I4504">
        <v>1.79</v>
      </c>
      <c r="J4504">
        <v>10</v>
      </c>
      <c r="K4504">
        <v>13272.42</v>
      </c>
      <c r="L4504">
        <v>5.8</v>
      </c>
    </row>
    <row r="4505" spans="1:12" x14ac:dyDescent="0.3">
      <c r="A4505" t="s">
        <v>4520</v>
      </c>
      <c r="B4505" t="s">
        <v>34</v>
      </c>
      <c r="C4505" t="s">
        <v>11</v>
      </c>
      <c r="D4505">
        <v>37</v>
      </c>
      <c r="E4505" s="1">
        <v>43740</v>
      </c>
      <c r="F4505">
        <v>2019</v>
      </c>
      <c r="G4505" t="s">
        <v>5039</v>
      </c>
      <c r="H4505">
        <v>2</v>
      </c>
      <c r="I4505">
        <v>2.94</v>
      </c>
      <c r="J4505">
        <v>4</v>
      </c>
      <c r="K4505">
        <v>4850.05</v>
      </c>
      <c r="L4505">
        <v>6.1</v>
      </c>
    </row>
    <row r="4506" spans="1:12" x14ac:dyDescent="0.3">
      <c r="A4506" t="s">
        <v>4521</v>
      </c>
      <c r="B4506" t="s">
        <v>24</v>
      </c>
      <c r="C4506" t="s">
        <v>11</v>
      </c>
      <c r="D4506">
        <v>23</v>
      </c>
      <c r="E4506" s="1">
        <v>42547</v>
      </c>
      <c r="F4506">
        <v>2016</v>
      </c>
      <c r="G4506" t="s">
        <v>5032</v>
      </c>
      <c r="H4506">
        <v>26</v>
      </c>
      <c r="I4506">
        <v>3.8</v>
      </c>
      <c r="J4506">
        <v>0</v>
      </c>
      <c r="K4506">
        <v>8201.56</v>
      </c>
      <c r="L4506">
        <v>9.4</v>
      </c>
    </row>
    <row r="4507" spans="1:12" x14ac:dyDescent="0.3">
      <c r="A4507" t="s">
        <v>4522</v>
      </c>
      <c r="B4507" t="s">
        <v>24</v>
      </c>
      <c r="C4507" t="s">
        <v>14</v>
      </c>
      <c r="D4507">
        <v>51</v>
      </c>
      <c r="E4507" s="1">
        <v>43001</v>
      </c>
      <c r="F4507">
        <v>2017</v>
      </c>
      <c r="G4507" t="s">
        <v>5033</v>
      </c>
      <c r="H4507">
        <v>23</v>
      </c>
      <c r="I4507">
        <v>2.94</v>
      </c>
      <c r="J4507">
        <v>4</v>
      </c>
      <c r="K4507">
        <v>5316.7</v>
      </c>
      <c r="L4507">
        <v>8.1</v>
      </c>
    </row>
    <row r="4508" spans="1:12" x14ac:dyDescent="0.3">
      <c r="A4508" t="s">
        <v>4523</v>
      </c>
      <c r="B4508" t="s">
        <v>34</v>
      </c>
      <c r="C4508" t="s">
        <v>11</v>
      </c>
      <c r="D4508">
        <v>54</v>
      </c>
      <c r="E4508" s="1">
        <v>41281</v>
      </c>
      <c r="F4508">
        <v>2013</v>
      </c>
      <c r="G4508" t="s">
        <v>5037</v>
      </c>
      <c r="H4508">
        <v>7</v>
      </c>
      <c r="I4508">
        <v>1.71</v>
      </c>
      <c r="J4508">
        <v>7</v>
      </c>
      <c r="K4508">
        <v>8311.5</v>
      </c>
      <c r="L4508">
        <v>12.8</v>
      </c>
    </row>
    <row r="4509" spans="1:12" x14ac:dyDescent="0.3">
      <c r="A4509" t="s">
        <v>4524</v>
      </c>
      <c r="B4509" t="s">
        <v>24</v>
      </c>
      <c r="C4509" t="s">
        <v>11</v>
      </c>
      <c r="D4509">
        <v>57</v>
      </c>
      <c r="E4509" s="1">
        <v>44614</v>
      </c>
      <c r="F4509">
        <v>2022</v>
      </c>
      <c r="G4509" t="s">
        <v>5042</v>
      </c>
      <c r="H4509">
        <v>22</v>
      </c>
      <c r="I4509">
        <v>2.71</v>
      </c>
      <c r="J4509">
        <v>14</v>
      </c>
      <c r="K4509">
        <v>10182.1</v>
      </c>
      <c r="L4509">
        <v>3.7</v>
      </c>
    </row>
    <row r="4510" spans="1:12" x14ac:dyDescent="0.3">
      <c r="A4510" t="s">
        <v>4525</v>
      </c>
      <c r="B4510" t="s">
        <v>18</v>
      </c>
      <c r="C4510" t="s">
        <v>11</v>
      </c>
      <c r="D4510">
        <v>27</v>
      </c>
      <c r="E4510" s="1">
        <v>40657</v>
      </c>
      <c r="F4510">
        <v>2011</v>
      </c>
      <c r="G4510" t="s">
        <v>5040</v>
      </c>
      <c r="H4510">
        <v>24</v>
      </c>
      <c r="I4510">
        <v>3</v>
      </c>
      <c r="J4510">
        <v>4</v>
      </c>
      <c r="K4510">
        <v>3950.18</v>
      </c>
      <c r="L4510">
        <v>14.5</v>
      </c>
    </row>
    <row r="4511" spans="1:12" x14ac:dyDescent="0.3">
      <c r="A4511" t="s">
        <v>4526</v>
      </c>
      <c r="B4511" t="s">
        <v>13</v>
      </c>
      <c r="C4511" t="s">
        <v>11</v>
      </c>
      <c r="D4511">
        <v>42</v>
      </c>
      <c r="E4511" s="1">
        <v>40571</v>
      </c>
      <c r="F4511">
        <v>2011</v>
      </c>
      <c r="G4511" t="s">
        <v>5037</v>
      </c>
      <c r="H4511">
        <v>28</v>
      </c>
      <c r="I4511">
        <v>4.5</v>
      </c>
      <c r="J4511">
        <v>14</v>
      </c>
      <c r="K4511">
        <v>14616.83</v>
      </c>
      <c r="L4511">
        <v>14.8</v>
      </c>
    </row>
    <row r="4512" spans="1:12" x14ac:dyDescent="0.3">
      <c r="A4512" t="s">
        <v>4527</v>
      </c>
      <c r="B4512" t="s">
        <v>16</v>
      </c>
      <c r="C4512" t="s">
        <v>11</v>
      </c>
      <c r="D4512">
        <v>26</v>
      </c>
      <c r="E4512" s="1">
        <v>41576</v>
      </c>
      <c r="F4512">
        <v>2013</v>
      </c>
      <c r="G4512" t="s">
        <v>5039</v>
      </c>
      <c r="H4512">
        <v>29</v>
      </c>
      <c r="I4512">
        <v>4.28</v>
      </c>
      <c r="J4512">
        <v>3</v>
      </c>
      <c r="K4512">
        <v>4527.8100000000004</v>
      </c>
      <c r="L4512">
        <v>12</v>
      </c>
    </row>
    <row r="4513" spans="1:12" x14ac:dyDescent="0.3">
      <c r="A4513" t="s">
        <v>4528</v>
      </c>
      <c r="B4513" t="s">
        <v>34</v>
      </c>
      <c r="C4513" t="s">
        <v>14</v>
      </c>
      <c r="D4513">
        <v>24</v>
      </c>
      <c r="E4513" s="1">
        <v>45219</v>
      </c>
      <c r="F4513">
        <v>2023</v>
      </c>
      <c r="G4513" t="s">
        <v>5039</v>
      </c>
      <c r="H4513">
        <v>20</v>
      </c>
      <c r="I4513">
        <v>2.1</v>
      </c>
      <c r="J4513">
        <v>7</v>
      </c>
      <c r="K4513">
        <v>11756.65</v>
      </c>
      <c r="L4513">
        <v>2</v>
      </c>
    </row>
    <row r="4514" spans="1:12" x14ac:dyDescent="0.3">
      <c r="A4514" t="s">
        <v>4529</v>
      </c>
      <c r="B4514" t="s">
        <v>10</v>
      </c>
      <c r="C4514" t="s">
        <v>14</v>
      </c>
      <c r="D4514">
        <v>47</v>
      </c>
      <c r="E4514" s="1">
        <v>41981</v>
      </c>
      <c r="F4514">
        <v>2014</v>
      </c>
      <c r="G4514" t="s">
        <v>5041</v>
      </c>
      <c r="H4514">
        <v>8</v>
      </c>
      <c r="I4514">
        <v>3.11</v>
      </c>
      <c r="J4514">
        <v>9</v>
      </c>
      <c r="K4514">
        <v>9137.09</v>
      </c>
      <c r="L4514">
        <v>10.9</v>
      </c>
    </row>
    <row r="4515" spans="1:12" x14ac:dyDescent="0.3">
      <c r="A4515" t="s">
        <v>4530</v>
      </c>
      <c r="B4515" t="s">
        <v>10</v>
      </c>
      <c r="C4515" t="s">
        <v>11</v>
      </c>
      <c r="D4515">
        <v>37</v>
      </c>
      <c r="E4515" s="1">
        <v>42032</v>
      </c>
      <c r="F4515">
        <v>2015</v>
      </c>
      <c r="G4515" t="s">
        <v>5037</v>
      </c>
      <c r="H4515">
        <v>28</v>
      </c>
      <c r="I4515">
        <v>3.68</v>
      </c>
      <c r="J4515">
        <v>8</v>
      </c>
      <c r="K4515">
        <v>11559.06</v>
      </c>
      <c r="L4515">
        <v>10.8</v>
      </c>
    </row>
    <row r="4516" spans="1:12" x14ac:dyDescent="0.3">
      <c r="A4516" t="s">
        <v>4531</v>
      </c>
      <c r="B4516" t="s">
        <v>34</v>
      </c>
      <c r="C4516" t="s">
        <v>14</v>
      </c>
      <c r="D4516">
        <v>30</v>
      </c>
      <c r="E4516" s="1">
        <v>45481</v>
      </c>
      <c r="F4516">
        <v>2024</v>
      </c>
      <c r="G4516" t="s">
        <v>5034</v>
      </c>
      <c r="H4516">
        <v>8</v>
      </c>
      <c r="I4516">
        <v>4.25</v>
      </c>
      <c r="J4516">
        <v>9</v>
      </c>
      <c r="K4516">
        <v>11889.4</v>
      </c>
      <c r="L4516">
        <v>1.3</v>
      </c>
    </row>
    <row r="4517" spans="1:12" x14ac:dyDescent="0.3">
      <c r="A4517" t="s">
        <v>4532</v>
      </c>
      <c r="B4517" t="s">
        <v>24</v>
      </c>
      <c r="C4517" t="s">
        <v>14</v>
      </c>
      <c r="D4517">
        <v>34</v>
      </c>
      <c r="E4517" s="1">
        <v>43675</v>
      </c>
      <c r="F4517">
        <v>2019</v>
      </c>
      <c r="G4517" t="s">
        <v>5034</v>
      </c>
      <c r="H4517">
        <v>29</v>
      </c>
      <c r="I4517">
        <v>3.53</v>
      </c>
      <c r="J4517">
        <v>3</v>
      </c>
      <c r="K4517">
        <v>6966.73</v>
      </c>
      <c r="L4517">
        <v>6.3</v>
      </c>
    </row>
    <row r="4518" spans="1:12" x14ac:dyDescent="0.3">
      <c r="A4518" t="s">
        <v>4533</v>
      </c>
      <c r="B4518" t="s">
        <v>18</v>
      </c>
      <c r="C4518" t="s">
        <v>11</v>
      </c>
      <c r="D4518">
        <v>24</v>
      </c>
      <c r="E4518" s="1">
        <v>43767</v>
      </c>
      <c r="F4518">
        <v>2019</v>
      </c>
      <c r="G4518" t="s">
        <v>5039</v>
      </c>
      <c r="H4518">
        <v>29</v>
      </c>
      <c r="I4518">
        <v>4.2</v>
      </c>
      <c r="J4518">
        <v>4</v>
      </c>
      <c r="K4518">
        <v>12305.11</v>
      </c>
      <c r="L4518">
        <v>6</v>
      </c>
    </row>
    <row r="4519" spans="1:12" x14ac:dyDescent="0.3">
      <c r="A4519" t="s">
        <v>4534</v>
      </c>
      <c r="B4519" t="s">
        <v>16</v>
      </c>
      <c r="C4519" t="s">
        <v>11</v>
      </c>
      <c r="D4519">
        <v>22</v>
      </c>
      <c r="E4519" s="1">
        <v>43090</v>
      </c>
      <c r="F4519">
        <v>2017</v>
      </c>
      <c r="G4519" t="s">
        <v>5041</v>
      </c>
      <c r="H4519">
        <v>21</v>
      </c>
      <c r="I4519">
        <v>1.9</v>
      </c>
      <c r="J4519">
        <v>10</v>
      </c>
      <c r="K4519">
        <v>12435.13</v>
      </c>
      <c r="L4519">
        <v>7.9</v>
      </c>
    </row>
    <row r="4520" spans="1:12" x14ac:dyDescent="0.3">
      <c r="A4520" t="s">
        <v>4535</v>
      </c>
      <c r="B4520" t="s">
        <v>24</v>
      </c>
      <c r="C4520" t="s">
        <v>11</v>
      </c>
      <c r="D4520">
        <v>58</v>
      </c>
      <c r="E4520" s="1">
        <v>45853</v>
      </c>
      <c r="F4520">
        <v>2025</v>
      </c>
      <c r="G4520" t="s">
        <v>5034</v>
      </c>
      <c r="H4520">
        <v>15</v>
      </c>
      <c r="I4520">
        <v>2.5299999999999998</v>
      </c>
      <c r="J4520">
        <v>9</v>
      </c>
      <c r="K4520">
        <v>9799.14</v>
      </c>
      <c r="L4520">
        <v>0.3</v>
      </c>
    </row>
    <row r="4521" spans="1:12" x14ac:dyDescent="0.3">
      <c r="A4521" t="s">
        <v>4536</v>
      </c>
      <c r="B4521" t="s">
        <v>18</v>
      </c>
      <c r="C4521" t="s">
        <v>11</v>
      </c>
      <c r="D4521">
        <v>53</v>
      </c>
      <c r="E4521" s="1">
        <v>44810</v>
      </c>
      <c r="F4521">
        <v>2022</v>
      </c>
      <c r="G4521" t="s">
        <v>5033</v>
      </c>
      <c r="H4521">
        <v>6</v>
      </c>
      <c r="I4521">
        <v>1.97</v>
      </c>
      <c r="J4521">
        <v>15</v>
      </c>
      <c r="K4521">
        <v>14479.52</v>
      </c>
      <c r="L4521">
        <v>3.2</v>
      </c>
    </row>
    <row r="4522" spans="1:12" x14ac:dyDescent="0.3">
      <c r="A4522" t="s">
        <v>4537</v>
      </c>
      <c r="B4522" t="s">
        <v>24</v>
      </c>
      <c r="C4522" t="s">
        <v>11</v>
      </c>
      <c r="D4522">
        <v>48</v>
      </c>
      <c r="E4522" s="1">
        <v>40944</v>
      </c>
      <c r="F4522">
        <v>2012</v>
      </c>
      <c r="G4522" t="s">
        <v>5042</v>
      </c>
      <c r="H4522">
        <v>5</v>
      </c>
      <c r="I4522">
        <v>4.04</v>
      </c>
      <c r="J4522">
        <v>4</v>
      </c>
      <c r="K4522">
        <v>12021.65</v>
      </c>
      <c r="L4522">
        <v>13.7</v>
      </c>
    </row>
    <row r="4523" spans="1:12" x14ac:dyDescent="0.3">
      <c r="A4523" t="s">
        <v>4538</v>
      </c>
      <c r="B4523" t="s">
        <v>18</v>
      </c>
      <c r="C4523" t="s">
        <v>11</v>
      </c>
      <c r="D4523">
        <v>27</v>
      </c>
      <c r="E4523" s="1">
        <v>40505</v>
      </c>
      <c r="F4523">
        <v>2010</v>
      </c>
      <c r="G4523" t="s">
        <v>5038</v>
      </c>
      <c r="H4523">
        <v>23</v>
      </c>
      <c r="I4523">
        <v>3.66</v>
      </c>
      <c r="J4523">
        <v>14</v>
      </c>
      <c r="K4523">
        <v>10062.15</v>
      </c>
      <c r="L4523">
        <v>15</v>
      </c>
    </row>
    <row r="4524" spans="1:12" x14ac:dyDescent="0.3">
      <c r="A4524" t="s">
        <v>4539</v>
      </c>
      <c r="B4524" t="s">
        <v>18</v>
      </c>
      <c r="C4524" t="s">
        <v>11</v>
      </c>
      <c r="D4524">
        <v>47</v>
      </c>
      <c r="E4524" s="1">
        <v>43870</v>
      </c>
      <c r="F4524">
        <v>2020</v>
      </c>
      <c r="G4524" t="s">
        <v>5042</v>
      </c>
      <c r="H4524">
        <v>9</v>
      </c>
      <c r="I4524">
        <v>4.79</v>
      </c>
      <c r="J4524">
        <v>14</v>
      </c>
      <c r="K4524">
        <v>11407.46</v>
      </c>
      <c r="L4524">
        <v>5.7</v>
      </c>
    </row>
    <row r="4525" spans="1:12" x14ac:dyDescent="0.3">
      <c r="A4525" t="s">
        <v>4540</v>
      </c>
      <c r="B4525" t="s">
        <v>34</v>
      </c>
      <c r="C4525" t="s">
        <v>11</v>
      </c>
      <c r="D4525">
        <v>58</v>
      </c>
      <c r="E4525" s="1">
        <v>42456</v>
      </c>
      <c r="F4525">
        <v>2016</v>
      </c>
      <c r="G4525" t="s">
        <v>5035</v>
      </c>
      <c r="H4525">
        <v>27</v>
      </c>
      <c r="I4525">
        <v>3.36</v>
      </c>
      <c r="J4525">
        <v>12</v>
      </c>
      <c r="K4525">
        <v>11995.9</v>
      </c>
      <c r="L4525">
        <v>9.6</v>
      </c>
    </row>
    <row r="4526" spans="1:12" x14ac:dyDescent="0.3">
      <c r="A4526" t="s">
        <v>4541</v>
      </c>
      <c r="B4526" t="s">
        <v>10</v>
      </c>
      <c r="C4526" t="s">
        <v>11</v>
      </c>
      <c r="D4526">
        <v>41</v>
      </c>
      <c r="E4526" s="1">
        <v>44411</v>
      </c>
      <c r="F4526">
        <v>2021</v>
      </c>
      <c r="G4526" t="s">
        <v>5031</v>
      </c>
      <c r="H4526">
        <v>3</v>
      </c>
      <c r="I4526">
        <v>2.27</v>
      </c>
      <c r="J4526">
        <v>4</v>
      </c>
      <c r="K4526">
        <v>9651.2199999999993</v>
      </c>
      <c r="L4526">
        <v>4.2</v>
      </c>
    </row>
    <row r="4527" spans="1:12" x14ac:dyDescent="0.3">
      <c r="A4527" t="s">
        <v>4542</v>
      </c>
      <c r="B4527" t="s">
        <v>13</v>
      </c>
      <c r="C4527" t="s">
        <v>11</v>
      </c>
      <c r="D4527">
        <v>40</v>
      </c>
      <c r="E4527" s="1">
        <v>42987</v>
      </c>
      <c r="F4527">
        <v>2017</v>
      </c>
      <c r="G4527" t="s">
        <v>5033</v>
      </c>
      <c r="H4527">
        <v>9</v>
      </c>
      <c r="I4527">
        <v>4.13</v>
      </c>
      <c r="J4527">
        <v>14</v>
      </c>
      <c r="K4527">
        <v>7506.65</v>
      </c>
      <c r="L4527">
        <v>8.1999999999999993</v>
      </c>
    </row>
    <row r="4528" spans="1:12" x14ac:dyDescent="0.3">
      <c r="A4528" t="s">
        <v>4543</v>
      </c>
      <c r="B4528" t="s">
        <v>18</v>
      </c>
      <c r="C4528" t="s">
        <v>14</v>
      </c>
      <c r="D4528">
        <v>35</v>
      </c>
      <c r="E4528" s="1">
        <v>44056</v>
      </c>
      <c r="F4528">
        <v>2020</v>
      </c>
      <c r="G4528" t="s">
        <v>5031</v>
      </c>
      <c r="H4528">
        <v>13</v>
      </c>
      <c r="I4528">
        <v>4.68</v>
      </c>
      <c r="J4528">
        <v>8</v>
      </c>
      <c r="K4528">
        <v>8691.34</v>
      </c>
      <c r="L4528">
        <v>5.2</v>
      </c>
    </row>
    <row r="4529" spans="1:12" x14ac:dyDescent="0.3">
      <c r="A4529" t="s">
        <v>4544</v>
      </c>
      <c r="B4529" t="s">
        <v>34</v>
      </c>
      <c r="C4529" t="s">
        <v>11</v>
      </c>
      <c r="D4529">
        <v>55</v>
      </c>
      <c r="E4529" s="1">
        <v>44793</v>
      </c>
      <c r="F4529">
        <v>2022</v>
      </c>
      <c r="G4529" t="s">
        <v>5031</v>
      </c>
      <c r="H4529">
        <v>20</v>
      </c>
      <c r="I4529">
        <v>4.34</v>
      </c>
      <c r="J4529">
        <v>6</v>
      </c>
      <c r="K4529">
        <v>3171.55</v>
      </c>
      <c r="L4529">
        <v>3.2</v>
      </c>
    </row>
    <row r="4530" spans="1:12" x14ac:dyDescent="0.3">
      <c r="A4530" t="s">
        <v>4545</v>
      </c>
      <c r="B4530" t="s">
        <v>34</v>
      </c>
      <c r="C4530" t="s">
        <v>11</v>
      </c>
      <c r="D4530">
        <v>55</v>
      </c>
      <c r="E4530" s="1">
        <v>45193</v>
      </c>
      <c r="F4530">
        <v>2023</v>
      </c>
      <c r="G4530" t="s">
        <v>5033</v>
      </c>
      <c r="H4530">
        <v>24</v>
      </c>
      <c r="I4530">
        <v>3.66</v>
      </c>
      <c r="J4530">
        <v>4</v>
      </c>
      <c r="K4530">
        <v>4144.3999999999996</v>
      </c>
      <c r="L4530">
        <v>2.1</v>
      </c>
    </row>
    <row r="4531" spans="1:12" x14ac:dyDescent="0.3">
      <c r="A4531" t="s">
        <v>4546</v>
      </c>
      <c r="B4531" t="s">
        <v>34</v>
      </c>
      <c r="C4531" t="s">
        <v>14</v>
      </c>
      <c r="D4531">
        <v>54</v>
      </c>
      <c r="E4531" s="1">
        <v>41969</v>
      </c>
      <c r="F4531">
        <v>2014</v>
      </c>
      <c r="G4531" t="s">
        <v>5038</v>
      </c>
      <c r="H4531">
        <v>26</v>
      </c>
      <c r="I4531">
        <v>2.93</v>
      </c>
      <c r="J4531">
        <v>11</v>
      </c>
      <c r="K4531">
        <v>13661.65</v>
      </c>
      <c r="L4531">
        <v>10.9</v>
      </c>
    </row>
    <row r="4532" spans="1:12" x14ac:dyDescent="0.3">
      <c r="A4532" t="s">
        <v>4547</v>
      </c>
      <c r="B4532" t="s">
        <v>18</v>
      </c>
      <c r="C4532" t="s">
        <v>14</v>
      </c>
      <c r="D4532">
        <v>31</v>
      </c>
      <c r="E4532" s="1">
        <v>41752</v>
      </c>
      <c r="F4532">
        <v>2014</v>
      </c>
      <c r="G4532" t="s">
        <v>5040</v>
      </c>
      <c r="H4532">
        <v>23</v>
      </c>
      <c r="I4532">
        <v>1.82</v>
      </c>
      <c r="J4532">
        <v>11</v>
      </c>
      <c r="K4532">
        <v>3700.88</v>
      </c>
      <c r="L4532">
        <v>11.5</v>
      </c>
    </row>
    <row r="4533" spans="1:12" x14ac:dyDescent="0.3">
      <c r="A4533" t="s">
        <v>4548</v>
      </c>
      <c r="B4533" t="s">
        <v>16</v>
      </c>
      <c r="C4533" t="s">
        <v>14</v>
      </c>
      <c r="D4533">
        <v>31</v>
      </c>
      <c r="E4533" s="1">
        <v>44623</v>
      </c>
      <c r="F4533">
        <v>2022</v>
      </c>
      <c r="G4533" t="s">
        <v>5035</v>
      </c>
      <c r="H4533">
        <v>3</v>
      </c>
      <c r="I4533">
        <v>2.52</v>
      </c>
      <c r="J4533">
        <v>5</v>
      </c>
      <c r="K4533">
        <v>7510.15</v>
      </c>
      <c r="L4533">
        <v>3.7</v>
      </c>
    </row>
    <row r="4534" spans="1:12" x14ac:dyDescent="0.3">
      <c r="A4534" t="s">
        <v>4549</v>
      </c>
      <c r="B4534" t="s">
        <v>10</v>
      </c>
      <c r="C4534" t="s">
        <v>11</v>
      </c>
      <c r="D4534">
        <v>35</v>
      </c>
      <c r="E4534" s="1">
        <v>43811</v>
      </c>
      <c r="F4534">
        <v>2019</v>
      </c>
      <c r="G4534" t="s">
        <v>5041</v>
      </c>
      <c r="H4534">
        <v>12</v>
      </c>
      <c r="I4534">
        <v>2.78</v>
      </c>
      <c r="J4534">
        <v>15</v>
      </c>
      <c r="K4534">
        <v>8508.23</v>
      </c>
      <c r="L4534">
        <v>5.9</v>
      </c>
    </row>
    <row r="4535" spans="1:12" x14ac:dyDescent="0.3">
      <c r="A4535" t="s">
        <v>4550</v>
      </c>
      <c r="B4535" t="s">
        <v>10</v>
      </c>
      <c r="C4535" t="s">
        <v>11</v>
      </c>
      <c r="D4535">
        <v>23</v>
      </c>
      <c r="E4535" s="1">
        <v>43214</v>
      </c>
      <c r="F4535">
        <v>2018</v>
      </c>
      <c r="G4535" t="s">
        <v>5040</v>
      </c>
      <c r="H4535">
        <v>24</v>
      </c>
      <c r="I4535">
        <v>3.7</v>
      </c>
      <c r="J4535">
        <v>1</v>
      </c>
      <c r="K4535">
        <v>3649.74</v>
      </c>
      <c r="L4535">
        <v>7.5</v>
      </c>
    </row>
    <row r="4536" spans="1:12" x14ac:dyDescent="0.3">
      <c r="A4536" t="s">
        <v>4551</v>
      </c>
      <c r="B4536" t="s">
        <v>34</v>
      </c>
      <c r="C4536" t="s">
        <v>14</v>
      </c>
      <c r="D4536">
        <v>52</v>
      </c>
      <c r="E4536" s="1">
        <v>43833</v>
      </c>
      <c r="F4536">
        <v>2020</v>
      </c>
      <c r="G4536" t="s">
        <v>5037</v>
      </c>
      <c r="H4536">
        <v>3</v>
      </c>
      <c r="I4536">
        <v>3.01</v>
      </c>
      <c r="J4536">
        <v>0</v>
      </c>
      <c r="K4536">
        <v>12512.85</v>
      </c>
      <c r="L4536">
        <v>5.8</v>
      </c>
    </row>
    <row r="4537" spans="1:12" x14ac:dyDescent="0.3">
      <c r="A4537" t="s">
        <v>4552</v>
      </c>
      <c r="B4537" t="s">
        <v>16</v>
      </c>
      <c r="C4537" t="s">
        <v>14</v>
      </c>
      <c r="D4537">
        <v>28</v>
      </c>
      <c r="E4537" s="1">
        <v>41327</v>
      </c>
      <c r="F4537">
        <v>2013</v>
      </c>
      <c r="G4537" t="s">
        <v>5042</v>
      </c>
      <c r="H4537">
        <v>22</v>
      </c>
      <c r="I4537">
        <v>2.74</v>
      </c>
      <c r="J4537">
        <v>6</v>
      </c>
      <c r="K4537">
        <v>7872.69</v>
      </c>
      <c r="L4537">
        <v>12.7</v>
      </c>
    </row>
    <row r="4538" spans="1:12" x14ac:dyDescent="0.3">
      <c r="A4538" t="s">
        <v>4553</v>
      </c>
      <c r="B4538" t="s">
        <v>10</v>
      </c>
      <c r="C4538" t="s">
        <v>14</v>
      </c>
      <c r="D4538">
        <v>57</v>
      </c>
      <c r="E4538" s="1">
        <v>44804</v>
      </c>
      <c r="F4538">
        <v>2022</v>
      </c>
      <c r="G4538" t="s">
        <v>5031</v>
      </c>
      <c r="H4538">
        <v>31</v>
      </c>
      <c r="I4538">
        <v>4.71</v>
      </c>
      <c r="J4538">
        <v>10</v>
      </c>
      <c r="K4538">
        <v>10852.93</v>
      </c>
      <c r="L4538">
        <v>3.2</v>
      </c>
    </row>
    <row r="4539" spans="1:12" x14ac:dyDescent="0.3">
      <c r="A4539" t="s">
        <v>4554</v>
      </c>
      <c r="B4539" t="s">
        <v>10</v>
      </c>
      <c r="C4539" t="s">
        <v>14</v>
      </c>
      <c r="D4539">
        <v>32</v>
      </c>
      <c r="E4539" s="1">
        <v>40499</v>
      </c>
      <c r="F4539">
        <v>2010</v>
      </c>
      <c r="G4539" t="s">
        <v>5038</v>
      </c>
      <c r="H4539">
        <v>17</v>
      </c>
      <c r="I4539">
        <v>4.4800000000000004</v>
      </c>
      <c r="J4539">
        <v>10</v>
      </c>
      <c r="K4539">
        <v>7781.84</v>
      </c>
      <c r="L4539">
        <v>15</v>
      </c>
    </row>
    <row r="4540" spans="1:12" x14ac:dyDescent="0.3">
      <c r="A4540" t="s">
        <v>4555</v>
      </c>
      <c r="B4540" t="s">
        <v>16</v>
      </c>
      <c r="C4540" t="s">
        <v>14</v>
      </c>
      <c r="D4540">
        <v>29</v>
      </c>
      <c r="E4540" s="1">
        <v>44735</v>
      </c>
      <c r="F4540">
        <v>2022</v>
      </c>
      <c r="G4540" t="s">
        <v>5032</v>
      </c>
      <c r="H4540">
        <v>23</v>
      </c>
      <c r="I4540">
        <v>4.37</v>
      </c>
      <c r="J4540">
        <v>5</v>
      </c>
      <c r="K4540">
        <v>10801.56</v>
      </c>
      <c r="L4540">
        <v>3.4</v>
      </c>
    </row>
    <row r="4541" spans="1:12" x14ac:dyDescent="0.3">
      <c r="A4541" t="s">
        <v>4556</v>
      </c>
      <c r="B4541" t="s">
        <v>18</v>
      </c>
      <c r="C4541" t="s">
        <v>14</v>
      </c>
      <c r="D4541">
        <v>48</v>
      </c>
      <c r="E4541" s="1">
        <v>42976</v>
      </c>
      <c r="F4541">
        <v>2017</v>
      </c>
      <c r="G4541" t="s">
        <v>5031</v>
      </c>
      <c r="H4541">
        <v>29</v>
      </c>
      <c r="I4541">
        <v>2.5099999999999998</v>
      </c>
      <c r="J4541">
        <v>5</v>
      </c>
      <c r="K4541">
        <v>13586.05</v>
      </c>
      <c r="L4541">
        <v>8.1999999999999993</v>
      </c>
    </row>
    <row r="4542" spans="1:12" x14ac:dyDescent="0.3">
      <c r="A4542" t="s">
        <v>4557</v>
      </c>
      <c r="B4542" t="s">
        <v>34</v>
      </c>
      <c r="C4542" t="s">
        <v>11</v>
      </c>
      <c r="D4542">
        <v>46</v>
      </c>
      <c r="E4542" s="1">
        <v>44610</v>
      </c>
      <c r="F4542">
        <v>2022</v>
      </c>
      <c r="G4542" t="s">
        <v>5042</v>
      </c>
      <c r="H4542">
        <v>18</v>
      </c>
      <c r="I4542">
        <v>4.8</v>
      </c>
      <c r="J4542">
        <v>14</v>
      </c>
      <c r="K4542">
        <v>10011.99</v>
      </c>
      <c r="L4542">
        <v>3.7</v>
      </c>
    </row>
    <row r="4543" spans="1:12" x14ac:dyDescent="0.3">
      <c r="A4543" t="s">
        <v>4558</v>
      </c>
      <c r="B4543" t="s">
        <v>13</v>
      </c>
      <c r="C4543" t="s">
        <v>14</v>
      </c>
      <c r="D4543">
        <v>47</v>
      </c>
      <c r="E4543" s="1">
        <v>40255</v>
      </c>
      <c r="F4543">
        <v>2010</v>
      </c>
      <c r="G4543" t="s">
        <v>5035</v>
      </c>
      <c r="H4543">
        <v>18</v>
      </c>
      <c r="I4543">
        <v>2.38</v>
      </c>
      <c r="J4543">
        <v>1</v>
      </c>
      <c r="K4543">
        <v>14909.57</v>
      </c>
      <c r="L4543">
        <v>15.6</v>
      </c>
    </row>
    <row r="4544" spans="1:12" x14ac:dyDescent="0.3">
      <c r="A4544" t="s">
        <v>4559</v>
      </c>
      <c r="B4544" t="s">
        <v>34</v>
      </c>
      <c r="C4544" t="s">
        <v>14</v>
      </c>
      <c r="D4544">
        <v>37</v>
      </c>
      <c r="E4544" s="1">
        <v>41616</v>
      </c>
      <c r="F4544">
        <v>2013</v>
      </c>
      <c r="G4544" t="s">
        <v>5041</v>
      </c>
      <c r="H4544">
        <v>8</v>
      </c>
      <c r="I4544">
        <v>2.48</v>
      </c>
      <c r="J4544">
        <v>4</v>
      </c>
      <c r="K4544">
        <v>10988.4</v>
      </c>
      <c r="L4544">
        <v>11.9</v>
      </c>
    </row>
    <row r="4545" spans="1:12" x14ac:dyDescent="0.3">
      <c r="A4545" t="s">
        <v>4560</v>
      </c>
      <c r="B4545" t="s">
        <v>24</v>
      </c>
      <c r="C4545" t="s">
        <v>11</v>
      </c>
      <c r="D4545">
        <v>56</v>
      </c>
      <c r="E4545" s="1">
        <v>42101</v>
      </c>
      <c r="F4545">
        <v>2015</v>
      </c>
      <c r="G4545" t="s">
        <v>5040</v>
      </c>
      <c r="H4545">
        <v>7</v>
      </c>
      <c r="I4545">
        <v>4.9800000000000004</v>
      </c>
      <c r="J4545">
        <v>10</v>
      </c>
      <c r="K4545">
        <v>13554.8</v>
      </c>
      <c r="L4545">
        <v>10.6</v>
      </c>
    </row>
    <row r="4546" spans="1:12" x14ac:dyDescent="0.3">
      <c r="A4546" t="s">
        <v>4561</v>
      </c>
      <c r="B4546" t="s">
        <v>13</v>
      </c>
      <c r="C4546" t="s">
        <v>11</v>
      </c>
      <c r="D4546">
        <v>41</v>
      </c>
      <c r="E4546" s="1">
        <v>44872</v>
      </c>
      <c r="F4546">
        <v>2022</v>
      </c>
      <c r="G4546" t="s">
        <v>5038</v>
      </c>
      <c r="H4546">
        <v>7</v>
      </c>
      <c r="I4546">
        <v>2.91</v>
      </c>
      <c r="J4546">
        <v>12</v>
      </c>
      <c r="K4546">
        <v>9487.39</v>
      </c>
      <c r="L4546">
        <v>3</v>
      </c>
    </row>
    <row r="4547" spans="1:12" x14ac:dyDescent="0.3">
      <c r="A4547" t="s">
        <v>4562</v>
      </c>
      <c r="B4547" t="s">
        <v>18</v>
      </c>
      <c r="C4547" t="s">
        <v>14</v>
      </c>
      <c r="D4547">
        <v>35</v>
      </c>
      <c r="E4547" s="1">
        <v>41836</v>
      </c>
      <c r="F4547">
        <v>2014</v>
      </c>
      <c r="G4547" t="s">
        <v>5034</v>
      </c>
      <c r="H4547">
        <v>16</v>
      </c>
      <c r="I4547">
        <v>2.14</v>
      </c>
      <c r="J4547">
        <v>11</v>
      </c>
      <c r="K4547">
        <v>11549.68</v>
      </c>
      <c r="L4547">
        <v>11.3</v>
      </c>
    </row>
    <row r="4548" spans="1:12" x14ac:dyDescent="0.3">
      <c r="A4548" t="s">
        <v>4563</v>
      </c>
      <c r="B4548" t="s">
        <v>16</v>
      </c>
      <c r="C4548" t="s">
        <v>14</v>
      </c>
      <c r="D4548">
        <v>42</v>
      </c>
      <c r="E4548" s="1">
        <v>42201</v>
      </c>
      <c r="F4548">
        <v>2015</v>
      </c>
      <c r="G4548" t="s">
        <v>5034</v>
      </c>
      <c r="H4548">
        <v>16</v>
      </c>
      <c r="I4548">
        <v>2.13</v>
      </c>
      <c r="J4548">
        <v>7</v>
      </c>
      <c r="K4548">
        <v>4195.2</v>
      </c>
      <c r="L4548">
        <v>10.3</v>
      </c>
    </row>
    <row r="4549" spans="1:12" x14ac:dyDescent="0.3">
      <c r="A4549" t="s">
        <v>4564</v>
      </c>
      <c r="B4549" t="s">
        <v>24</v>
      </c>
      <c r="C4549" t="s">
        <v>11</v>
      </c>
      <c r="D4549">
        <v>23</v>
      </c>
      <c r="E4549" s="1">
        <v>41199</v>
      </c>
      <c r="F4549">
        <v>2012</v>
      </c>
      <c r="G4549" t="s">
        <v>5039</v>
      </c>
      <c r="H4549">
        <v>17</v>
      </c>
      <c r="I4549">
        <v>2.4500000000000002</v>
      </c>
      <c r="J4549">
        <v>7</v>
      </c>
      <c r="K4549">
        <v>3213.28</v>
      </c>
      <c r="L4549">
        <v>13</v>
      </c>
    </row>
    <row r="4550" spans="1:12" x14ac:dyDescent="0.3">
      <c r="A4550" t="s">
        <v>4565</v>
      </c>
      <c r="B4550" t="s">
        <v>16</v>
      </c>
      <c r="C4550" t="s">
        <v>11</v>
      </c>
      <c r="D4550">
        <v>49</v>
      </c>
      <c r="E4550" s="1">
        <v>42528</v>
      </c>
      <c r="F4550">
        <v>2016</v>
      </c>
      <c r="G4550" t="s">
        <v>5032</v>
      </c>
      <c r="H4550">
        <v>7</v>
      </c>
      <c r="I4550">
        <v>3.49</v>
      </c>
      <c r="J4550">
        <v>14</v>
      </c>
      <c r="K4550">
        <v>13396.62</v>
      </c>
      <c r="L4550">
        <v>9.4</v>
      </c>
    </row>
    <row r="4551" spans="1:12" x14ac:dyDescent="0.3">
      <c r="A4551" t="s">
        <v>4566</v>
      </c>
      <c r="B4551" t="s">
        <v>13</v>
      </c>
      <c r="C4551" t="s">
        <v>14</v>
      </c>
      <c r="D4551">
        <v>22</v>
      </c>
      <c r="E4551" s="1">
        <v>42849</v>
      </c>
      <c r="F4551">
        <v>2017</v>
      </c>
      <c r="G4551" t="s">
        <v>5040</v>
      </c>
      <c r="H4551">
        <v>24</v>
      </c>
      <c r="I4551">
        <v>3.57</v>
      </c>
      <c r="J4551">
        <v>2</v>
      </c>
      <c r="K4551">
        <v>10289.629999999999</v>
      </c>
      <c r="L4551">
        <v>8.5</v>
      </c>
    </row>
    <row r="4552" spans="1:12" x14ac:dyDescent="0.3">
      <c r="A4552" t="s">
        <v>4567</v>
      </c>
      <c r="B4552" t="s">
        <v>24</v>
      </c>
      <c r="C4552" t="s">
        <v>14</v>
      </c>
      <c r="D4552">
        <v>45</v>
      </c>
      <c r="E4552" s="1">
        <v>41544</v>
      </c>
      <c r="F4552">
        <v>2013</v>
      </c>
      <c r="G4552" t="s">
        <v>5033</v>
      </c>
      <c r="H4552">
        <v>27</v>
      </c>
      <c r="I4552">
        <v>3.4</v>
      </c>
      <c r="J4552">
        <v>8</v>
      </c>
      <c r="K4552">
        <v>4838.6099999999997</v>
      </c>
      <c r="L4552">
        <v>12.1</v>
      </c>
    </row>
    <row r="4553" spans="1:12" x14ac:dyDescent="0.3">
      <c r="A4553" t="s">
        <v>4568</v>
      </c>
      <c r="B4553" t="s">
        <v>13</v>
      </c>
      <c r="C4553" t="s">
        <v>11</v>
      </c>
      <c r="D4553">
        <v>30</v>
      </c>
      <c r="E4553" s="1">
        <v>43317</v>
      </c>
      <c r="F4553">
        <v>2018</v>
      </c>
      <c r="G4553" t="s">
        <v>5031</v>
      </c>
      <c r="H4553">
        <v>5</v>
      </c>
      <c r="I4553">
        <v>3.1</v>
      </c>
      <c r="J4553">
        <v>1</v>
      </c>
      <c r="K4553">
        <v>13868.9</v>
      </c>
      <c r="L4553">
        <v>7.2</v>
      </c>
    </row>
    <row r="4554" spans="1:12" x14ac:dyDescent="0.3">
      <c r="A4554" t="s">
        <v>4569</v>
      </c>
      <c r="B4554" t="s">
        <v>10</v>
      </c>
      <c r="C4554" t="s">
        <v>11</v>
      </c>
      <c r="D4554">
        <v>44</v>
      </c>
      <c r="E4554" s="1">
        <v>43929</v>
      </c>
      <c r="F4554">
        <v>2020</v>
      </c>
      <c r="G4554" t="s">
        <v>5040</v>
      </c>
      <c r="H4554">
        <v>8</v>
      </c>
      <c r="I4554">
        <v>3.77</v>
      </c>
      <c r="J4554">
        <v>1</v>
      </c>
      <c r="K4554">
        <v>8023.08</v>
      </c>
      <c r="L4554">
        <v>5.6</v>
      </c>
    </row>
    <row r="4555" spans="1:12" x14ac:dyDescent="0.3">
      <c r="A4555" t="s">
        <v>4570</v>
      </c>
      <c r="B4555" t="s">
        <v>24</v>
      </c>
      <c r="C4555" t="s">
        <v>11</v>
      </c>
      <c r="D4555">
        <v>46</v>
      </c>
      <c r="E4555" s="1">
        <v>44132</v>
      </c>
      <c r="F4555">
        <v>2020</v>
      </c>
      <c r="G4555" t="s">
        <v>5039</v>
      </c>
      <c r="H4555">
        <v>28</v>
      </c>
      <c r="I4555">
        <v>3.46</v>
      </c>
      <c r="J4555">
        <v>12</v>
      </c>
      <c r="K4555">
        <v>12802.77</v>
      </c>
      <c r="L4555">
        <v>5</v>
      </c>
    </row>
    <row r="4556" spans="1:12" x14ac:dyDescent="0.3">
      <c r="A4556" t="s">
        <v>4571</v>
      </c>
      <c r="B4556" t="s">
        <v>34</v>
      </c>
      <c r="C4556" t="s">
        <v>11</v>
      </c>
      <c r="D4556">
        <v>41</v>
      </c>
      <c r="E4556" s="1">
        <v>45602</v>
      </c>
      <c r="F4556">
        <v>2024</v>
      </c>
      <c r="G4556" t="s">
        <v>5038</v>
      </c>
      <c r="H4556">
        <v>6</v>
      </c>
      <c r="I4556">
        <v>2.77</v>
      </c>
      <c r="J4556">
        <v>7</v>
      </c>
      <c r="K4556">
        <v>3554.96</v>
      </c>
      <c r="L4556">
        <v>1</v>
      </c>
    </row>
    <row r="4557" spans="1:12" x14ac:dyDescent="0.3">
      <c r="A4557" t="s">
        <v>4572</v>
      </c>
      <c r="B4557" t="s">
        <v>16</v>
      </c>
      <c r="C4557" t="s">
        <v>14</v>
      </c>
      <c r="D4557">
        <v>55</v>
      </c>
      <c r="E4557" s="1">
        <v>41596</v>
      </c>
      <c r="F4557">
        <v>2013</v>
      </c>
      <c r="G4557" t="s">
        <v>5038</v>
      </c>
      <c r="H4557">
        <v>18</v>
      </c>
      <c r="I4557">
        <v>3.85</v>
      </c>
      <c r="J4557">
        <v>14</v>
      </c>
      <c r="K4557">
        <v>8735.14</v>
      </c>
      <c r="L4557">
        <v>12</v>
      </c>
    </row>
    <row r="4558" spans="1:12" x14ac:dyDescent="0.3">
      <c r="A4558" t="s">
        <v>4573</v>
      </c>
      <c r="B4558" t="s">
        <v>24</v>
      </c>
      <c r="C4558" t="s">
        <v>14</v>
      </c>
      <c r="D4558">
        <v>26</v>
      </c>
      <c r="E4558" s="1">
        <v>40541</v>
      </c>
      <c r="F4558">
        <v>2010</v>
      </c>
      <c r="G4558" t="s">
        <v>5041</v>
      </c>
      <c r="H4558">
        <v>29</v>
      </c>
      <c r="I4558">
        <v>2.52</v>
      </c>
      <c r="J4558">
        <v>12</v>
      </c>
      <c r="K4558">
        <v>9455.93</v>
      </c>
      <c r="L4558">
        <v>14.9</v>
      </c>
    </row>
    <row r="4559" spans="1:12" x14ac:dyDescent="0.3">
      <c r="A4559" t="s">
        <v>4574</v>
      </c>
      <c r="B4559" t="s">
        <v>13</v>
      </c>
      <c r="C4559" t="s">
        <v>11</v>
      </c>
      <c r="D4559">
        <v>39</v>
      </c>
      <c r="E4559" s="1">
        <v>43706</v>
      </c>
      <c r="F4559">
        <v>2019</v>
      </c>
      <c r="G4559" t="s">
        <v>5031</v>
      </c>
      <c r="H4559">
        <v>29</v>
      </c>
      <c r="I4559">
        <v>3.12</v>
      </c>
      <c r="J4559">
        <v>13</v>
      </c>
      <c r="K4559">
        <v>11921.26</v>
      </c>
      <c r="L4559">
        <v>6.2</v>
      </c>
    </row>
    <row r="4560" spans="1:12" x14ac:dyDescent="0.3">
      <c r="A4560" t="s">
        <v>4575</v>
      </c>
      <c r="B4560" t="s">
        <v>18</v>
      </c>
      <c r="C4560" t="s">
        <v>14</v>
      </c>
      <c r="D4560">
        <v>39</v>
      </c>
      <c r="E4560" s="1">
        <v>43364</v>
      </c>
      <c r="F4560">
        <v>2018</v>
      </c>
      <c r="G4560" t="s">
        <v>5033</v>
      </c>
      <c r="H4560">
        <v>21</v>
      </c>
      <c r="I4560">
        <v>4.6900000000000004</v>
      </c>
      <c r="J4560">
        <v>6</v>
      </c>
      <c r="K4560">
        <v>6962.4</v>
      </c>
      <c r="L4560">
        <v>7.1</v>
      </c>
    </row>
    <row r="4561" spans="1:12" x14ac:dyDescent="0.3">
      <c r="A4561" t="s">
        <v>4576</v>
      </c>
      <c r="B4561" t="s">
        <v>13</v>
      </c>
      <c r="C4561" t="s">
        <v>11</v>
      </c>
      <c r="D4561">
        <v>33</v>
      </c>
      <c r="E4561" s="1">
        <v>45563</v>
      </c>
      <c r="F4561">
        <v>2024</v>
      </c>
      <c r="G4561" t="s">
        <v>5033</v>
      </c>
      <c r="H4561">
        <v>28</v>
      </c>
      <c r="I4561">
        <v>4.6399999999999997</v>
      </c>
      <c r="J4561">
        <v>9</v>
      </c>
      <c r="K4561">
        <v>10041.5</v>
      </c>
      <c r="L4561">
        <v>1.1000000000000001</v>
      </c>
    </row>
    <row r="4562" spans="1:12" x14ac:dyDescent="0.3">
      <c r="A4562" t="s">
        <v>4577</v>
      </c>
      <c r="B4562" t="s">
        <v>13</v>
      </c>
      <c r="C4562" t="s">
        <v>14</v>
      </c>
      <c r="D4562">
        <v>28</v>
      </c>
      <c r="E4562" s="1">
        <v>43074</v>
      </c>
      <c r="F4562">
        <v>2017</v>
      </c>
      <c r="G4562" t="s">
        <v>5041</v>
      </c>
      <c r="H4562">
        <v>5</v>
      </c>
      <c r="I4562">
        <v>3.13</v>
      </c>
      <c r="J4562">
        <v>13</v>
      </c>
      <c r="K4562">
        <v>3647.01</v>
      </c>
      <c r="L4562">
        <v>7.9</v>
      </c>
    </row>
    <row r="4563" spans="1:12" x14ac:dyDescent="0.3">
      <c r="A4563" t="s">
        <v>4578</v>
      </c>
      <c r="B4563" t="s">
        <v>16</v>
      </c>
      <c r="C4563" t="s">
        <v>11</v>
      </c>
      <c r="D4563">
        <v>24</v>
      </c>
      <c r="E4563" s="1">
        <v>43461</v>
      </c>
      <c r="F4563">
        <v>2018</v>
      </c>
      <c r="G4563" t="s">
        <v>5041</v>
      </c>
      <c r="H4563">
        <v>27</v>
      </c>
      <c r="I4563">
        <v>4.3499999999999996</v>
      </c>
      <c r="J4563">
        <v>3</v>
      </c>
      <c r="K4563">
        <v>10595.63</v>
      </c>
      <c r="L4563">
        <v>6.9</v>
      </c>
    </row>
    <row r="4564" spans="1:12" x14ac:dyDescent="0.3">
      <c r="A4564" t="s">
        <v>4579</v>
      </c>
      <c r="B4564" t="s">
        <v>16</v>
      </c>
      <c r="C4564" t="s">
        <v>14</v>
      </c>
      <c r="D4564">
        <v>51</v>
      </c>
      <c r="E4564" s="1">
        <v>42344</v>
      </c>
      <c r="F4564">
        <v>2015</v>
      </c>
      <c r="G4564" t="s">
        <v>5041</v>
      </c>
      <c r="H4564">
        <v>6</v>
      </c>
      <c r="I4564">
        <v>1.98</v>
      </c>
      <c r="J4564">
        <v>12</v>
      </c>
      <c r="K4564">
        <v>3035.83</v>
      </c>
      <c r="L4564">
        <v>9.9</v>
      </c>
    </row>
    <row r="4565" spans="1:12" x14ac:dyDescent="0.3">
      <c r="A4565" t="s">
        <v>4580</v>
      </c>
      <c r="B4565" t="s">
        <v>24</v>
      </c>
      <c r="C4565" t="s">
        <v>11</v>
      </c>
      <c r="D4565">
        <v>39</v>
      </c>
      <c r="E4565" s="1">
        <v>41729</v>
      </c>
      <c r="F4565">
        <v>2014</v>
      </c>
      <c r="G4565" t="s">
        <v>5035</v>
      </c>
      <c r="H4565">
        <v>31</v>
      </c>
      <c r="I4565">
        <v>3.31</v>
      </c>
      <c r="J4565">
        <v>11</v>
      </c>
      <c r="K4565">
        <v>14832.84</v>
      </c>
      <c r="L4565">
        <v>11.6</v>
      </c>
    </row>
    <row r="4566" spans="1:12" x14ac:dyDescent="0.3">
      <c r="A4566" t="s">
        <v>4581</v>
      </c>
      <c r="B4566" t="s">
        <v>24</v>
      </c>
      <c r="C4566" t="s">
        <v>14</v>
      </c>
      <c r="D4566">
        <v>27</v>
      </c>
      <c r="E4566" s="1">
        <v>42843</v>
      </c>
      <c r="F4566">
        <v>2017</v>
      </c>
      <c r="G4566" t="s">
        <v>5040</v>
      </c>
      <c r="H4566">
        <v>18</v>
      </c>
      <c r="I4566">
        <v>3.75</v>
      </c>
      <c r="J4566">
        <v>7</v>
      </c>
      <c r="K4566">
        <v>14273.49</v>
      </c>
      <c r="L4566">
        <v>8.5</v>
      </c>
    </row>
    <row r="4567" spans="1:12" x14ac:dyDescent="0.3">
      <c r="A4567" t="s">
        <v>4582</v>
      </c>
      <c r="B4567" t="s">
        <v>18</v>
      </c>
      <c r="C4567" t="s">
        <v>14</v>
      </c>
      <c r="D4567">
        <v>32</v>
      </c>
      <c r="E4567" s="1">
        <v>43231</v>
      </c>
      <c r="F4567">
        <v>2018</v>
      </c>
      <c r="G4567" t="s">
        <v>5036</v>
      </c>
      <c r="H4567">
        <v>11</v>
      </c>
      <c r="I4567">
        <v>2.12</v>
      </c>
      <c r="J4567">
        <v>0</v>
      </c>
      <c r="K4567">
        <v>6854.57</v>
      </c>
      <c r="L4567">
        <v>7.5</v>
      </c>
    </row>
    <row r="4568" spans="1:12" x14ac:dyDescent="0.3">
      <c r="A4568" t="s">
        <v>4583</v>
      </c>
      <c r="B4568" t="s">
        <v>16</v>
      </c>
      <c r="C4568" t="s">
        <v>14</v>
      </c>
      <c r="D4568">
        <v>43</v>
      </c>
      <c r="E4568" s="1">
        <v>40357</v>
      </c>
      <c r="F4568">
        <v>2010</v>
      </c>
      <c r="G4568" t="s">
        <v>5032</v>
      </c>
      <c r="H4568">
        <v>28</v>
      </c>
      <c r="I4568">
        <v>4.9800000000000004</v>
      </c>
      <c r="J4568">
        <v>12</v>
      </c>
      <c r="K4568">
        <v>14777.77</v>
      </c>
      <c r="L4568">
        <v>15.4</v>
      </c>
    </row>
    <row r="4569" spans="1:12" x14ac:dyDescent="0.3">
      <c r="A4569" t="s">
        <v>4584</v>
      </c>
      <c r="B4569" t="s">
        <v>10</v>
      </c>
      <c r="C4569" t="s">
        <v>11</v>
      </c>
      <c r="D4569">
        <v>56</v>
      </c>
      <c r="E4569" s="1">
        <v>43694</v>
      </c>
      <c r="F4569">
        <v>2019</v>
      </c>
      <c r="G4569" t="s">
        <v>5031</v>
      </c>
      <c r="H4569">
        <v>17</v>
      </c>
      <c r="I4569">
        <v>3.87</v>
      </c>
      <c r="J4569">
        <v>7</v>
      </c>
      <c r="K4569">
        <v>11782.54</v>
      </c>
      <c r="L4569">
        <v>6.2</v>
      </c>
    </row>
    <row r="4570" spans="1:12" x14ac:dyDescent="0.3">
      <c r="A4570" t="s">
        <v>4585</v>
      </c>
      <c r="B4570" t="s">
        <v>10</v>
      </c>
      <c r="C4570" t="s">
        <v>11</v>
      </c>
      <c r="D4570">
        <v>56</v>
      </c>
      <c r="E4570" s="1">
        <v>42501</v>
      </c>
      <c r="F4570">
        <v>2016</v>
      </c>
      <c r="G4570" t="s">
        <v>5036</v>
      </c>
      <c r="H4570">
        <v>11</v>
      </c>
      <c r="I4570">
        <v>4.04</v>
      </c>
      <c r="J4570">
        <v>8</v>
      </c>
      <c r="K4570">
        <v>9237.68</v>
      </c>
      <c r="L4570">
        <v>9.5</v>
      </c>
    </row>
    <row r="4571" spans="1:12" x14ac:dyDescent="0.3">
      <c r="A4571" t="s">
        <v>4586</v>
      </c>
      <c r="B4571" t="s">
        <v>16</v>
      </c>
      <c r="C4571" t="s">
        <v>14</v>
      </c>
      <c r="D4571">
        <v>26</v>
      </c>
      <c r="E4571" s="1">
        <v>45637</v>
      </c>
      <c r="F4571">
        <v>2024</v>
      </c>
      <c r="G4571" t="s">
        <v>5041</v>
      </c>
      <c r="H4571">
        <v>11</v>
      </c>
      <c r="I4571">
        <v>1.75</v>
      </c>
      <c r="J4571">
        <v>3</v>
      </c>
      <c r="K4571">
        <v>11352.75</v>
      </c>
      <c r="L4571">
        <v>0.9</v>
      </c>
    </row>
    <row r="4572" spans="1:12" x14ac:dyDescent="0.3">
      <c r="A4572" t="s">
        <v>4587</v>
      </c>
      <c r="B4572" t="s">
        <v>18</v>
      </c>
      <c r="C4572" t="s">
        <v>11</v>
      </c>
      <c r="D4572">
        <v>54</v>
      </c>
      <c r="E4572" s="1">
        <v>41971</v>
      </c>
      <c r="F4572">
        <v>2014</v>
      </c>
      <c r="G4572" t="s">
        <v>5038</v>
      </c>
      <c r="H4572">
        <v>28</v>
      </c>
      <c r="I4572">
        <v>3.59</v>
      </c>
      <c r="J4572">
        <v>2</v>
      </c>
      <c r="K4572">
        <v>4560.74</v>
      </c>
      <c r="L4572">
        <v>10.9</v>
      </c>
    </row>
    <row r="4573" spans="1:12" x14ac:dyDescent="0.3">
      <c r="A4573" t="s">
        <v>4588</v>
      </c>
      <c r="B4573" t="s">
        <v>13</v>
      </c>
      <c r="C4573" t="s">
        <v>11</v>
      </c>
      <c r="D4573">
        <v>58</v>
      </c>
      <c r="E4573" s="1">
        <v>45062</v>
      </c>
      <c r="F4573">
        <v>2023</v>
      </c>
      <c r="G4573" t="s">
        <v>5036</v>
      </c>
      <c r="H4573">
        <v>16</v>
      </c>
      <c r="I4573">
        <v>2.34</v>
      </c>
      <c r="J4573">
        <v>9</v>
      </c>
      <c r="K4573">
        <v>7770.06</v>
      </c>
      <c r="L4573">
        <v>2.5</v>
      </c>
    </row>
    <row r="4574" spans="1:12" x14ac:dyDescent="0.3">
      <c r="A4574" t="s">
        <v>4589</v>
      </c>
      <c r="B4574" t="s">
        <v>16</v>
      </c>
      <c r="C4574" t="s">
        <v>14</v>
      </c>
      <c r="D4574">
        <v>37</v>
      </c>
      <c r="E4574" s="1">
        <v>43924</v>
      </c>
      <c r="F4574">
        <v>2020</v>
      </c>
      <c r="G4574" t="s">
        <v>5040</v>
      </c>
      <c r="H4574">
        <v>3</v>
      </c>
      <c r="I4574">
        <v>4.91</v>
      </c>
      <c r="J4574">
        <v>15</v>
      </c>
      <c r="K4574">
        <v>14426.62</v>
      </c>
      <c r="L4574">
        <v>5.6</v>
      </c>
    </row>
    <row r="4575" spans="1:12" x14ac:dyDescent="0.3">
      <c r="A4575" t="s">
        <v>4590</v>
      </c>
      <c r="B4575" t="s">
        <v>34</v>
      </c>
      <c r="C4575" t="s">
        <v>11</v>
      </c>
      <c r="D4575">
        <v>31</v>
      </c>
      <c r="E4575" s="1">
        <v>41226</v>
      </c>
      <c r="F4575">
        <v>2012</v>
      </c>
      <c r="G4575" t="s">
        <v>5038</v>
      </c>
      <c r="H4575">
        <v>13</v>
      </c>
      <c r="I4575">
        <v>2.64</v>
      </c>
      <c r="J4575">
        <v>0</v>
      </c>
      <c r="K4575">
        <v>6639.05</v>
      </c>
      <c r="L4575">
        <v>13</v>
      </c>
    </row>
    <row r="4576" spans="1:12" x14ac:dyDescent="0.3">
      <c r="A4576" t="s">
        <v>4591</v>
      </c>
      <c r="B4576" t="s">
        <v>24</v>
      </c>
      <c r="C4576" t="s">
        <v>14</v>
      </c>
      <c r="D4576">
        <v>39</v>
      </c>
      <c r="E4576" s="1">
        <v>40436</v>
      </c>
      <c r="F4576">
        <v>2010</v>
      </c>
      <c r="G4576" t="s">
        <v>5033</v>
      </c>
      <c r="H4576">
        <v>15</v>
      </c>
      <c r="I4576">
        <v>2.83</v>
      </c>
      <c r="J4576">
        <v>3</v>
      </c>
      <c r="K4576">
        <v>7024.24</v>
      </c>
      <c r="L4576">
        <v>15.1</v>
      </c>
    </row>
    <row r="4577" spans="1:12" x14ac:dyDescent="0.3">
      <c r="A4577" t="s">
        <v>4592</v>
      </c>
      <c r="B4577" t="s">
        <v>24</v>
      </c>
      <c r="C4577" t="s">
        <v>11</v>
      </c>
      <c r="D4577">
        <v>51</v>
      </c>
      <c r="E4577" s="1">
        <v>44641</v>
      </c>
      <c r="F4577">
        <v>2022</v>
      </c>
      <c r="G4577" t="s">
        <v>5035</v>
      </c>
      <c r="H4577">
        <v>21</v>
      </c>
      <c r="I4577">
        <v>4.01</v>
      </c>
      <c r="J4577">
        <v>12</v>
      </c>
      <c r="K4577">
        <v>4534.62</v>
      </c>
      <c r="L4577">
        <v>3.6</v>
      </c>
    </row>
    <row r="4578" spans="1:12" x14ac:dyDescent="0.3">
      <c r="A4578" t="s">
        <v>4593</v>
      </c>
      <c r="B4578" t="s">
        <v>10</v>
      </c>
      <c r="C4578" t="s">
        <v>11</v>
      </c>
      <c r="D4578">
        <v>35</v>
      </c>
      <c r="E4578" s="1">
        <v>40462</v>
      </c>
      <c r="F4578">
        <v>2010</v>
      </c>
      <c r="G4578" t="s">
        <v>5039</v>
      </c>
      <c r="H4578">
        <v>11</v>
      </c>
      <c r="I4578">
        <v>4.3499999999999996</v>
      </c>
      <c r="J4578">
        <v>1</v>
      </c>
      <c r="K4578">
        <v>13631.56</v>
      </c>
      <c r="L4578">
        <v>15.1</v>
      </c>
    </row>
    <row r="4579" spans="1:12" x14ac:dyDescent="0.3">
      <c r="A4579" t="s">
        <v>4594</v>
      </c>
      <c r="B4579" t="s">
        <v>10</v>
      </c>
      <c r="C4579" t="s">
        <v>11</v>
      </c>
      <c r="D4579">
        <v>47</v>
      </c>
      <c r="E4579" s="1">
        <v>41909</v>
      </c>
      <c r="F4579">
        <v>2014</v>
      </c>
      <c r="G4579" t="s">
        <v>5033</v>
      </c>
      <c r="H4579">
        <v>27</v>
      </c>
      <c r="I4579">
        <v>1.68</v>
      </c>
      <c r="J4579">
        <v>14</v>
      </c>
      <c r="K4579">
        <v>7959.47</v>
      </c>
      <c r="L4579">
        <v>11.1</v>
      </c>
    </row>
    <row r="4580" spans="1:12" x14ac:dyDescent="0.3">
      <c r="A4580" t="s">
        <v>4595</v>
      </c>
      <c r="B4580" t="s">
        <v>24</v>
      </c>
      <c r="C4580" t="s">
        <v>14</v>
      </c>
      <c r="D4580">
        <v>45</v>
      </c>
      <c r="E4580" s="1">
        <v>40909</v>
      </c>
      <c r="F4580">
        <v>2012</v>
      </c>
      <c r="G4580" t="s">
        <v>5037</v>
      </c>
      <c r="H4580">
        <v>1</v>
      </c>
      <c r="I4580">
        <v>2.08</v>
      </c>
      <c r="J4580">
        <v>7</v>
      </c>
      <c r="K4580">
        <v>5634.21</v>
      </c>
      <c r="L4580">
        <v>13.8</v>
      </c>
    </row>
    <row r="4581" spans="1:12" x14ac:dyDescent="0.3">
      <c r="A4581" t="s">
        <v>4596</v>
      </c>
      <c r="B4581" t="s">
        <v>16</v>
      </c>
      <c r="C4581" t="s">
        <v>11</v>
      </c>
      <c r="D4581">
        <v>40</v>
      </c>
      <c r="E4581" s="1">
        <v>45574</v>
      </c>
      <c r="F4581">
        <v>2024</v>
      </c>
      <c r="G4581" t="s">
        <v>5039</v>
      </c>
      <c r="H4581">
        <v>9</v>
      </c>
      <c r="I4581">
        <v>3.27</v>
      </c>
      <c r="J4581">
        <v>4</v>
      </c>
      <c r="K4581">
        <v>7257.98</v>
      </c>
      <c r="L4581">
        <v>1.1000000000000001</v>
      </c>
    </row>
    <row r="4582" spans="1:12" x14ac:dyDescent="0.3">
      <c r="A4582" t="s">
        <v>4597</v>
      </c>
      <c r="B4582" t="s">
        <v>16</v>
      </c>
      <c r="C4582" t="s">
        <v>11</v>
      </c>
      <c r="D4582">
        <v>51</v>
      </c>
      <c r="E4582" s="1">
        <v>43077</v>
      </c>
      <c r="F4582">
        <v>2017</v>
      </c>
      <c r="G4582" t="s">
        <v>5041</v>
      </c>
      <c r="H4582">
        <v>8</v>
      </c>
      <c r="I4582">
        <v>3.2</v>
      </c>
      <c r="J4582">
        <v>4</v>
      </c>
      <c r="K4582">
        <v>10542.57</v>
      </c>
      <c r="L4582">
        <v>7.9</v>
      </c>
    </row>
    <row r="4583" spans="1:12" x14ac:dyDescent="0.3">
      <c r="A4583" t="s">
        <v>4598</v>
      </c>
      <c r="B4583" t="s">
        <v>13</v>
      </c>
      <c r="C4583" t="s">
        <v>14</v>
      </c>
      <c r="D4583">
        <v>29</v>
      </c>
      <c r="E4583" s="1">
        <v>42989</v>
      </c>
      <c r="F4583">
        <v>2017</v>
      </c>
      <c r="G4583" t="s">
        <v>5033</v>
      </c>
      <c r="H4583">
        <v>11</v>
      </c>
      <c r="I4583">
        <v>4.8899999999999997</v>
      </c>
      <c r="J4583">
        <v>0</v>
      </c>
      <c r="K4583">
        <v>9533.35</v>
      </c>
      <c r="L4583">
        <v>8.1</v>
      </c>
    </row>
    <row r="4584" spans="1:12" x14ac:dyDescent="0.3">
      <c r="A4584" t="s">
        <v>4599</v>
      </c>
      <c r="B4584" t="s">
        <v>18</v>
      </c>
      <c r="C4584" t="s">
        <v>14</v>
      </c>
      <c r="D4584">
        <v>23</v>
      </c>
      <c r="E4584" s="1">
        <v>42944</v>
      </c>
      <c r="F4584">
        <v>2017</v>
      </c>
      <c r="G4584" t="s">
        <v>5034</v>
      </c>
      <c r="H4584">
        <v>28</v>
      </c>
      <c r="I4584">
        <v>2.79</v>
      </c>
      <c r="J4584">
        <v>3</v>
      </c>
      <c r="K4584">
        <v>4748.6499999999996</v>
      </c>
      <c r="L4584">
        <v>8.3000000000000007</v>
      </c>
    </row>
    <row r="4585" spans="1:12" x14ac:dyDescent="0.3">
      <c r="A4585" t="s">
        <v>4600</v>
      </c>
      <c r="B4585" t="s">
        <v>18</v>
      </c>
      <c r="C4585" t="s">
        <v>14</v>
      </c>
      <c r="D4585">
        <v>36</v>
      </c>
      <c r="E4585" s="1">
        <v>43058</v>
      </c>
      <c r="F4585">
        <v>2017</v>
      </c>
      <c r="G4585" t="s">
        <v>5038</v>
      </c>
      <c r="H4585">
        <v>19</v>
      </c>
      <c r="I4585">
        <v>1.56</v>
      </c>
      <c r="J4585">
        <v>6</v>
      </c>
      <c r="K4585">
        <v>6432.1</v>
      </c>
      <c r="L4585">
        <v>8</v>
      </c>
    </row>
    <row r="4586" spans="1:12" x14ac:dyDescent="0.3">
      <c r="A4586" t="s">
        <v>4601</v>
      </c>
      <c r="B4586" t="s">
        <v>24</v>
      </c>
      <c r="C4586" t="s">
        <v>14</v>
      </c>
      <c r="D4586">
        <v>46</v>
      </c>
      <c r="E4586" s="1">
        <v>45949</v>
      </c>
      <c r="F4586">
        <v>2025</v>
      </c>
      <c r="G4586" t="s">
        <v>5039</v>
      </c>
      <c r="H4586">
        <v>19</v>
      </c>
      <c r="I4586">
        <v>4.3600000000000003</v>
      </c>
      <c r="J4586">
        <v>9</v>
      </c>
      <c r="K4586">
        <v>13297.9</v>
      </c>
      <c r="L4586">
        <v>0</v>
      </c>
    </row>
    <row r="4587" spans="1:12" x14ac:dyDescent="0.3">
      <c r="A4587" t="s">
        <v>4602</v>
      </c>
      <c r="B4587" t="s">
        <v>24</v>
      </c>
      <c r="C4587" t="s">
        <v>14</v>
      </c>
      <c r="D4587">
        <v>59</v>
      </c>
      <c r="E4587" s="1">
        <v>43742</v>
      </c>
      <c r="F4587">
        <v>2019</v>
      </c>
      <c r="G4587" t="s">
        <v>5039</v>
      </c>
      <c r="H4587">
        <v>4</v>
      </c>
      <c r="I4587">
        <v>4.4400000000000004</v>
      </c>
      <c r="J4587">
        <v>1</v>
      </c>
      <c r="K4587">
        <v>5812.88</v>
      </c>
      <c r="L4587">
        <v>6.1</v>
      </c>
    </row>
    <row r="4588" spans="1:12" x14ac:dyDescent="0.3">
      <c r="A4588" t="s">
        <v>4603</v>
      </c>
      <c r="B4588" t="s">
        <v>16</v>
      </c>
      <c r="C4588" t="s">
        <v>11</v>
      </c>
      <c r="D4588">
        <v>43</v>
      </c>
      <c r="E4588" s="1">
        <v>44508</v>
      </c>
      <c r="F4588">
        <v>2021</v>
      </c>
      <c r="G4588" t="s">
        <v>5038</v>
      </c>
      <c r="H4588">
        <v>8</v>
      </c>
      <c r="I4588">
        <v>1.92</v>
      </c>
      <c r="J4588">
        <v>6</v>
      </c>
      <c r="K4588">
        <v>11718.22</v>
      </c>
      <c r="L4588">
        <v>4</v>
      </c>
    </row>
    <row r="4589" spans="1:12" x14ac:dyDescent="0.3">
      <c r="A4589" t="s">
        <v>4604</v>
      </c>
      <c r="B4589" t="s">
        <v>34</v>
      </c>
      <c r="C4589" t="s">
        <v>11</v>
      </c>
      <c r="D4589">
        <v>58</v>
      </c>
      <c r="E4589" s="1">
        <v>45422</v>
      </c>
      <c r="F4589">
        <v>2024</v>
      </c>
      <c r="G4589" t="s">
        <v>5036</v>
      </c>
      <c r="H4589">
        <v>10</v>
      </c>
      <c r="I4589">
        <v>4.16</v>
      </c>
      <c r="J4589">
        <v>15</v>
      </c>
      <c r="K4589">
        <v>9764.11</v>
      </c>
      <c r="L4589">
        <v>1.5</v>
      </c>
    </row>
    <row r="4590" spans="1:12" x14ac:dyDescent="0.3">
      <c r="A4590" t="s">
        <v>4605</v>
      </c>
      <c r="B4590" t="s">
        <v>18</v>
      </c>
      <c r="C4590" t="s">
        <v>11</v>
      </c>
      <c r="D4590">
        <v>22</v>
      </c>
      <c r="E4590" s="1">
        <v>45364</v>
      </c>
      <c r="F4590">
        <v>2024</v>
      </c>
      <c r="G4590" t="s">
        <v>5035</v>
      </c>
      <c r="H4590">
        <v>13</v>
      </c>
      <c r="I4590">
        <v>2.09</v>
      </c>
      <c r="J4590">
        <v>8</v>
      </c>
      <c r="K4590">
        <v>10159.790000000001</v>
      </c>
      <c r="L4590">
        <v>1.6</v>
      </c>
    </row>
    <row r="4591" spans="1:12" x14ac:dyDescent="0.3">
      <c r="A4591" t="s">
        <v>4606</v>
      </c>
      <c r="B4591" t="s">
        <v>34</v>
      </c>
      <c r="C4591" t="s">
        <v>14</v>
      </c>
      <c r="D4591">
        <v>57</v>
      </c>
      <c r="E4591" s="1">
        <v>44163</v>
      </c>
      <c r="F4591">
        <v>2020</v>
      </c>
      <c r="G4591" t="s">
        <v>5038</v>
      </c>
      <c r="H4591">
        <v>28</v>
      </c>
      <c r="I4591">
        <v>2.73</v>
      </c>
      <c r="J4591">
        <v>11</v>
      </c>
      <c r="K4591">
        <v>4813.46</v>
      </c>
      <c r="L4591">
        <v>4.9000000000000004</v>
      </c>
    </row>
    <row r="4592" spans="1:12" x14ac:dyDescent="0.3">
      <c r="A4592" t="s">
        <v>4607</v>
      </c>
      <c r="B4592" t="s">
        <v>13</v>
      </c>
      <c r="C4592" t="s">
        <v>11</v>
      </c>
      <c r="D4592">
        <v>56</v>
      </c>
      <c r="E4592" s="1">
        <v>44570</v>
      </c>
      <c r="F4592">
        <v>2022</v>
      </c>
      <c r="G4592" t="s">
        <v>5037</v>
      </c>
      <c r="H4592">
        <v>9</v>
      </c>
      <c r="I4592">
        <v>3.1</v>
      </c>
      <c r="J4592">
        <v>3</v>
      </c>
      <c r="K4592">
        <v>14328.99</v>
      </c>
      <c r="L4592">
        <v>3.8</v>
      </c>
    </row>
    <row r="4593" spans="1:12" x14ac:dyDescent="0.3">
      <c r="A4593" t="s">
        <v>4608</v>
      </c>
      <c r="B4593" t="s">
        <v>13</v>
      </c>
      <c r="C4593" t="s">
        <v>11</v>
      </c>
      <c r="D4593">
        <v>39</v>
      </c>
      <c r="E4593" s="1">
        <v>44899</v>
      </c>
      <c r="F4593">
        <v>2022</v>
      </c>
      <c r="G4593" t="s">
        <v>5041</v>
      </c>
      <c r="H4593">
        <v>4</v>
      </c>
      <c r="I4593">
        <v>3.38</v>
      </c>
      <c r="J4593">
        <v>8</v>
      </c>
      <c r="K4593">
        <v>5405.66</v>
      </c>
      <c r="L4593">
        <v>2.9</v>
      </c>
    </row>
    <row r="4594" spans="1:12" x14ac:dyDescent="0.3">
      <c r="A4594" t="s">
        <v>4609</v>
      </c>
      <c r="B4594" t="s">
        <v>18</v>
      </c>
      <c r="C4594" t="s">
        <v>11</v>
      </c>
      <c r="D4594">
        <v>33</v>
      </c>
      <c r="E4594" s="1">
        <v>43891</v>
      </c>
      <c r="F4594">
        <v>2020</v>
      </c>
      <c r="G4594" t="s">
        <v>5035</v>
      </c>
      <c r="H4594">
        <v>1</v>
      </c>
      <c r="I4594">
        <v>3.17</v>
      </c>
      <c r="J4594">
        <v>13</v>
      </c>
      <c r="K4594">
        <v>7222.77</v>
      </c>
      <c r="L4594">
        <v>5.7</v>
      </c>
    </row>
    <row r="4595" spans="1:12" x14ac:dyDescent="0.3">
      <c r="A4595" t="s">
        <v>4610</v>
      </c>
      <c r="B4595" t="s">
        <v>13</v>
      </c>
      <c r="C4595" t="s">
        <v>14</v>
      </c>
      <c r="D4595">
        <v>40</v>
      </c>
      <c r="E4595" s="1">
        <v>42949</v>
      </c>
      <c r="F4595">
        <v>2017</v>
      </c>
      <c r="G4595" t="s">
        <v>5031</v>
      </c>
      <c r="H4595">
        <v>2</v>
      </c>
      <c r="I4595">
        <v>1.74</v>
      </c>
      <c r="J4595">
        <v>1</v>
      </c>
      <c r="K4595">
        <v>14547.95</v>
      </c>
      <c r="L4595">
        <v>8.3000000000000007</v>
      </c>
    </row>
    <row r="4596" spans="1:12" x14ac:dyDescent="0.3">
      <c r="A4596" t="s">
        <v>4611</v>
      </c>
      <c r="B4596" t="s">
        <v>10</v>
      </c>
      <c r="C4596" t="s">
        <v>14</v>
      </c>
      <c r="D4596">
        <v>59</v>
      </c>
      <c r="E4596" s="1">
        <v>45622</v>
      </c>
      <c r="F4596">
        <v>2024</v>
      </c>
      <c r="G4596" t="s">
        <v>5038</v>
      </c>
      <c r="H4596">
        <v>26</v>
      </c>
      <c r="I4596">
        <v>3.27</v>
      </c>
      <c r="J4596">
        <v>10</v>
      </c>
      <c r="K4596">
        <v>9478.92</v>
      </c>
      <c r="L4596">
        <v>0.9</v>
      </c>
    </row>
    <row r="4597" spans="1:12" x14ac:dyDescent="0.3">
      <c r="A4597" t="s">
        <v>4612</v>
      </c>
      <c r="B4597" t="s">
        <v>13</v>
      </c>
      <c r="C4597" t="s">
        <v>14</v>
      </c>
      <c r="D4597">
        <v>44</v>
      </c>
      <c r="E4597" s="1">
        <v>43988</v>
      </c>
      <c r="F4597">
        <v>2020</v>
      </c>
      <c r="G4597" t="s">
        <v>5032</v>
      </c>
      <c r="H4597">
        <v>6</v>
      </c>
      <c r="I4597">
        <v>4.55</v>
      </c>
      <c r="J4597">
        <v>1</v>
      </c>
      <c r="K4597">
        <v>10404.39</v>
      </c>
      <c r="L4597">
        <v>5.4</v>
      </c>
    </row>
    <row r="4598" spans="1:12" x14ac:dyDescent="0.3">
      <c r="A4598" t="s">
        <v>4613</v>
      </c>
      <c r="B4598" t="s">
        <v>16</v>
      </c>
      <c r="C4598" t="s">
        <v>14</v>
      </c>
      <c r="D4598">
        <v>40</v>
      </c>
      <c r="E4598" s="1">
        <v>40827</v>
      </c>
      <c r="F4598">
        <v>2011</v>
      </c>
      <c r="G4598" t="s">
        <v>5039</v>
      </c>
      <c r="H4598">
        <v>11</v>
      </c>
      <c r="I4598">
        <v>3.9</v>
      </c>
      <c r="J4598">
        <v>14</v>
      </c>
      <c r="K4598">
        <v>10114.09</v>
      </c>
      <c r="L4598">
        <v>14.1</v>
      </c>
    </row>
    <row r="4599" spans="1:12" x14ac:dyDescent="0.3">
      <c r="A4599" t="s">
        <v>4614</v>
      </c>
      <c r="B4599" t="s">
        <v>34</v>
      </c>
      <c r="C4599" t="s">
        <v>14</v>
      </c>
      <c r="D4599">
        <v>46</v>
      </c>
      <c r="E4599" s="1">
        <v>40392</v>
      </c>
      <c r="F4599">
        <v>2010</v>
      </c>
      <c r="G4599" t="s">
        <v>5031</v>
      </c>
      <c r="H4599">
        <v>2</v>
      </c>
      <c r="I4599">
        <v>2.9</v>
      </c>
      <c r="J4599">
        <v>15</v>
      </c>
      <c r="K4599">
        <v>5921.85</v>
      </c>
      <c r="L4599">
        <v>15.3</v>
      </c>
    </row>
    <row r="4600" spans="1:12" x14ac:dyDescent="0.3">
      <c r="A4600" t="s">
        <v>4615</v>
      </c>
      <c r="B4600" t="s">
        <v>18</v>
      </c>
      <c r="C4600" t="s">
        <v>14</v>
      </c>
      <c r="D4600">
        <v>58</v>
      </c>
      <c r="E4600" s="1">
        <v>43140</v>
      </c>
      <c r="F4600">
        <v>2018</v>
      </c>
      <c r="G4600" t="s">
        <v>5042</v>
      </c>
      <c r="H4600">
        <v>9</v>
      </c>
      <c r="I4600">
        <v>2.56</v>
      </c>
      <c r="J4600">
        <v>12</v>
      </c>
      <c r="K4600">
        <v>9741.86</v>
      </c>
      <c r="L4600">
        <v>7.7</v>
      </c>
    </row>
    <row r="4601" spans="1:12" x14ac:dyDescent="0.3">
      <c r="A4601" t="s">
        <v>4616</v>
      </c>
      <c r="B4601" t="s">
        <v>18</v>
      </c>
      <c r="C4601" t="s">
        <v>14</v>
      </c>
      <c r="D4601">
        <v>32</v>
      </c>
      <c r="E4601" s="1">
        <v>43227</v>
      </c>
      <c r="F4601">
        <v>2018</v>
      </c>
      <c r="G4601" t="s">
        <v>5036</v>
      </c>
      <c r="H4601">
        <v>7</v>
      </c>
      <c r="I4601">
        <v>4.3899999999999997</v>
      </c>
      <c r="J4601">
        <v>11</v>
      </c>
      <c r="K4601">
        <v>10485.31</v>
      </c>
      <c r="L4601">
        <v>7.5</v>
      </c>
    </row>
    <row r="4602" spans="1:12" x14ac:dyDescent="0.3">
      <c r="A4602" t="s">
        <v>4617</v>
      </c>
      <c r="B4602" t="s">
        <v>16</v>
      </c>
      <c r="C4602" t="s">
        <v>11</v>
      </c>
      <c r="D4602">
        <v>59</v>
      </c>
      <c r="E4602" s="1">
        <v>41916</v>
      </c>
      <c r="F4602">
        <v>2014</v>
      </c>
      <c r="G4602" t="s">
        <v>5039</v>
      </c>
      <c r="H4602">
        <v>4</v>
      </c>
      <c r="I4602">
        <v>4.67</v>
      </c>
      <c r="J4602">
        <v>8</v>
      </c>
      <c r="K4602">
        <v>11805.57</v>
      </c>
      <c r="L4602">
        <v>11.1</v>
      </c>
    </row>
    <row r="4603" spans="1:12" x14ac:dyDescent="0.3">
      <c r="A4603" t="s">
        <v>4618</v>
      </c>
      <c r="B4603" t="s">
        <v>18</v>
      </c>
      <c r="C4603" t="s">
        <v>11</v>
      </c>
      <c r="D4603">
        <v>31</v>
      </c>
      <c r="E4603" s="1">
        <v>43077</v>
      </c>
      <c r="F4603">
        <v>2017</v>
      </c>
      <c r="G4603" t="s">
        <v>5041</v>
      </c>
      <c r="H4603">
        <v>8</v>
      </c>
      <c r="I4603">
        <v>4.9800000000000004</v>
      </c>
      <c r="J4603">
        <v>15</v>
      </c>
      <c r="K4603">
        <v>12421.26</v>
      </c>
      <c r="L4603">
        <v>7.9</v>
      </c>
    </row>
    <row r="4604" spans="1:12" x14ac:dyDescent="0.3">
      <c r="A4604" t="s">
        <v>4619</v>
      </c>
      <c r="B4604" t="s">
        <v>24</v>
      </c>
      <c r="C4604" t="s">
        <v>14</v>
      </c>
      <c r="D4604">
        <v>33</v>
      </c>
      <c r="E4604" s="1">
        <v>45716</v>
      </c>
      <c r="F4604">
        <v>2025</v>
      </c>
      <c r="G4604" t="s">
        <v>5042</v>
      </c>
      <c r="H4604">
        <v>28</v>
      </c>
      <c r="I4604">
        <v>1.67</v>
      </c>
      <c r="J4604">
        <v>9</v>
      </c>
      <c r="K4604">
        <v>11281.59</v>
      </c>
      <c r="L4604">
        <v>0.7</v>
      </c>
    </row>
    <row r="4605" spans="1:12" x14ac:dyDescent="0.3">
      <c r="A4605" t="s">
        <v>4620</v>
      </c>
      <c r="B4605" t="s">
        <v>10</v>
      </c>
      <c r="C4605" t="s">
        <v>11</v>
      </c>
      <c r="D4605">
        <v>43</v>
      </c>
      <c r="E4605" s="1">
        <v>44704</v>
      </c>
      <c r="F4605">
        <v>2022</v>
      </c>
      <c r="G4605" t="s">
        <v>5036</v>
      </c>
      <c r="H4605">
        <v>23</v>
      </c>
      <c r="I4605">
        <v>4.42</v>
      </c>
      <c r="J4605">
        <v>6</v>
      </c>
      <c r="K4605">
        <v>11542.65</v>
      </c>
      <c r="L4605">
        <v>3.4</v>
      </c>
    </row>
    <row r="4606" spans="1:12" x14ac:dyDescent="0.3">
      <c r="A4606" t="s">
        <v>4621</v>
      </c>
      <c r="B4606" t="s">
        <v>24</v>
      </c>
      <c r="C4606" t="s">
        <v>11</v>
      </c>
      <c r="D4606">
        <v>58</v>
      </c>
      <c r="E4606" s="1">
        <v>45214</v>
      </c>
      <c r="F4606">
        <v>2023</v>
      </c>
      <c r="G4606" t="s">
        <v>5039</v>
      </c>
      <c r="H4606">
        <v>15</v>
      </c>
      <c r="I4606">
        <v>3.46</v>
      </c>
      <c r="J4606">
        <v>12</v>
      </c>
      <c r="K4606">
        <v>9794.24</v>
      </c>
      <c r="L4606">
        <v>2</v>
      </c>
    </row>
    <row r="4607" spans="1:12" x14ac:dyDescent="0.3">
      <c r="A4607" t="s">
        <v>4622</v>
      </c>
      <c r="B4607" t="s">
        <v>13</v>
      </c>
      <c r="C4607" t="s">
        <v>14</v>
      </c>
      <c r="D4607">
        <v>45</v>
      </c>
      <c r="E4607" s="1">
        <v>42434</v>
      </c>
      <c r="F4607">
        <v>2016</v>
      </c>
      <c r="G4607" t="s">
        <v>5035</v>
      </c>
      <c r="H4607">
        <v>5</v>
      </c>
      <c r="I4607">
        <v>1.96</v>
      </c>
      <c r="J4607">
        <v>0</v>
      </c>
      <c r="K4607">
        <v>4779.6899999999996</v>
      </c>
      <c r="L4607">
        <v>9.6999999999999993</v>
      </c>
    </row>
    <row r="4608" spans="1:12" x14ac:dyDescent="0.3">
      <c r="A4608" t="s">
        <v>4623</v>
      </c>
      <c r="B4608" t="s">
        <v>13</v>
      </c>
      <c r="C4608" t="s">
        <v>11</v>
      </c>
      <c r="D4608">
        <v>46</v>
      </c>
      <c r="E4608" s="1">
        <v>41881</v>
      </c>
      <c r="F4608">
        <v>2014</v>
      </c>
      <c r="G4608" t="s">
        <v>5031</v>
      </c>
      <c r="H4608">
        <v>30</v>
      </c>
      <c r="I4608">
        <v>1.99</v>
      </c>
      <c r="J4608">
        <v>12</v>
      </c>
      <c r="K4608">
        <v>3873.79</v>
      </c>
      <c r="L4608">
        <v>11.2</v>
      </c>
    </row>
    <row r="4609" spans="1:12" x14ac:dyDescent="0.3">
      <c r="A4609" t="s">
        <v>4624</v>
      </c>
      <c r="B4609" t="s">
        <v>16</v>
      </c>
      <c r="C4609" t="s">
        <v>14</v>
      </c>
      <c r="D4609">
        <v>40</v>
      </c>
      <c r="E4609" s="1">
        <v>41416</v>
      </c>
      <c r="F4609">
        <v>2013</v>
      </c>
      <c r="G4609" t="s">
        <v>5036</v>
      </c>
      <c r="H4609">
        <v>22</v>
      </c>
      <c r="I4609">
        <v>1.74</v>
      </c>
      <c r="J4609">
        <v>2</v>
      </c>
      <c r="K4609">
        <v>4665.47</v>
      </c>
      <c r="L4609">
        <v>12.5</v>
      </c>
    </row>
    <row r="4610" spans="1:12" x14ac:dyDescent="0.3">
      <c r="A4610" t="s">
        <v>4625</v>
      </c>
      <c r="B4610" t="s">
        <v>13</v>
      </c>
      <c r="C4610" t="s">
        <v>14</v>
      </c>
      <c r="D4610">
        <v>50</v>
      </c>
      <c r="E4610" s="1">
        <v>42394</v>
      </c>
      <c r="F4610">
        <v>2016</v>
      </c>
      <c r="G4610" t="s">
        <v>5037</v>
      </c>
      <c r="H4610">
        <v>25</v>
      </c>
      <c r="I4610">
        <v>4.3499999999999996</v>
      </c>
      <c r="J4610">
        <v>6</v>
      </c>
      <c r="K4610">
        <v>3621.96</v>
      </c>
      <c r="L4610">
        <v>9.8000000000000007</v>
      </c>
    </row>
    <row r="4611" spans="1:12" x14ac:dyDescent="0.3">
      <c r="A4611" t="s">
        <v>4626</v>
      </c>
      <c r="B4611" t="s">
        <v>10</v>
      </c>
      <c r="C4611" t="s">
        <v>11</v>
      </c>
      <c r="D4611">
        <v>28</v>
      </c>
      <c r="E4611" s="1">
        <v>40467</v>
      </c>
      <c r="F4611">
        <v>2010</v>
      </c>
      <c r="G4611" t="s">
        <v>5039</v>
      </c>
      <c r="H4611">
        <v>16</v>
      </c>
      <c r="I4611">
        <v>2.2400000000000002</v>
      </c>
      <c r="J4611">
        <v>12</v>
      </c>
      <c r="K4611">
        <v>13431.73</v>
      </c>
      <c r="L4611">
        <v>15.1</v>
      </c>
    </row>
    <row r="4612" spans="1:12" x14ac:dyDescent="0.3">
      <c r="A4612" t="s">
        <v>4627</v>
      </c>
      <c r="B4612" t="s">
        <v>24</v>
      </c>
      <c r="C4612" t="s">
        <v>11</v>
      </c>
      <c r="D4612">
        <v>29</v>
      </c>
      <c r="E4612" s="1">
        <v>40708</v>
      </c>
      <c r="F4612">
        <v>2011</v>
      </c>
      <c r="G4612" t="s">
        <v>5032</v>
      </c>
      <c r="H4612">
        <v>14</v>
      </c>
      <c r="I4612">
        <v>1.67</v>
      </c>
      <c r="J4612">
        <v>3</v>
      </c>
      <c r="K4612">
        <v>11212.63</v>
      </c>
      <c r="L4612">
        <v>14.4</v>
      </c>
    </row>
    <row r="4613" spans="1:12" x14ac:dyDescent="0.3">
      <c r="A4613" t="s">
        <v>4628</v>
      </c>
      <c r="B4613" t="s">
        <v>24</v>
      </c>
      <c r="C4613" t="s">
        <v>11</v>
      </c>
      <c r="D4613">
        <v>59</v>
      </c>
      <c r="E4613" s="1">
        <v>44054</v>
      </c>
      <c r="F4613">
        <v>2020</v>
      </c>
      <c r="G4613" t="s">
        <v>5031</v>
      </c>
      <c r="H4613">
        <v>11</v>
      </c>
      <c r="I4613">
        <v>1.76</v>
      </c>
      <c r="J4613">
        <v>5</v>
      </c>
      <c r="K4613">
        <v>12211.46</v>
      </c>
      <c r="L4613">
        <v>5.2</v>
      </c>
    </row>
    <row r="4614" spans="1:12" x14ac:dyDescent="0.3">
      <c r="A4614" t="s">
        <v>4629</v>
      </c>
      <c r="B4614" t="s">
        <v>10</v>
      </c>
      <c r="C4614" t="s">
        <v>14</v>
      </c>
      <c r="D4614">
        <v>26</v>
      </c>
      <c r="E4614" s="1">
        <v>40475</v>
      </c>
      <c r="F4614">
        <v>2010</v>
      </c>
      <c r="G4614" t="s">
        <v>5039</v>
      </c>
      <c r="H4614">
        <v>24</v>
      </c>
      <c r="I4614">
        <v>2.4900000000000002</v>
      </c>
      <c r="J4614">
        <v>12</v>
      </c>
      <c r="K4614">
        <v>14577.29</v>
      </c>
      <c r="L4614">
        <v>15</v>
      </c>
    </row>
    <row r="4615" spans="1:12" x14ac:dyDescent="0.3">
      <c r="A4615" t="s">
        <v>4630</v>
      </c>
      <c r="B4615" t="s">
        <v>16</v>
      </c>
      <c r="C4615" t="s">
        <v>11</v>
      </c>
      <c r="D4615">
        <v>59</v>
      </c>
      <c r="E4615" s="1">
        <v>40347</v>
      </c>
      <c r="F4615">
        <v>2010</v>
      </c>
      <c r="G4615" t="s">
        <v>5032</v>
      </c>
      <c r="H4615">
        <v>18</v>
      </c>
      <c r="I4615">
        <v>4.16</v>
      </c>
      <c r="J4615">
        <v>6</v>
      </c>
      <c r="K4615">
        <v>14894.33</v>
      </c>
      <c r="L4615">
        <v>15.4</v>
      </c>
    </row>
    <row r="4616" spans="1:12" x14ac:dyDescent="0.3">
      <c r="A4616" t="s">
        <v>4631</v>
      </c>
      <c r="B4616" t="s">
        <v>24</v>
      </c>
      <c r="C4616" t="s">
        <v>14</v>
      </c>
      <c r="D4616">
        <v>47</v>
      </c>
      <c r="E4616" s="1">
        <v>45392</v>
      </c>
      <c r="F4616">
        <v>2024</v>
      </c>
      <c r="G4616" t="s">
        <v>5040</v>
      </c>
      <c r="H4616">
        <v>10</v>
      </c>
      <c r="I4616">
        <v>1.67</v>
      </c>
      <c r="J4616">
        <v>10</v>
      </c>
      <c r="K4616">
        <v>11858.84</v>
      </c>
      <c r="L4616">
        <v>1.6</v>
      </c>
    </row>
    <row r="4617" spans="1:12" x14ac:dyDescent="0.3">
      <c r="A4617" t="s">
        <v>4632</v>
      </c>
      <c r="B4617" t="s">
        <v>18</v>
      </c>
      <c r="C4617" t="s">
        <v>11</v>
      </c>
      <c r="D4617">
        <v>38</v>
      </c>
      <c r="E4617" s="1">
        <v>44912</v>
      </c>
      <c r="F4617">
        <v>2022</v>
      </c>
      <c r="G4617" t="s">
        <v>5041</v>
      </c>
      <c r="H4617">
        <v>17</v>
      </c>
      <c r="I4617">
        <v>1.59</v>
      </c>
      <c r="J4617">
        <v>6</v>
      </c>
      <c r="K4617">
        <v>8847.26</v>
      </c>
      <c r="L4617">
        <v>2.9</v>
      </c>
    </row>
    <row r="4618" spans="1:12" x14ac:dyDescent="0.3">
      <c r="A4618" t="s">
        <v>4633</v>
      </c>
      <c r="B4618" t="s">
        <v>18</v>
      </c>
      <c r="C4618" t="s">
        <v>14</v>
      </c>
      <c r="D4618">
        <v>29</v>
      </c>
      <c r="E4618" s="1">
        <v>42060</v>
      </c>
      <c r="F4618">
        <v>2015</v>
      </c>
      <c r="G4618" t="s">
        <v>5042</v>
      </c>
      <c r="H4618">
        <v>25</v>
      </c>
      <c r="I4618">
        <v>1.92</v>
      </c>
      <c r="J4618">
        <v>0</v>
      </c>
      <c r="K4618">
        <v>4327.78</v>
      </c>
      <c r="L4618">
        <v>10.7</v>
      </c>
    </row>
    <row r="4619" spans="1:12" x14ac:dyDescent="0.3">
      <c r="A4619" t="s">
        <v>4634</v>
      </c>
      <c r="B4619" t="s">
        <v>13</v>
      </c>
      <c r="C4619" t="s">
        <v>14</v>
      </c>
      <c r="D4619">
        <v>55</v>
      </c>
      <c r="E4619" s="1">
        <v>44956</v>
      </c>
      <c r="F4619">
        <v>2023</v>
      </c>
      <c r="G4619" t="s">
        <v>5037</v>
      </c>
      <c r="H4619">
        <v>30</v>
      </c>
      <c r="I4619">
        <v>3.29</v>
      </c>
      <c r="J4619">
        <v>2</v>
      </c>
      <c r="K4619">
        <v>5961.76</v>
      </c>
      <c r="L4619">
        <v>2.8</v>
      </c>
    </row>
    <row r="4620" spans="1:12" x14ac:dyDescent="0.3">
      <c r="A4620" t="s">
        <v>4635</v>
      </c>
      <c r="B4620" t="s">
        <v>16</v>
      </c>
      <c r="C4620" t="s">
        <v>11</v>
      </c>
      <c r="D4620">
        <v>54</v>
      </c>
      <c r="E4620" s="1">
        <v>40467</v>
      </c>
      <c r="F4620">
        <v>2010</v>
      </c>
      <c r="G4620" t="s">
        <v>5039</v>
      </c>
      <c r="H4620">
        <v>16</v>
      </c>
      <c r="I4620">
        <v>3.5</v>
      </c>
      <c r="J4620">
        <v>14</v>
      </c>
      <c r="K4620">
        <v>3420.96</v>
      </c>
      <c r="L4620">
        <v>15.1</v>
      </c>
    </row>
    <row r="4621" spans="1:12" x14ac:dyDescent="0.3">
      <c r="A4621" t="s">
        <v>4636</v>
      </c>
      <c r="B4621" t="s">
        <v>34</v>
      </c>
      <c r="C4621" t="s">
        <v>14</v>
      </c>
      <c r="D4621">
        <v>43</v>
      </c>
      <c r="E4621" s="1">
        <v>40982</v>
      </c>
      <c r="F4621">
        <v>2012</v>
      </c>
      <c r="G4621" t="s">
        <v>5035</v>
      </c>
      <c r="H4621">
        <v>14</v>
      </c>
      <c r="I4621">
        <v>3.14</v>
      </c>
      <c r="J4621">
        <v>7</v>
      </c>
      <c r="K4621">
        <v>9370.86</v>
      </c>
      <c r="L4621">
        <v>13.6</v>
      </c>
    </row>
    <row r="4622" spans="1:12" x14ac:dyDescent="0.3">
      <c r="A4622" t="s">
        <v>4637</v>
      </c>
      <c r="B4622" t="s">
        <v>18</v>
      </c>
      <c r="C4622" t="s">
        <v>11</v>
      </c>
      <c r="D4622">
        <v>29</v>
      </c>
      <c r="E4622" s="1">
        <v>43106</v>
      </c>
      <c r="F4622">
        <v>2018</v>
      </c>
      <c r="G4622" t="s">
        <v>5037</v>
      </c>
      <c r="H4622">
        <v>6</v>
      </c>
      <c r="I4622">
        <v>3.46</v>
      </c>
      <c r="J4622">
        <v>5</v>
      </c>
      <c r="K4622">
        <v>11621.54</v>
      </c>
      <c r="L4622">
        <v>7.8</v>
      </c>
    </row>
    <row r="4623" spans="1:12" x14ac:dyDescent="0.3">
      <c r="A4623" t="s">
        <v>4638</v>
      </c>
      <c r="B4623" t="s">
        <v>34</v>
      </c>
      <c r="C4623" t="s">
        <v>14</v>
      </c>
      <c r="D4623">
        <v>31</v>
      </c>
      <c r="E4623" s="1">
        <v>44319</v>
      </c>
      <c r="F4623">
        <v>2021</v>
      </c>
      <c r="G4623" t="s">
        <v>5036</v>
      </c>
      <c r="H4623">
        <v>3</v>
      </c>
      <c r="I4623">
        <v>4.45</v>
      </c>
      <c r="J4623">
        <v>11</v>
      </c>
      <c r="K4623">
        <v>5230.04</v>
      </c>
      <c r="L4623">
        <v>4.5</v>
      </c>
    </row>
    <row r="4624" spans="1:12" x14ac:dyDescent="0.3">
      <c r="A4624" t="s">
        <v>4639</v>
      </c>
      <c r="B4624" t="s">
        <v>16</v>
      </c>
      <c r="C4624" t="s">
        <v>11</v>
      </c>
      <c r="D4624">
        <v>42</v>
      </c>
      <c r="E4624" s="1">
        <v>42487</v>
      </c>
      <c r="F4624">
        <v>2016</v>
      </c>
      <c r="G4624" t="s">
        <v>5040</v>
      </c>
      <c r="H4624">
        <v>27</v>
      </c>
      <c r="I4624">
        <v>2.21</v>
      </c>
      <c r="J4624">
        <v>15</v>
      </c>
      <c r="K4624">
        <v>6228.9</v>
      </c>
      <c r="L4624">
        <v>9.5</v>
      </c>
    </row>
    <row r="4625" spans="1:12" x14ac:dyDescent="0.3">
      <c r="A4625" t="s">
        <v>4640</v>
      </c>
      <c r="B4625" t="s">
        <v>16</v>
      </c>
      <c r="C4625" t="s">
        <v>14</v>
      </c>
      <c r="D4625">
        <v>50</v>
      </c>
      <c r="E4625" s="1">
        <v>43531</v>
      </c>
      <c r="F4625">
        <v>2019</v>
      </c>
      <c r="G4625" t="s">
        <v>5035</v>
      </c>
      <c r="H4625">
        <v>7</v>
      </c>
      <c r="I4625">
        <v>4.93</v>
      </c>
      <c r="J4625">
        <v>1</v>
      </c>
      <c r="K4625">
        <v>13068.26</v>
      </c>
      <c r="L4625">
        <v>6.7</v>
      </c>
    </row>
    <row r="4626" spans="1:12" x14ac:dyDescent="0.3">
      <c r="A4626" t="s">
        <v>4641</v>
      </c>
      <c r="B4626" t="s">
        <v>34</v>
      </c>
      <c r="C4626" t="s">
        <v>11</v>
      </c>
      <c r="D4626">
        <v>33</v>
      </c>
      <c r="E4626" s="1">
        <v>45655</v>
      </c>
      <c r="F4626">
        <v>2024</v>
      </c>
      <c r="G4626" t="s">
        <v>5041</v>
      </c>
      <c r="H4626">
        <v>29</v>
      </c>
      <c r="I4626">
        <v>1.53</v>
      </c>
      <c r="J4626">
        <v>12</v>
      </c>
      <c r="K4626">
        <v>7780.89</v>
      </c>
      <c r="L4626">
        <v>0.8</v>
      </c>
    </row>
    <row r="4627" spans="1:12" x14ac:dyDescent="0.3">
      <c r="A4627" t="s">
        <v>4642</v>
      </c>
      <c r="B4627" t="s">
        <v>10</v>
      </c>
      <c r="C4627" t="s">
        <v>14</v>
      </c>
      <c r="D4627">
        <v>22</v>
      </c>
      <c r="E4627" s="1">
        <v>44127</v>
      </c>
      <c r="F4627">
        <v>2020</v>
      </c>
      <c r="G4627" t="s">
        <v>5039</v>
      </c>
      <c r="H4627">
        <v>23</v>
      </c>
      <c r="I4627">
        <v>4.49</v>
      </c>
      <c r="J4627">
        <v>7</v>
      </c>
      <c r="K4627">
        <v>6203.39</v>
      </c>
      <c r="L4627">
        <v>5</v>
      </c>
    </row>
    <row r="4628" spans="1:12" x14ac:dyDescent="0.3">
      <c r="A4628" t="s">
        <v>4643</v>
      </c>
      <c r="B4628" t="s">
        <v>13</v>
      </c>
      <c r="C4628" t="s">
        <v>11</v>
      </c>
      <c r="D4628">
        <v>41</v>
      </c>
      <c r="E4628" s="1">
        <v>42304</v>
      </c>
      <c r="F4628">
        <v>2015</v>
      </c>
      <c r="G4628" t="s">
        <v>5039</v>
      </c>
      <c r="H4628">
        <v>27</v>
      </c>
      <c r="I4628">
        <v>3.86</v>
      </c>
      <c r="J4628">
        <v>2</v>
      </c>
      <c r="K4628">
        <v>14626.14</v>
      </c>
      <c r="L4628">
        <v>10</v>
      </c>
    </row>
    <row r="4629" spans="1:12" x14ac:dyDescent="0.3">
      <c r="A4629" t="s">
        <v>4644</v>
      </c>
      <c r="B4629" t="s">
        <v>34</v>
      </c>
      <c r="C4629" t="s">
        <v>11</v>
      </c>
      <c r="D4629">
        <v>56</v>
      </c>
      <c r="E4629" s="1">
        <v>40570</v>
      </c>
      <c r="F4629">
        <v>2011</v>
      </c>
      <c r="G4629" t="s">
        <v>5037</v>
      </c>
      <c r="H4629">
        <v>27</v>
      </c>
      <c r="I4629">
        <v>4.33</v>
      </c>
      <c r="J4629">
        <v>8</v>
      </c>
      <c r="K4629">
        <v>6667.53</v>
      </c>
      <c r="L4629">
        <v>14.8</v>
      </c>
    </row>
    <row r="4630" spans="1:12" x14ac:dyDescent="0.3">
      <c r="A4630" t="s">
        <v>4645</v>
      </c>
      <c r="B4630" t="s">
        <v>16</v>
      </c>
      <c r="C4630" t="s">
        <v>11</v>
      </c>
      <c r="D4630">
        <v>60</v>
      </c>
      <c r="E4630" s="1">
        <v>42724</v>
      </c>
      <c r="F4630">
        <v>2016</v>
      </c>
      <c r="G4630" t="s">
        <v>5041</v>
      </c>
      <c r="H4630">
        <v>20</v>
      </c>
      <c r="I4630">
        <v>1.67</v>
      </c>
      <c r="J4630">
        <v>13</v>
      </c>
      <c r="K4630">
        <v>6411.79</v>
      </c>
      <c r="L4630">
        <v>8.9</v>
      </c>
    </row>
    <row r="4631" spans="1:12" x14ac:dyDescent="0.3">
      <c r="A4631" t="s">
        <v>4646</v>
      </c>
      <c r="B4631" t="s">
        <v>24</v>
      </c>
      <c r="C4631" t="s">
        <v>14</v>
      </c>
      <c r="D4631">
        <v>34</v>
      </c>
      <c r="E4631" s="1">
        <v>45731</v>
      </c>
      <c r="F4631">
        <v>2025</v>
      </c>
      <c r="G4631" t="s">
        <v>5035</v>
      </c>
      <c r="H4631">
        <v>15</v>
      </c>
      <c r="I4631">
        <v>1.8</v>
      </c>
      <c r="J4631">
        <v>0</v>
      </c>
      <c r="K4631">
        <v>8566.2999999999993</v>
      </c>
      <c r="L4631">
        <v>0.6</v>
      </c>
    </row>
    <row r="4632" spans="1:12" x14ac:dyDescent="0.3">
      <c r="A4632" t="s">
        <v>4647</v>
      </c>
      <c r="B4632" t="s">
        <v>34</v>
      </c>
      <c r="C4632" t="s">
        <v>14</v>
      </c>
      <c r="D4632">
        <v>32</v>
      </c>
      <c r="E4632" s="1">
        <v>44362</v>
      </c>
      <c r="F4632">
        <v>2021</v>
      </c>
      <c r="G4632" t="s">
        <v>5032</v>
      </c>
      <c r="H4632">
        <v>15</v>
      </c>
      <c r="I4632">
        <v>4.5</v>
      </c>
      <c r="J4632">
        <v>5</v>
      </c>
      <c r="K4632">
        <v>6162.12</v>
      </c>
      <c r="L4632">
        <v>4.4000000000000004</v>
      </c>
    </row>
    <row r="4633" spans="1:12" x14ac:dyDescent="0.3">
      <c r="A4633" t="s">
        <v>4648</v>
      </c>
      <c r="B4633" t="s">
        <v>10</v>
      </c>
      <c r="C4633" t="s">
        <v>11</v>
      </c>
      <c r="D4633">
        <v>27</v>
      </c>
      <c r="E4633" s="1">
        <v>44572</v>
      </c>
      <c r="F4633">
        <v>2022</v>
      </c>
      <c r="G4633" t="s">
        <v>5037</v>
      </c>
      <c r="H4633">
        <v>11</v>
      </c>
      <c r="I4633">
        <v>2.5</v>
      </c>
      <c r="J4633">
        <v>9</v>
      </c>
      <c r="K4633">
        <v>12978.33</v>
      </c>
      <c r="L4633">
        <v>3.8</v>
      </c>
    </row>
    <row r="4634" spans="1:12" x14ac:dyDescent="0.3">
      <c r="A4634" t="s">
        <v>4649</v>
      </c>
      <c r="B4634" t="s">
        <v>18</v>
      </c>
      <c r="C4634" t="s">
        <v>14</v>
      </c>
      <c r="D4634">
        <v>46</v>
      </c>
      <c r="E4634" s="1">
        <v>40740</v>
      </c>
      <c r="F4634">
        <v>2011</v>
      </c>
      <c r="G4634" t="s">
        <v>5034</v>
      </c>
      <c r="H4634">
        <v>16</v>
      </c>
      <c r="I4634">
        <v>2.93</v>
      </c>
      <c r="J4634">
        <v>6</v>
      </c>
      <c r="K4634">
        <v>12534.48</v>
      </c>
      <c r="L4634">
        <v>14.3</v>
      </c>
    </row>
    <row r="4635" spans="1:12" x14ac:dyDescent="0.3">
      <c r="A4635" t="s">
        <v>4650</v>
      </c>
      <c r="B4635" t="s">
        <v>34</v>
      </c>
      <c r="C4635" t="s">
        <v>11</v>
      </c>
      <c r="D4635">
        <v>48</v>
      </c>
      <c r="E4635" s="1">
        <v>45641</v>
      </c>
      <c r="F4635">
        <v>2024</v>
      </c>
      <c r="G4635" t="s">
        <v>5041</v>
      </c>
      <c r="H4635">
        <v>15</v>
      </c>
      <c r="I4635">
        <v>2.62</v>
      </c>
      <c r="J4635">
        <v>1</v>
      </c>
      <c r="K4635">
        <v>11010.11</v>
      </c>
      <c r="L4635">
        <v>0.9</v>
      </c>
    </row>
    <row r="4636" spans="1:12" x14ac:dyDescent="0.3">
      <c r="A4636" t="s">
        <v>4651</v>
      </c>
      <c r="B4636" t="s">
        <v>13</v>
      </c>
      <c r="C4636" t="s">
        <v>11</v>
      </c>
      <c r="D4636">
        <v>46</v>
      </c>
      <c r="E4636" s="1">
        <v>44133</v>
      </c>
      <c r="F4636">
        <v>2020</v>
      </c>
      <c r="G4636" t="s">
        <v>5039</v>
      </c>
      <c r="H4636">
        <v>29</v>
      </c>
      <c r="I4636">
        <v>4.24</v>
      </c>
      <c r="J4636">
        <v>11</v>
      </c>
      <c r="K4636">
        <v>4217.34</v>
      </c>
      <c r="L4636">
        <v>5</v>
      </c>
    </row>
    <row r="4637" spans="1:12" x14ac:dyDescent="0.3">
      <c r="A4637" t="s">
        <v>4652</v>
      </c>
      <c r="B4637" t="s">
        <v>24</v>
      </c>
      <c r="C4637" t="s">
        <v>11</v>
      </c>
      <c r="D4637">
        <v>29</v>
      </c>
      <c r="E4637" s="1">
        <v>41645</v>
      </c>
      <c r="F4637">
        <v>2014</v>
      </c>
      <c r="G4637" t="s">
        <v>5037</v>
      </c>
      <c r="H4637">
        <v>6</v>
      </c>
      <c r="I4637">
        <v>2.93</v>
      </c>
      <c r="J4637">
        <v>0</v>
      </c>
      <c r="K4637">
        <v>4835.1000000000004</v>
      </c>
      <c r="L4637">
        <v>11.8</v>
      </c>
    </row>
    <row r="4638" spans="1:12" x14ac:dyDescent="0.3">
      <c r="A4638" t="s">
        <v>4653</v>
      </c>
      <c r="B4638" t="s">
        <v>34</v>
      </c>
      <c r="C4638" t="s">
        <v>11</v>
      </c>
      <c r="D4638">
        <v>48</v>
      </c>
      <c r="E4638" s="1">
        <v>43896</v>
      </c>
      <c r="F4638">
        <v>2020</v>
      </c>
      <c r="G4638" t="s">
        <v>5035</v>
      </c>
      <c r="H4638">
        <v>6</v>
      </c>
      <c r="I4638">
        <v>3.01</v>
      </c>
      <c r="J4638">
        <v>6</v>
      </c>
      <c r="K4638">
        <v>8769.26</v>
      </c>
      <c r="L4638">
        <v>5.7</v>
      </c>
    </row>
    <row r="4639" spans="1:12" x14ac:dyDescent="0.3">
      <c r="A4639" t="s">
        <v>4654</v>
      </c>
      <c r="B4639" t="s">
        <v>16</v>
      </c>
      <c r="C4639" t="s">
        <v>11</v>
      </c>
      <c r="D4639">
        <v>53</v>
      </c>
      <c r="E4639" s="1">
        <v>41893</v>
      </c>
      <c r="F4639">
        <v>2014</v>
      </c>
      <c r="G4639" t="s">
        <v>5033</v>
      </c>
      <c r="H4639">
        <v>11</v>
      </c>
      <c r="I4639">
        <v>2.1800000000000002</v>
      </c>
      <c r="J4639">
        <v>13</v>
      </c>
      <c r="K4639">
        <v>4860.97</v>
      </c>
      <c r="L4639">
        <v>11.1</v>
      </c>
    </row>
    <row r="4640" spans="1:12" x14ac:dyDescent="0.3">
      <c r="A4640" t="s">
        <v>4655</v>
      </c>
      <c r="B4640" t="s">
        <v>16</v>
      </c>
      <c r="C4640" t="s">
        <v>14</v>
      </c>
      <c r="D4640">
        <v>42</v>
      </c>
      <c r="E4640" s="1">
        <v>45035</v>
      </c>
      <c r="F4640">
        <v>2023</v>
      </c>
      <c r="G4640" t="s">
        <v>5040</v>
      </c>
      <c r="H4640">
        <v>19</v>
      </c>
      <c r="I4640">
        <v>1.67</v>
      </c>
      <c r="J4640">
        <v>10</v>
      </c>
      <c r="K4640">
        <v>14669.47</v>
      </c>
      <c r="L4640">
        <v>2.5</v>
      </c>
    </row>
    <row r="4641" spans="1:12" x14ac:dyDescent="0.3">
      <c r="A4641" t="s">
        <v>4656</v>
      </c>
      <c r="B4641" t="s">
        <v>16</v>
      </c>
      <c r="C4641" t="s">
        <v>14</v>
      </c>
      <c r="D4641">
        <v>46</v>
      </c>
      <c r="E4641" s="1">
        <v>41948</v>
      </c>
      <c r="F4641">
        <v>2014</v>
      </c>
      <c r="G4641" t="s">
        <v>5038</v>
      </c>
      <c r="H4641">
        <v>5</v>
      </c>
      <c r="I4641">
        <v>2.0699999999999998</v>
      </c>
      <c r="J4641">
        <v>12</v>
      </c>
      <c r="K4641">
        <v>13627.49</v>
      </c>
      <c r="L4641">
        <v>11</v>
      </c>
    </row>
    <row r="4642" spans="1:12" x14ac:dyDescent="0.3">
      <c r="A4642" t="s">
        <v>4657</v>
      </c>
      <c r="B4642" t="s">
        <v>13</v>
      </c>
      <c r="C4642" t="s">
        <v>11</v>
      </c>
      <c r="D4642">
        <v>42</v>
      </c>
      <c r="E4642" s="1">
        <v>45453</v>
      </c>
      <c r="F4642">
        <v>2024</v>
      </c>
      <c r="G4642" t="s">
        <v>5032</v>
      </c>
      <c r="H4642">
        <v>10</v>
      </c>
      <c r="I4642">
        <v>4.13</v>
      </c>
      <c r="J4642">
        <v>0</v>
      </c>
      <c r="K4642">
        <v>9902.42</v>
      </c>
      <c r="L4642">
        <v>1.4</v>
      </c>
    </row>
    <row r="4643" spans="1:12" x14ac:dyDescent="0.3">
      <c r="A4643" t="s">
        <v>4658</v>
      </c>
      <c r="B4643" t="s">
        <v>24</v>
      </c>
      <c r="C4643" t="s">
        <v>14</v>
      </c>
      <c r="D4643">
        <v>46</v>
      </c>
      <c r="E4643" s="1">
        <v>43973</v>
      </c>
      <c r="F4643">
        <v>2020</v>
      </c>
      <c r="G4643" t="s">
        <v>5036</v>
      </c>
      <c r="H4643">
        <v>22</v>
      </c>
      <c r="I4643">
        <v>3.54</v>
      </c>
      <c r="J4643">
        <v>2</v>
      </c>
      <c r="K4643">
        <v>5062.6400000000003</v>
      </c>
      <c r="L4643">
        <v>5.4</v>
      </c>
    </row>
    <row r="4644" spans="1:12" x14ac:dyDescent="0.3">
      <c r="A4644" t="s">
        <v>4659</v>
      </c>
      <c r="B4644" t="s">
        <v>18</v>
      </c>
      <c r="C4644" t="s">
        <v>11</v>
      </c>
      <c r="D4644">
        <v>37</v>
      </c>
      <c r="E4644" s="1">
        <v>42248</v>
      </c>
      <c r="F4644">
        <v>2015</v>
      </c>
      <c r="G4644" t="s">
        <v>5033</v>
      </c>
      <c r="H4644">
        <v>1</v>
      </c>
      <c r="I4644">
        <v>3.35</v>
      </c>
      <c r="J4644">
        <v>11</v>
      </c>
      <c r="K4644">
        <v>14138.17</v>
      </c>
      <c r="L4644">
        <v>10.199999999999999</v>
      </c>
    </row>
    <row r="4645" spans="1:12" x14ac:dyDescent="0.3">
      <c r="A4645" t="s">
        <v>4660</v>
      </c>
      <c r="B4645" t="s">
        <v>16</v>
      </c>
      <c r="C4645" t="s">
        <v>14</v>
      </c>
      <c r="D4645">
        <v>37</v>
      </c>
      <c r="E4645" s="1">
        <v>40546</v>
      </c>
      <c r="F4645">
        <v>2011</v>
      </c>
      <c r="G4645" t="s">
        <v>5037</v>
      </c>
      <c r="H4645">
        <v>3</v>
      </c>
      <c r="I4645">
        <v>2.02</v>
      </c>
      <c r="J4645">
        <v>2</v>
      </c>
      <c r="K4645">
        <v>8297.39</v>
      </c>
      <c r="L4645">
        <v>14.8</v>
      </c>
    </row>
    <row r="4646" spans="1:12" x14ac:dyDescent="0.3">
      <c r="A4646" t="s">
        <v>4661</v>
      </c>
      <c r="B4646" t="s">
        <v>16</v>
      </c>
      <c r="C4646" t="s">
        <v>14</v>
      </c>
      <c r="D4646">
        <v>38</v>
      </c>
      <c r="E4646" s="1">
        <v>44925</v>
      </c>
      <c r="F4646">
        <v>2022</v>
      </c>
      <c r="G4646" t="s">
        <v>5041</v>
      </c>
      <c r="H4646">
        <v>30</v>
      </c>
      <c r="I4646">
        <v>4.4000000000000004</v>
      </c>
      <c r="J4646">
        <v>14</v>
      </c>
      <c r="K4646">
        <v>9563.0499999999993</v>
      </c>
      <c r="L4646">
        <v>2.8</v>
      </c>
    </row>
    <row r="4647" spans="1:12" x14ac:dyDescent="0.3">
      <c r="A4647" t="s">
        <v>4662</v>
      </c>
      <c r="B4647" t="s">
        <v>34</v>
      </c>
      <c r="C4647" t="s">
        <v>11</v>
      </c>
      <c r="D4647">
        <v>52</v>
      </c>
      <c r="E4647" s="1">
        <v>40758</v>
      </c>
      <c r="F4647">
        <v>2011</v>
      </c>
      <c r="G4647" t="s">
        <v>5031</v>
      </c>
      <c r="H4647">
        <v>3</v>
      </c>
      <c r="I4647">
        <v>2.5099999999999998</v>
      </c>
      <c r="J4647">
        <v>5</v>
      </c>
      <c r="K4647">
        <v>9059.27</v>
      </c>
      <c r="L4647">
        <v>14.3</v>
      </c>
    </row>
    <row r="4648" spans="1:12" x14ac:dyDescent="0.3">
      <c r="A4648" t="s">
        <v>4663</v>
      </c>
      <c r="B4648" t="s">
        <v>18</v>
      </c>
      <c r="C4648" t="s">
        <v>11</v>
      </c>
      <c r="D4648">
        <v>39</v>
      </c>
      <c r="E4648" s="1">
        <v>43385</v>
      </c>
      <c r="F4648">
        <v>2018</v>
      </c>
      <c r="G4648" t="s">
        <v>5039</v>
      </c>
      <c r="H4648">
        <v>12</v>
      </c>
      <c r="I4648">
        <v>2.3199999999999998</v>
      </c>
      <c r="J4648">
        <v>9</v>
      </c>
      <c r="K4648">
        <v>8225.52</v>
      </c>
      <c r="L4648">
        <v>7.1</v>
      </c>
    </row>
    <row r="4649" spans="1:12" x14ac:dyDescent="0.3">
      <c r="A4649" t="s">
        <v>4664</v>
      </c>
      <c r="B4649" t="s">
        <v>24</v>
      </c>
      <c r="C4649" t="s">
        <v>14</v>
      </c>
      <c r="D4649">
        <v>36</v>
      </c>
      <c r="E4649" s="1">
        <v>40941</v>
      </c>
      <c r="F4649">
        <v>2012</v>
      </c>
      <c r="G4649" t="s">
        <v>5042</v>
      </c>
      <c r="H4649">
        <v>2</v>
      </c>
      <c r="I4649">
        <v>4.78</v>
      </c>
      <c r="J4649">
        <v>1</v>
      </c>
      <c r="K4649">
        <v>11339.58</v>
      </c>
      <c r="L4649">
        <v>13.8</v>
      </c>
    </row>
    <row r="4650" spans="1:12" x14ac:dyDescent="0.3">
      <c r="A4650" t="s">
        <v>4665</v>
      </c>
      <c r="B4650" t="s">
        <v>10</v>
      </c>
      <c r="C4650" t="s">
        <v>14</v>
      </c>
      <c r="D4650">
        <v>48</v>
      </c>
      <c r="E4650" s="1">
        <v>44071</v>
      </c>
      <c r="F4650">
        <v>2020</v>
      </c>
      <c r="G4650" t="s">
        <v>5031</v>
      </c>
      <c r="H4650">
        <v>28</v>
      </c>
      <c r="I4650">
        <v>3.2</v>
      </c>
      <c r="J4650">
        <v>1</v>
      </c>
      <c r="K4650">
        <v>3301.35</v>
      </c>
      <c r="L4650">
        <v>5.2</v>
      </c>
    </row>
    <row r="4651" spans="1:12" x14ac:dyDescent="0.3">
      <c r="A4651" t="s">
        <v>4666</v>
      </c>
      <c r="B4651" t="s">
        <v>16</v>
      </c>
      <c r="C4651" t="s">
        <v>14</v>
      </c>
      <c r="D4651">
        <v>33</v>
      </c>
      <c r="E4651" s="1">
        <v>40418</v>
      </c>
      <c r="F4651">
        <v>2010</v>
      </c>
      <c r="G4651" t="s">
        <v>5031</v>
      </c>
      <c r="H4651">
        <v>28</v>
      </c>
      <c r="I4651">
        <v>1.84</v>
      </c>
      <c r="J4651">
        <v>2</v>
      </c>
      <c r="K4651">
        <v>12491.42</v>
      </c>
      <c r="L4651">
        <v>15.2</v>
      </c>
    </row>
    <row r="4652" spans="1:12" x14ac:dyDescent="0.3">
      <c r="A4652" t="s">
        <v>4667</v>
      </c>
      <c r="B4652" t="s">
        <v>10</v>
      </c>
      <c r="C4652" t="s">
        <v>14</v>
      </c>
      <c r="D4652">
        <v>45</v>
      </c>
      <c r="E4652" s="1">
        <v>42090</v>
      </c>
      <c r="F4652">
        <v>2015</v>
      </c>
      <c r="G4652" t="s">
        <v>5035</v>
      </c>
      <c r="H4652">
        <v>27</v>
      </c>
      <c r="I4652">
        <v>3.12</v>
      </c>
      <c r="J4652">
        <v>8</v>
      </c>
      <c r="K4652">
        <v>11074.66</v>
      </c>
      <c r="L4652">
        <v>10.6</v>
      </c>
    </row>
    <row r="4653" spans="1:12" x14ac:dyDescent="0.3">
      <c r="A4653" t="s">
        <v>4668</v>
      </c>
      <c r="B4653" t="s">
        <v>16</v>
      </c>
      <c r="C4653" t="s">
        <v>11</v>
      </c>
      <c r="D4653">
        <v>41</v>
      </c>
      <c r="E4653" s="1">
        <v>40980</v>
      </c>
      <c r="F4653">
        <v>2012</v>
      </c>
      <c r="G4653" t="s">
        <v>5035</v>
      </c>
      <c r="H4653">
        <v>12</v>
      </c>
      <c r="I4653">
        <v>3.02</v>
      </c>
      <c r="J4653">
        <v>7</v>
      </c>
      <c r="K4653">
        <v>9369.57</v>
      </c>
      <c r="L4653">
        <v>13.6</v>
      </c>
    </row>
    <row r="4654" spans="1:12" x14ac:dyDescent="0.3">
      <c r="A4654" t="s">
        <v>4669</v>
      </c>
      <c r="B4654" t="s">
        <v>24</v>
      </c>
      <c r="C4654" t="s">
        <v>11</v>
      </c>
      <c r="D4654">
        <v>25</v>
      </c>
      <c r="E4654" s="1">
        <v>43070</v>
      </c>
      <c r="F4654">
        <v>2017</v>
      </c>
      <c r="G4654" t="s">
        <v>5041</v>
      </c>
      <c r="H4654">
        <v>1</v>
      </c>
      <c r="I4654">
        <v>4.1399999999999997</v>
      </c>
      <c r="J4654">
        <v>11</v>
      </c>
      <c r="K4654">
        <v>8920.58</v>
      </c>
      <c r="L4654">
        <v>7.9</v>
      </c>
    </row>
    <row r="4655" spans="1:12" x14ac:dyDescent="0.3">
      <c r="A4655" t="s">
        <v>4670</v>
      </c>
      <c r="B4655" t="s">
        <v>16</v>
      </c>
      <c r="C4655" t="s">
        <v>11</v>
      </c>
      <c r="D4655">
        <v>24</v>
      </c>
      <c r="E4655" s="1">
        <v>42838</v>
      </c>
      <c r="F4655">
        <v>2017</v>
      </c>
      <c r="G4655" t="s">
        <v>5040</v>
      </c>
      <c r="H4655">
        <v>13</v>
      </c>
      <c r="I4655">
        <v>4.95</v>
      </c>
      <c r="J4655">
        <v>1</v>
      </c>
      <c r="K4655">
        <v>11287.16</v>
      </c>
      <c r="L4655">
        <v>8.6</v>
      </c>
    </row>
    <row r="4656" spans="1:12" x14ac:dyDescent="0.3">
      <c r="A4656" t="s">
        <v>4671</v>
      </c>
      <c r="B4656" t="s">
        <v>18</v>
      </c>
      <c r="C4656" t="s">
        <v>14</v>
      </c>
      <c r="D4656">
        <v>29</v>
      </c>
      <c r="E4656" s="1">
        <v>43758</v>
      </c>
      <c r="F4656">
        <v>2019</v>
      </c>
      <c r="G4656" t="s">
        <v>5039</v>
      </c>
      <c r="H4656">
        <v>20</v>
      </c>
      <c r="I4656">
        <v>3.13</v>
      </c>
      <c r="J4656">
        <v>6</v>
      </c>
      <c r="K4656">
        <v>13779.16</v>
      </c>
      <c r="L4656">
        <v>6</v>
      </c>
    </row>
    <row r="4657" spans="1:12" x14ac:dyDescent="0.3">
      <c r="A4657" t="s">
        <v>4672</v>
      </c>
      <c r="B4657" t="s">
        <v>18</v>
      </c>
      <c r="C4657" t="s">
        <v>14</v>
      </c>
      <c r="D4657">
        <v>39</v>
      </c>
      <c r="E4657" s="1">
        <v>44495</v>
      </c>
      <c r="F4657">
        <v>2021</v>
      </c>
      <c r="G4657" t="s">
        <v>5039</v>
      </c>
      <c r="H4657">
        <v>26</v>
      </c>
      <c r="I4657">
        <v>2.2799999999999998</v>
      </c>
      <c r="J4657">
        <v>4</v>
      </c>
      <c r="K4657">
        <v>12074.48</v>
      </c>
      <c r="L4657">
        <v>4</v>
      </c>
    </row>
    <row r="4658" spans="1:12" x14ac:dyDescent="0.3">
      <c r="A4658" t="s">
        <v>4673</v>
      </c>
      <c r="B4658" t="s">
        <v>10</v>
      </c>
      <c r="C4658" t="s">
        <v>14</v>
      </c>
      <c r="D4658">
        <v>38</v>
      </c>
      <c r="E4658" s="1">
        <v>42791</v>
      </c>
      <c r="F4658">
        <v>2017</v>
      </c>
      <c r="G4658" t="s">
        <v>5042</v>
      </c>
      <c r="H4658">
        <v>25</v>
      </c>
      <c r="I4658">
        <v>2.21</v>
      </c>
      <c r="J4658">
        <v>0</v>
      </c>
      <c r="K4658">
        <v>11298.43</v>
      </c>
      <c r="L4658">
        <v>8.6999999999999993</v>
      </c>
    </row>
    <row r="4659" spans="1:12" x14ac:dyDescent="0.3">
      <c r="A4659" t="s">
        <v>4674</v>
      </c>
      <c r="B4659" t="s">
        <v>34</v>
      </c>
      <c r="C4659" t="s">
        <v>14</v>
      </c>
      <c r="D4659">
        <v>38</v>
      </c>
      <c r="E4659" s="1">
        <v>44083</v>
      </c>
      <c r="F4659">
        <v>2020</v>
      </c>
      <c r="G4659" t="s">
        <v>5033</v>
      </c>
      <c r="H4659">
        <v>9</v>
      </c>
      <c r="I4659">
        <v>4.51</v>
      </c>
      <c r="J4659">
        <v>2</v>
      </c>
      <c r="K4659">
        <v>11091.61</v>
      </c>
      <c r="L4659">
        <v>5.0999999999999996</v>
      </c>
    </row>
    <row r="4660" spans="1:12" x14ac:dyDescent="0.3">
      <c r="A4660" t="s">
        <v>4675</v>
      </c>
      <c r="B4660" t="s">
        <v>10</v>
      </c>
      <c r="C4660" t="s">
        <v>11</v>
      </c>
      <c r="D4660">
        <v>28</v>
      </c>
      <c r="E4660" s="1">
        <v>43537</v>
      </c>
      <c r="F4660">
        <v>2019</v>
      </c>
      <c r="G4660" t="s">
        <v>5035</v>
      </c>
      <c r="H4660">
        <v>13</v>
      </c>
      <c r="I4660">
        <v>2.58</v>
      </c>
      <c r="J4660">
        <v>12</v>
      </c>
      <c r="K4660">
        <v>10657.46</v>
      </c>
      <c r="L4660">
        <v>6.6</v>
      </c>
    </row>
    <row r="4661" spans="1:12" x14ac:dyDescent="0.3">
      <c r="A4661" t="s">
        <v>4676</v>
      </c>
      <c r="B4661" t="s">
        <v>34</v>
      </c>
      <c r="C4661" t="s">
        <v>11</v>
      </c>
      <c r="D4661">
        <v>46</v>
      </c>
      <c r="E4661" s="1">
        <v>42838</v>
      </c>
      <c r="F4661">
        <v>2017</v>
      </c>
      <c r="G4661" t="s">
        <v>5040</v>
      </c>
      <c r="H4661">
        <v>13</v>
      </c>
      <c r="I4661">
        <v>4</v>
      </c>
      <c r="J4661">
        <v>4</v>
      </c>
      <c r="K4661">
        <v>6590.97</v>
      </c>
      <c r="L4661">
        <v>8.6</v>
      </c>
    </row>
    <row r="4662" spans="1:12" x14ac:dyDescent="0.3">
      <c r="A4662" t="s">
        <v>4677</v>
      </c>
      <c r="B4662" t="s">
        <v>34</v>
      </c>
      <c r="C4662" t="s">
        <v>14</v>
      </c>
      <c r="D4662">
        <v>59</v>
      </c>
      <c r="E4662" s="1">
        <v>44449</v>
      </c>
      <c r="F4662">
        <v>2021</v>
      </c>
      <c r="G4662" t="s">
        <v>5033</v>
      </c>
      <c r="H4662">
        <v>10</v>
      </c>
      <c r="I4662">
        <v>4.91</v>
      </c>
      <c r="J4662">
        <v>8</v>
      </c>
      <c r="K4662">
        <v>5628.37</v>
      </c>
      <c r="L4662">
        <v>4.0999999999999996</v>
      </c>
    </row>
    <row r="4663" spans="1:12" x14ac:dyDescent="0.3">
      <c r="A4663" t="s">
        <v>4678</v>
      </c>
      <c r="B4663" t="s">
        <v>34</v>
      </c>
      <c r="C4663" t="s">
        <v>11</v>
      </c>
      <c r="D4663">
        <v>60</v>
      </c>
      <c r="E4663" s="1">
        <v>45314</v>
      </c>
      <c r="F4663">
        <v>2024</v>
      </c>
      <c r="G4663" t="s">
        <v>5037</v>
      </c>
      <c r="H4663">
        <v>23</v>
      </c>
      <c r="I4663">
        <v>3.47</v>
      </c>
      <c r="J4663">
        <v>6</v>
      </c>
      <c r="K4663">
        <v>11452.25</v>
      </c>
      <c r="L4663">
        <v>1.8</v>
      </c>
    </row>
    <row r="4664" spans="1:12" x14ac:dyDescent="0.3">
      <c r="A4664" t="s">
        <v>4679</v>
      </c>
      <c r="B4664" t="s">
        <v>18</v>
      </c>
      <c r="C4664" t="s">
        <v>11</v>
      </c>
      <c r="D4664">
        <v>34</v>
      </c>
      <c r="E4664" s="1">
        <v>44988</v>
      </c>
      <c r="F4664">
        <v>2023</v>
      </c>
      <c r="G4664" t="s">
        <v>5035</v>
      </c>
      <c r="H4664">
        <v>3</v>
      </c>
      <c r="I4664">
        <v>3.39</v>
      </c>
      <c r="J4664">
        <v>9</v>
      </c>
      <c r="K4664">
        <v>13114.32</v>
      </c>
      <c r="L4664">
        <v>2.7</v>
      </c>
    </row>
    <row r="4665" spans="1:12" x14ac:dyDescent="0.3">
      <c r="A4665" t="s">
        <v>4680</v>
      </c>
      <c r="B4665" t="s">
        <v>34</v>
      </c>
      <c r="C4665" t="s">
        <v>14</v>
      </c>
      <c r="D4665">
        <v>45</v>
      </c>
      <c r="E4665" s="1">
        <v>42599</v>
      </c>
      <c r="F4665">
        <v>2016</v>
      </c>
      <c r="G4665" t="s">
        <v>5031</v>
      </c>
      <c r="H4665">
        <v>17</v>
      </c>
      <c r="I4665">
        <v>1.83</v>
      </c>
      <c r="J4665">
        <v>6</v>
      </c>
      <c r="K4665">
        <v>11196.55</v>
      </c>
      <c r="L4665">
        <v>9.1999999999999993</v>
      </c>
    </row>
    <row r="4666" spans="1:12" x14ac:dyDescent="0.3">
      <c r="A4666" t="s">
        <v>4681</v>
      </c>
      <c r="B4666" t="s">
        <v>13</v>
      </c>
      <c r="C4666" t="s">
        <v>14</v>
      </c>
      <c r="D4666">
        <v>44</v>
      </c>
      <c r="E4666" s="1">
        <v>43962</v>
      </c>
      <c r="F4666">
        <v>2020</v>
      </c>
      <c r="G4666" t="s">
        <v>5036</v>
      </c>
      <c r="H4666">
        <v>11</v>
      </c>
      <c r="I4666">
        <v>1.62</v>
      </c>
      <c r="J4666">
        <v>8</v>
      </c>
      <c r="K4666">
        <v>13852.16</v>
      </c>
      <c r="L4666">
        <v>5.5</v>
      </c>
    </row>
    <row r="4667" spans="1:12" x14ac:dyDescent="0.3">
      <c r="A4667" t="s">
        <v>4682</v>
      </c>
      <c r="B4667" t="s">
        <v>16</v>
      </c>
      <c r="C4667" t="s">
        <v>11</v>
      </c>
      <c r="D4667">
        <v>38</v>
      </c>
      <c r="E4667" s="1">
        <v>45954</v>
      </c>
      <c r="F4667">
        <v>2025</v>
      </c>
      <c r="G4667" t="s">
        <v>5039</v>
      </c>
      <c r="H4667">
        <v>24</v>
      </c>
      <c r="I4667">
        <v>4.25</v>
      </c>
      <c r="J4667">
        <v>3</v>
      </c>
      <c r="K4667">
        <v>10668.65</v>
      </c>
      <c r="L4667">
        <v>0</v>
      </c>
    </row>
    <row r="4668" spans="1:12" x14ac:dyDescent="0.3">
      <c r="A4668" t="s">
        <v>4683</v>
      </c>
      <c r="B4668" t="s">
        <v>13</v>
      </c>
      <c r="C4668" t="s">
        <v>11</v>
      </c>
      <c r="D4668">
        <v>36</v>
      </c>
      <c r="E4668" s="1">
        <v>42502</v>
      </c>
      <c r="F4668">
        <v>2016</v>
      </c>
      <c r="G4668" t="s">
        <v>5036</v>
      </c>
      <c r="H4668">
        <v>12</v>
      </c>
      <c r="I4668">
        <v>4.18</v>
      </c>
      <c r="J4668">
        <v>13</v>
      </c>
      <c r="K4668">
        <v>7844.61</v>
      </c>
      <c r="L4668">
        <v>9.5</v>
      </c>
    </row>
    <row r="4669" spans="1:12" x14ac:dyDescent="0.3">
      <c r="A4669" t="s">
        <v>4684</v>
      </c>
      <c r="B4669" t="s">
        <v>10</v>
      </c>
      <c r="C4669" t="s">
        <v>14</v>
      </c>
      <c r="D4669">
        <v>28</v>
      </c>
      <c r="E4669" s="1">
        <v>41082</v>
      </c>
      <c r="F4669">
        <v>2012</v>
      </c>
      <c r="G4669" t="s">
        <v>5032</v>
      </c>
      <c r="H4669">
        <v>22</v>
      </c>
      <c r="I4669">
        <v>3.34</v>
      </c>
      <c r="J4669">
        <v>3</v>
      </c>
      <c r="K4669">
        <v>8980.16</v>
      </c>
      <c r="L4669">
        <v>13.4</v>
      </c>
    </row>
    <row r="4670" spans="1:12" x14ac:dyDescent="0.3">
      <c r="A4670" t="s">
        <v>4685</v>
      </c>
      <c r="B4670" t="s">
        <v>10</v>
      </c>
      <c r="C4670" t="s">
        <v>14</v>
      </c>
      <c r="D4670">
        <v>51</v>
      </c>
      <c r="E4670" s="1">
        <v>45471</v>
      </c>
      <c r="F4670">
        <v>2024</v>
      </c>
      <c r="G4670" t="s">
        <v>5032</v>
      </c>
      <c r="H4670">
        <v>28</v>
      </c>
      <c r="I4670">
        <v>2.68</v>
      </c>
      <c r="J4670">
        <v>2</v>
      </c>
      <c r="K4670">
        <v>8754.56</v>
      </c>
      <c r="L4670">
        <v>1.3</v>
      </c>
    </row>
    <row r="4671" spans="1:12" x14ac:dyDescent="0.3">
      <c r="A4671" t="s">
        <v>4686</v>
      </c>
      <c r="B4671" t="s">
        <v>16</v>
      </c>
      <c r="C4671" t="s">
        <v>11</v>
      </c>
      <c r="D4671">
        <v>38</v>
      </c>
      <c r="E4671" s="1">
        <v>42703</v>
      </c>
      <c r="F4671">
        <v>2016</v>
      </c>
      <c r="G4671" t="s">
        <v>5038</v>
      </c>
      <c r="H4671">
        <v>29</v>
      </c>
      <c r="I4671">
        <v>4.8</v>
      </c>
      <c r="J4671">
        <v>13</v>
      </c>
      <c r="K4671">
        <v>11422.11</v>
      </c>
      <c r="L4671">
        <v>8.9</v>
      </c>
    </row>
    <row r="4672" spans="1:12" x14ac:dyDescent="0.3">
      <c r="A4672" t="s">
        <v>4687</v>
      </c>
      <c r="B4672" t="s">
        <v>18</v>
      </c>
      <c r="C4672" t="s">
        <v>11</v>
      </c>
      <c r="D4672">
        <v>30</v>
      </c>
      <c r="E4672" s="1">
        <v>41731</v>
      </c>
      <c r="F4672">
        <v>2014</v>
      </c>
      <c r="G4672" t="s">
        <v>5040</v>
      </c>
      <c r="H4672">
        <v>2</v>
      </c>
      <c r="I4672">
        <v>4.71</v>
      </c>
      <c r="J4672">
        <v>2</v>
      </c>
      <c r="K4672">
        <v>13521.55</v>
      </c>
      <c r="L4672">
        <v>11.6</v>
      </c>
    </row>
    <row r="4673" spans="1:12" x14ac:dyDescent="0.3">
      <c r="A4673" t="s">
        <v>4688</v>
      </c>
      <c r="B4673" t="s">
        <v>13</v>
      </c>
      <c r="C4673" t="s">
        <v>11</v>
      </c>
      <c r="D4673">
        <v>60</v>
      </c>
      <c r="E4673" s="1">
        <v>44219</v>
      </c>
      <c r="F4673">
        <v>2021</v>
      </c>
      <c r="G4673" t="s">
        <v>5037</v>
      </c>
      <c r="H4673">
        <v>23</v>
      </c>
      <c r="I4673">
        <v>3.36</v>
      </c>
      <c r="J4673">
        <v>7</v>
      </c>
      <c r="K4673">
        <v>10002.16</v>
      </c>
      <c r="L4673">
        <v>4.8</v>
      </c>
    </row>
    <row r="4674" spans="1:12" x14ac:dyDescent="0.3">
      <c r="A4674" t="s">
        <v>4689</v>
      </c>
      <c r="B4674" t="s">
        <v>10</v>
      </c>
      <c r="C4674" t="s">
        <v>14</v>
      </c>
      <c r="D4674">
        <v>27</v>
      </c>
      <c r="E4674" s="1">
        <v>40717</v>
      </c>
      <c r="F4674">
        <v>2011</v>
      </c>
      <c r="G4674" t="s">
        <v>5032</v>
      </c>
      <c r="H4674">
        <v>23</v>
      </c>
      <c r="I4674">
        <v>2.61</v>
      </c>
      <c r="J4674">
        <v>15</v>
      </c>
      <c r="K4674">
        <v>11085.76</v>
      </c>
      <c r="L4674">
        <v>14.4</v>
      </c>
    </row>
    <row r="4675" spans="1:12" x14ac:dyDescent="0.3">
      <c r="A4675" t="s">
        <v>4690</v>
      </c>
      <c r="B4675" t="s">
        <v>10</v>
      </c>
      <c r="C4675" t="s">
        <v>14</v>
      </c>
      <c r="D4675">
        <v>41</v>
      </c>
      <c r="E4675" s="1">
        <v>45577</v>
      </c>
      <c r="F4675">
        <v>2024</v>
      </c>
      <c r="G4675" t="s">
        <v>5039</v>
      </c>
      <c r="H4675">
        <v>12</v>
      </c>
      <c r="I4675">
        <v>2.37</v>
      </c>
      <c r="J4675">
        <v>4</v>
      </c>
      <c r="K4675">
        <v>9627.15</v>
      </c>
      <c r="L4675">
        <v>1.1000000000000001</v>
      </c>
    </row>
    <row r="4676" spans="1:12" x14ac:dyDescent="0.3">
      <c r="A4676" t="s">
        <v>4691</v>
      </c>
      <c r="B4676" t="s">
        <v>16</v>
      </c>
      <c r="C4676" t="s">
        <v>11</v>
      </c>
      <c r="D4676">
        <v>50</v>
      </c>
      <c r="E4676" s="1">
        <v>42130</v>
      </c>
      <c r="F4676">
        <v>2015</v>
      </c>
      <c r="G4676" t="s">
        <v>5036</v>
      </c>
      <c r="H4676">
        <v>6</v>
      </c>
      <c r="I4676">
        <v>3.22</v>
      </c>
      <c r="J4676">
        <v>13</v>
      </c>
      <c r="K4676">
        <v>11811.66</v>
      </c>
      <c r="L4676">
        <v>10.5</v>
      </c>
    </row>
    <row r="4677" spans="1:12" x14ac:dyDescent="0.3">
      <c r="A4677" t="s">
        <v>4692</v>
      </c>
      <c r="B4677" t="s">
        <v>24</v>
      </c>
      <c r="C4677" t="s">
        <v>14</v>
      </c>
      <c r="D4677">
        <v>56</v>
      </c>
      <c r="E4677" s="1">
        <v>42283</v>
      </c>
      <c r="F4677">
        <v>2015</v>
      </c>
      <c r="G4677" t="s">
        <v>5039</v>
      </c>
      <c r="H4677">
        <v>6</v>
      </c>
      <c r="I4677">
        <v>4.12</v>
      </c>
      <c r="J4677">
        <v>11</v>
      </c>
      <c r="K4677">
        <v>7021.32</v>
      </c>
      <c r="L4677">
        <v>10.1</v>
      </c>
    </row>
    <row r="4678" spans="1:12" x14ac:dyDescent="0.3">
      <c r="A4678" t="s">
        <v>4693</v>
      </c>
      <c r="B4678" t="s">
        <v>16</v>
      </c>
      <c r="C4678" t="s">
        <v>11</v>
      </c>
      <c r="D4678">
        <v>43</v>
      </c>
      <c r="E4678" s="1">
        <v>43395</v>
      </c>
      <c r="F4678">
        <v>2018</v>
      </c>
      <c r="G4678" t="s">
        <v>5039</v>
      </c>
      <c r="H4678">
        <v>22</v>
      </c>
      <c r="I4678">
        <v>3.94</v>
      </c>
      <c r="J4678">
        <v>6</v>
      </c>
      <c r="K4678">
        <v>4488.3500000000004</v>
      </c>
      <c r="L4678">
        <v>7</v>
      </c>
    </row>
    <row r="4679" spans="1:12" x14ac:dyDescent="0.3">
      <c r="A4679" t="s">
        <v>4694</v>
      </c>
      <c r="B4679" t="s">
        <v>16</v>
      </c>
      <c r="C4679" t="s">
        <v>14</v>
      </c>
      <c r="D4679">
        <v>53</v>
      </c>
      <c r="E4679" s="1">
        <v>42434</v>
      </c>
      <c r="F4679">
        <v>2016</v>
      </c>
      <c r="G4679" t="s">
        <v>5035</v>
      </c>
      <c r="H4679">
        <v>5</v>
      </c>
      <c r="I4679">
        <v>4.1900000000000004</v>
      </c>
      <c r="J4679">
        <v>3</v>
      </c>
      <c r="K4679">
        <v>4213.92</v>
      </c>
      <c r="L4679">
        <v>9.6999999999999993</v>
      </c>
    </row>
    <row r="4680" spans="1:12" x14ac:dyDescent="0.3">
      <c r="A4680" t="s">
        <v>4695</v>
      </c>
      <c r="B4680" t="s">
        <v>34</v>
      </c>
      <c r="C4680" t="s">
        <v>14</v>
      </c>
      <c r="D4680">
        <v>25</v>
      </c>
      <c r="E4680" s="1">
        <v>42280</v>
      </c>
      <c r="F4680">
        <v>2015</v>
      </c>
      <c r="G4680" t="s">
        <v>5039</v>
      </c>
      <c r="H4680">
        <v>3</v>
      </c>
      <c r="I4680">
        <v>2.6</v>
      </c>
      <c r="J4680">
        <v>3</v>
      </c>
      <c r="K4680">
        <v>5498.21</v>
      </c>
      <c r="L4680">
        <v>10.1</v>
      </c>
    </row>
    <row r="4681" spans="1:12" x14ac:dyDescent="0.3">
      <c r="A4681" t="s">
        <v>4696</v>
      </c>
      <c r="B4681" t="s">
        <v>18</v>
      </c>
      <c r="C4681" t="s">
        <v>11</v>
      </c>
      <c r="D4681">
        <v>22</v>
      </c>
      <c r="E4681" s="1">
        <v>42445</v>
      </c>
      <c r="F4681">
        <v>2016</v>
      </c>
      <c r="G4681" t="s">
        <v>5035</v>
      </c>
      <c r="H4681">
        <v>16</v>
      </c>
      <c r="I4681">
        <v>4.68</v>
      </c>
      <c r="J4681">
        <v>7</v>
      </c>
      <c r="K4681">
        <v>3895.63</v>
      </c>
      <c r="L4681">
        <v>9.6</v>
      </c>
    </row>
    <row r="4682" spans="1:12" x14ac:dyDescent="0.3">
      <c r="A4682" t="s">
        <v>4697</v>
      </c>
      <c r="B4682" t="s">
        <v>16</v>
      </c>
      <c r="C4682" t="s">
        <v>11</v>
      </c>
      <c r="D4682">
        <v>29</v>
      </c>
      <c r="E4682" s="1">
        <v>44095</v>
      </c>
      <c r="F4682">
        <v>2020</v>
      </c>
      <c r="G4682" t="s">
        <v>5033</v>
      </c>
      <c r="H4682">
        <v>21</v>
      </c>
      <c r="I4682">
        <v>4.2</v>
      </c>
      <c r="J4682">
        <v>13</v>
      </c>
      <c r="K4682">
        <v>10450.07</v>
      </c>
      <c r="L4682">
        <v>5.0999999999999996</v>
      </c>
    </row>
    <row r="4683" spans="1:12" x14ac:dyDescent="0.3">
      <c r="A4683" t="s">
        <v>4698</v>
      </c>
      <c r="B4683" t="s">
        <v>34</v>
      </c>
      <c r="C4683" t="s">
        <v>14</v>
      </c>
      <c r="D4683">
        <v>27</v>
      </c>
      <c r="E4683" s="1">
        <v>44024</v>
      </c>
      <c r="F4683">
        <v>2020</v>
      </c>
      <c r="G4683" t="s">
        <v>5034</v>
      </c>
      <c r="H4683">
        <v>12</v>
      </c>
      <c r="I4683">
        <v>2.0099999999999998</v>
      </c>
      <c r="J4683">
        <v>8</v>
      </c>
      <c r="K4683">
        <v>6193.21</v>
      </c>
      <c r="L4683">
        <v>5.3</v>
      </c>
    </row>
    <row r="4684" spans="1:12" x14ac:dyDescent="0.3">
      <c r="A4684" t="s">
        <v>4699</v>
      </c>
      <c r="B4684" t="s">
        <v>10</v>
      </c>
      <c r="C4684" t="s">
        <v>11</v>
      </c>
      <c r="D4684">
        <v>29</v>
      </c>
      <c r="E4684" s="1">
        <v>40582</v>
      </c>
      <c r="F4684">
        <v>2011</v>
      </c>
      <c r="G4684" t="s">
        <v>5042</v>
      </c>
      <c r="H4684">
        <v>8</v>
      </c>
      <c r="I4684">
        <v>4.07</v>
      </c>
      <c r="J4684">
        <v>3</v>
      </c>
      <c r="K4684">
        <v>9812.25</v>
      </c>
      <c r="L4684">
        <v>14.7</v>
      </c>
    </row>
    <row r="4685" spans="1:12" x14ac:dyDescent="0.3">
      <c r="A4685" t="s">
        <v>4700</v>
      </c>
      <c r="B4685" t="s">
        <v>18</v>
      </c>
      <c r="C4685" t="s">
        <v>11</v>
      </c>
      <c r="D4685">
        <v>59</v>
      </c>
      <c r="E4685" s="1">
        <v>41989</v>
      </c>
      <c r="F4685">
        <v>2014</v>
      </c>
      <c r="G4685" t="s">
        <v>5041</v>
      </c>
      <c r="H4685">
        <v>16</v>
      </c>
      <c r="I4685">
        <v>2.93</v>
      </c>
      <c r="J4685">
        <v>11</v>
      </c>
      <c r="K4685">
        <v>4628.99</v>
      </c>
      <c r="L4685">
        <v>10.9</v>
      </c>
    </row>
    <row r="4686" spans="1:12" x14ac:dyDescent="0.3">
      <c r="A4686" t="s">
        <v>4701</v>
      </c>
      <c r="B4686" t="s">
        <v>18</v>
      </c>
      <c r="C4686" t="s">
        <v>11</v>
      </c>
      <c r="D4686">
        <v>39</v>
      </c>
      <c r="E4686" s="1">
        <v>45649</v>
      </c>
      <c r="F4686">
        <v>2024</v>
      </c>
      <c r="G4686" t="s">
        <v>5041</v>
      </c>
      <c r="H4686">
        <v>23</v>
      </c>
      <c r="I4686">
        <v>2.93</v>
      </c>
      <c r="J4686">
        <v>1</v>
      </c>
      <c r="K4686">
        <v>14599.32</v>
      </c>
      <c r="L4686">
        <v>0.9</v>
      </c>
    </row>
    <row r="4687" spans="1:12" x14ac:dyDescent="0.3">
      <c r="A4687" t="s">
        <v>4702</v>
      </c>
      <c r="B4687" t="s">
        <v>16</v>
      </c>
      <c r="C4687" t="s">
        <v>11</v>
      </c>
      <c r="D4687">
        <v>50</v>
      </c>
      <c r="E4687" s="1">
        <v>41594</v>
      </c>
      <c r="F4687">
        <v>2013</v>
      </c>
      <c r="G4687" t="s">
        <v>5038</v>
      </c>
      <c r="H4687">
        <v>16</v>
      </c>
      <c r="I4687">
        <v>4.45</v>
      </c>
      <c r="J4687">
        <v>10</v>
      </c>
      <c r="K4687">
        <v>13118.67</v>
      </c>
      <c r="L4687">
        <v>12</v>
      </c>
    </row>
    <row r="4688" spans="1:12" x14ac:dyDescent="0.3">
      <c r="A4688" t="s">
        <v>4703</v>
      </c>
      <c r="B4688" t="s">
        <v>18</v>
      </c>
      <c r="C4688" t="s">
        <v>14</v>
      </c>
      <c r="D4688">
        <v>27</v>
      </c>
      <c r="E4688" s="1">
        <v>40836</v>
      </c>
      <c r="F4688">
        <v>2011</v>
      </c>
      <c r="G4688" t="s">
        <v>5039</v>
      </c>
      <c r="H4688">
        <v>20</v>
      </c>
      <c r="I4688">
        <v>3.97</v>
      </c>
      <c r="J4688">
        <v>9</v>
      </c>
      <c r="K4688">
        <v>4297.41</v>
      </c>
      <c r="L4688">
        <v>14</v>
      </c>
    </row>
    <row r="4689" spans="1:12" x14ac:dyDescent="0.3">
      <c r="A4689" t="s">
        <v>4704</v>
      </c>
      <c r="B4689" t="s">
        <v>18</v>
      </c>
      <c r="C4689" t="s">
        <v>14</v>
      </c>
      <c r="D4689">
        <v>26</v>
      </c>
      <c r="E4689" s="1">
        <v>42540</v>
      </c>
      <c r="F4689">
        <v>2016</v>
      </c>
      <c r="G4689" t="s">
        <v>5032</v>
      </c>
      <c r="H4689">
        <v>19</v>
      </c>
      <c r="I4689">
        <v>2.2599999999999998</v>
      </c>
      <c r="J4689">
        <v>1</v>
      </c>
      <c r="K4689">
        <v>13323.24</v>
      </c>
      <c r="L4689">
        <v>9.4</v>
      </c>
    </row>
    <row r="4690" spans="1:12" x14ac:dyDescent="0.3">
      <c r="A4690" t="s">
        <v>4705</v>
      </c>
      <c r="B4690" t="s">
        <v>24</v>
      </c>
      <c r="C4690" t="s">
        <v>14</v>
      </c>
      <c r="D4690">
        <v>60</v>
      </c>
      <c r="E4690" s="1">
        <v>44824</v>
      </c>
      <c r="F4690">
        <v>2022</v>
      </c>
      <c r="G4690" t="s">
        <v>5033</v>
      </c>
      <c r="H4690">
        <v>20</v>
      </c>
      <c r="I4690">
        <v>2.06</v>
      </c>
      <c r="J4690">
        <v>3</v>
      </c>
      <c r="K4690">
        <v>3755.61</v>
      </c>
      <c r="L4690">
        <v>3.1</v>
      </c>
    </row>
    <row r="4691" spans="1:12" x14ac:dyDescent="0.3">
      <c r="A4691" t="s">
        <v>4706</v>
      </c>
      <c r="B4691" t="s">
        <v>16</v>
      </c>
      <c r="C4691" t="s">
        <v>14</v>
      </c>
      <c r="D4691">
        <v>50</v>
      </c>
      <c r="E4691" s="1">
        <v>44825</v>
      </c>
      <c r="F4691">
        <v>2022</v>
      </c>
      <c r="G4691" t="s">
        <v>5033</v>
      </c>
      <c r="H4691">
        <v>21</v>
      </c>
      <c r="I4691">
        <v>3.02</v>
      </c>
      <c r="J4691">
        <v>15</v>
      </c>
      <c r="K4691">
        <v>3356.1</v>
      </c>
      <c r="L4691">
        <v>3.1</v>
      </c>
    </row>
    <row r="4692" spans="1:12" x14ac:dyDescent="0.3">
      <c r="A4692" t="s">
        <v>4707</v>
      </c>
      <c r="B4692" t="s">
        <v>18</v>
      </c>
      <c r="C4692" t="s">
        <v>11</v>
      </c>
      <c r="D4692">
        <v>27</v>
      </c>
      <c r="E4692" s="1">
        <v>44932</v>
      </c>
      <c r="F4692">
        <v>2023</v>
      </c>
      <c r="G4692" t="s">
        <v>5037</v>
      </c>
      <c r="H4692">
        <v>6</v>
      </c>
      <c r="I4692">
        <v>3.76</v>
      </c>
      <c r="J4692">
        <v>4</v>
      </c>
      <c r="K4692">
        <v>9149</v>
      </c>
      <c r="L4692">
        <v>2.8</v>
      </c>
    </row>
    <row r="4693" spans="1:12" x14ac:dyDescent="0.3">
      <c r="A4693" t="s">
        <v>4708</v>
      </c>
      <c r="B4693" t="s">
        <v>24</v>
      </c>
      <c r="C4693" t="s">
        <v>11</v>
      </c>
      <c r="D4693">
        <v>40</v>
      </c>
      <c r="E4693" s="1">
        <v>45452</v>
      </c>
      <c r="F4693">
        <v>2024</v>
      </c>
      <c r="G4693" t="s">
        <v>5032</v>
      </c>
      <c r="H4693">
        <v>9</v>
      </c>
      <c r="I4693">
        <v>2.0699999999999998</v>
      </c>
      <c r="J4693">
        <v>10</v>
      </c>
      <c r="K4693">
        <v>3127.49</v>
      </c>
      <c r="L4693">
        <v>1.4</v>
      </c>
    </row>
    <row r="4694" spans="1:12" x14ac:dyDescent="0.3">
      <c r="A4694" t="s">
        <v>4709</v>
      </c>
      <c r="B4694" t="s">
        <v>24</v>
      </c>
      <c r="C4694" t="s">
        <v>14</v>
      </c>
      <c r="D4694">
        <v>42</v>
      </c>
      <c r="E4694" s="1">
        <v>42148</v>
      </c>
      <c r="F4694">
        <v>2015</v>
      </c>
      <c r="G4694" t="s">
        <v>5036</v>
      </c>
      <c r="H4694">
        <v>24</v>
      </c>
      <c r="I4694">
        <v>4.6100000000000003</v>
      </c>
      <c r="J4694">
        <v>13</v>
      </c>
      <c r="K4694">
        <v>13080</v>
      </c>
      <c r="L4694">
        <v>10.4</v>
      </c>
    </row>
    <row r="4695" spans="1:12" x14ac:dyDescent="0.3">
      <c r="A4695" t="s">
        <v>4710</v>
      </c>
      <c r="B4695" t="s">
        <v>16</v>
      </c>
      <c r="C4695" t="s">
        <v>14</v>
      </c>
      <c r="D4695">
        <v>30</v>
      </c>
      <c r="E4695" s="1">
        <v>45018</v>
      </c>
      <c r="F4695">
        <v>2023</v>
      </c>
      <c r="G4695" t="s">
        <v>5040</v>
      </c>
      <c r="H4695">
        <v>2</v>
      </c>
      <c r="I4695">
        <v>1.55</v>
      </c>
      <c r="J4695">
        <v>9</v>
      </c>
      <c r="K4695">
        <v>5520.32</v>
      </c>
      <c r="L4695">
        <v>2.6</v>
      </c>
    </row>
    <row r="4696" spans="1:12" x14ac:dyDescent="0.3">
      <c r="A4696" t="s">
        <v>4711</v>
      </c>
      <c r="B4696" t="s">
        <v>34</v>
      </c>
      <c r="C4696" t="s">
        <v>11</v>
      </c>
      <c r="D4696">
        <v>55</v>
      </c>
      <c r="E4696" s="1">
        <v>41617</v>
      </c>
      <c r="F4696">
        <v>2013</v>
      </c>
      <c r="G4696" t="s">
        <v>5041</v>
      </c>
      <c r="H4696">
        <v>9</v>
      </c>
      <c r="I4696">
        <v>1.57</v>
      </c>
      <c r="J4696">
        <v>8</v>
      </c>
      <c r="K4696">
        <v>5230.37</v>
      </c>
      <c r="L4696">
        <v>11.9</v>
      </c>
    </row>
    <row r="4697" spans="1:12" x14ac:dyDescent="0.3">
      <c r="A4697" t="s">
        <v>4712</v>
      </c>
      <c r="B4697" t="s">
        <v>18</v>
      </c>
      <c r="C4697" t="s">
        <v>11</v>
      </c>
      <c r="D4697">
        <v>27</v>
      </c>
      <c r="E4697" s="1">
        <v>45678</v>
      </c>
      <c r="F4697">
        <v>2025</v>
      </c>
      <c r="G4697" t="s">
        <v>5037</v>
      </c>
      <c r="H4697">
        <v>21</v>
      </c>
      <c r="I4697">
        <v>4.0999999999999996</v>
      </c>
      <c r="J4697">
        <v>15</v>
      </c>
      <c r="K4697">
        <v>3241.62</v>
      </c>
      <c r="L4697">
        <v>0.8</v>
      </c>
    </row>
    <row r="4698" spans="1:12" x14ac:dyDescent="0.3">
      <c r="A4698" t="s">
        <v>4713</v>
      </c>
      <c r="B4698" t="s">
        <v>16</v>
      </c>
      <c r="C4698" t="s">
        <v>14</v>
      </c>
      <c r="D4698">
        <v>35</v>
      </c>
      <c r="E4698" s="1">
        <v>43537</v>
      </c>
      <c r="F4698">
        <v>2019</v>
      </c>
      <c r="G4698" t="s">
        <v>5035</v>
      </c>
      <c r="H4698">
        <v>13</v>
      </c>
      <c r="I4698">
        <v>3.07</v>
      </c>
      <c r="J4698">
        <v>5</v>
      </c>
      <c r="K4698">
        <v>6408.99</v>
      </c>
      <c r="L4698">
        <v>6.6</v>
      </c>
    </row>
    <row r="4699" spans="1:12" x14ac:dyDescent="0.3">
      <c r="A4699" t="s">
        <v>4714</v>
      </c>
      <c r="B4699" t="s">
        <v>18</v>
      </c>
      <c r="C4699" t="s">
        <v>11</v>
      </c>
      <c r="D4699">
        <v>55</v>
      </c>
      <c r="E4699" s="1">
        <v>43855</v>
      </c>
      <c r="F4699">
        <v>2020</v>
      </c>
      <c r="G4699" t="s">
        <v>5037</v>
      </c>
      <c r="H4699">
        <v>25</v>
      </c>
      <c r="I4699">
        <v>3.76</v>
      </c>
      <c r="J4699">
        <v>2</v>
      </c>
      <c r="K4699">
        <v>6300.16</v>
      </c>
      <c r="L4699">
        <v>5.8</v>
      </c>
    </row>
    <row r="4700" spans="1:12" x14ac:dyDescent="0.3">
      <c r="A4700" t="s">
        <v>4715</v>
      </c>
      <c r="B4700" t="s">
        <v>34</v>
      </c>
      <c r="C4700" t="s">
        <v>11</v>
      </c>
      <c r="D4700">
        <v>24</v>
      </c>
      <c r="E4700" s="1">
        <v>40370</v>
      </c>
      <c r="F4700">
        <v>2010</v>
      </c>
      <c r="G4700" t="s">
        <v>5034</v>
      </c>
      <c r="H4700">
        <v>11</v>
      </c>
      <c r="I4700">
        <v>2.69</v>
      </c>
      <c r="J4700">
        <v>14</v>
      </c>
      <c r="K4700">
        <v>9298.08</v>
      </c>
      <c r="L4700">
        <v>15.3</v>
      </c>
    </row>
    <row r="4701" spans="1:12" x14ac:dyDescent="0.3">
      <c r="A4701" t="s">
        <v>4716</v>
      </c>
      <c r="B4701" t="s">
        <v>13</v>
      </c>
      <c r="C4701" t="s">
        <v>14</v>
      </c>
      <c r="D4701">
        <v>30</v>
      </c>
      <c r="E4701" s="1">
        <v>40405</v>
      </c>
      <c r="F4701">
        <v>2010</v>
      </c>
      <c r="G4701" t="s">
        <v>5031</v>
      </c>
      <c r="H4701">
        <v>15</v>
      </c>
      <c r="I4701">
        <v>2.02</v>
      </c>
      <c r="J4701">
        <v>2</v>
      </c>
      <c r="K4701">
        <v>7509.65</v>
      </c>
      <c r="L4701">
        <v>15.2</v>
      </c>
    </row>
    <row r="4702" spans="1:12" x14ac:dyDescent="0.3">
      <c r="A4702" t="s">
        <v>4717</v>
      </c>
      <c r="B4702" t="s">
        <v>13</v>
      </c>
      <c r="C4702" t="s">
        <v>11</v>
      </c>
      <c r="D4702">
        <v>35</v>
      </c>
      <c r="E4702" s="1">
        <v>40942</v>
      </c>
      <c r="F4702">
        <v>2012</v>
      </c>
      <c r="G4702" t="s">
        <v>5042</v>
      </c>
      <c r="H4702">
        <v>3</v>
      </c>
      <c r="I4702">
        <v>4.54</v>
      </c>
      <c r="J4702">
        <v>8</v>
      </c>
      <c r="K4702">
        <v>5300.66</v>
      </c>
      <c r="L4702">
        <v>13.8</v>
      </c>
    </row>
    <row r="4703" spans="1:12" x14ac:dyDescent="0.3">
      <c r="A4703" t="s">
        <v>4718</v>
      </c>
      <c r="B4703" t="s">
        <v>10</v>
      </c>
      <c r="C4703" t="s">
        <v>11</v>
      </c>
      <c r="D4703">
        <v>24</v>
      </c>
      <c r="E4703" s="1">
        <v>44073</v>
      </c>
      <c r="F4703">
        <v>2020</v>
      </c>
      <c r="G4703" t="s">
        <v>5031</v>
      </c>
      <c r="H4703">
        <v>30</v>
      </c>
      <c r="I4703">
        <v>4.37</v>
      </c>
      <c r="J4703">
        <v>0</v>
      </c>
      <c r="K4703">
        <v>10667.44</v>
      </c>
      <c r="L4703">
        <v>5.2</v>
      </c>
    </row>
    <row r="4704" spans="1:12" x14ac:dyDescent="0.3">
      <c r="A4704" t="s">
        <v>4719</v>
      </c>
      <c r="B4704" t="s">
        <v>16</v>
      </c>
      <c r="C4704" t="s">
        <v>14</v>
      </c>
      <c r="D4704">
        <v>34</v>
      </c>
      <c r="E4704" s="1">
        <v>43938</v>
      </c>
      <c r="F4704">
        <v>2020</v>
      </c>
      <c r="G4704" t="s">
        <v>5040</v>
      </c>
      <c r="H4704">
        <v>17</v>
      </c>
      <c r="I4704">
        <v>2.31</v>
      </c>
      <c r="J4704">
        <v>4</v>
      </c>
      <c r="K4704">
        <v>11073</v>
      </c>
      <c r="L4704">
        <v>5.5</v>
      </c>
    </row>
    <row r="4705" spans="1:12" x14ac:dyDescent="0.3">
      <c r="A4705" t="s">
        <v>4720</v>
      </c>
      <c r="B4705" t="s">
        <v>16</v>
      </c>
      <c r="C4705" t="s">
        <v>14</v>
      </c>
      <c r="D4705">
        <v>25</v>
      </c>
      <c r="E4705" s="1">
        <v>44344</v>
      </c>
      <c r="F4705">
        <v>2021</v>
      </c>
      <c r="G4705" t="s">
        <v>5036</v>
      </c>
      <c r="H4705">
        <v>28</v>
      </c>
      <c r="I4705">
        <v>4.26</v>
      </c>
      <c r="J4705">
        <v>6</v>
      </c>
      <c r="K4705">
        <v>12557</v>
      </c>
      <c r="L4705">
        <v>4.4000000000000004</v>
      </c>
    </row>
    <row r="4706" spans="1:12" x14ac:dyDescent="0.3">
      <c r="A4706" t="s">
        <v>4721</v>
      </c>
      <c r="B4706" t="s">
        <v>13</v>
      </c>
      <c r="C4706" t="s">
        <v>11</v>
      </c>
      <c r="D4706">
        <v>52</v>
      </c>
      <c r="E4706" s="1">
        <v>44376</v>
      </c>
      <c r="F4706">
        <v>2021</v>
      </c>
      <c r="G4706" t="s">
        <v>5032</v>
      </c>
      <c r="H4706">
        <v>29</v>
      </c>
      <c r="I4706">
        <v>3.64</v>
      </c>
      <c r="J4706">
        <v>6</v>
      </c>
      <c r="K4706">
        <v>13495.42</v>
      </c>
      <c r="L4706">
        <v>4.3</v>
      </c>
    </row>
    <row r="4707" spans="1:12" x14ac:dyDescent="0.3">
      <c r="A4707" t="s">
        <v>4722</v>
      </c>
      <c r="B4707" t="s">
        <v>16</v>
      </c>
      <c r="C4707" t="s">
        <v>11</v>
      </c>
      <c r="D4707">
        <v>36</v>
      </c>
      <c r="E4707" s="1">
        <v>42592</v>
      </c>
      <c r="F4707">
        <v>2016</v>
      </c>
      <c r="G4707" t="s">
        <v>5031</v>
      </c>
      <c r="H4707">
        <v>10</v>
      </c>
      <c r="I4707">
        <v>4.71</v>
      </c>
      <c r="J4707">
        <v>2</v>
      </c>
      <c r="K4707">
        <v>8819.4699999999993</v>
      </c>
      <c r="L4707">
        <v>9.1999999999999993</v>
      </c>
    </row>
    <row r="4708" spans="1:12" x14ac:dyDescent="0.3">
      <c r="A4708" t="s">
        <v>4723</v>
      </c>
      <c r="B4708" t="s">
        <v>16</v>
      </c>
      <c r="C4708" t="s">
        <v>14</v>
      </c>
      <c r="D4708">
        <v>57</v>
      </c>
      <c r="E4708" s="1">
        <v>44681</v>
      </c>
      <c r="F4708">
        <v>2022</v>
      </c>
      <c r="G4708" t="s">
        <v>5040</v>
      </c>
      <c r="H4708">
        <v>30</v>
      </c>
      <c r="I4708">
        <v>1.72</v>
      </c>
      <c r="J4708">
        <v>13</v>
      </c>
      <c r="K4708">
        <v>8695.5300000000007</v>
      </c>
      <c r="L4708">
        <v>3.5</v>
      </c>
    </row>
    <row r="4709" spans="1:12" x14ac:dyDescent="0.3">
      <c r="A4709" t="s">
        <v>4724</v>
      </c>
      <c r="B4709" t="s">
        <v>24</v>
      </c>
      <c r="C4709" t="s">
        <v>14</v>
      </c>
      <c r="D4709">
        <v>45</v>
      </c>
      <c r="E4709" s="1">
        <v>45527</v>
      </c>
      <c r="F4709">
        <v>2024</v>
      </c>
      <c r="G4709" t="s">
        <v>5031</v>
      </c>
      <c r="H4709">
        <v>23</v>
      </c>
      <c r="I4709">
        <v>1.98</v>
      </c>
      <c r="J4709">
        <v>9</v>
      </c>
      <c r="K4709">
        <v>6383.5</v>
      </c>
      <c r="L4709">
        <v>1.2</v>
      </c>
    </row>
    <row r="4710" spans="1:12" x14ac:dyDescent="0.3">
      <c r="A4710" t="s">
        <v>4725</v>
      </c>
      <c r="B4710" t="s">
        <v>24</v>
      </c>
      <c r="C4710" t="s">
        <v>11</v>
      </c>
      <c r="D4710">
        <v>31</v>
      </c>
      <c r="E4710" s="1">
        <v>40550</v>
      </c>
      <c r="F4710">
        <v>2011</v>
      </c>
      <c r="G4710" t="s">
        <v>5037</v>
      </c>
      <c r="H4710">
        <v>7</v>
      </c>
      <c r="I4710">
        <v>2.4300000000000002</v>
      </c>
      <c r="J4710">
        <v>12</v>
      </c>
      <c r="K4710">
        <v>12701.86</v>
      </c>
      <c r="L4710">
        <v>14.8</v>
      </c>
    </row>
    <row r="4711" spans="1:12" x14ac:dyDescent="0.3">
      <c r="A4711" t="s">
        <v>4726</v>
      </c>
      <c r="B4711" t="s">
        <v>10</v>
      </c>
      <c r="C4711" t="s">
        <v>14</v>
      </c>
      <c r="D4711">
        <v>24</v>
      </c>
      <c r="E4711" s="1">
        <v>42955</v>
      </c>
      <c r="F4711">
        <v>2017</v>
      </c>
      <c r="G4711" t="s">
        <v>5031</v>
      </c>
      <c r="H4711">
        <v>8</v>
      </c>
      <c r="I4711">
        <v>4.7</v>
      </c>
      <c r="J4711">
        <v>6</v>
      </c>
      <c r="K4711">
        <v>3829.53</v>
      </c>
      <c r="L4711">
        <v>8.1999999999999993</v>
      </c>
    </row>
    <row r="4712" spans="1:12" x14ac:dyDescent="0.3">
      <c r="A4712" t="s">
        <v>4727</v>
      </c>
      <c r="B4712" t="s">
        <v>18</v>
      </c>
      <c r="C4712" t="s">
        <v>14</v>
      </c>
      <c r="D4712">
        <v>23</v>
      </c>
      <c r="E4712" s="1">
        <v>40202</v>
      </c>
      <c r="F4712">
        <v>2010</v>
      </c>
      <c r="G4712" t="s">
        <v>5037</v>
      </c>
      <c r="H4712">
        <v>24</v>
      </c>
      <c r="I4712">
        <v>3.03</v>
      </c>
      <c r="J4712">
        <v>2</v>
      </c>
      <c r="K4712">
        <v>5356.64</v>
      </c>
      <c r="L4712">
        <v>15.8</v>
      </c>
    </row>
    <row r="4713" spans="1:12" x14ac:dyDescent="0.3">
      <c r="A4713" t="s">
        <v>4728</v>
      </c>
      <c r="B4713" t="s">
        <v>34</v>
      </c>
      <c r="C4713" t="s">
        <v>14</v>
      </c>
      <c r="D4713">
        <v>59</v>
      </c>
      <c r="E4713" s="1">
        <v>42404</v>
      </c>
      <c r="F4713">
        <v>2016</v>
      </c>
      <c r="G4713" t="s">
        <v>5042</v>
      </c>
      <c r="H4713">
        <v>4</v>
      </c>
      <c r="I4713">
        <v>2.37</v>
      </c>
      <c r="J4713">
        <v>7</v>
      </c>
      <c r="K4713">
        <v>10990.53</v>
      </c>
      <c r="L4713">
        <v>9.6999999999999993</v>
      </c>
    </row>
    <row r="4714" spans="1:12" x14ac:dyDescent="0.3">
      <c r="A4714" t="s">
        <v>4729</v>
      </c>
      <c r="B4714" t="s">
        <v>34</v>
      </c>
      <c r="C4714" t="s">
        <v>11</v>
      </c>
      <c r="D4714">
        <v>47</v>
      </c>
      <c r="E4714" s="1">
        <v>40527</v>
      </c>
      <c r="F4714">
        <v>2010</v>
      </c>
      <c r="G4714" t="s">
        <v>5041</v>
      </c>
      <c r="H4714">
        <v>15</v>
      </c>
      <c r="I4714">
        <v>1.62</v>
      </c>
      <c r="J4714">
        <v>7</v>
      </c>
      <c r="K4714">
        <v>4198.1499999999996</v>
      </c>
      <c r="L4714">
        <v>14.9</v>
      </c>
    </row>
    <row r="4715" spans="1:12" x14ac:dyDescent="0.3">
      <c r="A4715" t="s">
        <v>4730</v>
      </c>
      <c r="B4715" t="s">
        <v>34</v>
      </c>
      <c r="C4715" t="s">
        <v>14</v>
      </c>
      <c r="D4715">
        <v>37</v>
      </c>
      <c r="E4715" s="1">
        <v>42118</v>
      </c>
      <c r="F4715">
        <v>2015</v>
      </c>
      <c r="G4715" t="s">
        <v>5040</v>
      </c>
      <c r="H4715">
        <v>24</v>
      </c>
      <c r="I4715">
        <v>1.91</v>
      </c>
      <c r="J4715">
        <v>11</v>
      </c>
      <c r="K4715">
        <v>7985.32</v>
      </c>
      <c r="L4715">
        <v>10.5</v>
      </c>
    </row>
    <row r="4716" spans="1:12" x14ac:dyDescent="0.3">
      <c r="A4716" t="s">
        <v>4731</v>
      </c>
      <c r="B4716" t="s">
        <v>18</v>
      </c>
      <c r="C4716" t="s">
        <v>11</v>
      </c>
      <c r="D4716">
        <v>35</v>
      </c>
      <c r="E4716" s="1">
        <v>41726</v>
      </c>
      <c r="F4716">
        <v>2014</v>
      </c>
      <c r="G4716" t="s">
        <v>5035</v>
      </c>
      <c r="H4716">
        <v>28</v>
      </c>
      <c r="I4716">
        <v>1.57</v>
      </c>
      <c r="J4716">
        <v>6</v>
      </c>
      <c r="K4716">
        <v>8942.81</v>
      </c>
      <c r="L4716">
        <v>11.6</v>
      </c>
    </row>
    <row r="4717" spans="1:12" x14ac:dyDescent="0.3">
      <c r="A4717" t="s">
        <v>4732</v>
      </c>
      <c r="B4717" t="s">
        <v>18</v>
      </c>
      <c r="C4717" t="s">
        <v>11</v>
      </c>
      <c r="D4717">
        <v>34</v>
      </c>
      <c r="E4717" s="1">
        <v>44243</v>
      </c>
      <c r="F4717">
        <v>2021</v>
      </c>
      <c r="G4717" t="s">
        <v>5042</v>
      </c>
      <c r="H4717">
        <v>16</v>
      </c>
      <c r="I4717">
        <v>2.92</v>
      </c>
      <c r="J4717">
        <v>6</v>
      </c>
      <c r="K4717">
        <v>10327.379999999999</v>
      </c>
      <c r="L4717">
        <v>4.7</v>
      </c>
    </row>
    <row r="4718" spans="1:12" x14ac:dyDescent="0.3">
      <c r="A4718" t="s">
        <v>4733</v>
      </c>
      <c r="B4718" t="s">
        <v>16</v>
      </c>
      <c r="C4718" t="s">
        <v>14</v>
      </c>
      <c r="D4718">
        <v>55</v>
      </c>
      <c r="E4718" s="1">
        <v>44590</v>
      </c>
      <c r="F4718">
        <v>2022</v>
      </c>
      <c r="G4718" t="s">
        <v>5037</v>
      </c>
      <c r="H4718">
        <v>29</v>
      </c>
      <c r="I4718">
        <v>4.55</v>
      </c>
      <c r="J4718">
        <v>13</v>
      </c>
      <c r="K4718">
        <v>6173.48</v>
      </c>
      <c r="L4718">
        <v>3.8</v>
      </c>
    </row>
    <row r="4719" spans="1:12" x14ac:dyDescent="0.3">
      <c r="A4719" t="s">
        <v>4734</v>
      </c>
      <c r="B4719" t="s">
        <v>34</v>
      </c>
      <c r="C4719" t="s">
        <v>11</v>
      </c>
      <c r="D4719">
        <v>44</v>
      </c>
      <c r="E4719" s="1">
        <v>41648</v>
      </c>
      <c r="F4719">
        <v>2014</v>
      </c>
      <c r="G4719" t="s">
        <v>5037</v>
      </c>
      <c r="H4719">
        <v>9</v>
      </c>
      <c r="I4719">
        <v>4.87</v>
      </c>
      <c r="J4719">
        <v>5</v>
      </c>
      <c r="K4719">
        <v>7996.25</v>
      </c>
      <c r="L4719">
        <v>11.8</v>
      </c>
    </row>
    <row r="4720" spans="1:12" x14ac:dyDescent="0.3">
      <c r="A4720" t="s">
        <v>4735</v>
      </c>
      <c r="B4720" t="s">
        <v>10</v>
      </c>
      <c r="C4720" t="s">
        <v>11</v>
      </c>
      <c r="D4720">
        <v>44</v>
      </c>
      <c r="E4720" s="1">
        <v>44169</v>
      </c>
      <c r="F4720">
        <v>2020</v>
      </c>
      <c r="G4720" t="s">
        <v>5041</v>
      </c>
      <c r="H4720">
        <v>4</v>
      </c>
      <c r="I4720">
        <v>3.48</v>
      </c>
      <c r="J4720">
        <v>4</v>
      </c>
      <c r="K4720">
        <v>13668.48</v>
      </c>
      <c r="L4720">
        <v>4.9000000000000004</v>
      </c>
    </row>
    <row r="4721" spans="1:12" x14ac:dyDescent="0.3">
      <c r="A4721" t="s">
        <v>4736</v>
      </c>
      <c r="B4721" t="s">
        <v>34</v>
      </c>
      <c r="C4721" t="s">
        <v>11</v>
      </c>
      <c r="D4721">
        <v>41</v>
      </c>
      <c r="E4721" s="1">
        <v>43526</v>
      </c>
      <c r="F4721">
        <v>2019</v>
      </c>
      <c r="G4721" t="s">
        <v>5035</v>
      </c>
      <c r="H4721">
        <v>2</v>
      </c>
      <c r="I4721">
        <v>2.31</v>
      </c>
      <c r="J4721">
        <v>2</v>
      </c>
      <c r="K4721">
        <v>11045.45</v>
      </c>
      <c r="L4721">
        <v>6.7</v>
      </c>
    </row>
    <row r="4722" spans="1:12" x14ac:dyDescent="0.3">
      <c r="A4722" t="s">
        <v>4737</v>
      </c>
      <c r="B4722" t="s">
        <v>16</v>
      </c>
      <c r="C4722" t="s">
        <v>11</v>
      </c>
      <c r="D4722">
        <v>33</v>
      </c>
      <c r="E4722" s="1">
        <v>40634</v>
      </c>
      <c r="F4722">
        <v>2011</v>
      </c>
      <c r="G4722" t="s">
        <v>5040</v>
      </c>
      <c r="H4722">
        <v>1</v>
      </c>
      <c r="I4722">
        <v>2.77</v>
      </c>
      <c r="J4722">
        <v>5</v>
      </c>
      <c r="K4722">
        <v>9927.19</v>
      </c>
      <c r="L4722">
        <v>14.6</v>
      </c>
    </row>
    <row r="4723" spans="1:12" x14ac:dyDescent="0.3">
      <c r="A4723" t="s">
        <v>4738</v>
      </c>
      <c r="B4723" t="s">
        <v>34</v>
      </c>
      <c r="C4723" t="s">
        <v>11</v>
      </c>
      <c r="D4723">
        <v>49</v>
      </c>
      <c r="E4723" s="1">
        <v>40921</v>
      </c>
      <c r="F4723">
        <v>2012</v>
      </c>
      <c r="G4723" t="s">
        <v>5037</v>
      </c>
      <c r="H4723">
        <v>13</v>
      </c>
      <c r="I4723">
        <v>4.4000000000000004</v>
      </c>
      <c r="J4723">
        <v>7</v>
      </c>
      <c r="K4723">
        <v>6240.43</v>
      </c>
      <c r="L4723">
        <v>13.8</v>
      </c>
    </row>
    <row r="4724" spans="1:12" x14ac:dyDescent="0.3">
      <c r="A4724" t="s">
        <v>4739</v>
      </c>
      <c r="B4724" t="s">
        <v>10</v>
      </c>
      <c r="C4724" t="s">
        <v>11</v>
      </c>
      <c r="D4724">
        <v>26</v>
      </c>
      <c r="E4724" s="1">
        <v>45242</v>
      </c>
      <c r="F4724">
        <v>2023</v>
      </c>
      <c r="G4724" t="s">
        <v>5038</v>
      </c>
      <c r="H4724">
        <v>12</v>
      </c>
      <c r="I4724">
        <v>3</v>
      </c>
      <c r="J4724">
        <v>5</v>
      </c>
      <c r="K4724">
        <v>4466.12</v>
      </c>
      <c r="L4724">
        <v>2</v>
      </c>
    </row>
    <row r="4725" spans="1:12" x14ac:dyDescent="0.3">
      <c r="A4725" t="s">
        <v>4740</v>
      </c>
      <c r="B4725" t="s">
        <v>13</v>
      </c>
      <c r="C4725" t="s">
        <v>11</v>
      </c>
      <c r="D4725">
        <v>32</v>
      </c>
      <c r="E4725" s="1">
        <v>42043</v>
      </c>
      <c r="F4725">
        <v>2015</v>
      </c>
      <c r="G4725" t="s">
        <v>5042</v>
      </c>
      <c r="H4725">
        <v>8</v>
      </c>
      <c r="I4725">
        <v>3.71</v>
      </c>
      <c r="J4725">
        <v>9</v>
      </c>
      <c r="K4725">
        <v>3300.41</v>
      </c>
      <c r="L4725">
        <v>10.7</v>
      </c>
    </row>
    <row r="4726" spans="1:12" x14ac:dyDescent="0.3">
      <c r="A4726" t="s">
        <v>4741</v>
      </c>
      <c r="B4726" t="s">
        <v>18</v>
      </c>
      <c r="C4726" t="s">
        <v>14</v>
      </c>
      <c r="D4726">
        <v>54</v>
      </c>
      <c r="E4726" s="1">
        <v>40958</v>
      </c>
      <c r="F4726">
        <v>2012</v>
      </c>
      <c r="G4726" t="s">
        <v>5042</v>
      </c>
      <c r="H4726">
        <v>19</v>
      </c>
      <c r="I4726">
        <v>2.27</v>
      </c>
      <c r="J4726">
        <v>14</v>
      </c>
      <c r="K4726">
        <v>10463.969999999999</v>
      </c>
      <c r="L4726">
        <v>13.7</v>
      </c>
    </row>
    <row r="4727" spans="1:12" x14ac:dyDescent="0.3">
      <c r="A4727" t="s">
        <v>4742</v>
      </c>
      <c r="B4727" t="s">
        <v>34</v>
      </c>
      <c r="C4727" t="s">
        <v>14</v>
      </c>
      <c r="D4727">
        <v>27</v>
      </c>
      <c r="E4727" s="1">
        <v>40760</v>
      </c>
      <c r="F4727">
        <v>2011</v>
      </c>
      <c r="G4727" t="s">
        <v>5031</v>
      </c>
      <c r="H4727">
        <v>5</v>
      </c>
      <c r="I4727">
        <v>4.32</v>
      </c>
      <c r="J4727">
        <v>11</v>
      </c>
      <c r="K4727">
        <v>12860.79</v>
      </c>
      <c r="L4727">
        <v>14.3</v>
      </c>
    </row>
    <row r="4728" spans="1:12" x14ac:dyDescent="0.3">
      <c r="A4728" t="s">
        <v>4743</v>
      </c>
      <c r="B4728" t="s">
        <v>18</v>
      </c>
      <c r="C4728" t="s">
        <v>14</v>
      </c>
      <c r="D4728">
        <v>33</v>
      </c>
      <c r="E4728" s="1">
        <v>43986</v>
      </c>
      <c r="F4728">
        <v>2020</v>
      </c>
      <c r="G4728" t="s">
        <v>5032</v>
      </c>
      <c r="H4728">
        <v>4</v>
      </c>
      <c r="I4728">
        <v>3.59</v>
      </c>
      <c r="J4728">
        <v>1</v>
      </c>
      <c r="K4728">
        <v>13957.64</v>
      </c>
      <c r="L4728">
        <v>5.4</v>
      </c>
    </row>
    <row r="4729" spans="1:12" x14ac:dyDescent="0.3">
      <c r="A4729" t="s">
        <v>4744</v>
      </c>
      <c r="B4729" t="s">
        <v>13</v>
      </c>
      <c r="C4729" t="s">
        <v>14</v>
      </c>
      <c r="D4729">
        <v>55</v>
      </c>
      <c r="E4729" s="1">
        <v>42803</v>
      </c>
      <c r="F4729">
        <v>2017</v>
      </c>
      <c r="G4729" t="s">
        <v>5035</v>
      </c>
      <c r="H4729">
        <v>9</v>
      </c>
      <c r="I4729">
        <v>4.53</v>
      </c>
      <c r="J4729">
        <v>1</v>
      </c>
      <c r="K4729">
        <v>9480.74</v>
      </c>
      <c r="L4729">
        <v>8.6999999999999993</v>
      </c>
    </row>
    <row r="4730" spans="1:12" x14ac:dyDescent="0.3">
      <c r="A4730" t="s">
        <v>4745</v>
      </c>
      <c r="B4730" t="s">
        <v>10</v>
      </c>
      <c r="C4730" t="s">
        <v>14</v>
      </c>
      <c r="D4730">
        <v>31</v>
      </c>
      <c r="E4730" s="1">
        <v>41006</v>
      </c>
      <c r="F4730">
        <v>2012</v>
      </c>
      <c r="G4730" t="s">
        <v>5040</v>
      </c>
      <c r="H4730">
        <v>7</v>
      </c>
      <c r="I4730">
        <v>1.68</v>
      </c>
      <c r="J4730">
        <v>9</v>
      </c>
      <c r="K4730">
        <v>12892.17</v>
      </c>
      <c r="L4730">
        <v>13.6</v>
      </c>
    </row>
    <row r="4731" spans="1:12" x14ac:dyDescent="0.3">
      <c r="A4731" t="s">
        <v>4746</v>
      </c>
      <c r="B4731" t="s">
        <v>18</v>
      </c>
      <c r="C4731" t="s">
        <v>11</v>
      </c>
      <c r="D4731">
        <v>46</v>
      </c>
      <c r="E4731" s="1">
        <v>40804</v>
      </c>
      <c r="F4731">
        <v>2011</v>
      </c>
      <c r="G4731" t="s">
        <v>5033</v>
      </c>
      <c r="H4731">
        <v>18</v>
      </c>
      <c r="I4731">
        <v>1.88</v>
      </c>
      <c r="J4731">
        <v>6</v>
      </c>
      <c r="K4731">
        <v>9131.85</v>
      </c>
      <c r="L4731">
        <v>14.1</v>
      </c>
    </row>
    <row r="4732" spans="1:12" x14ac:dyDescent="0.3">
      <c r="A4732" t="s">
        <v>4747</v>
      </c>
      <c r="B4732" t="s">
        <v>34</v>
      </c>
      <c r="C4732" t="s">
        <v>11</v>
      </c>
      <c r="D4732">
        <v>30</v>
      </c>
      <c r="E4732" s="1">
        <v>41724</v>
      </c>
      <c r="F4732">
        <v>2014</v>
      </c>
      <c r="G4732" t="s">
        <v>5035</v>
      </c>
      <c r="H4732">
        <v>26</v>
      </c>
      <c r="I4732">
        <v>4.97</v>
      </c>
      <c r="J4732">
        <v>1</v>
      </c>
      <c r="K4732">
        <v>12678.04</v>
      </c>
      <c r="L4732">
        <v>11.6</v>
      </c>
    </row>
    <row r="4733" spans="1:12" x14ac:dyDescent="0.3">
      <c r="A4733" t="s">
        <v>4748</v>
      </c>
      <c r="B4733" t="s">
        <v>24</v>
      </c>
      <c r="C4733" t="s">
        <v>11</v>
      </c>
      <c r="D4733">
        <v>30</v>
      </c>
      <c r="E4733" s="1">
        <v>43996</v>
      </c>
      <c r="F4733">
        <v>2020</v>
      </c>
      <c r="G4733" t="s">
        <v>5032</v>
      </c>
      <c r="H4733">
        <v>14</v>
      </c>
      <c r="I4733">
        <v>2.83</v>
      </c>
      <c r="J4733">
        <v>6</v>
      </c>
      <c r="K4733">
        <v>7480.11</v>
      </c>
      <c r="L4733">
        <v>5.4</v>
      </c>
    </row>
    <row r="4734" spans="1:12" x14ac:dyDescent="0.3">
      <c r="A4734" t="s">
        <v>4749</v>
      </c>
      <c r="B4734" t="s">
        <v>10</v>
      </c>
      <c r="C4734" t="s">
        <v>14</v>
      </c>
      <c r="D4734">
        <v>30</v>
      </c>
      <c r="E4734" s="1">
        <v>42181</v>
      </c>
      <c r="F4734">
        <v>2015</v>
      </c>
      <c r="G4734" t="s">
        <v>5032</v>
      </c>
      <c r="H4734">
        <v>26</v>
      </c>
      <c r="I4734">
        <v>1.95</v>
      </c>
      <c r="J4734">
        <v>15</v>
      </c>
      <c r="K4734">
        <v>5217.45</v>
      </c>
      <c r="L4734">
        <v>10.4</v>
      </c>
    </row>
    <row r="4735" spans="1:12" x14ac:dyDescent="0.3">
      <c r="A4735" t="s">
        <v>4750</v>
      </c>
      <c r="B4735" t="s">
        <v>10</v>
      </c>
      <c r="C4735" t="s">
        <v>14</v>
      </c>
      <c r="D4735">
        <v>58</v>
      </c>
      <c r="E4735" s="1">
        <v>44692</v>
      </c>
      <c r="F4735">
        <v>2022</v>
      </c>
      <c r="G4735" t="s">
        <v>5036</v>
      </c>
      <c r="H4735">
        <v>11</v>
      </c>
      <c r="I4735">
        <v>3.08</v>
      </c>
      <c r="J4735">
        <v>12</v>
      </c>
      <c r="K4735">
        <v>13654.52</v>
      </c>
      <c r="L4735">
        <v>3.5</v>
      </c>
    </row>
    <row r="4736" spans="1:12" x14ac:dyDescent="0.3">
      <c r="A4736" t="s">
        <v>4751</v>
      </c>
      <c r="B4736" t="s">
        <v>10</v>
      </c>
      <c r="C4736" t="s">
        <v>14</v>
      </c>
      <c r="D4736">
        <v>58</v>
      </c>
      <c r="E4736" s="1">
        <v>42593</v>
      </c>
      <c r="F4736">
        <v>2016</v>
      </c>
      <c r="G4736" t="s">
        <v>5031</v>
      </c>
      <c r="H4736">
        <v>11</v>
      </c>
      <c r="I4736">
        <v>2.1800000000000002</v>
      </c>
      <c r="J4736">
        <v>13</v>
      </c>
      <c r="K4736">
        <v>12051.5</v>
      </c>
      <c r="L4736">
        <v>9.1999999999999993</v>
      </c>
    </row>
    <row r="4737" spans="1:12" x14ac:dyDescent="0.3">
      <c r="A4737" t="s">
        <v>4752</v>
      </c>
      <c r="B4737" t="s">
        <v>24</v>
      </c>
      <c r="C4737" t="s">
        <v>11</v>
      </c>
      <c r="D4737">
        <v>50</v>
      </c>
      <c r="E4737" s="1">
        <v>40622</v>
      </c>
      <c r="F4737">
        <v>2011</v>
      </c>
      <c r="G4737" t="s">
        <v>5035</v>
      </c>
      <c r="H4737">
        <v>20</v>
      </c>
      <c r="I4737">
        <v>3.37</v>
      </c>
      <c r="J4737">
        <v>13</v>
      </c>
      <c r="K4737">
        <v>3850.59</v>
      </c>
      <c r="L4737">
        <v>14.6</v>
      </c>
    </row>
    <row r="4738" spans="1:12" x14ac:dyDescent="0.3">
      <c r="A4738" t="s">
        <v>4753</v>
      </c>
      <c r="B4738" t="s">
        <v>34</v>
      </c>
      <c r="C4738" t="s">
        <v>11</v>
      </c>
      <c r="D4738">
        <v>60</v>
      </c>
      <c r="E4738" s="1">
        <v>41814</v>
      </c>
      <c r="F4738">
        <v>2014</v>
      </c>
      <c r="G4738" t="s">
        <v>5032</v>
      </c>
      <c r="H4738">
        <v>24</v>
      </c>
      <c r="I4738">
        <v>1.69</v>
      </c>
      <c r="J4738">
        <v>11</v>
      </c>
      <c r="K4738">
        <v>14324.2</v>
      </c>
      <c r="L4738">
        <v>11.4</v>
      </c>
    </row>
    <row r="4739" spans="1:12" x14ac:dyDescent="0.3">
      <c r="A4739" t="s">
        <v>4754</v>
      </c>
      <c r="B4739" t="s">
        <v>16</v>
      </c>
      <c r="C4739" t="s">
        <v>11</v>
      </c>
      <c r="D4739">
        <v>35</v>
      </c>
      <c r="E4739" s="1">
        <v>43576</v>
      </c>
      <c r="F4739">
        <v>2019</v>
      </c>
      <c r="G4739" t="s">
        <v>5040</v>
      </c>
      <c r="H4739">
        <v>21</v>
      </c>
      <c r="I4739">
        <v>4.5999999999999996</v>
      </c>
      <c r="J4739">
        <v>9</v>
      </c>
      <c r="K4739">
        <v>12067.52</v>
      </c>
      <c r="L4739">
        <v>6.5</v>
      </c>
    </row>
    <row r="4740" spans="1:12" x14ac:dyDescent="0.3">
      <c r="A4740" t="s">
        <v>4755</v>
      </c>
      <c r="B4740" t="s">
        <v>16</v>
      </c>
      <c r="C4740" t="s">
        <v>11</v>
      </c>
      <c r="D4740">
        <v>56</v>
      </c>
      <c r="E4740" s="1">
        <v>41195</v>
      </c>
      <c r="F4740">
        <v>2012</v>
      </c>
      <c r="G4740" t="s">
        <v>5039</v>
      </c>
      <c r="H4740">
        <v>13</v>
      </c>
      <c r="I4740">
        <v>3.27</v>
      </c>
      <c r="J4740">
        <v>14</v>
      </c>
      <c r="K4740">
        <v>7430.59</v>
      </c>
      <c r="L4740">
        <v>13.1</v>
      </c>
    </row>
    <row r="4741" spans="1:12" x14ac:dyDescent="0.3">
      <c r="A4741" t="s">
        <v>4756</v>
      </c>
      <c r="B4741" t="s">
        <v>13</v>
      </c>
      <c r="C4741" t="s">
        <v>14</v>
      </c>
      <c r="D4741">
        <v>56</v>
      </c>
      <c r="E4741" s="1">
        <v>40857</v>
      </c>
      <c r="F4741">
        <v>2011</v>
      </c>
      <c r="G4741" t="s">
        <v>5038</v>
      </c>
      <c r="H4741">
        <v>10</v>
      </c>
      <c r="I4741">
        <v>3.93</v>
      </c>
      <c r="J4741">
        <v>3</v>
      </c>
      <c r="K4741">
        <v>13764.34</v>
      </c>
      <c r="L4741">
        <v>14</v>
      </c>
    </row>
    <row r="4742" spans="1:12" x14ac:dyDescent="0.3">
      <c r="A4742" t="s">
        <v>4757</v>
      </c>
      <c r="B4742" t="s">
        <v>24</v>
      </c>
      <c r="C4742" t="s">
        <v>14</v>
      </c>
      <c r="D4742">
        <v>42</v>
      </c>
      <c r="E4742" s="1">
        <v>45496</v>
      </c>
      <c r="F4742">
        <v>2024</v>
      </c>
      <c r="G4742" t="s">
        <v>5034</v>
      </c>
      <c r="H4742">
        <v>23</v>
      </c>
      <c r="I4742">
        <v>4.58</v>
      </c>
      <c r="J4742">
        <v>15</v>
      </c>
      <c r="K4742">
        <v>4894.5600000000004</v>
      </c>
      <c r="L4742">
        <v>1.3</v>
      </c>
    </row>
    <row r="4743" spans="1:12" x14ac:dyDescent="0.3">
      <c r="A4743" t="s">
        <v>4758</v>
      </c>
      <c r="B4743" t="s">
        <v>10</v>
      </c>
      <c r="C4743" t="s">
        <v>11</v>
      </c>
      <c r="D4743">
        <v>55</v>
      </c>
      <c r="E4743" s="1">
        <v>41765</v>
      </c>
      <c r="F4743">
        <v>2014</v>
      </c>
      <c r="G4743" t="s">
        <v>5036</v>
      </c>
      <c r="H4743">
        <v>6</v>
      </c>
      <c r="I4743">
        <v>3.1</v>
      </c>
      <c r="J4743">
        <v>2</v>
      </c>
      <c r="K4743">
        <v>12202.44</v>
      </c>
      <c r="L4743">
        <v>11.5</v>
      </c>
    </row>
    <row r="4744" spans="1:12" x14ac:dyDescent="0.3">
      <c r="A4744" t="s">
        <v>4759</v>
      </c>
      <c r="B4744" t="s">
        <v>34</v>
      </c>
      <c r="C4744" t="s">
        <v>11</v>
      </c>
      <c r="D4744">
        <v>55</v>
      </c>
      <c r="E4744" s="1">
        <v>44858</v>
      </c>
      <c r="F4744">
        <v>2022</v>
      </c>
      <c r="G4744" t="s">
        <v>5039</v>
      </c>
      <c r="H4744">
        <v>24</v>
      </c>
      <c r="I4744">
        <v>2.86</v>
      </c>
      <c r="J4744">
        <v>9</v>
      </c>
      <c r="K4744">
        <v>5720.83</v>
      </c>
      <c r="L4744">
        <v>3</v>
      </c>
    </row>
    <row r="4745" spans="1:12" x14ac:dyDescent="0.3">
      <c r="A4745" t="s">
        <v>4760</v>
      </c>
      <c r="B4745" t="s">
        <v>16</v>
      </c>
      <c r="C4745" t="s">
        <v>14</v>
      </c>
      <c r="D4745">
        <v>36</v>
      </c>
      <c r="E4745" s="1">
        <v>42936</v>
      </c>
      <c r="F4745">
        <v>2017</v>
      </c>
      <c r="G4745" t="s">
        <v>5034</v>
      </c>
      <c r="H4745">
        <v>20</v>
      </c>
      <c r="I4745">
        <v>1.74</v>
      </c>
      <c r="J4745">
        <v>7</v>
      </c>
      <c r="K4745">
        <v>13030.44</v>
      </c>
      <c r="L4745">
        <v>8.3000000000000007</v>
      </c>
    </row>
    <row r="4746" spans="1:12" x14ac:dyDescent="0.3">
      <c r="A4746" t="s">
        <v>4761</v>
      </c>
      <c r="B4746" t="s">
        <v>34</v>
      </c>
      <c r="C4746" t="s">
        <v>11</v>
      </c>
      <c r="D4746">
        <v>51</v>
      </c>
      <c r="E4746" s="1">
        <v>44181</v>
      </c>
      <c r="F4746">
        <v>2020</v>
      </c>
      <c r="G4746" t="s">
        <v>5041</v>
      </c>
      <c r="H4746">
        <v>16</v>
      </c>
      <c r="I4746">
        <v>3.04</v>
      </c>
      <c r="J4746">
        <v>10</v>
      </c>
      <c r="K4746">
        <v>7137.5</v>
      </c>
      <c r="L4746">
        <v>4.9000000000000004</v>
      </c>
    </row>
    <row r="4747" spans="1:12" x14ac:dyDescent="0.3">
      <c r="A4747" t="s">
        <v>4762</v>
      </c>
      <c r="B4747" t="s">
        <v>16</v>
      </c>
      <c r="C4747" t="s">
        <v>14</v>
      </c>
      <c r="D4747">
        <v>39</v>
      </c>
      <c r="E4747" s="1">
        <v>40379</v>
      </c>
      <c r="F4747">
        <v>2010</v>
      </c>
      <c r="G4747" t="s">
        <v>5034</v>
      </c>
      <c r="H4747">
        <v>20</v>
      </c>
      <c r="I4747">
        <v>2.33</v>
      </c>
      <c r="J4747">
        <v>3</v>
      </c>
      <c r="K4747">
        <v>11927.6</v>
      </c>
      <c r="L4747">
        <v>15.3</v>
      </c>
    </row>
    <row r="4748" spans="1:12" x14ac:dyDescent="0.3">
      <c r="A4748" t="s">
        <v>4763</v>
      </c>
      <c r="B4748" t="s">
        <v>13</v>
      </c>
      <c r="C4748" t="s">
        <v>11</v>
      </c>
      <c r="D4748">
        <v>26</v>
      </c>
      <c r="E4748" s="1">
        <v>43908</v>
      </c>
      <c r="F4748">
        <v>2020</v>
      </c>
      <c r="G4748" t="s">
        <v>5035</v>
      </c>
      <c r="H4748">
        <v>18</v>
      </c>
      <c r="I4748">
        <v>3.84</v>
      </c>
      <c r="J4748">
        <v>7</v>
      </c>
      <c r="K4748">
        <v>13997.86</v>
      </c>
      <c r="L4748">
        <v>5.6</v>
      </c>
    </row>
    <row r="4749" spans="1:12" x14ac:dyDescent="0.3">
      <c r="A4749" t="s">
        <v>4764</v>
      </c>
      <c r="B4749" t="s">
        <v>13</v>
      </c>
      <c r="C4749" t="s">
        <v>14</v>
      </c>
      <c r="D4749">
        <v>51</v>
      </c>
      <c r="E4749" s="1">
        <v>45379</v>
      </c>
      <c r="F4749">
        <v>2024</v>
      </c>
      <c r="G4749" t="s">
        <v>5035</v>
      </c>
      <c r="H4749">
        <v>28</v>
      </c>
      <c r="I4749">
        <v>3.05</v>
      </c>
      <c r="J4749">
        <v>9</v>
      </c>
      <c r="K4749">
        <v>12907.65</v>
      </c>
      <c r="L4749">
        <v>1.6</v>
      </c>
    </row>
    <row r="4750" spans="1:12" x14ac:dyDescent="0.3">
      <c r="A4750" t="s">
        <v>4765</v>
      </c>
      <c r="B4750" t="s">
        <v>13</v>
      </c>
      <c r="C4750" t="s">
        <v>11</v>
      </c>
      <c r="D4750">
        <v>49</v>
      </c>
      <c r="E4750" s="1">
        <v>45095</v>
      </c>
      <c r="F4750">
        <v>2023</v>
      </c>
      <c r="G4750" t="s">
        <v>5032</v>
      </c>
      <c r="H4750">
        <v>18</v>
      </c>
      <c r="I4750">
        <v>2.2799999999999998</v>
      </c>
      <c r="J4750">
        <v>2</v>
      </c>
      <c r="K4750">
        <v>14913.32</v>
      </c>
      <c r="L4750">
        <v>2.4</v>
      </c>
    </row>
    <row r="4751" spans="1:12" x14ac:dyDescent="0.3">
      <c r="A4751" t="s">
        <v>4766</v>
      </c>
      <c r="B4751" t="s">
        <v>18</v>
      </c>
      <c r="C4751" t="s">
        <v>14</v>
      </c>
      <c r="D4751">
        <v>22</v>
      </c>
      <c r="E4751" s="1">
        <v>40695</v>
      </c>
      <c r="F4751">
        <v>2011</v>
      </c>
      <c r="G4751" t="s">
        <v>5032</v>
      </c>
      <c r="H4751">
        <v>1</v>
      </c>
      <c r="I4751">
        <v>4</v>
      </c>
      <c r="J4751">
        <v>10</v>
      </c>
      <c r="K4751">
        <v>9033.81</v>
      </c>
      <c r="L4751">
        <v>14.4</v>
      </c>
    </row>
    <row r="4752" spans="1:12" x14ac:dyDescent="0.3">
      <c r="A4752" t="s">
        <v>4767</v>
      </c>
      <c r="B4752" t="s">
        <v>24</v>
      </c>
      <c r="C4752" t="s">
        <v>11</v>
      </c>
      <c r="D4752">
        <v>49</v>
      </c>
      <c r="E4752" s="1">
        <v>42847</v>
      </c>
      <c r="F4752">
        <v>2017</v>
      </c>
      <c r="G4752" t="s">
        <v>5040</v>
      </c>
      <c r="H4752">
        <v>22</v>
      </c>
      <c r="I4752">
        <v>4.2</v>
      </c>
      <c r="J4752">
        <v>4</v>
      </c>
      <c r="K4752">
        <v>4774.0200000000004</v>
      </c>
      <c r="L4752">
        <v>8.5</v>
      </c>
    </row>
    <row r="4753" spans="1:12" x14ac:dyDescent="0.3">
      <c r="A4753" t="s">
        <v>4768</v>
      </c>
      <c r="B4753" t="s">
        <v>13</v>
      </c>
      <c r="C4753" t="s">
        <v>11</v>
      </c>
      <c r="D4753">
        <v>49</v>
      </c>
      <c r="E4753" s="1">
        <v>43177</v>
      </c>
      <c r="F4753">
        <v>2018</v>
      </c>
      <c r="G4753" t="s">
        <v>5035</v>
      </c>
      <c r="H4753">
        <v>18</v>
      </c>
      <c r="I4753">
        <v>2.14</v>
      </c>
      <c r="J4753">
        <v>2</v>
      </c>
      <c r="K4753">
        <v>5929.56</v>
      </c>
      <c r="L4753">
        <v>7.6</v>
      </c>
    </row>
    <row r="4754" spans="1:12" x14ac:dyDescent="0.3">
      <c r="A4754" t="s">
        <v>4769</v>
      </c>
      <c r="B4754" t="s">
        <v>10</v>
      </c>
      <c r="C4754" t="s">
        <v>14</v>
      </c>
      <c r="D4754">
        <v>26</v>
      </c>
      <c r="E4754" s="1">
        <v>43731</v>
      </c>
      <c r="F4754">
        <v>2019</v>
      </c>
      <c r="G4754" t="s">
        <v>5033</v>
      </c>
      <c r="H4754">
        <v>23</v>
      </c>
      <c r="I4754">
        <v>3.23</v>
      </c>
      <c r="J4754">
        <v>6</v>
      </c>
      <c r="K4754">
        <v>14523.43</v>
      </c>
      <c r="L4754">
        <v>6.1</v>
      </c>
    </row>
    <row r="4755" spans="1:12" x14ac:dyDescent="0.3">
      <c r="A4755" t="s">
        <v>4770</v>
      </c>
      <c r="B4755" t="s">
        <v>13</v>
      </c>
      <c r="C4755" t="s">
        <v>11</v>
      </c>
      <c r="D4755">
        <v>55</v>
      </c>
      <c r="E4755" s="1">
        <v>45210</v>
      </c>
      <c r="F4755">
        <v>2023</v>
      </c>
      <c r="G4755" t="s">
        <v>5039</v>
      </c>
      <c r="H4755">
        <v>11</v>
      </c>
      <c r="I4755">
        <v>1.74</v>
      </c>
      <c r="J4755">
        <v>1</v>
      </c>
      <c r="K4755">
        <v>8974.1</v>
      </c>
      <c r="L4755">
        <v>2.1</v>
      </c>
    </row>
    <row r="4756" spans="1:12" x14ac:dyDescent="0.3">
      <c r="A4756" t="s">
        <v>4771</v>
      </c>
      <c r="B4756" t="s">
        <v>24</v>
      </c>
      <c r="C4756" t="s">
        <v>14</v>
      </c>
      <c r="D4756">
        <v>32</v>
      </c>
      <c r="E4756" s="1">
        <v>41465</v>
      </c>
      <c r="F4756">
        <v>2013</v>
      </c>
      <c r="G4756" t="s">
        <v>5034</v>
      </c>
      <c r="H4756">
        <v>10</v>
      </c>
      <c r="I4756">
        <v>3.92</v>
      </c>
      <c r="J4756">
        <v>10</v>
      </c>
      <c r="K4756">
        <v>6395.38</v>
      </c>
      <c r="L4756">
        <v>12.3</v>
      </c>
    </row>
    <row r="4757" spans="1:12" x14ac:dyDescent="0.3">
      <c r="A4757" t="s">
        <v>4772</v>
      </c>
      <c r="B4757" t="s">
        <v>10</v>
      </c>
      <c r="C4757" t="s">
        <v>14</v>
      </c>
      <c r="D4757">
        <v>48</v>
      </c>
      <c r="E4757" s="1">
        <v>43427</v>
      </c>
      <c r="F4757">
        <v>2018</v>
      </c>
      <c r="G4757" t="s">
        <v>5038</v>
      </c>
      <c r="H4757">
        <v>23</v>
      </c>
      <c r="I4757">
        <v>4.47</v>
      </c>
      <c r="J4757">
        <v>13</v>
      </c>
      <c r="K4757">
        <v>7082.32</v>
      </c>
      <c r="L4757">
        <v>6.9</v>
      </c>
    </row>
    <row r="4758" spans="1:12" x14ac:dyDescent="0.3">
      <c r="A4758" t="s">
        <v>4773</v>
      </c>
      <c r="B4758" t="s">
        <v>34</v>
      </c>
      <c r="C4758" t="s">
        <v>11</v>
      </c>
      <c r="D4758">
        <v>28</v>
      </c>
      <c r="E4758" s="1">
        <v>45181</v>
      </c>
      <c r="F4758">
        <v>2023</v>
      </c>
      <c r="G4758" t="s">
        <v>5033</v>
      </c>
      <c r="H4758">
        <v>12</v>
      </c>
      <c r="I4758">
        <v>2.81</v>
      </c>
      <c r="J4758">
        <v>10</v>
      </c>
      <c r="K4758">
        <v>4383.5200000000004</v>
      </c>
      <c r="L4758">
        <v>2.1</v>
      </c>
    </row>
    <row r="4759" spans="1:12" x14ac:dyDescent="0.3">
      <c r="A4759" t="s">
        <v>4774</v>
      </c>
      <c r="B4759" t="s">
        <v>34</v>
      </c>
      <c r="C4759" t="s">
        <v>14</v>
      </c>
      <c r="D4759">
        <v>51</v>
      </c>
      <c r="E4759" s="1">
        <v>41545</v>
      </c>
      <c r="F4759">
        <v>2013</v>
      </c>
      <c r="G4759" t="s">
        <v>5033</v>
      </c>
      <c r="H4759">
        <v>28</v>
      </c>
      <c r="I4759">
        <v>3.27</v>
      </c>
      <c r="J4759">
        <v>13</v>
      </c>
      <c r="K4759">
        <v>6497.28</v>
      </c>
      <c r="L4759">
        <v>12.1</v>
      </c>
    </row>
    <row r="4760" spans="1:12" x14ac:dyDescent="0.3">
      <c r="A4760" t="s">
        <v>4775</v>
      </c>
      <c r="B4760" t="s">
        <v>34</v>
      </c>
      <c r="C4760" t="s">
        <v>11</v>
      </c>
      <c r="D4760">
        <v>41</v>
      </c>
      <c r="E4760" s="1">
        <v>42747</v>
      </c>
      <c r="F4760">
        <v>2017</v>
      </c>
      <c r="G4760" t="s">
        <v>5037</v>
      </c>
      <c r="H4760">
        <v>12</v>
      </c>
      <c r="I4760">
        <v>4.2</v>
      </c>
      <c r="J4760">
        <v>5</v>
      </c>
      <c r="K4760">
        <v>8025.6</v>
      </c>
      <c r="L4760">
        <v>8.8000000000000007</v>
      </c>
    </row>
    <row r="4761" spans="1:12" x14ac:dyDescent="0.3">
      <c r="A4761" t="s">
        <v>4776</v>
      </c>
      <c r="B4761" t="s">
        <v>13</v>
      </c>
      <c r="C4761" t="s">
        <v>14</v>
      </c>
      <c r="D4761">
        <v>33</v>
      </c>
      <c r="E4761" s="1">
        <v>41950</v>
      </c>
      <c r="F4761">
        <v>2014</v>
      </c>
      <c r="G4761" t="s">
        <v>5038</v>
      </c>
      <c r="H4761">
        <v>7</v>
      </c>
      <c r="I4761">
        <v>3.32</v>
      </c>
      <c r="J4761">
        <v>9</v>
      </c>
      <c r="K4761">
        <v>9185.6299999999992</v>
      </c>
      <c r="L4761">
        <v>11</v>
      </c>
    </row>
    <row r="4762" spans="1:12" x14ac:dyDescent="0.3">
      <c r="A4762" t="s">
        <v>4777</v>
      </c>
      <c r="B4762" t="s">
        <v>10</v>
      </c>
      <c r="C4762" t="s">
        <v>11</v>
      </c>
      <c r="D4762">
        <v>26</v>
      </c>
      <c r="E4762" s="1">
        <v>45704</v>
      </c>
      <c r="F4762">
        <v>2025</v>
      </c>
      <c r="G4762" t="s">
        <v>5042</v>
      </c>
      <c r="H4762">
        <v>16</v>
      </c>
      <c r="I4762">
        <v>4.43</v>
      </c>
      <c r="J4762">
        <v>10</v>
      </c>
      <c r="K4762">
        <v>10284.35</v>
      </c>
      <c r="L4762">
        <v>0.7</v>
      </c>
    </row>
    <row r="4763" spans="1:12" x14ac:dyDescent="0.3">
      <c r="A4763" t="s">
        <v>4778</v>
      </c>
      <c r="B4763" t="s">
        <v>10</v>
      </c>
      <c r="C4763" t="s">
        <v>11</v>
      </c>
      <c r="D4763">
        <v>22</v>
      </c>
      <c r="E4763" s="1">
        <v>44497</v>
      </c>
      <c r="F4763">
        <v>2021</v>
      </c>
      <c r="G4763" t="s">
        <v>5039</v>
      </c>
      <c r="H4763">
        <v>28</v>
      </c>
      <c r="I4763">
        <v>2.83</v>
      </c>
      <c r="J4763">
        <v>7</v>
      </c>
      <c r="K4763">
        <v>4154.5200000000004</v>
      </c>
      <c r="L4763">
        <v>4</v>
      </c>
    </row>
    <row r="4764" spans="1:12" x14ac:dyDescent="0.3">
      <c r="A4764" t="s">
        <v>4779</v>
      </c>
      <c r="B4764" t="s">
        <v>16</v>
      </c>
      <c r="C4764" t="s">
        <v>14</v>
      </c>
      <c r="D4764">
        <v>44</v>
      </c>
      <c r="E4764" s="1">
        <v>42757</v>
      </c>
      <c r="F4764">
        <v>2017</v>
      </c>
      <c r="G4764" t="s">
        <v>5037</v>
      </c>
      <c r="H4764">
        <v>22</v>
      </c>
      <c r="I4764">
        <v>2.17</v>
      </c>
      <c r="J4764">
        <v>14</v>
      </c>
      <c r="K4764">
        <v>14208.74</v>
      </c>
      <c r="L4764">
        <v>8.8000000000000007</v>
      </c>
    </row>
    <row r="4765" spans="1:12" x14ac:dyDescent="0.3">
      <c r="A4765" t="s">
        <v>4780</v>
      </c>
      <c r="B4765" t="s">
        <v>16</v>
      </c>
      <c r="C4765" t="s">
        <v>11</v>
      </c>
      <c r="D4765">
        <v>24</v>
      </c>
      <c r="E4765" s="1">
        <v>44883</v>
      </c>
      <c r="F4765">
        <v>2022</v>
      </c>
      <c r="G4765" t="s">
        <v>5038</v>
      </c>
      <c r="H4765">
        <v>18</v>
      </c>
      <c r="I4765">
        <v>2.88</v>
      </c>
      <c r="J4765">
        <v>5</v>
      </c>
      <c r="K4765">
        <v>8206.6</v>
      </c>
      <c r="L4765">
        <v>3</v>
      </c>
    </row>
    <row r="4766" spans="1:12" x14ac:dyDescent="0.3">
      <c r="A4766" t="s">
        <v>4781</v>
      </c>
      <c r="B4766" t="s">
        <v>10</v>
      </c>
      <c r="C4766" t="s">
        <v>11</v>
      </c>
      <c r="D4766">
        <v>26</v>
      </c>
      <c r="E4766" s="1">
        <v>44148</v>
      </c>
      <c r="F4766">
        <v>2020</v>
      </c>
      <c r="G4766" t="s">
        <v>5038</v>
      </c>
      <c r="H4766">
        <v>13</v>
      </c>
      <c r="I4766">
        <v>2.65</v>
      </c>
      <c r="J4766">
        <v>8</v>
      </c>
      <c r="K4766">
        <v>3062.68</v>
      </c>
      <c r="L4766">
        <v>5</v>
      </c>
    </row>
    <row r="4767" spans="1:12" x14ac:dyDescent="0.3">
      <c r="A4767" t="s">
        <v>4782</v>
      </c>
      <c r="B4767" t="s">
        <v>18</v>
      </c>
      <c r="C4767" t="s">
        <v>11</v>
      </c>
      <c r="D4767">
        <v>57</v>
      </c>
      <c r="E4767" s="1">
        <v>44530</v>
      </c>
      <c r="F4767">
        <v>2021</v>
      </c>
      <c r="G4767" t="s">
        <v>5038</v>
      </c>
      <c r="H4767">
        <v>30</v>
      </c>
      <c r="I4767">
        <v>2.2400000000000002</v>
      </c>
      <c r="J4767">
        <v>6</v>
      </c>
      <c r="K4767">
        <v>5898.13</v>
      </c>
      <c r="L4767">
        <v>3.9</v>
      </c>
    </row>
    <row r="4768" spans="1:12" x14ac:dyDescent="0.3">
      <c r="A4768" t="s">
        <v>4783</v>
      </c>
      <c r="B4768" t="s">
        <v>16</v>
      </c>
      <c r="C4768" t="s">
        <v>11</v>
      </c>
      <c r="D4768">
        <v>32</v>
      </c>
      <c r="E4768" s="1">
        <v>44833</v>
      </c>
      <c r="F4768">
        <v>2022</v>
      </c>
      <c r="G4768" t="s">
        <v>5033</v>
      </c>
      <c r="H4768">
        <v>29</v>
      </c>
      <c r="I4768">
        <v>2.42</v>
      </c>
      <c r="J4768">
        <v>1</v>
      </c>
      <c r="K4768">
        <v>14341</v>
      </c>
      <c r="L4768">
        <v>3.1</v>
      </c>
    </row>
    <row r="4769" spans="1:12" x14ac:dyDescent="0.3">
      <c r="A4769" t="s">
        <v>4784</v>
      </c>
      <c r="B4769" t="s">
        <v>18</v>
      </c>
      <c r="C4769" t="s">
        <v>14</v>
      </c>
      <c r="D4769">
        <v>39</v>
      </c>
      <c r="E4769" s="1">
        <v>45556</v>
      </c>
      <c r="F4769">
        <v>2024</v>
      </c>
      <c r="G4769" t="s">
        <v>5033</v>
      </c>
      <c r="H4769">
        <v>21</v>
      </c>
      <c r="I4769">
        <v>4.46</v>
      </c>
      <c r="J4769">
        <v>13</v>
      </c>
      <c r="K4769">
        <v>12162.58</v>
      </c>
      <c r="L4769">
        <v>1.1000000000000001</v>
      </c>
    </row>
    <row r="4770" spans="1:12" x14ac:dyDescent="0.3">
      <c r="A4770" t="s">
        <v>4785</v>
      </c>
      <c r="B4770" t="s">
        <v>16</v>
      </c>
      <c r="C4770" t="s">
        <v>11</v>
      </c>
      <c r="D4770">
        <v>45</v>
      </c>
      <c r="E4770" s="1">
        <v>43463</v>
      </c>
      <c r="F4770">
        <v>2018</v>
      </c>
      <c r="G4770" t="s">
        <v>5041</v>
      </c>
      <c r="H4770">
        <v>29</v>
      </c>
      <c r="I4770">
        <v>2.98</v>
      </c>
      <c r="J4770">
        <v>2</v>
      </c>
      <c r="K4770">
        <v>7247.32</v>
      </c>
      <c r="L4770">
        <v>6.8</v>
      </c>
    </row>
    <row r="4771" spans="1:12" x14ac:dyDescent="0.3">
      <c r="A4771" t="s">
        <v>4786</v>
      </c>
      <c r="B4771" t="s">
        <v>10</v>
      </c>
      <c r="C4771" t="s">
        <v>11</v>
      </c>
      <c r="D4771">
        <v>56</v>
      </c>
      <c r="E4771" s="1">
        <v>40941</v>
      </c>
      <c r="F4771">
        <v>2012</v>
      </c>
      <c r="G4771" t="s">
        <v>5042</v>
      </c>
      <c r="H4771">
        <v>2</v>
      </c>
      <c r="I4771">
        <v>4.54</v>
      </c>
      <c r="J4771">
        <v>14</v>
      </c>
      <c r="K4771">
        <v>9239.8799999999992</v>
      </c>
      <c r="L4771">
        <v>13.8</v>
      </c>
    </row>
    <row r="4772" spans="1:12" x14ac:dyDescent="0.3">
      <c r="A4772" t="s">
        <v>4787</v>
      </c>
      <c r="B4772" t="s">
        <v>34</v>
      </c>
      <c r="C4772" t="s">
        <v>14</v>
      </c>
      <c r="D4772">
        <v>33</v>
      </c>
      <c r="E4772" s="1">
        <v>41516</v>
      </c>
      <c r="F4772">
        <v>2013</v>
      </c>
      <c r="G4772" t="s">
        <v>5031</v>
      </c>
      <c r="H4772">
        <v>30</v>
      </c>
      <c r="I4772">
        <v>1.66</v>
      </c>
      <c r="J4772">
        <v>13</v>
      </c>
      <c r="K4772">
        <v>13906.51</v>
      </c>
      <c r="L4772">
        <v>12.2</v>
      </c>
    </row>
    <row r="4773" spans="1:12" x14ac:dyDescent="0.3">
      <c r="A4773" t="s">
        <v>4788</v>
      </c>
      <c r="B4773" t="s">
        <v>16</v>
      </c>
      <c r="C4773" t="s">
        <v>11</v>
      </c>
      <c r="D4773">
        <v>48</v>
      </c>
      <c r="E4773" s="1">
        <v>40897</v>
      </c>
      <c r="F4773">
        <v>2011</v>
      </c>
      <c r="G4773" t="s">
        <v>5041</v>
      </c>
      <c r="H4773">
        <v>20</v>
      </c>
      <c r="I4773">
        <v>4.5</v>
      </c>
      <c r="J4773">
        <v>9</v>
      </c>
      <c r="K4773">
        <v>9122.41</v>
      </c>
      <c r="L4773">
        <v>13.9</v>
      </c>
    </row>
    <row r="4774" spans="1:12" x14ac:dyDescent="0.3">
      <c r="A4774" t="s">
        <v>4789</v>
      </c>
      <c r="B4774" t="s">
        <v>34</v>
      </c>
      <c r="C4774" t="s">
        <v>14</v>
      </c>
      <c r="D4774">
        <v>56</v>
      </c>
      <c r="E4774" s="1">
        <v>40847</v>
      </c>
      <c r="F4774">
        <v>2011</v>
      </c>
      <c r="G4774" t="s">
        <v>5039</v>
      </c>
      <c r="H4774">
        <v>31</v>
      </c>
      <c r="I4774">
        <v>3.53</v>
      </c>
      <c r="J4774">
        <v>13</v>
      </c>
      <c r="K4774">
        <v>14659.74</v>
      </c>
      <c r="L4774">
        <v>14</v>
      </c>
    </row>
    <row r="4775" spans="1:12" x14ac:dyDescent="0.3">
      <c r="A4775" t="s">
        <v>4790</v>
      </c>
      <c r="B4775" t="s">
        <v>18</v>
      </c>
      <c r="C4775" t="s">
        <v>11</v>
      </c>
      <c r="D4775">
        <v>25</v>
      </c>
      <c r="E4775" s="1">
        <v>42519</v>
      </c>
      <c r="F4775">
        <v>2016</v>
      </c>
      <c r="G4775" t="s">
        <v>5036</v>
      </c>
      <c r="H4775">
        <v>29</v>
      </c>
      <c r="I4775">
        <v>1.87</v>
      </c>
      <c r="J4775">
        <v>11</v>
      </c>
      <c r="K4775">
        <v>4821.16</v>
      </c>
      <c r="L4775">
        <v>9.4</v>
      </c>
    </row>
    <row r="4776" spans="1:12" x14ac:dyDescent="0.3">
      <c r="A4776" t="s">
        <v>4791</v>
      </c>
      <c r="B4776" t="s">
        <v>24</v>
      </c>
      <c r="C4776" t="s">
        <v>11</v>
      </c>
      <c r="D4776">
        <v>22</v>
      </c>
      <c r="E4776" s="1">
        <v>43137</v>
      </c>
      <c r="F4776">
        <v>2018</v>
      </c>
      <c r="G4776" t="s">
        <v>5042</v>
      </c>
      <c r="H4776">
        <v>6</v>
      </c>
      <c r="I4776">
        <v>3.07</v>
      </c>
      <c r="J4776">
        <v>13</v>
      </c>
      <c r="K4776">
        <v>7688.44</v>
      </c>
      <c r="L4776">
        <v>7.7</v>
      </c>
    </row>
    <row r="4777" spans="1:12" x14ac:dyDescent="0.3">
      <c r="A4777" t="s">
        <v>4792</v>
      </c>
      <c r="B4777" t="s">
        <v>24</v>
      </c>
      <c r="C4777" t="s">
        <v>11</v>
      </c>
      <c r="D4777">
        <v>29</v>
      </c>
      <c r="E4777" s="1">
        <v>41103</v>
      </c>
      <c r="F4777">
        <v>2012</v>
      </c>
      <c r="G4777" t="s">
        <v>5034</v>
      </c>
      <c r="H4777">
        <v>13</v>
      </c>
      <c r="I4777">
        <v>2.4900000000000002</v>
      </c>
      <c r="J4777">
        <v>6</v>
      </c>
      <c r="K4777">
        <v>10032.23</v>
      </c>
      <c r="L4777">
        <v>13.3</v>
      </c>
    </row>
    <row r="4778" spans="1:12" x14ac:dyDescent="0.3">
      <c r="A4778" t="s">
        <v>4793</v>
      </c>
      <c r="B4778" t="s">
        <v>24</v>
      </c>
      <c r="C4778" t="s">
        <v>11</v>
      </c>
      <c r="D4778">
        <v>41</v>
      </c>
      <c r="E4778" s="1">
        <v>43137</v>
      </c>
      <c r="F4778">
        <v>2018</v>
      </c>
      <c r="G4778" t="s">
        <v>5042</v>
      </c>
      <c r="H4778">
        <v>6</v>
      </c>
      <c r="I4778">
        <v>3.55</v>
      </c>
      <c r="J4778">
        <v>1</v>
      </c>
      <c r="K4778">
        <v>6821.1</v>
      </c>
      <c r="L4778">
        <v>7.7</v>
      </c>
    </row>
    <row r="4779" spans="1:12" x14ac:dyDescent="0.3">
      <c r="A4779" t="s">
        <v>4794</v>
      </c>
      <c r="B4779" t="s">
        <v>18</v>
      </c>
      <c r="C4779" t="s">
        <v>11</v>
      </c>
      <c r="D4779">
        <v>52</v>
      </c>
      <c r="E4779" s="1">
        <v>43279</v>
      </c>
      <c r="F4779">
        <v>2018</v>
      </c>
      <c r="G4779" t="s">
        <v>5032</v>
      </c>
      <c r="H4779">
        <v>28</v>
      </c>
      <c r="I4779">
        <v>4.95</v>
      </c>
      <c r="J4779">
        <v>3</v>
      </c>
      <c r="K4779">
        <v>4614.21</v>
      </c>
      <c r="L4779">
        <v>7.4</v>
      </c>
    </row>
    <row r="4780" spans="1:12" x14ac:dyDescent="0.3">
      <c r="A4780" t="s">
        <v>4795</v>
      </c>
      <c r="B4780" t="s">
        <v>13</v>
      </c>
      <c r="C4780" t="s">
        <v>14</v>
      </c>
      <c r="D4780">
        <v>43</v>
      </c>
      <c r="E4780" s="1">
        <v>42789</v>
      </c>
      <c r="F4780">
        <v>2017</v>
      </c>
      <c r="G4780" t="s">
        <v>5042</v>
      </c>
      <c r="H4780">
        <v>23</v>
      </c>
      <c r="I4780">
        <v>2.2799999999999998</v>
      </c>
      <c r="J4780">
        <v>2</v>
      </c>
      <c r="K4780">
        <v>13175.59</v>
      </c>
      <c r="L4780">
        <v>8.6999999999999993</v>
      </c>
    </row>
    <row r="4781" spans="1:12" x14ac:dyDescent="0.3">
      <c r="A4781" t="s">
        <v>4796</v>
      </c>
      <c r="B4781" t="s">
        <v>16</v>
      </c>
      <c r="C4781" t="s">
        <v>14</v>
      </c>
      <c r="D4781">
        <v>54</v>
      </c>
      <c r="E4781" s="1">
        <v>41793</v>
      </c>
      <c r="F4781">
        <v>2014</v>
      </c>
      <c r="G4781" t="s">
        <v>5032</v>
      </c>
      <c r="H4781">
        <v>3</v>
      </c>
      <c r="I4781">
        <v>4.82</v>
      </c>
      <c r="J4781">
        <v>0</v>
      </c>
      <c r="K4781">
        <v>11653.2</v>
      </c>
      <c r="L4781">
        <v>11.4</v>
      </c>
    </row>
    <row r="4782" spans="1:12" x14ac:dyDescent="0.3">
      <c r="A4782" t="s">
        <v>4797</v>
      </c>
      <c r="B4782" t="s">
        <v>16</v>
      </c>
      <c r="C4782" t="s">
        <v>14</v>
      </c>
      <c r="D4782">
        <v>53</v>
      </c>
      <c r="E4782" s="1">
        <v>44397</v>
      </c>
      <c r="F4782">
        <v>2021</v>
      </c>
      <c r="G4782" t="s">
        <v>5034</v>
      </c>
      <c r="H4782">
        <v>20</v>
      </c>
      <c r="I4782">
        <v>4.4800000000000004</v>
      </c>
      <c r="J4782">
        <v>2</v>
      </c>
      <c r="K4782">
        <v>11479.25</v>
      </c>
      <c r="L4782">
        <v>4.3</v>
      </c>
    </row>
    <row r="4783" spans="1:12" x14ac:dyDescent="0.3">
      <c r="A4783" t="s">
        <v>4798</v>
      </c>
      <c r="B4783" t="s">
        <v>34</v>
      </c>
      <c r="C4783" t="s">
        <v>14</v>
      </c>
      <c r="D4783">
        <v>52</v>
      </c>
      <c r="E4783" s="1">
        <v>44923</v>
      </c>
      <c r="F4783">
        <v>2022</v>
      </c>
      <c r="G4783" t="s">
        <v>5041</v>
      </c>
      <c r="H4783">
        <v>28</v>
      </c>
      <c r="I4783">
        <v>4.95</v>
      </c>
      <c r="J4783">
        <v>1</v>
      </c>
      <c r="K4783">
        <v>14395.35</v>
      </c>
      <c r="L4783">
        <v>2.8</v>
      </c>
    </row>
    <row r="4784" spans="1:12" x14ac:dyDescent="0.3">
      <c r="A4784" t="s">
        <v>4799</v>
      </c>
      <c r="B4784" t="s">
        <v>16</v>
      </c>
      <c r="C4784" t="s">
        <v>14</v>
      </c>
      <c r="D4784">
        <v>49</v>
      </c>
      <c r="E4784" s="1">
        <v>45458</v>
      </c>
      <c r="F4784">
        <v>2024</v>
      </c>
      <c r="G4784" t="s">
        <v>5032</v>
      </c>
      <c r="H4784">
        <v>15</v>
      </c>
      <c r="I4784">
        <v>2.38</v>
      </c>
      <c r="J4784">
        <v>5</v>
      </c>
      <c r="K4784">
        <v>7508.72</v>
      </c>
      <c r="L4784">
        <v>1.4</v>
      </c>
    </row>
    <row r="4785" spans="1:12" x14ac:dyDescent="0.3">
      <c r="A4785" t="s">
        <v>4800</v>
      </c>
      <c r="B4785" t="s">
        <v>18</v>
      </c>
      <c r="C4785" t="s">
        <v>14</v>
      </c>
      <c r="D4785">
        <v>35</v>
      </c>
      <c r="E4785" s="1">
        <v>44372</v>
      </c>
      <c r="F4785">
        <v>2021</v>
      </c>
      <c r="G4785" t="s">
        <v>5032</v>
      </c>
      <c r="H4785">
        <v>25</v>
      </c>
      <c r="I4785">
        <v>4.75</v>
      </c>
      <c r="J4785">
        <v>6</v>
      </c>
      <c r="K4785">
        <v>3509.44</v>
      </c>
      <c r="L4785">
        <v>4.4000000000000004</v>
      </c>
    </row>
    <row r="4786" spans="1:12" x14ac:dyDescent="0.3">
      <c r="A4786" t="s">
        <v>4801</v>
      </c>
      <c r="B4786" t="s">
        <v>24</v>
      </c>
      <c r="C4786" t="s">
        <v>11</v>
      </c>
      <c r="D4786">
        <v>44</v>
      </c>
      <c r="E4786" s="1">
        <v>42476</v>
      </c>
      <c r="F4786">
        <v>2016</v>
      </c>
      <c r="G4786" t="s">
        <v>5040</v>
      </c>
      <c r="H4786">
        <v>16</v>
      </c>
      <c r="I4786">
        <v>2.83</v>
      </c>
      <c r="J4786">
        <v>12</v>
      </c>
      <c r="K4786">
        <v>5729.79</v>
      </c>
      <c r="L4786">
        <v>9.6</v>
      </c>
    </row>
    <row r="4787" spans="1:12" x14ac:dyDescent="0.3">
      <c r="A4787" t="s">
        <v>4802</v>
      </c>
      <c r="B4787" t="s">
        <v>10</v>
      </c>
      <c r="C4787" t="s">
        <v>11</v>
      </c>
      <c r="D4787">
        <v>43</v>
      </c>
      <c r="E4787" s="1">
        <v>44584</v>
      </c>
      <c r="F4787">
        <v>2022</v>
      </c>
      <c r="G4787" t="s">
        <v>5037</v>
      </c>
      <c r="H4787">
        <v>23</v>
      </c>
      <c r="I4787">
        <v>3.04</v>
      </c>
      <c r="J4787">
        <v>0</v>
      </c>
      <c r="K4787">
        <v>3376.55</v>
      </c>
      <c r="L4787">
        <v>3.8</v>
      </c>
    </row>
    <row r="4788" spans="1:12" x14ac:dyDescent="0.3">
      <c r="A4788" t="s">
        <v>4803</v>
      </c>
      <c r="B4788" t="s">
        <v>16</v>
      </c>
      <c r="C4788" t="s">
        <v>14</v>
      </c>
      <c r="D4788">
        <v>38</v>
      </c>
      <c r="E4788" s="1">
        <v>41989</v>
      </c>
      <c r="F4788">
        <v>2014</v>
      </c>
      <c r="G4788" t="s">
        <v>5041</v>
      </c>
      <c r="H4788">
        <v>16</v>
      </c>
      <c r="I4788">
        <v>2.54</v>
      </c>
      <c r="J4788">
        <v>14</v>
      </c>
      <c r="K4788">
        <v>3801.42</v>
      </c>
      <c r="L4788">
        <v>10.9</v>
      </c>
    </row>
    <row r="4789" spans="1:12" x14ac:dyDescent="0.3">
      <c r="A4789" t="s">
        <v>4804</v>
      </c>
      <c r="B4789" t="s">
        <v>10</v>
      </c>
      <c r="C4789" t="s">
        <v>14</v>
      </c>
      <c r="D4789">
        <v>44</v>
      </c>
      <c r="E4789" s="1">
        <v>45253</v>
      </c>
      <c r="F4789">
        <v>2023</v>
      </c>
      <c r="G4789" t="s">
        <v>5038</v>
      </c>
      <c r="H4789">
        <v>23</v>
      </c>
      <c r="I4789">
        <v>3.25</v>
      </c>
      <c r="J4789">
        <v>0</v>
      </c>
      <c r="K4789">
        <v>3215.27</v>
      </c>
      <c r="L4789">
        <v>1.9</v>
      </c>
    </row>
    <row r="4790" spans="1:12" x14ac:dyDescent="0.3">
      <c r="A4790" t="s">
        <v>4805</v>
      </c>
      <c r="B4790" t="s">
        <v>16</v>
      </c>
      <c r="C4790" t="s">
        <v>11</v>
      </c>
      <c r="D4790">
        <v>30</v>
      </c>
      <c r="E4790" s="1">
        <v>40844</v>
      </c>
      <c r="F4790">
        <v>2011</v>
      </c>
      <c r="G4790" t="s">
        <v>5039</v>
      </c>
      <c r="H4790">
        <v>28</v>
      </c>
      <c r="I4790">
        <v>2.0699999999999998</v>
      </c>
      <c r="J4790">
        <v>7</v>
      </c>
      <c r="K4790">
        <v>13098.5</v>
      </c>
      <c r="L4790">
        <v>14</v>
      </c>
    </row>
    <row r="4791" spans="1:12" x14ac:dyDescent="0.3">
      <c r="A4791" t="s">
        <v>4806</v>
      </c>
      <c r="B4791" t="s">
        <v>34</v>
      </c>
      <c r="C4791" t="s">
        <v>11</v>
      </c>
      <c r="D4791">
        <v>57</v>
      </c>
      <c r="E4791" s="1">
        <v>43318</v>
      </c>
      <c r="F4791">
        <v>2018</v>
      </c>
      <c r="G4791" t="s">
        <v>5031</v>
      </c>
      <c r="H4791">
        <v>6</v>
      </c>
      <c r="I4791">
        <v>1.68</v>
      </c>
      <c r="J4791">
        <v>7</v>
      </c>
      <c r="K4791">
        <v>4772.91</v>
      </c>
      <c r="L4791">
        <v>7.2</v>
      </c>
    </row>
    <row r="4792" spans="1:12" x14ac:dyDescent="0.3">
      <c r="A4792" t="s">
        <v>4807</v>
      </c>
      <c r="B4792" t="s">
        <v>34</v>
      </c>
      <c r="C4792" t="s">
        <v>11</v>
      </c>
      <c r="D4792">
        <v>30</v>
      </c>
      <c r="E4792" s="1">
        <v>40908</v>
      </c>
      <c r="F4792">
        <v>2011</v>
      </c>
      <c r="G4792" t="s">
        <v>5041</v>
      </c>
      <c r="H4792">
        <v>31</v>
      </c>
      <c r="I4792">
        <v>3.42</v>
      </c>
      <c r="J4792">
        <v>11</v>
      </c>
      <c r="K4792">
        <v>6901.92</v>
      </c>
      <c r="L4792">
        <v>13.8</v>
      </c>
    </row>
    <row r="4793" spans="1:12" x14ac:dyDescent="0.3">
      <c r="A4793" t="s">
        <v>4808</v>
      </c>
      <c r="B4793" t="s">
        <v>10</v>
      </c>
      <c r="C4793" t="s">
        <v>11</v>
      </c>
      <c r="D4793">
        <v>57</v>
      </c>
      <c r="E4793" s="1">
        <v>40423</v>
      </c>
      <c r="F4793">
        <v>2010</v>
      </c>
      <c r="G4793" t="s">
        <v>5033</v>
      </c>
      <c r="H4793">
        <v>2</v>
      </c>
      <c r="I4793">
        <v>3.1</v>
      </c>
      <c r="J4793">
        <v>4</v>
      </c>
      <c r="K4793">
        <v>4749.42</v>
      </c>
      <c r="L4793">
        <v>15.2</v>
      </c>
    </row>
    <row r="4794" spans="1:12" x14ac:dyDescent="0.3">
      <c r="A4794" t="s">
        <v>4809</v>
      </c>
      <c r="B4794" t="s">
        <v>34</v>
      </c>
      <c r="C4794" t="s">
        <v>14</v>
      </c>
      <c r="D4794">
        <v>41</v>
      </c>
      <c r="E4794" s="1">
        <v>43705</v>
      </c>
      <c r="F4794">
        <v>2019</v>
      </c>
      <c r="G4794" t="s">
        <v>5031</v>
      </c>
      <c r="H4794">
        <v>28</v>
      </c>
      <c r="I4794">
        <v>2.67</v>
      </c>
      <c r="J4794">
        <v>4</v>
      </c>
      <c r="K4794">
        <v>10031.83</v>
      </c>
      <c r="L4794">
        <v>6.2</v>
      </c>
    </row>
    <row r="4795" spans="1:12" x14ac:dyDescent="0.3">
      <c r="A4795" t="s">
        <v>4810</v>
      </c>
      <c r="B4795" t="s">
        <v>13</v>
      </c>
      <c r="C4795" t="s">
        <v>14</v>
      </c>
      <c r="D4795">
        <v>52</v>
      </c>
      <c r="E4795" s="1">
        <v>43927</v>
      </c>
      <c r="F4795">
        <v>2020</v>
      </c>
      <c r="G4795" t="s">
        <v>5040</v>
      </c>
      <c r="H4795">
        <v>6</v>
      </c>
      <c r="I4795">
        <v>4.76</v>
      </c>
      <c r="J4795">
        <v>7</v>
      </c>
      <c r="K4795">
        <v>6222.53</v>
      </c>
      <c r="L4795">
        <v>5.6</v>
      </c>
    </row>
    <row r="4796" spans="1:12" x14ac:dyDescent="0.3">
      <c r="A4796" t="s">
        <v>4811</v>
      </c>
      <c r="B4796" t="s">
        <v>10</v>
      </c>
      <c r="C4796" t="s">
        <v>14</v>
      </c>
      <c r="D4796">
        <v>39</v>
      </c>
      <c r="E4796" s="1">
        <v>44569</v>
      </c>
      <c r="F4796">
        <v>2022</v>
      </c>
      <c r="G4796" t="s">
        <v>5037</v>
      </c>
      <c r="H4796">
        <v>8</v>
      </c>
      <c r="I4796">
        <v>2.82</v>
      </c>
      <c r="J4796">
        <v>2</v>
      </c>
      <c r="K4796">
        <v>9978.82</v>
      </c>
      <c r="L4796">
        <v>3.8</v>
      </c>
    </row>
    <row r="4797" spans="1:12" x14ac:dyDescent="0.3">
      <c r="A4797" t="s">
        <v>4812</v>
      </c>
      <c r="B4797" t="s">
        <v>10</v>
      </c>
      <c r="C4797" t="s">
        <v>14</v>
      </c>
      <c r="D4797">
        <v>28</v>
      </c>
      <c r="E4797" s="1">
        <v>43577</v>
      </c>
      <c r="F4797">
        <v>2019</v>
      </c>
      <c r="G4797" t="s">
        <v>5040</v>
      </c>
      <c r="H4797">
        <v>22</v>
      </c>
      <c r="I4797">
        <v>4.3499999999999996</v>
      </c>
      <c r="J4797">
        <v>2</v>
      </c>
      <c r="K4797">
        <v>5701.61</v>
      </c>
      <c r="L4797">
        <v>6.5</v>
      </c>
    </row>
    <row r="4798" spans="1:12" x14ac:dyDescent="0.3">
      <c r="A4798" t="s">
        <v>4813</v>
      </c>
      <c r="B4798" t="s">
        <v>18</v>
      </c>
      <c r="C4798" t="s">
        <v>14</v>
      </c>
      <c r="D4798">
        <v>35</v>
      </c>
      <c r="E4798" s="1">
        <v>45909</v>
      </c>
      <c r="F4798">
        <v>2025</v>
      </c>
      <c r="G4798" t="s">
        <v>5033</v>
      </c>
      <c r="H4798">
        <v>9</v>
      </c>
      <c r="I4798">
        <v>1.87</v>
      </c>
      <c r="J4798">
        <v>14</v>
      </c>
      <c r="K4798">
        <v>11384.31</v>
      </c>
      <c r="L4798">
        <v>0.1</v>
      </c>
    </row>
    <row r="4799" spans="1:12" x14ac:dyDescent="0.3">
      <c r="A4799" t="s">
        <v>4814</v>
      </c>
      <c r="B4799" t="s">
        <v>10</v>
      </c>
      <c r="C4799" t="s">
        <v>14</v>
      </c>
      <c r="D4799">
        <v>24</v>
      </c>
      <c r="E4799" s="1">
        <v>41338</v>
      </c>
      <c r="F4799">
        <v>2013</v>
      </c>
      <c r="G4799" t="s">
        <v>5035</v>
      </c>
      <c r="H4799">
        <v>5</v>
      </c>
      <c r="I4799">
        <v>3.94</v>
      </c>
      <c r="J4799">
        <v>12</v>
      </c>
      <c r="K4799">
        <v>13048.79</v>
      </c>
      <c r="L4799">
        <v>12.7</v>
      </c>
    </row>
    <row r="4800" spans="1:12" x14ac:dyDescent="0.3">
      <c r="A4800" t="s">
        <v>4815</v>
      </c>
      <c r="B4800" t="s">
        <v>18</v>
      </c>
      <c r="C4800" t="s">
        <v>11</v>
      </c>
      <c r="D4800">
        <v>55</v>
      </c>
      <c r="E4800" s="1">
        <v>45608</v>
      </c>
      <c r="F4800">
        <v>2024</v>
      </c>
      <c r="G4800" t="s">
        <v>5038</v>
      </c>
      <c r="H4800">
        <v>12</v>
      </c>
      <c r="I4800">
        <v>4.18</v>
      </c>
      <c r="J4800">
        <v>8</v>
      </c>
      <c r="K4800">
        <v>12266.39</v>
      </c>
      <c r="L4800">
        <v>1</v>
      </c>
    </row>
    <row r="4801" spans="1:12" x14ac:dyDescent="0.3">
      <c r="A4801" t="s">
        <v>4816</v>
      </c>
      <c r="B4801" t="s">
        <v>13</v>
      </c>
      <c r="C4801" t="s">
        <v>14</v>
      </c>
      <c r="D4801">
        <v>38</v>
      </c>
      <c r="E4801" s="1">
        <v>41329</v>
      </c>
      <c r="F4801">
        <v>2013</v>
      </c>
      <c r="G4801" t="s">
        <v>5042</v>
      </c>
      <c r="H4801">
        <v>24</v>
      </c>
      <c r="I4801">
        <v>3.78</v>
      </c>
      <c r="J4801">
        <v>3</v>
      </c>
      <c r="K4801">
        <v>14796.6</v>
      </c>
      <c r="L4801">
        <v>12.7</v>
      </c>
    </row>
    <row r="4802" spans="1:12" x14ac:dyDescent="0.3">
      <c r="A4802" t="s">
        <v>4817</v>
      </c>
      <c r="B4802" t="s">
        <v>34</v>
      </c>
      <c r="C4802" t="s">
        <v>11</v>
      </c>
      <c r="D4802">
        <v>56</v>
      </c>
      <c r="E4802" s="1">
        <v>45823</v>
      </c>
      <c r="F4802">
        <v>2025</v>
      </c>
      <c r="G4802" t="s">
        <v>5032</v>
      </c>
      <c r="H4802">
        <v>15</v>
      </c>
      <c r="I4802">
        <v>4.37</v>
      </c>
      <c r="J4802">
        <v>12</v>
      </c>
      <c r="K4802">
        <v>4868.55</v>
      </c>
      <c r="L4802">
        <v>0.4</v>
      </c>
    </row>
    <row r="4803" spans="1:12" x14ac:dyDescent="0.3">
      <c r="A4803" t="s">
        <v>4818</v>
      </c>
      <c r="B4803" t="s">
        <v>10</v>
      </c>
      <c r="C4803" t="s">
        <v>14</v>
      </c>
      <c r="D4803">
        <v>37</v>
      </c>
      <c r="E4803" s="1">
        <v>41588</v>
      </c>
      <c r="F4803">
        <v>2013</v>
      </c>
      <c r="G4803" t="s">
        <v>5038</v>
      </c>
      <c r="H4803">
        <v>10</v>
      </c>
      <c r="I4803">
        <v>3.86</v>
      </c>
      <c r="J4803">
        <v>9</v>
      </c>
      <c r="K4803">
        <v>7426.48</v>
      </c>
      <c r="L4803">
        <v>12</v>
      </c>
    </row>
    <row r="4804" spans="1:12" x14ac:dyDescent="0.3">
      <c r="A4804" t="s">
        <v>4819</v>
      </c>
      <c r="B4804" t="s">
        <v>16</v>
      </c>
      <c r="C4804" t="s">
        <v>11</v>
      </c>
      <c r="D4804">
        <v>38</v>
      </c>
      <c r="E4804" s="1">
        <v>44883</v>
      </c>
      <c r="F4804">
        <v>2022</v>
      </c>
      <c r="G4804" t="s">
        <v>5038</v>
      </c>
      <c r="H4804">
        <v>18</v>
      </c>
      <c r="I4804">
        <v>2.74</v>
      </c>
      <c r="J4804">
        <v>2</v>
      </c>
      <c r="K4804">
        <v>9131.32</v>
      </c>
      <c r="L4804">
        <v>3</v>
      </c>
    </row>
    <row r="4805" spans="1:12" x14ac:dyDescent="0.3">
      <c r="A4805" t="s">
        <v>4820</v>
      </c>
      <c r="B4805" t="s">
        <v>34</v>
      </c>
      <c r="C4805" t="s">
        <v>11</v>
      </c>
      <c r="D4805">
        <v>50</v>
      </c>
      <c r="E4805" s="1">
        <v>44341</v>
      </c>
      <c r="F4805">
        <v>2021</v>
      </c>
      <c r="G4805" t="s">
        <v>5036</v>
      </c>
      <c r="H4805">
        <v>25</v>
      </c>
      <c r="I4805">
        <v>3.65</v>
      </c>
      <c r="J4805">
        <v>5</v>
      </c>
      <c r="K4805">
        <v>4512.6499999999996</v>
      </c>
      <c r="L4805">
        <v>4.4000000000000004</v>
      </c>
    </row>
    <row r="4806" spans="1:12" x14ac:dyDescent="0.3">
      <c r="A4806" t="s">
        <v>4821</v>
      </c>
      <c r="B4806" t="s">
        <v>10</v>
      </c>
      <c r="C4806" t="s">
        <v>11</v>
      </c>
      <c r="D4806">
        <v>50</v>
      </c>
      <c r="E4806" s="1">
        <v>44525</v>
      </c>
      <c r="F4806">
        <v>2021</v>
      </c>
      <c r="G4806" t="s">
        <v>5038</v>
      </c>
      <c r="H4806">
        <v>25</v>
      </c>
      <c r="I4806">
        <v>4.12</v>
      </c>
      <c r="J4806">
        <v>15</v>
      </c>
      <c r="K4806">
        <v>14745.16</v>
      </c>
      <c r="L4806">
        <v>3.9</v>
      </c>
    </row>
    <row r="4807" spans="1:12" x14ac:dyDescent="0.3">
      <c r="A4807" t="s">
        <v>4822</v>
      </c>
      <c r="B4807" t="s">
        <v>13</v>
      </c>
      <c r="C4807" t="s">
        <v>14</v>
      </c>
      <c r="D4807">
        <v>39</v>
      </c>
      <c r="E4807" s="1">
        <v>40803</v>
      </c>
      <c r="F4807">
        <v>2011</v>
      </c>
      <c r="G4807" t="s">
        <v>5033</v>
      </c>
      <c r="H4807">
        <v>17</v>
      </c>
      <c r="I4807">
        <v>4.66</v>
      </c>
      <c r="J4807">
        <v>9</v>
      </c>
      <c r="K4807">
        <v>8295.94</v>
      </c>
      <c r="L4807">
        <v>14.1</v>
      </c>
    </row>
    <row r="4808" spans="1:12" x14ac:dyDescent="0.3">
      <c r="A4808" t="s">
        <v>4823</v>
      </c>
      <c r="B4808" t="s">
        <v>16</v>
      </c>
      <c r="C4808" t="s">
        <v>11</v>
      </c>
      <c r="D4808">
        <v>35</v>
      </c>
      <c r="E4808" s="1">
        <v>40865</v>
      </c>
      <c r="F4808">
        <v>2011</v>
      </c>
      <c r="G4808" t="s">
        <v>5038</v>
      </c>
      <c r="H4808">
        <v>18</v>
      </c>
      <c r="I4808">
        <v>4.9000000000000004</v>
      </c>
      <c r="J4808">
        <v>14</v>
      </c>
      <c r="K4808">
        <v>4980.7700000000004</v>
      </c>
      <c r="L4808">
        <v>14</v>
      </c>
    </row>
    <row r="4809" spans="1:12" x14ac:dyDescent="0.3">
      <c r="A4809" t="s">
        <v>4824</v>
      </c>
      <c r="B4809" t="s">
        <v>16</v>
      </c>
      <c r="C4809" t="s">
        <v>11</v>
      </c>
      <c r="D4809">
        <v>36</v>
      </c>
      <c r="E4809" s="1">
        <v>41306</v>
      </c>
      <c r="F4809">
        <v>2013</v>
      </c>
      <c r="G4809" t="s">
        <v>5042</v>
      </c>
      <c r="H4809">
        <v>1</v>
      </c>
      <c r="I4809">
        <v>2.4900000000000002</v>
      </c>
      <c r="J4809">
        <v>12</v>
      </c>
      <c r="K4809">
        <v>14651.66</v>
      </c>
      <c r="L4809">
        <v>12.8</v>
      </c>
    </row>
    <row r="4810" spans="1:12" x14ac:dyDescent="0.3">
      <c r="A4810" t="s">
        <v>4825</v>
      </c>
      <c r="B4810" t="s">
        <v>34</v>
      </c>
      <c r="C4810" t="s">
        <v>11</v>
      </c>
      <c r="D4810">
        <v>34</v>
      </c>
      <c r="E4810" s="1">
        <v>45247</v>
      </c>
      <c r="F4810">
        <v>2023</v>
      </c>
      <c r="G4810" t="s">
        <v>5038</v>
      </c>
      <c r="H4810">
        <v>17</v>
      </c>
      <c r="I4810">
        <v>4.55</v>
      </c>
      <c r="J4810">
        <v>9</v>
      </c>
      <c r="K4810">
        <v>8562.02</v>
      </c>
      <c r="L4810">
        <v>2</v>
      </c>
    </row>
    <row r="4811" spans="1:12" x14ac:dyDescent="0.3">
      <c r="A4811" t="s">
        <v>4826</v>
      </c>
      <c r="B4811" t="s">
        <v>10</v>
      </c>
      <c r="C4811" t="s">
        <v>14</v>
      </c>
      <c r="D4811">
        <v>27</v>
      </c>
      <c r="E4811" s="1">
        <v>45862</v>
      </c>
      <c r="F4811">
        <v>2025</v>
      </c>
      <c r="G4811" t="s">
        <v>5034</v>
      </c>
      <c r="H4811">
        <v>24</v>
      </c>
      <c r="I4811">
        <v>4.6500000000000004</v>
      </c>
      <c r="J4811">
        <v>7</v>
      </c>
      <c r="K4811">
        <v>4004.8</v>
      </c>
      <c r="L4811">
        <v>0.3</v>
      </c>
    </row>
    <row r="4812" spans="1:12" x14ac:dyDescent="0.3">
      <c r="A4812" t="s">
        <v>4827</v>
      </c>
      <c r="B4812" t="s">
        <v>10</v>
      </c>
      <c r="C4812" t="s">
        <v>11</v>
      </c>
      <c r="D4812">
        <v>27</v>
      </c>
      <c r="E4812" s="1">
        <v>42138</v>
      </c>
      <c r="F4812">
        <v>2015</v>
      </c>
      <c r="G4812" t="s">
        <v>5036</v>
      </c>
      <c r="H4812">
        <v>14</v>
      </c>
      <c r="I4812">
        <v>3.68</v>
      </c>
      <c r="J4812">
        <v>5</v>
      </c>
      <c r="K4812">
        <v>13119.8</v>
      </c>
      <c r="L4812">
        <v>10.5</v>
      </c>
    </row>
    <row r="4813" spans="1:12" x14ac:dyDescent="0.3">
      <c r="A4813" t="s">
        <v>4828</v>
      </c>
      <c r="B4813" t="s">
        <v>24</v>
      </c>
      <c r="C4813" t="s">
        <v>14</v>
      </c>
      <c r="D4813">
        <v>52</v>
      </c>
      <c r="E4813" s="1">
        <v>45790</v>
      </c>
      <c r="F4813">
        <v>2025</v>
      </c>
      <c r="G4813" t="s">
        <v>5036</v>
      </c>
      <c r="H4813">
        <v>13</v>
      </c>
      <c r="I4813">
        <v>2.1</v>
      </c>
      <c r="J4813">
        <v>3</v>
      </c>
      <c r="K4813">
        <v>3800.22</v>
      </c>
      <c r="L4813">
        <v>0.5</v>
      </c>
    </row>
    <row r="4814" spans="1:12" x14ac:dyDescent="0.3">
      <c r="A4814" t="s">
        <v>4829</v>
      </c>
      <c r="B4814" t="s">
        <v>10</v>
      </c>
      <c r="C4814" t="s">
        <v>11</v>
      </c>
      <c r="D4814">
        <v>30</v>
      </c>
      <c r="E4814" s="1">
        <v>40839</v>
      </c>
      <c r="F4814">
        <v>2011</v>
      </c>
      <c r="G4814" t="s">
        <v>5039</v>
      </c>
      <c r="H4814">
        <v>23</v>
      </c>
      <c r="I4814">
        <v>3.44</v>
      </c>
      <c r="J4814">
        <v>3</v>
      </c>
      <c r="K4814">
        <v>8048.38</v>
      </c>
      <c r="L4814">
        <v>14</v>
      </c>
    </row>
    <row r="4815" spans="1:12" x14ac:dyDescent="0.3">
      <c r="A4815" t="s">
        <v>4830</v>
      </c>
      <c r="B4815" t="s">
        <v>18</v>
      </c>
      <c r="C4815" t="s">
        <v>11</v>
      </c>
      <c r="D4815">
        <v>32</v>
      </c>
      <c r="E4815" s="1">
        <v>44212</v>
      </c>
      <c r="F4815">
        <v>2021</v>
      </c>
      <c r="G4815" t="s">
        <v>5037</v>
      </c>
      <c r="H4815">
        <v>16</v>
      </c>
      <c r="I4815">
        <v>4.72</v>
      </c>
      <c r="J4815">
        <v>2</v>
      </c>
      <c r="K4815">
        <v>12525.93</v>
      </c>
      <c r="L4815">
        <v>4.8</v>
      </c>
    </row>
    <row r="4816" spans="1:12" x14ac:dyDescent="0.3">
      <c r="A4816" t="s">
        <v>4831</v>
      </c>
      <c r="B4816" t="s">
        <v>24</v>
      </c>
      <c r="C4816" t="s">
        <v>11</v>
      </c>
      <c r="D4816">
        <v>46</v>
      </c>
      <c r="E4816" s="1">
        <v>43008</v>
      </c>
      <c r="F4816">
        <v>2017</v>
      </c>
      <c r="G4816" t="s">
        <v>5033</v>
      </c>
      <c r="H4816">
        <v>30</v>
      </c>
      <c r="I4816">
        <v>4.51</v>
      </c>
      <c r="J4816">
        <v>14</v>
      </c>
      <c r="K4816">
        <v>11364.1</v>
      </c>
      <c r="L4816">
        <v>8.1</v>
      </c>
    </row>
    <row r="4817" spans="1:12" x14ac:dyDescent="0.3">
      <c r="A4817" t="s">
        <v>4832</v>
      </c>
      <c r="B4817" t="s">
        <v>34</v>
      </c>
      <c r="C4817" t="s">
        <v>14</v>
      </c>
      <c r="D4817">
        <v>26</v>
      </c>
      <c r="E4817" s="1">
        <v>43124</v>
      </c>
      <c r="F4817">
        <v>2018</v>
      </c>
      <c r="G4817" t="s">
        <v>5037</v>
      </c>
      <c r="H4817">
        <v>24</v>
      </c>
      <c r="I4817">
        <v>2.33</v>
      </c>
      <c r="J4817">
        <v>10</v>
      </c>
      <c r="K4817">
        <v>14896.23</v>
      </c>
      <c r="L4817">
        <v>7.8</v>
      </c>
    </row>
    <row r="4818" spans="1:12" x14ac:dyDescent="0.3">
      <c r="A4818" t="s">
        <v>4833</v>
      </c>
      <c r="B4818" t="s">
        <v>10</v>
      </c>
      <c r="C4818" t="s">
        <v>14</v>
      </c>
      <c r="D4818">
        <v>24</v>
      </c>
      <c r="E4818" s="1">
        <v>41195</v>
      </c>
      <c r="F4818">
        <v>2012</v>
      </c>
      <c r="G4818" t="s">
        <v>5039</v>
      </c>
      <c r="H4818">
        <v>13</v>
      </c>
      <c r="I4818">
        <v>1.9</v>
      </c>
      <c r="J4818">
        <v>1</v>
      </c>
      <c r="K4818">
        <v>14759.06</v>
      </c>
      <c r="L4818">
        <v>13.1</v>
      </c>
    </row>
    <row r="4819" spans="1:12" x14ac:dyDescent="0.3">
      <c r="A4819" t="s">
        <v>4834</v>
      </c>
      <c r="B4819" t="s">
        <v>18</v>
      </c>
      <c r="C4819" t="s">
        <v>14</v>
      </c>
      <c r="D4819">
        <v>31</v>
      </c>
      <c r="E4819" s="1">
        <v>45024</v>
      </c>
      <c r="F4819">
        <v>2023</v>
      </c>
      <c r="G4819" t="s">
        <v>5040</v>
      </c>
      <c r="H4819">
        <v>8</v>
      </c>
      <c r="I4819">
        <v>3.93</v>
      </c>
      <c r="J4819">
        <v>9</v>
      </c>
      <c r="K4819">
        <v>6442.37</v>
      </c>
      <c r="L4819">
        <v>2.6</v>
      </c>
    </row>
    <row r="4820" spans="1:12" x14ac:dyDescent="0.3">
      <c r="A4820" t="s">
        <v>4835</v>
      </c>
      <c r="B4820" t="s">
        <v>13</v>
      </c>
      <c r="C4820" t="s">
        <v>11</v>
      </c>
      <c r="D4820">
        <v>48</v>
      </c>
      <c r="E4820" s="1">
        <v>45241</v>
      </c>
      <c r="F4820">
        <v>2023</v>
      </c>
      <c r="G4820" t="s">
        <v>5038</v>
      </c>
      <c r="H4820">
        <v>11</v>
      </c>
      <c r="I4820">
        <v>3.08</v>
      </c>
      <c r="J4820">
        <v>3</v>
      </c>
      <c r="K4820">
        <v>13976.15</v>
      </c>
      <c r="L4820">
        <v>2</v>
      </c>
    </row>
    <row r="4821" spans="1:12" x14ac:dyDescent="0.3">
      <c r="A4821" t="s">
        <v>4836</v>
      </c>
      <c r="B4821" t="s">
        <v>13</v>
      </c>
      <c r="C4821" t="s">
        <v>11</v>
      </c>
      <c r="D4821">
        <v>32</v>
      </c>
      <c r="E4821" s="1">
        <v>42746</v>
      </c>
      <c r="F4821">
        <v>2017</v>
      </c>
      <c r="G4821" t="s">
        <v>5037</v>
      </c>
      <c r="H4821">
        <v>11</v>
      </c>
      <c r="I4821">
        <v>1.57</v>
      </c>
      <c r="J4821">
        <v>1</v>
      </c>
      <c r="K4821">
        <v>10913.94</v>
      </c>
      <c r="L4821">
        <v>8.8000000000000007</v>
      </c>
    </row>
    <row r="4822" spans="1:12" x14ac:dyDescent="0.3">
      <c r="A4822" t="s">
        <v>4837</v>
      </c>
      <c r="B4822" t="s">
        <v>18</v>
      </c>
      <c r="C4822" t="s">
        <v>14</v>
      </c>
      <c r="D4822">
        <v>48</v>
      </c>
      <c r="E4822" s="1">
        <v>44796</v>
      </c>
      <c r="F4822">
        <v>2022</v>
      </c>
      <c r="G4822" t="s">
        <v>5031</v>
      </c>
      <c r="H4822">
        <v>23</v>
      </c>
      <c r="I4822">
        <v>3.89</v>
      </c>
      <c r="J4822">
        <v>10</v>
      </c>
      <c r="K4822">
        <v>11349.08</v>
      </c>
      <c r="L4822">
        <v>3.2</v>
      </c>
    </row>
    <row r="4823" spans="1:12" x14ac:dyDescent="0.3">
      <c r="A4823" t="s">
        <v>4838</v>
      </c>
      <c r="B4823" t="s">
        <v>13</v>
      </c>
      <c r="C4823" t="s">
        <v>14</v>
      </c>
      <c r="D4823">
        <v>51</v>
      </c>
      <c r="E4823" s="1">
        <v>43295</v>
      </c>
      <c r="F4823">
        <v>2018</v>
      </c>
      <c r="G4823" t="s">
        <v>5034</v>
      </c>
      <c r="H4823">
        <v>14</v>
      </c>
      <c r="I4823">
        <v>4.34</v>
      </c>
      <c r="J4823">
        <v>0</v>
      </c>
      <c r="K4823">
        <v>8439.14</v>
      </c>
      <c r="L4823">
        <v>7.3</v>
      </c>
    </row>
    <row r="4824" spans="1:12" x14ac:dyDescent="0.3">
      <c r="A4824" t="s">
        <v>4839</v>
      </c>
      <c r="B4824" t="s">
        <v>13</v>
      </c>
      <c r="C4824" t="s">
        <v>14</v>
      </c>
      <c r="D4824">
        <v>32</v>
      </c>
      <c r="E4824" s="1">
        <v>42978</v>
      </c>
      <c r="F4824">
        <v>2017</v>
      </c>
      <c r="G4824" t="s">
        <v>5031</v>
      </c>
      <c r="H4824">
        <v>31</v>
      </c>
      <c r="I4824">
        <v>3.6</v>
      </c>
      <c r="J4824">
        <v>1</v>
      </c>
      <c r="K4824">
        <v>12036.26</v>
      </c>
      <c r="L4824">
        <v>8.1999999999999993</v>
      </c>
    </row>
    <row r="4825" spans="1:12" x14ac:dyDescent="0.3">
      <c r="A4825" t="s">
        <v>4840</v>
      </c>
      <c r="B4825" t="s">
        <v>34</v>
      </c>
      <c r="C4825" t="s">
        <v>14</v>
      </c>
      <c r="D4825">
        <v>55</v>
      </c>
      <c r="E4825" s="1">
        <v>44363</v>
      </c>
      <c r="F4825">
        <v>2021</v>
      </c>
      <c r="G4825" t="s">
        <v>5032</v>
      </c>
      <c r="H4825">
        <v>16</v>
      </c>
      <c r="I4825">
        <v>3.13</v>
      </c>
      <c r="J4825">
        <v>1</v>
      </c>
      <c r="K4825">
        <v>13189.19</v>
      </c>
      <c r="L4825">
        <v>4.4000000000000004</v>
      </c>
    </row>
    <row r="4826" spans="1:12" x14ac:dyDescent="0.3">
      <c r="A4826" t="s">
        <v>4841</v>
      </c>
      <c r="B4826" t="s">
        <v>24</v>
      </c>
      <c r="C4826" t="s">
        <v>14</v>
      </c>
      <c r="D4826">
        <v>31</v>
      </c>
      <c r="E4826" s="1">
        <v>42136</v>
      </c>
      <c r="F4826">
        <v>2015</v>
      </c>
      <c r="G4826" t="s">
        <v>5036</v>
      </c>
      <c r="H4826">
        <v>12</v>
      </c>
      <c r="I4826">
        <v>4</v>
      </c>
      <c r="J4826">
        <v>2</v>
      </c>
      <c r="K4826">
        <v>7420.82</v>
      </c>
      <c r="L4826">
        <v>10.5</v>
      </c>
    </row>
    <row r="4827" spans="1:12" x14ac:dyDescent="0.3">
      <c r="A4827" t="s">
        <v>4842</v>
      </c>
      <c r="B4827" t="s">
        <v>16</v>
      </c>
      <c r="C4827" t="s">
        <v>11</v>
      </c>
      <c r="D4827">
        <v>51</v>
      </c>
      <c r="E4827" s="1">
        <v>42507</v>
      </c>
      <c r="F4827">
        <v>2016</v>
      </c>
      <c r="G4827" t="s">
        <v>5036</v>
      </c>
      <c r="H4827">
        <v>17</v>
      </c>
      <c r="I4827">
        <v>3.71</v>
      </c>
      <c r="J4827">
        <v>1</v>
      </c>
      <c r="K4827">
        <v>12102.56</v>
      </c>
      <c r="L4827">
        <v>9.5</v>
      </c>
    </row>
    <row r="4828" spans="1:12" x14ac:dyDescent="0.3">
      <c r="A4828" t="s">
        <v>4843</v>
      </c>
      <c r="B4828" t="s">
        <v>18</v>
      </c>
      <c r="C4828" t="s">
        <v>11</v>
      </c>
      <c r="D4828">
        <v>28</v>
      </c>
      <c r="E4828" s="1">
        <v>44920</v>
      </c>
      <c r="F4828">
        <v>2022</v>
      </c>
      <c r="G4828" t="s">
        <v>5041</v>
      </c>
      <c r="H4828">
        <v>25</v>
      </c>
      <c r="I4828">
        <v>4.8</v>
      </c>
      <c r="J4828">
        <v>2</v>
      </c>
      <c r="K4828">
        <v>5096.0200000000004</v>
      </c>
      <c r="L4828">
        <v>2.9</v>
      </c>
    </row>
    <row r="4829" spans="1:12" x14ac:dyDescent="0.3">
      <c r="A4829" t="s">
        <v>4844</v>
      </c>
      <c r="B4829" t="s">
        <v>34</v>
      </c>
      <c r="C4829" t="s">
        <v>14</v>
      </c>
      <c r="D4829">
        <v>35</v>
      </c>
      <c r="E4829" s="1">
        <v>41487</v>
      </c>
      <c r="F4829">
        <v>2013</v>
      </c>
      <c r="G4829" t="s">
        <v>5031</v>
      </c>
      <c r="H4829">
        <v>1</v>
      </c>
      <c r="I4829">
        <v>3.14</v>
      </c>
      <c r="J4829">
        <v>0</v>
      </c>
      <c r="K4829">
        <v>12427.1</v>
      </c>
      <c r="L4829">
        <v>12.3</v>
      </c>
    </row>
    <row r="4830" spans="1:12" x14ac:dyDescent="0.3">
      <c r="A4830" t="s">
        <v>4845</v>
      </c>
      <c r="B4830" t="s">
        <v>24</v>
      </c>
      <c r="C4830" t="s">
        <v>11</v>
      </c>
      <c r="D4830">
        <v>38</v>
      </c>
      <c r="E4830" s="1">
        <v>41990</v>
      </c>
      <c r="F4830">
        <v>2014</v>
      </c>
      <c r="G4830" t="s">
        <v>5041</v>
      </c>
      <c r="H4830">
        <v>17</v>
      </c>
      <c r="I4830">
        <v>3.05</v>
      </c>
      <c r="J4830">
        <v>3</v>
      </c>
      <c r="K4830">
        <v>14450.7</v>
      </c>
      <c r="L4830">
        <v>10.9</v>
      </c>
    </row>
    <row r="4831" spans="1:12" x14ac:dyDescent="0.3">
      <c r="A4831" t="s">
        <v>4846</v>
      </c>
      <c r="B4831" t="s">
        <v>13</v>
      </c>
      <c r="C4831" t="s">
        <v>11</v>
      </c>
      <c r="D4831">
        <v>51</v>
      </c>
      <c r="E4831" s="1">
        <v>40324</v>
      </c>
      <c r="F4831">
        <v>2010</v>
      </c>
      <c r="G4831" t="s">
        <v>5036</v>
      </c>
      <c r="H4831">
        <v>26</v>
      </c>
      <c r="I4831">
        <v>4.4000000000000004</v>
      </c>
      <c r="J4831">
        <v>8</v>
      </c>
      <c r="K4831">
        <v>7262.7</v>
      </c>
      <c r="L4831">
        <v>15.4</v>
      </c>
    </row>
    <row r="4832" spans="1:12" x14ac:dyDescent="0.3">
      <c r="A4832" t="s">
        <v>4847</v>
      </c>
      <c r="B4832" t="s">
        <v>13</v>
      </c>
      <c r="C4832" t="s">
        <v>11</v>
      </c>
      <c r="D4832">
        <v>51</v>
      </c>
      <c r="E4832" s="1">
        <v>44318</v>
      </c>
      <c r="F4832">
        <v>2021</v>
      </c>
      <c r="G4832" t="s">
        <v>5036</v>
      </c>
      <c r="H4832">
        <v>2</v>
      </c>
      <c r="I4832">
        <v>2.71</v>
      </c>
      <c r="J4832">
        <v>9</v>
      </c>
      <c r="K4832">
        <v>6837.1</v>
      </c>
      <c r="L4832">
        <v>4.5</v>
      </c>
    </row>
    <row r="4833" spans="1:12" x14ac:dyDescent="0.3">
      <c r="A4833" t="s">
        <v>4848</v>
      </c>
      <c r="B4833" t="s">
        <v>16</v>
      </c>
      <c r="C4833" t="s">
        <v>11</v>
      </c>
      <c r="D4833">
        <v>47</v>
      </c>
      <c r="E4833" s="1">
        <v>43881</v>
      </c>
      <c r="F4833">
        <v>2020</v>
      </c>
      <c r="G4833" t="s">
        <v>5042</v>
      </c>
      <c r="H4833">
        <v>20</v>
      </c>
      <c r="I4833">
        <v>4.1900000000000004</v>
      </c>
      <c r="J4833">
        <v>8</v>
      </c>
      <c r="K4833">
        <v>14607.07</v>
      </c>
      <c r="L4833">
        <v>5.7</v>
      </c>
    </row>
    <row r="4834" spans="1:12" x14ac:dyDescent="0.3">
      <c r="A4834" t="s">
        <v>4849</v>
      </c>
      <c r="B4834" t="s">
        <v>10</v>
      </c>
      <c r="C4834" t="s">
        <v>11</v>
      </c>
      <c r="D4834">
        <v>24</v>
      </c>
      <c r="E4834" s="1">
        <v>45909</v>
      </c>
      <c r="F4834">
        <v>2025</v>
      </c>
      <c r="G4834" t="s">
        <v>5033</v>
      </c>
      <c r="H4834">
        <v>9</v>
      </c>
      <c r="I4834">
        <v>2.79</v>
      </c>
      <c r="J4834">
        <v>5</v>
      </c>
      <c r="K4834">
        <v>5846.4</v>
      </c>
      <c r="L4834">
        <v>0.1</v>
      </c>
    </row>
    <row r="4835" spans="1:12" x14ac:dyDescent="0.3">
      <c r="A4835" t="s">
        <v>4850</v>
      </c>
      <c r="B4835" t="s">
        <v>34</v>
      </c>
      <c r="C4835" t="s">
        <v>14</v>
      </c>
      <c r="D4835">
        <v>26</v>
      </c>
      <c r="E4835" s="1">
        <v>45794</v>
      </c>
      <c r="F4835">
        <v>2025</v>
      </c>
      <c r="G4835" t="s">
        <v>5036</v>
      </c>
      <c r="H4835">
        <v>17</v>
      </c>
      <c r="I4835">
        <v>4.1100000000000003</v>
      </c>
      <c r="J4835">
        <v>9</v>
      </c>
      <c r="K4835">
        <v>9274.4699999999993</v>
      </c>
      <c r="L4835">
        <v>0.5</v>
      </c>
    </row>
    <row r="4836" spans="1:12" x14ac:dyDescent="0.3">
      <c r="A4836" t="s">
        <v>4851</v>
      </c>
      <c r="B4836" t="s">
        <v>18</v>
      </c>
      <c r="C4836" t="s">
        <v>11</v>
      </c>
      <c r="D4836">
        <v>23</v>
      </c>
      <c r="E4836" s="1">
        <v>41504</v>
      </c>
      <c r="F4836">
        <v>2013</v>
      </c>
      <c r="G4836" t="s">
        <v>5031</v>
      </c>
      <c r="H4836">
        <v>18</v>
      </c>
      <c r="I4836">
        <v>2.9</v>
      </c>
      <c r="J4836">
        <v>14</v>
      </c>
      <c r="K4836">
        <v>10814.99</v>
      </c>
      <c r="L4836">
        <v>12.2</v>
      </c>
    </row>
    <row r="4837" spans="1:12" x14ac:dyDescent="0.3">
      <c r="A4837" t="s">
        <v>4852</v>
      </c>
      <c r="B4837" t="s">
        <v>10</v>
      </c>
      <c r="C4837" t="s">
        <v>14</v>
      </c>
      <c r="D4837">
        <v>31</v>
      </c>
      <c r="E4837" s="1">
        <v>44723</v>
      </c>
      <c r="F4837">
        <v>2022</v>
      </c>
      <c r="G4837" t="s">
        <v>5032</v>
      </c>
      <c r="H4837">
        <v>11</v>
      </c>
      <c r="I4837">
        <v>1.78</v>
      </c>
      <c r="J4837">
        <v>12</v>
      </c>
      <c r="K4837">
        <v>9946.8799999999992</v>
      </c>
      <c r="L4837">
        <v>3.4</v>
      </c>
    </row>
    <row r="4838" spans="1:12" x14ac:dyDescent="0.3">
      <c r="A4838" t="s">
        <v>4853</v>
      </c>
      <c r="B4838" t="s">
        <v>34</v>
      </c>
      <c r="C4838" t="s">
        <v>14</v>
      </c>
      <c r="D4838">
        <v>28</v>
      </c>
      <c r="E4838" s="1">
        <v>44674</v>
      </c>
      <c r="F4838">
        <v>2022</v>
      </c>
      <c r="G4838" t="s">
        <v>5040</v>
      </c>
      <c r="H4838">
        <v>23</v>
      </c>
      <c r="I4838">
        <v>1.99</v>
      </c>
      <c r="J4838">
        <v>15</v>
      </c>
      <c r="K4838">
        <v>9795.39</v>
      </c>
      <c r="L4838">
        <v>3.5</v>
      </c>
    </row>
    <row r="4839" spans="1:12" x14ac:dyDescent="0.3">
      <c r="A4839" t="s">
        <v>4854</v>
      </c>
      <c r="B4839" t="s">
        <v>13</v>
      </c>
      <c r="C4839" t="s">
        <v>14</v>
      </c>
      <c r="D4839">
        <v>39</v>
      </c>
      <c r="E4839" s="1">
        <v>42402</v>
      </c>
      <c r="F4839">
        <v>2016</v>
      </c>
      <c r="G4839" t="s">
        <v>5042</v>
      </c>
      <c r="H4839">
        <v>2</v>
      </c>
      <c r="I4839">
        <v>2.93</v>
      </c>
      <c r="J4839">
        <v>12</v>
      </c>
      <c r="K4839">
        <v>11437.36</v>
      </c>
      <c r="L4839">
        <v>9.8000000000000007</v>
      </c>
    </row>
    <row r="4840" spans="1:12" x14ac:dyDescent="0.3">
      <c r="A4840" t="s">
        <v>4855</v>
      </c>
      <c r="B4840" t="s">
        <v>18</v>
      </c>
      <c r="C4840" t="s">
        <v>11</v>
      </c>
      <c r="D4840">
        <v>32</v>
      </c>
      <c r="E4840" s="1">
        <v>40454</v>
      </c>
      <c r="F4840">
        <v>2010</v>
      </c>
      <c r="G4840" t="s">
        <v>5039</v>
      </c>
      <c r="H4840">
        <v>3</v>
      </c>
      <c r="I4840">
        <v>4.8</v>
      </c>
      <c r="J4840">
        <v>8</v>
      </c>
      <c r="K4840">
        <v>6934.38</v>
      </c>
      <c r="L4840">
        <v>15.1</v>
      </c>
    </row>
    <row r="4841" spans="1:12" x14ac:dyDescent="0.3">
      <c r="A4841" t="s">
        <v>4856</v>
      </c>
      <c r="B4841" t="s">
        <v>34</v>
      </c>
      <c r="C4841" t="s">
        <v>11</v>
      </c>
      <c r="D4841">
        <v>47</v>
      </c>
      <c r="E4841" s="1">
        <v>45172</v>
      </c>
      <c r="F4841">
        <v>2023</v>
      </c>
      <c r="G4841" t="s">
        <v>5033</v>
      </c>
      <c r="H4841">
        <v>3</v>
      </c>
      <c r="I4841">
        <v>2.14</v>
      </c>
      <c r="J4841">
        <v>4</v>
      </c>
      <c r="K4841">
        <v>10034.93</v>
      </c>
      <c r="L4841">
        <v>2.2000000000000002</v>
      </c>
    </row>
    <row r="4842" spans="1:12" x14ac:dyDescent="0.3">
      <c r="A4842" t="s">
        <v>4857</v>
      </c>
      <c r="B4842" t="s">
        <v>18</v>
      </c>
      <c r="C4842" t="s">
        <v>11</v>
      </c>
      <c r="D4842">
        <v>34</v>
      </c>
      <c r="E4842" s="1">
        <v>42020</v>
      </c>
      <c r="F4842">
        <v>2015</v>
      </c>
      <c r="G4842" t="s">
        <v>5037</v>
      </c>
      <c r="H4842">
        <v>16</v>
      </c>
      <c r="I4842">
        <v>4.4400000000000004</v>
      </c>
      <c r="J4842">
        <v>0</v>
      </c>
      <c r="K4842">
        <v>4869.54</v>
      </c>
      <c r="L4842">
        <v>10.8</v>
      </c>
    </row>
    <row r="4843" spans="1:12" x14ac:dyDescent="0.3">
      <c r="A4843" t="s">
        <v>4858</v>
      </c>
      <c r="B4843" t="s">
        <v>13</v>
      </c>
      <c r="C4843" t="s">
        <v>11</v>
      </c>
      <c r="D4843">
        <v>57</v>
      </c>
      <c r="E4843" s="1">
        <v>43877</v>
      </c>
      <c r="F4843">
        <v>2020</v>
      </c>
      <c r="G4843" t="s">
        <v>5042</v>
      </c>
      <c r="H4843">
        <v>16</v>
      </c>
      <c r="I4843">
        <v>2.13</v>
      </c>
      <c r="J4843">
        <v>13</v>
      </c>
      <c r="K4843">
        <v>4389.6499999999996</v>
      </c>
      <c r="L4843">
        <v>5.7</v>
      </c>
    </row>
    <row r="4844" spans="1:12" x14ac:dyDescent="0.3">
      <c r="A4844" t="s">
        <v>4859</v>
      </c>
      <c r="B4844" t="s">
        <v>18</v>
      </c>
      <c r="C4844" t="s">
        <v>11</v>
      </c>
      <c r="D4844">
        <v>42</v>
      </c>
      <c r="E4844" s="1">
        <v>43034</v>
      </c>
      <c r="F4844">
        <v>2017</v>
      </c>
      <c r="G4844" t="s">
        <v>5039</v>
      </c>
      <c r="H4844">
        <v>26</v>
      </c>
      <c r="I4844">
        <v>4.3600000000000003</v>
      </c>
      <c r="J4844">
        <v>4</v>
      </c>
      <c r="K4844">
        <v>6996.93</v>
      </c>
      <c r="L4844">
        <v>8</v>
      </c>
    </row>
    <row r="4845" spans="1:12" x14ac:dyDescent="0.3">
      <c r="A4845" t="s">
        <v>4860</v>
      </c>
      <c r="B4845" t="s">
        <v>10</v>
      </c>
      <c r="C4845" t="s">
        <v>14</v>
      </c>
      <c r="D4845">
        <v>56</v>
      </c>
      <c r="E4845" s="1">
        <v>41063</v>
      </c>
      <c r="F4845">
        <v>2012</v>
      </c>
      <c r="G4845" t="s">
        <v>5032</v>
      </c>
      <c r="H4845">
        <v>3</v>
      </c>
      <c r="I4845">
        <v>4.6900000000000004</v>
      </c>
      <c r="J4845">
        <v>4</v>
      </c>
      <c r="K4845">
        <v>11198.71</v>
      </c>
      <c r="L4845">
        <v>13.4</v>
      </c>
    </row>
    <row r="4846" spans="1:12" x14ac:dyDescent="0.3">
      <c r="A4846" t="s">
        <v>4861</v>
      </c>
      <c r="B4846" t="s">
        <v>18</v>
      </c>
      <c r="C4846" t="s">
        <v>11</v>
      </c>
      <c r="D4846">
        <v>47</v>
      </c>
      <c r="E4846" s="1">
        <v>45172</v>
      </c>
      <c r="F4846">
        <v>2023</v>
      </c>
      <c r="G4846" t="s">
        <v>5033</v>
      </c>
      <c r="H4846">
        <v>3</v>
      </c>
      <c r="I4846">
        <v>1.6</v>
      </c>
      <c r="J4846">
        <v>1</v>
      </c>
      <c r="K4846">
        <v>3109.83</v>
      </c>
      <c r="L4846">
        <v>2.2000000000000002</v>
      </c>
    </row>
    <row r="4847" spans="1:12" x14ac:dyDescent="0.3">
      <c r="A4847" t="s">
        <v>4862</v>
      </c>
      <c r="B4847" t="s">
        <v>24</v>
      </c>
      <c r="C4847" t="s">
        <v>14</v>
      </c>
      <c r="D4847">
        <v>24</v>
      </c>
      <c r="E4847" s="1">
        <v>41942</v>
      </c>
      <c r="F4847">
        <v>2014</v>
      </c>
      <c r="G4847" t="s">
        <v>5039</v>
      </c>
      <c r="H4847">
        <v>30</v>
      </c>
      <c r="I4847">
        <v>3.02</v>
      </c>
      <c r="J4847">
        <v>7</v>
      </c>
      <c r="K4847">
        <v>6411.77</v>
      </c>
      <c r="L4847">
        <v>11</v>
      </c>
    </row>
    <row r="4848" spans="1:12" x14ac:dyDescent="0.3">
      <c r="A4848" t="s">
        <v>4863</v>
      </c>
      <c r="B4848" t="s">
        <v>24</v>
      </c>
      <c r="C4848" t="s">
        <v>11</v>
      </c>
      <c r="D4848">
        <v>36</v>
      </c>
      <c r="E4848" s="1">
        <v>44532</v>
      </c>
      <c r="F4848">
        <v>2021</v>
      </c>
      <c r="G4848" t="s">
        <v>5041</v>
      </c>
      <c r="H4848">
        <v>2</v>
      </c>
      <c r="I4848">
        <v>4.29</v>
      </c>
      <c r="J4848">
        <v>13</v>
      </c>
      <c r="K4848">
        <v>3127.74</v>
      </c>
      <c r="L4848">
        <v>3.9</v>
      </c>
    </row>
    <row r="4849" spans="1:12" x14ac:dyDescent="0.3">
      <c r="A4849" t="s">
        <v>4864</v>
      </c>
      <c r="B4849" t="s">
        <v>10</v>
      </c>
      <c r="C4849" t="s">
        <v>11</v>
      </c>
      <c r="D4849">
        <v>35</v>
      </c>
      <c r="E4849" s="1">
        <v>44585</v>
      </c>
      <c r="F4849">
        <v>2022</v>
      </c>
      <c r="G4849" t="s">
        <v>5037</v>
      </c>
      <c r="H4849">
        <v>24</v>
      </c>
      <c r="I4849">
        <v>2.92</v>
      </c>
      <c r="J4849">
        <v>11</v>
      </c>
      <c r="K4849">
        <v>14076.92</v>
      </c>
      <c r="L4849">
        <v>3.8</v>
      </c>
    </row>
    <row r="4850" spans="1:12" x14ac:dyDescent="0.3">
      <c r="A4850" t="s">
        <v>4865</v>
      </c>
      <c r="B4850" t="s">
        <v>10</v>
      </c>
      <c r="C4850" t="s">
        <v>14</v>
      </c>
      <c r="D4850">
        <v>40</v>
      </c>
      <c r="E4850" s="1">
        <v>41357</v>
      </c>
      <c r="F4850">
        <v>2013</v>
      </c>
      <c r="G4850" t="s">
        <v>5035</v>
      </c>
      <c r="H4850">
        <v>24</v>
      </c>
      <c r="I4850">
        <v>4.1900000000000004</v>
      </c>
      <c r="J4850">
        <v>1</v>
      </c>
      <c r="K4850">
        <v>7715.17</v>
      </c>
      <c r="L4850">
        <v>12.6</v>
      </c>
    </row>
    <row r="4851" spans="1:12" x14ac:dyDescent="0.3">
      <c r="A4851" t="s">
        <v>4866</v>
      </c>
      <c r="B4851" t="s">
        <v>16</v>
      </c>
      <c r="C4851" t="s">
        <v>14</v>
      </c>
      <c r="D4851">
        <v>27</v>
      </c>
      <c r="E4851" s="1">
        <v>42546</v>
      </c>
      <c r="F4851">
        <v>2016</v>
      </c>
      <c r="G4851" t="s">
        <v>5032</v>
      </c>
      <c r="H4851">
        <v>25</v>
      </c>
      <c r="I4851">
        <v>2.25</v>
      </c>
      <c r="J4851">
        <v>14</v>
      </c>
      <c r="K4851">
        <v>4318.33</v>
      </c>
      <c r="L4851">
        <v>9.4</v>
      </c>
    </row>
    <row r="4852" spans="1:12" x14ac:dyDescent="0.3">
      <c r="A4852" t="s">
        <v>4867</v>
      </c>
      <c r="B4852" t="s">
        <v>10</v>
      </c>
      <c r="C4852" t="s">
        <v>14</v>
      </c>
      <c r="D4852">
        <v>41</v>
      </c>
      <c r="E4852" s="1">
        <v>40532</v>
      </c>
      <c r="F4852">
        <v>2010</v>
      </c>
      <c r="G4852" t="s">
        <v>5041</v>
      </c>
      <c r="H4852">
        <v>20</v>
      </c>
      <c r="I4852">
        <v>2.73</v>
      </c>
      <c r="J4852">
        <v>1</v>
      </c>
      <c r="K4852">
        <v>9499.4</v>
      </c>
      <c r="L4852">
        <v>14.9</v>
      </c>
    </row>
    <row r="4853" spans="1:12" x14ac:dyDescent="0.3">
      <c r="A4853" t="s">
        <v>4868</v>
      </c>
      <c r="B4853" t="s">
        <v>18</v>
      </c>
      <c r="C4853" t="s">
        <v>11</v>
      </c>
      <c r="D4853">
        <v>53</v>
      </c>
      <c r="E4853" s="1">
        <v>44169</v>
      </c>
      <c r="F4853">
        <v>2020</v>
      </c>
      <c r="G4853" t="s">
        <v>5041</v>
      </c>
      <c r="H4853">
        <v>4</v>
      </c>
      <c r="I4853">
        <v>3.99</v>
      </c>
      <c r="J4853">
        <v>1</v>
      </c>
      <c r="K4853">
        <v>6042.77</v>
      </c>
      <c r="L4853">
        <v>4.9000000000000004</v>
      </c>
    </row>
    <row r="4854" spans="1:12" x14ac:dyDescent="0.3">
      <c r="A4854" t="s">
        <v>4869</v>
      </c>
      <c r="B4854" t="s">
        <v>24</v>
      </c>
      <c r="C4854" t="s">
        <v>14</v>
      </c>
      <c r="D4854">
        <v>32</v>
      </c>
      <c r="E4854" s="1">
        <v>44135</v>
      </c>
      <c r="F4854">
        <v>2020</v>
      </c>
      <c r="G4854" t="s">
        <v>5039</v>
      </c>
      <c r="H4854">
        <v>31</v>
      </c>
      <c r="I4854">
        <v>3.78</v>
      </c>
      <c r="J4854">
        <v>9</v>
      </c>
      <c r="K4854">
        <v>11782.54</v>
      </c>
      <c r="L4854">
        <v>5</v>
      </c>
    </row>
    <row r="4855" spans="1:12" x14ac:dyDescent="0.3">
      <c r="A4855" t="s">
        <v>4870</v>
      </c>
      <c r="B4855" t="s">
        <v>10</v>
      </c>
      <c r="C4855" t="s">
        <v>11</v>
      </c>
      <c r="D4855">
        <v>25</v>
      </c>
      <c r="E4855" s="1">
        <v>43653</v>
      </c>
      <c r="F4855">
        <v>2019</v>
      </c>
      <c r="G4855" t="s">
        <v>5034</v>
      </c>
      <c r="H4855">
        <v>7</v>
      </c>
      <c r="I4855">
        <v>2.95</v>
      </c>
      <c r="J4855">
        <v>14</v>
      </c>
      <c r="K4855">
        <v>8044.74</v>
      </c>
      <c r="L4855">
        <v>6.3</v>
      </c>
    </row>
    <row r="4856" spans="1:12" x14ac:dyDescent="0.3">
      <c r="A4856" t="s">
        <v>4871</v>
      </c>
      <c r="B4856" t="s">
        <v>10</v>
      </c>
      <c r="C4856" t="s">
        <v>11</v>
      </c>
      <c r="D4856">
        <v>32</v>
      </c>
      <c r="E4856" s="1">
        <v>40848</v>
      </c>
      <c r="F4856">
        <v>2011</v>
      </c>
      <c r="G4856" t="s">
        <v>5038</v>
      </c>
      <c r="H4856">
        <v>1</v>
      </c>
      <c r="I4856">
        <v>4.62</v>
      </c>
      <c r="J4856">
        <v>13</v>
      </c>
      <c r="K4856">
        <v>12694.13</v>
      </c>
      <c r="L4856">
        <v>14</v>
      </c>
    </row>
    <row r="4857" spans="1:12" x14ac:dyDescent="0.3">
      <c r="A4857" t="s">
        <v>4872</v>
      </c>
      <c r="B4857" t="s">
        <v>16</v>
      </c>
      <c r="C4857" t="s">
        <v>14</v>
      </c>
      <c r="D4857">
        <v>47</v>
      </c>
      <c r="E4857" s="1">
        <v>41257</v>
      </c>
      <c r="F4857">
        <v>2012</v>
      </c>
      <c r="G4857" t="s">
        <v>5041</v>
      </c>
      <c r="H4857">
        <v>14</v>
      </c>
      <c r="I4857">
        <v>4.09</v>
      </c>
      <c r="J4857">
        <v>0</v>
      </c>
      <c r="K4857">
        <v>4923.6000000000004</v>
      </c>
      <c r="L4857">
        <v>12.9</v>
      </c>
    </row>
    <row r="4858" spans="1:12" x14ac:dyDescent="0.3">
      <c r="A4858" t="s">
        <v>4873</v>
      </c>
      <c r="B4858" t="s">
        <v>24</v>
      </c>
      <c r="C4858" t="s">
        <v>14</v>
      </c>
      <c r="D4858">
        <v>46</v>
      </c>
      <c r="E4858" s="1">
        <v>43506</v>
      </c>
      <c r="F4858">
        <v>2019</v>
      </c>
      <c r="G4858" t="s">
        <v>5042</v>
      </c>
      <c r="H4858">
        <v>10</v>
      </c>
      <c r="I4858">
        <v>2.92</v>
      </c>
      <c r="J4858">
        <v>7</v>
      </c>
      <c r="K4858">
        <v>10516.69</v>
      </c>
      <c r="L4858">
        <v>6.7</v>
      </c>
    </row>
    <row r="4859" spans="1:12" x14ac:dyDescent="0.3">
      <c r="A4859" t="s">
        <v>4874</v>
      </c>
      <c r="B4859" t="s">
        <v>13</v>
      </c>
      <c r="C4859" t="s">
        <v>11</v>
      </c>
      <c r="D4859">
        <v>22</v>
      </c>
      <c r="E4859" s="1">
        <v>42245</v>
      </c>
      <c r="F4859">
        <v>2015</v>
      </c>
      <c r="G4859" t="s">
        <v>5031</v>
      </c>
      <c r="H4859">
        <v>29</v>
      </c>
      <c r="I4859">
        <v>3.37</v>
      </c>
      <c r="J4859">
        <v>15</v>
      </c>
      <c r="K4859">
        <v>3676.26</v>
      </c>
      <c r="L4859">
        <v>10.199999999999999</v>
      </c>
    </row>
    <row r="4860" spans="1:12" x14ac:dyDescent="0.3">
      <c r="A4860" t="s">
        <v>4875</v>
      </c>
      <c r="B4860" t="s">
        <v>13</v>
      </c>
      <c r="C4860" t="s">
        <v>11</v>
      </c>
      <c r="D4860">
        <v>40</v>
      </c>
      <c r="E4860" s="1">
        <v>43682</v>
      </c>
      <c r="F4860">
        <v>2019</v>
      </c>
      <c r="G4860" t="s">
        <v>5031</v>
      </c>
      <c r="H4860">
        <v>5</v>
      </c>
      <c r="I4860">
        <v>4.4400000000000004</v>
      </c>
      <c r="J4860">
        <v>14</v>
      </c>
      <c r="K4860">
        <v>4589.5</v>
      </c>
      <c r="L4860">
        <v>6.2</v>
      </c>
    </row>
    <row r="4861" spans="1:12" x14ac:dyDescent="0.3">
      <c r="A4861" t="s">
        <v>4876</v>
      </c>
      <c r="B4861" t="s">
        <v>10</v>
      </c>
      <c r="C4861" t="s">
        <v>14</v>
      </c>
      <c r="D4861">
        <v>42</v>
      </c>
      <c r="E4861" s="1">
        <v>40328</v>
      </c>
      <c r="F4861">
        <v>2010</v>
      </c>
      <c r="G4861" t="s">
        <v>5036</v>
      </c>
      <c r="H4861">
        <v>30</v>
      </c>
      <c r="I4861">
        <v>4.2300000000000004</v>
      </c>
      <c r="J4861">
        <v>0</v>
      </c>
      <c r="K4861">
        <v>9009.99</v>
      </c>
      <c r="L4861">
        <v>15.4</v>
      </c>
    </row>
    <row r="4862" spans="1:12" x14ac:dyDescent="0.3">
      <c r="A4862" t="s">
        <v>4877</v>
      </c>
      <c r="B4862" t="s">
        <v>10</v>
      </c>
      <c r="C4862" t="s">
        <v>11</v>
      </c>
      <c r="D4862">
        <v>34</v>
      </c>
      <c r="E4862" s="1">
        <v>44309</v>
      </c>
      <c r="F4862">
        <v>2021</v>
      </c>
      <c r="G4862" t="s">
        <v>5040</v>
      </c>
      <c r="H4862">
        <v>23</v>
      </c>
      <c r="I4862">
        <v>4.42</v>
      </c>
      <c r="J4862">
        <v>11</v>
      </c>
      <c r="K4862">
        <v>10396.74</v>
      </c>
      <c r="L4862">
        <v>4.5</v>
      </c>
    </row>
    <row r="4863" spans="1:12" x14ac:dyDescent="0.3">
      <c r="A4863" t="s">
        <v>4878</v>
      </c>
      <c r="B4863" t="s">
        <v>10</v>
      </c>
      <c r="C4863" t="s">
        <v>11</v>
      </c>
      <c r="D4863">
        <v>36</v>
      </c>
      <c r="E4863" s="1">
        <v>42720</v>
      </c>
      <c r="F4863">
        <v>2016</v>
      </c>
      <c r="G4863" t="s">
        <v>5041</v>
      </c>
      <c r="H4863">
        <v>16</v>
      </c>
      <c r="I4863">
        <v>4.1500000000000004</v>
      </c>
      <c r="J4863">
        <v>6</v>
      </c>
      <c r="K4863">
        <v>4726.75</v>
      </c>
      <c r="L4863">
        <v>8.9</v>
      </c>
    </row>
    <row r="4864" spans="1:12" x14ac:dyDescent="0.3">
      <c r="A4864" t="s">
        <v>4879</v>
      </c>
      <c r="B4864" t="s">
        <v>24</v>
      </c>
      <c r="C4864" t="s">
        <v>11</v>
      </c>
      <c r="D4864">
        <v>29</v>
      </c>
      <c r="E4864" s="1">
        <v>44602</v>
      </c>
      <c r="F4864">
        <v>2022</v>
      </c>
      <c r="G4864" t="s">
        <v>5042</v>
      </c>
      <c r="H4864">
        <v>10</v>
      </c>
      <c r="I4864">
        <v>3.89</v>
      </c>
      <c r="J4864">
        <v>12</v>
      </c>
      <c r="K4864">
        <v>8666.07</v>
      </c>
      <c r="L4864">
        <v>3.7</v>
      </c>
    </row>
    <row r="4865" spans="1:12" x14ac:dyDescent="0.3">
      <c r="A4865" t="s">
        <v>4880</v>
      </c>
      <c r="B4865" t="s">
        <v>18</v>
      </c>
      <c r="C4865" t="s">
        <v>11</v>
      </c>
      <c r="D4865">
        <v>35</v>
      </c>
      <c r="E4865" s="1">
        <v>44167</v>
      </c>
      <c r="F4865">
        <v>2020</v>
      </c>
      <c r="G4865" t="s">
        <v>5041</v>
      </c>
      <c r="H4865">
        <v>2</v>
      </c>
      <c r="I4865">
        <v>4.46</v>
      </c>
      <c r="J4865">
        <v>0</v>
      </c>
      <c r="K4865">
        <v>10586.14</v>
      </c>
      <c r="L4865">
        <v>4.9000000000000004</v>
      </c>
    </row>
    <row r="4866" spans="1:12" x14ac:dyDescent="0.3">
      <c r="A4866" t="s">
        <v>4881</v>
      </c>
      <c r="B4866" t="s">
        <v>18</v>
      </c>
      <c r="C4866" t="s">
        <v>11</v>
      </c>
      <c r="D4866">
        <v>41</v>
      </c>
      <c r="E4866" s="1">
        <v>42089</v>
      </c>
      <c r="F4866">
        <v>2015</v>
      </c>
      <c r="G4866" t="s">
        <v>5035</v>
      </c>
      <c r="H4866">
        <v>26</v>
      </c>
      <c r="I4866">
        <v>2.36</v>
      </c>
      <c r="J4866">
        <v>1</v>
      </c>
      <c r="K4866">
        <v>13276.96</v>
      </c>
      <c r="L4866">
        <v>10.6</v>
      </c>
    </row>
    <row r="4867" spans="1:12" x14ac:dyDescent="0.3">
      <c r="A4867" t="s">
        <v>4882</v>
      </c>
      <c r="B4867" t="s">
        <v>24</v>
      </c>
      <c r="C4867" t="s">
        <v>14</v>
      </c>
      <c r="D4867">
        <v>54</v>
      </c>
      <c r="E4867" s="1">
        <v>41193</v>
      </c>
      <c r="F4867">
        <v>2012</v>
      </c>
      <c r="G4867" t="s">
        <v>5039</v>
      </c>
      <c r="H4867">
        <v>11</v>
      </c>
      <c r="I4867">
        <v>3.26</v>
      </c>
      <c r="J4867">
        <v>3</v>
      </c>
      <c r="K4867">
        <v>7890.09</v>
      </c>
      <c r="L4867">
        <v>13.1</v>
      </c>
    </row>
    <row r="4868" spans="1:12" x14ac:dyDescent="0.3">
      <c r="A4868" t="s">
        <v>4883</v>
      </c>
      <c r="B4868" t="s">
        <v>34</v>
      </c>
      <c r="C4868" t="s">
        <v>14</v>
      </c>
      <c r="D4868">
        <v>55</v>
      </c>
      <c r="E4868" s="1">
        <v>45541</v>
      </c>
      <c r="F4868">
        <v>2024</v>
      </c>
      <c r="G4868" t="s">
        <v>5033</v>
      </c>
      <c r="H4868">
        <v>6</v>
      </c>
      <c r="I4868">
        <v>4.53</v>
      </c>
      <c r="J4868">
        <v>15</v>
      </c>
      <c r="K4868">
        <v>7100.35</v>
      </c>
      <c r="L4868">
        <v>1.2</v>
      </c>
    </row>
    <row r="4869" spans="1:12" x14ac:dyDescent="0.3">
      <c r="A4869" t="s">
        <v>4884</v>
      </c>
      <c r="B4869" t="s">
        <v>10</v>
      </c>
      <c r="C4869" t="s">
        <v>11</v>
      </c>
      <c r="D4869">
        <v>26</v>
      </c>
      <c r="E4869" s="1">
        <v>43776</v>
      </c>
      <c r="F4869">
        <v>2019</v>
      </c>
      <c r="G4869" t="s">
        <v>5038</v>
      </c>
      <c r="H4869">
        <v>7</v>
      </c>
      <c r="I4869">
        <v>2.5099999999999998</v>
      </c>
      <c r="J4869">
        <v>1</v>
      </c>
      <c r="K4869">
        <v>10673.11</v>
      </c>
      <c r="L4869">
        <v>6</v>
      </c>
    </row>
    <row r="4870" spans="1:12" x14ac:dyDescent="0.3">
      <c r="A4870" t="s">
        <v>4885</v>
      </c>
      <c r="B4870" t="s">
        <v>18</v>
      </c>
      <c r="C4870" t="s">
        <v>14</v>
      </c>
      <c r="D4870">
        <v>30</v>
      </c>
      <c r="E4870" s="1">
        <v>42229</v>
      </c>
      <c r="F4870">
        <v>2015</v>
      </c>
      <c r="G4870" t="s">
        <v>5031</v>
      </c>
      <c r="H4870">
        <v>13</v>
      </c>
      <c r="I4870">
        <v>3.41</v>
      </c>
      <c r="J4870">
        <v>2</v>
      </c>
      <c r="K4870">
        <v>3855.03</v>
      </c>
      <c r="L4870">
        <v>10.199999999999999</v>
      </c>
    </row>
    <row r="4871" spans="1:12" x14ac:dyDescent="0.3">
      <c r="A4871" t="s">
        <v>4886</v>
      </c>
      <c r="B4871" t="s">
        <v>24</v>
      </c>
      <c r="C4871" t="s">
        <v>14</v>
      </c>
      <c r="D4871">
        <v>60</v>
      </c>
      <c r="E4871" s="1">
        <v>45390</v>
      </c>
      <c r="F4871">
        <v>2024</v>
      </c>
      <c r="G4871" t="s">
        <v>5040</v>
      </c>
      <c r="H4871">
        <v>8</v>
      </c>
      <c r="I4871">
        <v>1.98</v>
      </c>
      <c r="J4871">
        <v>11</v>
      </c>
      <c r="K4871">
        <v>6951.85</v>
      </c>
      <c r="L4871">
        <v>1.6</v>
      </c>
    </row>
    <row r="4872" spans="1:12" x14ac:dyDescent="0.3">
      <c r="A4872" t="s">
        <v>4887</v>
      </c>
      <c r="B4872" t="s">
        <v>13</v>
      </c>
      <c r="C4872" t="s">
        <v>11</v>
      </c>
      <c r="D4872">
        <v>40</v>
      </c>
      <c r="E4872" s="1">
        <v>43293</v>
      </c>
      <c r="F4872">
        <v>2018</v>
      </c>
      <c r="G4872" t="s">
        <v>5034</v>
      </c>
      <c r="H4872">
        <v>12</v>
      </c>
      <c r="I4872">
        <v>2.4</v>
      </c>
      <c r="J4872">
        <v>12</v>
      </c>
      <c r="K4872">
        <v>7223.81</v>
      </c>
      <c r="L4872">
        <v>7.3</v>
      </c>
    </row>
    <row r="4873" spans="1:12" x14ac:dyDescent="0.3">
      <c r="A4873" t="s">
        <v>4888</v>
      </c>
      <c r="B4873" t="s">
        <v>10</v>
      </c>
      <c r="C4873" t="s">
        <v>14</v>
      </c>
      <c r="D4873">
        <v>40</v>
      </c>
      <c r="E4873" s="1">
        <v>43487</v>
      </c>
      <c r="F4873">
        <v>2019</v>
      </c>
      <c r="G4873" t="s">
        <v>5037</v>
      </c>
      <c r="H4873">
        <v>22</v>
      </c>
      <c r="I4873">
        <v>2.59</v>
      </c>
      <c r="J4873">
        <v>11</v>
      </c>
      <c r="K4873">
        <v>4320.07</v>
      </c>
      <c r="L4873">
        <v>6.8</v>
      </c>
    </row>
    <row r="4874" spans="1:12" x14ac:dyDescent="0.3">
      <c r="A4874" t="s">
        <v>4889</v>
      </c>
      <c r="B4874" t="s">
        <v>24</v>
      </c>
      <c r="C4874" t="s">
        <v>11</v>
      </c>
      <c r="D4874">
        <v>48</v>
      </c>
      <c r="E4874" s="1">
        <v>43616</v>
      </c>
      <c r="F4874">
        <v>2019</v>
      </c>
      <c r="G4874" t="s">
        <v>5036</v>
      </c>
      <c r="H4874">
        <v>31</v>
      </c>
      <c r="I4874">
        <v>2.78</v>
      </c>
      <c r="J4874">
        <v>7</v>
      </c>
      <c r="K4874">
        <v>5867.2</v>
      </c>
      <c r="L4874">
        <v>6.4</v>
      </c>
    </row>
    <row r="4875" spans="1:12" x14ac:dyDescent="0.3">
      <c r="A4875" t="s">
        <v>4890</v>
      </c>
      <c r="B4875" t="s">
        <v>24</v>
      </c>
      <c r="C4875" t="s">
        <v>11</v>
      </c>
      <c r="D4875">
        <v>29</v>
      </c>
      <c r="E4875" s="1">
        <v>42842</v>
      </c>
      <c r="F4875">
        <v>2017</v>
      </c>
      <c r="G4875" t="s">
        <v>5040</v>
      </c>
      <c r="H4875">
        <v>17</v>
      </c>
      <c r="I4875">
        <v>2.21</v>
      </c>
      <c r="J4875">
        <v>4</v>
      </c>
      <c r="K4875">
        <v>5408.36</v>
      </c>
      <c r="L4875">
        <v>8.5</v>
      </c>
    </row>
    <row r="4876" spans="1:12" x14ac:dyDescent="0.3">
      <c r="A4876" t="s">
        <v>4891</v>
      </c>
      <c r="B4876" t="s">
        <v>13</v>
      </c>
      <c r="C4876" t="s">
        <v>14</v>
      </c>
      <c r="D4876">
        <v>53</v>
      </c>
      <c r="E4876" s="1">
        <v>40838</v>
      </c>
      <c r="F4876">
        <v>2011</v>
      </c>
      <c r="G4876" t="s">
        <v>5039</v>
      </c>
      <c r="H4876">
        <v>22</v>
      </c>
      <c r="I4876">
        <v>3.48</v>
      </c>
      <c r="J4876">
        <v>3</v>
      </c>
      <c r="K4876">
        <v>12110.58</v>
      </c>
      <c r="L4876">
        <v>14</v>
      </c>
    </row>
    <row r="4877" spans="1:12" x14ac:dyDescent="0.3">
      <c r="A4877" t="s">
        <v>4892</v>
      </c>
      <c r="B4877" t="s">
        <v>16</v>
      </c>
      <c r="C4877" t="s">
        <v>14</v>
      </c>
      <c r="D4877">
        <v>42</v>
      </c>
      <c r="E4877" s="1">
        <v>41505</v>
      </c>
      <c r="F4877">
        <v>2013</v>
      </c>
      <c r="G4877" t="s">
        <v>5031</v>
      </c>
      <c r="H4877">
        <v>19</v>
      </c>
      <c r="I4877">
        <v>3.75</v>
      </c>
      <c r="J4877">
        <v>9</v>
      </c>
      <c r="K4877">
        <v>4086.44</v>
      </c>
      <c r="L4877">
        <v>12.2</v>
      </c>
    </row>
    <row r="4878" spans="1:12" x14ac:dyDescent="0.3">
      <c r="A4878" t="s">
        <v>4893</v>
      </c>
      <c r="B4878" t="s">
        <v>18</v>
      </c>
      <c r="C4878" t="s">
        <v>11</v>
      </c>
      <c r="D4878">
        <v>50</v>
      </c>
      <c r="E4878" s="1">
        <v>43351</v>
      </c>
      <c r="F4878">
        <v>2018</v>
      </c>
      <c r="G4878" t="s">
        <v>5033</v>
      </c>
      <c r="H4878">
        <v>8</v>
      </c>
      <c r="I4878">
        <v>2.3199999999999998</v>
      </c>
      <c r="J4878">
        <v>6</v>
      </c>
      <c r="K4878">
        <v>9181.06</v>
      </c>
      <c r="L4878">
        <v>7.2</v>
      </c>
    </row>
    <row r="4879" spans="1:12" x14ac:dyDescent="0.3">
      <c r="A4879" t="s">
        <v>4894</v>
      </c>
      <c r="B4879" t="s">
        <v>24</v>
      </c>
      <c r="C4879" t="s">
        <v>14</v>
      </c>
      <c r="D4879">
        <v>50</v>
      </c>
      <c r="E4879" s="1">
        <v>41003</v>
      </c>
      <c r="F4879">
        <v>2012</v>
      </c>
      <c r="G4879" t="s">
        <v>5040</v>
      </c>
      <c r="H4879">
        <v>4</v>
      </c>
      <c r="I4879">
        <v>1.79</v>
      </c>
      <c r="J4879">
        <v>13</v>
      </c>
      <c r="K4879">
        <v>6300.6</v>
      </c>
      <c r="L4879">
        <v>13.6</v>
      </c>
    </row>
    <row r="4880" spans="1:12" x14ac:dyDescent="0.3">
      <c r="A4880" t="s">
        <v>4895</v>
      </c>
      <c r="B4880" t="s">
        <v>24</v>
      </c>
      <c r="C4880" t="s">
        <v>11</v>
      </c>
      <c r="D4880">
        <v>59</v>
      </c>
      <c r="E4880" s="1">
        <v>42134</v>
      </c>
      <c r="F4880">
        <v>2015</v>
      </c>
      <c r="G4880" t="s">
        <v>5036</v>
      </c>
      <c r="H4880">
        <v>10</v>
      </c>
      <c r="I4880">
        <v>1.96</v>
      </c>
      <c r="J4880">
        <v>7</v>
      </c>
      <c r="K4880">
        <v>10423.879999999999</v>
      </c>
      <c r="L4880">
        <v>10.5</v>
      </c>
    </row>
    <row r="4881" spans="1:12" x14ac:dyDescent="0.3">
      <c r="A4881" t="s">
        <v>4896</v>
      </c>
      <c r="B4881" t="s">
        <v>34</v>
      </c>
      <c r="C4881" t="s">
        <v>14</v>
      </c>
      <c r="D4881">
        <v>47</v>
      </c>
      <c r="E4881" s="1">
        <v>45324</v>
      </c>
      <c r="F4881">
        <v>2024</v>
      </c>
      <c r="G4881" t="s">
        <v>5042</v>
      </c>
      <c r="H4881">
        <v>2</v>
      </c>
      <c r="I4881">
        <v>4.9800000000000004</v>
      </c>
      <c r="J4881">
        <v>10</v>
      </c>
      <c r="K4881">
        <v>10239.620000000001</v>
      </c>
      <c r="L4881">
        <v>1.7</v>
      </c>
    </row>
    <row r="4882" spans="1:12" x14ac:dyDescent="0.3">
      <c r="A4882" t="s">
        <v>4897</v>
      </c>
      <c r="B4882" t="s">
        <v>34</v>
      </c>
      <c r="C4882" t="s">
        <v>14</v>
      </c>
      <c r="D4882">
        <v>54</v>
      </c>
      <c r="E4882" s="1">
        <v>45112</v>
      </c>
      <c r="F4882">
        <v>2023</v>
      </c>
      <c r="G4882" t="s">
        <v>5034</v>
      </c>
      <c r="H4882">
        <v>5</v>
      </c>
      <c r="I4882">
        <v>4.8</v>
      </c>
      <c r="J4882">
        <v>15</v>
      </c>
      <c r="K4882">
        <v>5713.73</v>
      </c>
      <c r="L4882">
        <v>2.2999999999999998</v>
      </c>
    </row>
    <row r="4883" spans="1:12" x14ac:dyDescent="0.3">
      <c r="A4883" t="s">
        <v>4898</v>
      </c>
      <c r="B4883" t="s">
        <v>34</v>
      </c>
      <c r="C4883" t="s">
        <v>11</v>
      </c>
      <c r="D4883">
        <v>28</v>
      </c>
      <c r="E4883" s="1">
        <v>43376</v>
      </c>
      <c r="F4883">
        <v>2018</v>
      </c>
      <c r="G4883" t="s">
        <v>5039</v>
      </c>
      <c r="H4883">
        <v>3</v>
      </c>
      <c r="I4883">
        <v>3.81</v>
      </c>
      <c r="J4883">
        <v>15</v>
      </c>
      <c r="K4883">
        <v>11228.74</v>
      </c>
      <c r="L4883">
        <v>7.1</v>
      </c>
    </row>
    <row r="4884" spans="1:12" x14ac:dyDescent="0.3">
      <c r="A4884" t="s">
        <v>4899</v>
      </c>
      <c r="B4884" t="s">
        <v>10</v>
      </c>
      <c r="C4884" t="s">
        <v>14</v>
      </c>
      <c r="D4884">
        <v>31</v>
      </c>
      <c r="E4884" s="1">
        <v>42129</v>
      </c>
      <c r="F4884">
        <v>2015</v>
      </c>
      <c r="G4884" t="s">
        <v>5036</v>
      </c>
      <c r="H4884">
        <v>5</v>
      </c>
      <c r="I4884">
        <v>3.62</v>
      </c>
      <c r="J4884">
        <v>6</v>
      </c>
      <c r="K4884">
        <v>7481.18</v>
      </c>
      <c r="L4884">
        <v>10.5</v>
      </c>
    </row>
    <row r="4885" spans="1:12" x14ac:dyDescent="0.3">
      <c r="A4885" t="s">
        <v>4900</v>
      </c>
      <c r="B4885" t="s">
        <v>13</v>
      </c>
      <c r="C4885" t="s">
        <v>11</v>
      </c>
      <c r="D4885">
        <v>33</v>
      </c>
      <c r="E4885" s="1">
        <v>41296</v>
      </c>
      <c r="F4885">
        <v>2013</v>
      </c>
      <c r="G4885" t="s">
        <v>5037</v>
      </c>
      <c r="H4885">
        <v>22</v>
      </c>
      <c r="I4885">
        <v>4.7</v>
      </c>
      <c r="J4885">
        <v>5</v>
      </c>
      <c r="K4885">
        <v>9552.6200000000008</v>
      </c>
      <c r="L4885">
        <v>12.8</v>
      </c>
    </row>
    <row r="4886" spans="1:12" x14ac:dyDescent="0.3">
      <c r="A4886" t="s">
        <v>4901</v>
      </c>
      <c r="B4886" t="s">
        <v>18</v>
      </c>
      <c r="C4886" t="s">
        <v>11</v>
      </c>
      <c r="D4886">
        <v>33</v>
      </c>
      <c r="E4886" s="1">
        <v>44261</v>
      </c>
      <c r="F4886">
        <v>2021</v>
      </c>
      <c r="G4886" t="s">
        <v>5035</v>
      </c>
      <c r="H4886">
        <v>6</v>
      </c>
      <c r="I4886">
        <v>2.56</v>
      </c>
      <c r="J4886">
        <v>2</v>
      </c>
      <c r="K4886">
        <v>10882.55</v>
      </c>
      <c r="L4886">
        <v>4.7</v>
      </c>
    </row>
    <row r="4887" spans="1:12" x14ac:dyDescent="0.3">
      <c r="A4887" t="s">
        <v>4902</v>
      </c>
      <c r="B4887" t="s">
        <v>13</v>
      </c>
      <c r="C4887" t="s">
        <v>14</v>
      </c>
      <c r="D4887">
        <v>54</v>
      </c>
      <c r="E4887" s="1">
        <v>42906</v>
      </c>
      <c r="F4887">
        <v>2017</v>
      </c>
      <c r="G4887" t="s">
        <v>5032</v>
      </c>
      <c r="H4887">
        <v>20</v>
      </c>
      <c r="I4887">
        <v>1.5</v>
      </c>
      <c r="J4887">
        <v>9</v>
      </c>
      <c r="K4887">
        <v>7040.17</v>
      </c>
      <c r="L4887">
        <v>8.4</v>
      </c>
    </row>
    <row r="4888" spans="1:12" x14ac:dyDescent="0.3">
      <c r="A4888" t="s">
        <v>4903</v>
      </c>
      <c r="B4888" t="s">
        <v>18</v>
      </c>
      <c r="C4888" t="s">
        <v>14</v>
      </c>
      <c r="D4888">
        <v>29</v>
      </c>
      <c r="E4888" s="1">
        <v>42388</v>
      </c>
      <c r="F4888">
        <v>2016</v>
      </c>
      <c r="G4888" t="s">
        <v>5037</v>
      </c>
      <c r="H4888">
        <v>19</v>
      </c>
      <c r="I4888">
        <v>4.62</v>
      </c>
      <c r="J4888">
        <v>0</v>
      </c>
      <c r="K4888">
        <v>10144.5</v>
      </c>
      <c r="L4888">
        <v>9.8000000000000007</v>
      </c>
    </row>
    <row r="4889" spans="1:12" x14ac:dyDescent="0.3">
      <c r="A4889" t="s">
        <v>4904</v>
      </c>
      <c r="B4889" t="s">
        <v>24</v>
      </c>
      <c r="C4889" t="s">
        <v>11</v>
      </c>
      <c r="D4889">
        <v>57</v>
      </c>
      <c r="E4889" s="1">
        <v>45477</v>
      </c>
      <c r="F4889">
        <v>2024</v>
      </c>
      <c r="G4889" t="s">
        <v>5034</v>
      </c>
      <c r="H4889">
        <v>4</v>
      </c>
      <c r="I4889">
        <v>4.9800000000000004</v>
      </c>
      <c r="J4889">
        <v>1</v>
      </c>
      <c r="K4889">
        <v>12015.41</v>
      </c>
      <c r="L4889">
        <v>1.3</v>
      </c>
    </row>
    <row r="4890" spans="1:12" x14ac:dyDescent="0.3">
      <c r="A4890" t="s">
        <v>4905</v>
      </c>
      <c r="B4890" t="s">
        <v>10</v>
      </c>
      <c r="C4890" t="s">
        <v>14</v>
      </c>
      <c r="D4890">
        <v>60</v>
      </c>
      <c r="E4890" s="1">
        <v>41989</v>
      </c>
      <c r="F4890">
        <v>2014</v>
      </c>
      <c r="G4890" t="s">
        <v>5041</v>
      </c>
      <c r="H4890">
        <v>16</v>
      </c>
      <c r="I4890">
        <v>2.95</v>
      </c>
      <c r="J4890">
        <v>14</v>
      </c>
      <c r="K4890">
        <v>5502.92</v>
      </c>
      <c r="L4890">
        <v>10.9</v>
      </c>
    </row>
    <row r="4891" spans="1:12" x14ac:dyDescent="0.3">
      <c r="A4891" t="s">
        <v>4906</v>
      </c>
      <c r="B4891" t="s">
        <v>13</v>
      </c>
      <c r="C4891" t="s">
        <v>11</v>
      </c>
      <c r="D4891">
        <v>34</v>
      </c>
      <c r="E4891" s="1">
        <v>40612</v>
      </c>
      <c r="F4891">
        <v>2011</v>
      </c>
      <c r="G4891" t="s">
        <v>5035</v>
      </c>
      <c r="H4891">
        <v>10</v>
      </c>
      <c r="I4891">
        <v>3.59</v>
      </c>
      <c r="J4891">
        <v>0</v>
      </c>
      <c r="K4891">
        <v>12845.9</v>
      </c>
      <c r="L4891">
        <v>14.7</v>
      </c>
    </row>
    <row r="4892" spans="1:12" x14ac:dyDescent="0.3">
      <c r="A4892" t="s">
        <v>4907</v>
      </c>
      <c r="B4892" t="s">
        <v>24</v>
      </c>
      <c r="C4892" t="s">
        <v>14</v>
      </c>
      <c r="D4892">
        <v>49</v>
      </c>
      <c r="E4892" s="1">
        <v>40238</v>
      </c>
      <c r="F4892">
        <v>2010</v>
      </c>
      <c r="G4892" t="s">
        <v>5035</v>
      </c>
      <c r="H4892">
        <v>1</v>
      </c>
      <c r="I4892">
        <v>2.98</v>
      </c>
      <c r="J4892">
        <v>10</v>
      </c>
      <c r="K4892">
        <v>5889.6</v>
      </c>
      <c r="L4892">
        <v>15.7</v>
      </c>
    </row>
    <row r="4893" spans="1:12" x14ac:dyDescent="0.3">
      <c r="A4893" t="s">
        <v>4908</v>
      </c>
      <c r="B4893" t="s">
        <v>18</v>
      </c>
      <c r="C4893" t="s">
        <v>11</v>
      </c>
      <c r="D4893">
        <v>29</v>
      </c>
      <c r="E4893" s="1">
        <v>42812</v>
      </c>
      <c r="F4893">
        <v>2017</v>
      </c>
      <c r="G4893" t="s">
        <v>5035</v>
      </c>
      <c r="H4893">
        <v>18</v>
      </c>
      <c r="I4893">
        <v>4.74</v>
      </c>
      <c r="J4893">
        <v>15</v>
      </c>
      <c r="K4893">
        <v>11243.47</v>
      </c>
      <c r="L4893">
        <v>8.6</v>
      </c>
    </row>
    <row r="4894" spans="1:12" x14ac:dyDescent="0.3">
      <c r="A4894" t="s">
        <v>4909</v>
      </c>
      <c r="B4894" t="s">
        <v>13</v>
      </c>
      <c r="C4894" t="s">
        <v>11</v>
      </c>
      <c r="D4894">
        <v>26</v>
      </c>
      <c r="E4894" s="1">
        <v>44336</v>
      </c>
      <c r="F4894">
        <v>2021</v>
      </c>
      <c r="G4894" t="s">
        <v>5036</v>
      </c>
      <c r="H4894">
        <v>20</v>
      </c>
      <c r="I4894">
        <v>2.58</v>
      </c>
      <c r="J4894">
        <v>9</v>
      </c>
      <c r="K4894">
        <v>5057.05</v>
      </c>
      <c r="L4894">
        <v>4.5</v>
      </c>
    </row>
    <row r="4895" spans="1:12" x14ac:dyDescent="0.3">
      <c r="A4895" t="s">
        <v>4910</v>
      </c>
      <c r="B4895" t="s">
        <v>16</v>
      </c>
      <c r="C4895" t="s">
        <v>14</v>
      </c>
      <c r="D4895">
        <v>30</v>
      </c>
      <c r="E4895" s="1">
        <v>42929</v>
      </c>
      <c r="F4895">
        <v>2017</v>
      </c>
      <c r="G4895" t="s">
        <v>5034</v>
      </c>
      <c r="H4895">
        <v>13</v>
      </c>
      <c r="I4895">
        <v>3.14</v>
      </c>
      <c r="J4895">
        <v>7</v>
      </c>
      <c r="K4895">
        <v>14910.62</v>
      </c>
      <c r="L4895">
        <v>8.3000000000000007</v>
      </c>
    </row>
    <row r="4896" spans="1:12" x14ac:dyDescent="0.3">
      <c r="A4896" t="s">
        <v>4911</v>
      </c>
      <c r="B4896" t="s">
        <v>24</v>
      </c>
      <c r="C4896" t="s">
        <v>14</v>
      </c>
      <c r="D4896">
        <v>43</v>
      </c>
      <c r="E4896" s="1">
        <v>43057</v>
      </c>
      <c r="F4896">
        <v>2017</v>
      </c>
      <c r="G4896" t="s">
        <v>5038</v>
      </c>
      <c r="H4896">
        <v>18</v>
      </c>
      <c r="I4896">
        <v>1.71</v>
      </c>
      <c r="J4896">
        <v>1</v>
      </c>
      <c r="K4896">
        <v>14086.05</v>
      </c>
      <c r="L4896">
        <v>8</v>
      </c>
    </row>
    <row r="4897" spans="1:12" x14ac:dyDescent="0.3">
      <c r="A4897" t="s">
        <v>4912</v>
      </c>
      <c r="B4897" t="s">
        <v>10</v>
      </c>
      <c r="C4897" t="s">
        <v>11</v>
      </c>
      <c r="D4897">
        <v>52</v>
      </c>
      <c r="E4897" s="1">
        <v>44989</v>
      </c>
      <c r="F4897">
        <v>2023</v>
      </c>
      <c r="G4897" t="s">
        <v>5035</v>
      </c>
      <c r="H4897">
        <v>4</v>
      </c>
      <c r="I4897">
        <v>4.28</v>
      </c>
      <c r="J4897">
        <v>6</v>
      </c>
      <c r="K4897">
        <v>4942.07</v>
      </c>
      <c r="L4897">
        <v>2.7</v>
      </c>
    </row>
    <row r="4898" spans="1:12" x14ac:dyDescent="0.3">
      <c r="A4898" t="s">
        <v>4913</v>
      </c>
      <c r="B4898" t="s">
        <v>24</v>
      </c>
      <c r="C4898" t="s">
        <v>11</v>
      </c>
      <c r="D4898">
        <v>58</v>
      </c>
      <c r="E4898" s="1">
        <v>42874</v>
      </c>
      <c r="F4898">
        <v>2017</v>
      </c>
      <c r="G4898" t="s">
        <v>5036</v>
      </c>
      <c r="H4898">
        <v>19</v>
      </c>
      <c r="I4898">
        <v>2.16</v>
      </c>
      <c r="J4898">
        <v>8</v>
      </c>
      <c r="K4898">
        <v>5379.55</v>
      </c>
      <c r="L4898">
        <v>8.5</v>
      </c>
    </row>
    <row r="4899" spans="1:12" x14ac:dyDescent="0.3">
      <c r="A4899" t="s">
        <v>4914</v>
      </c>
      <c r="B4899" t="s">
        <v>16</v>
      </c>
      <c r="C4899" t="s">
        <v>11</v>
      </c>
      <c r="D4899">
        <v>43</v>
      </c>
      <c r="E4899" s="1">
        <v>45795</v>
      </c>
      <c r="F4899">
        <v>2025</v>
      </c>
      <c r="G4899" t="s">
        <v>5036</v>
      </c>
      <c r="H4899">
        <v>18</v>
      </c>
      <c r="I4899">
        <v>4.5</v>
      </c>
      <c r="J4899">
        <v>11</v>
      </c>
      <c r="K4899">
        <v>10465.94</v>
      </c>
      <c r="L4899">
        <v>0.5</v>
      </c>
    </row>
    <row r="4900" spans="1:12" x14ac:dyDescent="0.3">
      <c r="A4900" t="s">
        <v>4915</v>
      </c>
      <c r="B4900" t="s">
        <v>34</v>
      </c>
      <c r="C4900" t="s">
        <v>11</v>
      </c>
      <c r="D4900">
        <v>35</v>
      </c>
      <c r="E4900" s="1">
        <v>45439</v>
      </c>
      <c r="F4900">
        <v>2024</v>
      </c>
      <c r="G4900" t="s">
        <v>5036</v>
      </c>
      <c r="H4900">
        <v>27</v>
      </c>
      <c r="I4900">
        <v>4.78</v>
      </c>
      <c r="J4900">
        <v>10</v>
      </c>
      <c r="K4900">
        <v>14355.13</v>
      </c>
      <c r="L4900">
        <v>1.4</v>
      </c>
    </row>
    <row r="4901" spans="1:12" x14ac:dyDescent="0.3">
      <c r="A4901" t="s">
        <v>4916</v>
      </c>
      <c r="B4901" t="s">
        <v>34</v>
      </c>
      <c r="C4901" t="s">
        <v>11</v>
      </c>
      <c r="D4901">
        <v>44</v>
      </c>
      <c r="E4901" s="1">
        <v>41430</v>
      </c>
      <c r="F4901">
        <v>2013</v>
      </c>
      <c r="G4901" t="s">
        <v>5032</v>
      </c>
      <c r="H4901">
        <v>5</v>
      </c>
      <c r="I4901">
        <v>3.74</v>
      </c>
      <c r="J4901">
        <v>10</v>
      </c>
      <c r="K4901">
        <v>10891.24</v>
      </c>
      <c r="L4901">
        <v>12.4</v>
      </c>
    </row>
    <row r="4902" spans="1:12" x14ac:dyDescent="0.3">
      <c r="A4902" t="s">
        <v>4917</v>
      </c>
      <c r="B4902" t="s">
        <v>13</v>
      </c>
      <c r="C4902" t="s">
        <v>11</v>
      </c>
      <c r="D4902">
        <v>52</v>
      </c>
      <c r="E4902" s="1">
        <v>44015</v>
      </c>
      <c r="F4902">
        <v>2020</v>
      </c>
      <c r="G4902" t="s">
        <v>5034</v>
      </c>
      <c r="H4902">
        <v>3</v>
      </c>
      <c r="I4902">
        <v>3.09</v>
      </c>
      <c r="J4902">
        <v>5</v>
      </c>
      <c r="K4902">
        <v>14332.62</v>
      </c>
      <c r="L4902">
        <v>5.3</v>
      </c>
    </row>
    <row r="4903" spans="1:12" x14ac:dyDescent="0.3">
      <c r="A4903" t="s">
        <v>4918</v>
      </c>
      <c r="B4903" t="s">
        <v>10</v>
      </c>
      <c r="C4903" t="s">
        <v>11</v>
      </c>
      <c r="D4903">
        <v>56</v>
      </c>
      <c r="E4903" s="1">
        <v>42297</v>
      </c>
      <c r="F4903">
        <v>2015</v>
      </c>
      <c r="G4903" t="s">
        <v>5039</v>
      </c>
      <c r="H4903">
        <v>20</v>
      </c>
      <c r="I4903">
        <v>3.76</v>
      </c>
      <c r="J4903">
        <v>5</v>
      </c>
      <c r="K4903">
        <v>9263.7900000000009</v>
      </c>
      <c r="L4903">
        <v>10</v>
      </c>
    </row>
    <row r="4904" spans="1:12" x14ac:dyDescent="0.3">
      <c r="A4904" t="s">
        <v>4919</v>
      </c>
      <c r="B4904" t="s">
        <v>34</v>
      </c>
      <c r="C4904" t="s">
        <v>14</v>
      </c>
      <c r="D4904">
        <v>24</v>
      </c>
      <c r="E4904" s="1">
        <v>45535</v>
      </c>
      <c r="F4904">
        <v>2024</v>
      </c>
      <c r="G4904" t="s">
        <v>5031</v>
      </c>
      <c r="H4904">
        <v>31</v>
      </c>
      <c r="I4904">
        <v>2.4</v>
      </c>
      <c r="J4904">
        <v>12</v>
      </c>
      <c r="K4904">
        <v>4343.37</v>
      </c>
      <c r="L4904">
        <v>1.2</v>
      </c>
    </row>
    <row r="4905" spans="1:12" x14ac:dyDescent="0.3">
      <c r="A4905" t="s">
        <v>4920</v>
      </c>
      <c r="B4905" t="s">
        <v>10</v>
      </c>
      <c r="C4905" t="s">
        <v>11</v>
      </c>
      <c r="D4905">
        <v>56</v>
      </c>
      <c r="E4905" s="1">
        <v>44384</v>
      </c>
      <c r="F4905">
        <v>2021</v>
      </c>
      <c r="G4905" t="s">
        <v>5034</v>
      </c>
      <c r="H4905">
        <v>7</v>
      </c>
      <c r="I4905">
        <v>2.93</v>
      </c>
      <c r="J4905">
        <v>8</v>
      </c>
      <c r="K4905">
        <v>5360.98</v>
      </c>
      <c r="L4905">
        <v>4.3</v>
      </c>
    </row>
    <row r="4906" spans="1:12" x14ac:dyDescent="0.3">
      <c r="A4906" t="s">
        <v>4921</v>
      </c>
      <c r="B4906" t="s">
        <v>18</v>
      </c>
      <c r="C4906" t="s">
        <v>14</v>
      </c>
      <c r="D4906">
        <v>26</v>
      </c>
      <c r="E4906" s="1">
        <v>41738</v>
      </c>
      <c r="F4906">
        <v>2014</v>
      </c>
      <c r="G4906" t="s">
        <v>5040</v>
      </c>
      <c r="H4906">
        <v>9</v>
      </c>
      <c r="I4906">
        <v>1.73</v>
      </c>
      <c r="J4906">
        <v>13</v>
      </c>
      <c r="K4906">
        <v>4224.8</v>
      </c>
      <c r="L4906">
        <v>11.6</v>
      </c>
    </row>
    <row r="4907" spans="1:12" x14ac:dyDescent="0.3">
      <c r="A4907" t="s">
        <v>4922</v>
      </c>
      <c r="B4907" t="s">
        <v>34</v>
      </c>
      <c r="C4907" t="s">
        <v>11</v>
      </c>
      <c r="D4907">
        <v>47</v>
      </c>
      <c r="E4907" s="1">
        <v>44768</v>
      </c>
      <c r="F4907">
        <v>2022</v>
      </c>
      <c r="G4907" t="s">
        <v>5034</v>
      </c>
      <c r="H4907">
        <v>26</v>
      </c>
      <c r="I4907">
        <v>3.31</v>
      </c>
      <c r="J4907">
        <v>9</v>
      </c>
      <c r="K4907">
        <v>5805.17</v>
      </c>
      <c r="L4907">
        <v>3.3</v>
      </c>
    </row>
    <row r="4908" spans="1:12" x14ac:dyDescent="0.3">
      <c r="A4908" t="s">
        <v>4923</v>
      </c>
      <c r="B4908" t="s">
        <v>16</v>
      </c>
      <c r="C4908" t="s">
        <v>11</v>
      </c>
      <c r="D4908">
        <v>46</v>
      </c>
      <c r="E4908" s="1">
        <v>44238</v>
      </c>
      <c r="F4908">
        <v>2021</v>
      </c>
      <c r="G4908" t="s">
        <v>5042</v>
      </c>
      <c r="H4908">
        <v>11</v>
      </c>
      <c r="I4908">
        <v>4.91</v>
      </c>
      <c r="J4908">
        <v>14</v>
      </c>
      <c r="K4908">
        <v>13700.67</v>
      </c>
      <c r="L4908">
        <v>4.7</v>
      </c>
    </row>
    <row r="4909" spans="1:12" x14ac:dyDescent="0.3">
      <c r="A4909" t="s">
        <v>4924</v>
      </c>
      <c r="B4909" t="s">
        <v>16</v>
      </c>
      <c r="C4909" t="s">
        <v>11</v>
      </c>
      <c r="D4909">
        <v>28</v>
      </c>
      <c r="E4909" s="1">
        <v>44420</v>
      </c>
      <c r="F4909">
        <v>2021</v>
      </c>
      <c r="G4909" t="s">
        <v>5031</v>
      </c>
      <c r="H4909">
        <v>12</v>
      </c>
      <c r="I4909">
        <v>4.4800000000000004</v>
      </c>
      <c r="J4909">
        <v>11</v>
      </c>
      <c r="K4909">
        <v>7860.06</v>
      </c>
      <c r="L4909">
        <v>4.2</v>
      </c>
    </row>
    <row r="4910" spans="1:12" x14ac:dyDescent="0.3">
      <c r="A4910" t="s">
        <v>4925</v>
      </c>
      <c r="B4910" t="s">
        <v>13</v>
      </c>
      <c r="C4910" t="s">
        <v>14</v>
      </c>
      <c r="D4910">
        <v>55</v>
      </c>
      <c r="E4910" s="1">
        <v>42039</v>
      </c>
      <c r="F4910">
        <v>2015</v>
      </c>
      <c r="G4910" t="s">
        <v>5042</v>
      </c>
      <c r="H4910">
        <v>4</v>
      </c>
      <c r="I4910">
        <v>3.11</v>
      </c>
      <c r="J4910">
        <v>12</v>
      </c>
      <c r="K4910">
        <v>14247.31</v>
      </c>
      <c r="L4910">
        <v>10.7</v>
      </c>
    </row>
    <row r="4911" spans="1:12" x14ac:dyDescent="0.3">
      <c r="A4911" t="s">
        <v>4926</v>
      </c>
      <c r="B4911" t="s">
        <v>34</v>
      </c>
      <c r="C4911" t="s">
        <v>11</v>
      </c>
      <c r="D4911">
        <v>53</v>
      </c>
      <c r="E4911" s="1">
        <v>44362</v>
      </c>
      <c r="F4911">
        <v>2021</v>
      </c>
      <c r="G4911" t="s">
        <v>5032</v>
      </c>
      <c r="H4911">
        <v>15</v>
      </c>
      <c r="I4911">
        <v>3.18</v>
      </c>
      <c r="J4911">
        <v>15</v>
      </c>
      <c r="K4911">
        <v>4527.3100000000004</v>
      </c>
      <c r="L4911">
        <v>4.4000000000000004</v>
      </c>
    </row>
    <row r="4912" spans="1:12" x14ac:dyDescent="0.3">
      <c r="A4912" t="s">
        <v>4927</v>
      </c>
      <c r="B4912" t="s">
        <v>16</v>
      </c>
      <c r="C4912" t="s">
        <v>14</v>
      </c>
      <c r="D4912">
        <v>48</v>
      </c>
      <c r="E4912" s="1">
        <v>45354</v>
      </c>
      <c r="F4912">
        <v>2024</v>
      </c>
      <c r="G4912" t="s">
        <v>5035</v>
      </c>
      <c r="H4912">
        <v>3</v>
      </c>
      <c r="I4912">
        <v>3.11</v>
      </c>
      <c r="J4912">
        <v>0</v>
      </c>
      <c r="K4912">
        <v>10214.75</v>
      </c>
      <c r="L4912">
        <v>1.7</v>
      </c>
    </row>
    <row r="4913" spans="1:12" x14ac:dyDescent="0.3">
      <c r="A4913" t="s">
        <v>4928</v>
      </c>
      <c r="B4913" t="s">
        <v>16</v>
      </c>
      <c r="C4913" t="s">
        <v>11</v>
      </c>
      <c r="D4913">
        <v>46</v>
      </c>
      <c r="E4913" s="1">
        <v>45190</v>
      </c>
      <c r="F4913">
        <v>2023</v>
      </c>
      <c r="G4913" t="s">
        <v>5033</v>
      </c>
      <c r="H4913">
        <v>21</v>
      </c>
      <c r="I4913">
        <v>3.88</v>
      </c>
      <c r="J4913">
        <v>8</v>
      </c>
      <c r="K4913">
        <v>14584.43</v>
      </c>
      <c r="L4913">
        <v>2.1</v>
      </c>
    </row>
    <row r="4914" spans="1:12" x14ac:dyDescent="0.3">
      <c r="A4914" t="s">
        <v>4929</v>
      </c>
      <c r="B4914" t="s">
        <v>18</v>
      </c>
      <c r="C4914" t="s">
        <v>11</v>
      </c>
      <c r="D4914">
        <v>32</v>
      </c>
      <c r="E4914" s="1">
        <v>44482</v>
      </c>
      <c r="F4914">
        <v>2021</v>
      </c>
      <c r="G4914" t="s">
        <v>5039</v>
      </c>
      <c r="H4914">
        <v>13</v>
      </c>
      <c r="I4914">
        <v>2.2599999999999998</v>
      </c>
      <c r="J4914">
        <v>0</v>
      </c>
      <c r="K4914">
        <v>4839.3999999999996</v>
      </c>
      <c r="L4914">
        <v>4.0999999999999996</v>
      </c>
    </row>
    <row r="4915" spans="1:12" x14ac:dyDescent="0.3">
      <c r="A4915" t="s">
        <v>4930</v>
      </c>
      <c r="B4915" t="s">
        <v>24</v>
      </c>
      <c r="C4915" t="s">
        <v>14</v>
      </c>
      <c r="D4915">
        <v>50</v>
      </c>
      <c r="E4915" s="1">
        <v>41757</v>
      </c>
      <c r="F4915">
        <v>2014</v>
      </c>
      <c r="G4915" t="s">
        <v>5040</v>
      </c>
      <c r="H4915">
        <v>28</v>
      </c>
      <c r="I4915">
        <v>3.83</v>
      </c>
      <c r="J4915">
        <v>15</v>
      </c>
      <c r="K4915">
        <v>3696.38</v>
      </c>
      <c r="L4915">
        <v>11.5</v>
      </c>
    </row>
    <row r="4916" spans="1:12" x14ac:dyDescent="0.3">
      <c r="A4916" t="s">
        <v>4931</v>
      </c>
      <c r="B4916" t="s">
        <v>10</v>
      </c>
      <c r="C4916" t="s">
        <v>11</v>
      </c>
      <c r="D4916">
        <v>28</v>
      </c>
      <c r="E4916" s="1">
        <v>40978</v>
      </c>
      <c r="F4916">
        <v>2012</v>
      </c>
      <c r="G4916" t="s">
        <v>5035</v>
      </c>
      <c r="H4916">
        <v>10</v>
      </c>
      <c r="I4916">
        <v>2.27</v>
      </c>
      <c r="J4916">
        <v>14</v>
      </c>
      <c r="K4916">
        <v>10660.12</v>
      </c>
      <c r="L4916">
        <v>13.7</v>
      </c>
    </row>
    <row r="4917" spans="1:12" x14ac:dyDescent="0.3">
      <c r="A4917" t="s">
        <v>4932</v>
      </c>
      <c r="B4917" t="s">
        <v>10</v>
      </c>
      <c r="C4917" t="s">
        <v>14</v>
      </c>
      <c r="D4917">
        <v>54</v>
      </c>
      <c r="E4917" s="1">
        <v>44688</v>
      </c>
      <c r="F4917">
        <v>2022</v>
      </c>
      <c r="G4917" t="s">
        <v>5036</v>
      </c>
      <c r="H4917">
        <v>7</v>
      </c>
      <c r="I4917">
        <v>2.31</v>
      </c>
      <c r="J4917">
        <v>13</v>
      </c>
      <c r="K4917">
        <v>14528.91</v>
      </c>
      <c r="L4917">
        <v>3.5</v>
      </c>
    </row>
    <row r="4918" spans="1:12" x14ac:dyDescent="0.3">
      <c r="A4918" t="s">
        <v>4933</v>
      </c>
      <c r="B4918" t="s">
        <v>18</v>
      </c>
      <c r="C4918" t="s">
        <v>11</v>
      </c>
      <c r="D4918">
        <v>57</v>
      </c>
      <c r="E4918" s="1">
        <v>45106</v>
      </c>
      <c r="F4918">
        <v>2023</v>
      </c>
      <c r="G4918" t="s">
        <v>5032</v>
      </c>
      <c r="H4918">
        <v>29</v>
      </c>
      <c r="I4918">
        <v>4.33</v>
      </c>
      <c r="J4918">
        <v>2</v>
      </c>
      <c r="K4918">
        <v>7267.65</v>
      </c>
      <c r="L4918">
        <v>2.2999999999999998</v>
      </c>
    </row>
    <row r="4919" spans="1:12" x14ac:dyDescent="0.3">
      <c r="A4919" t="s">
        <v>4934</v>
      </c>
      <c r="B4919" t="s">
        <v>16</v>
      </c>
      <c r="C4919" t="s">
        <v>11</v>
      </c>
      <c r="D4919">
        <v>47</v>
      </c>
      <c r="E4919" s="1">
        <v>41155</v>
      </c>
      <c r="F4919">
        <v>2012</v>
      </c>
      <c r="G4919" t="s">
        <v>5033</v>
      </c>
      <c r="H4919">
        <v>3</v>
      </c>
      <c r="I4919">
        <v>2.5299999999999998</v>
      </c>
      <c r="J4919">
        <v>4</v>
      </c>
      <c r="K4919">
        <v>3981.95</v>
      </c>
      <c r="L4919">
        <v>13.2</v>
      </c>
    </row>
    <row r="4920" spans="1:12" x14ac:dyDescent="0.3">
      <c r="A4920" t="s">
        <v>4935</v>
      </c>
      <c r="B4920" t="s">
        <v>34</v>
      </c>
      <c r="C4920" t="s">
        <v>14</v>
      </c>
      <c r="D4920">
        <v>28</v>
      </c>
      <c r="E4920" s="1">
        <v>43260</v>
      </c>
      <c r="F4920">
        <v>2018</v>
      </c>
      <c r="G4920" t="s">
        <v>5032</v>
      </c>
      <c r="H4920">
        <v>9</v>
      </c>
      <c r="I4920">
        <v>4.78</v>
      </c>
      <c r="J4920">
        <v>0</v>
      </c>
      <c r="K4920">
        <v>11672.4</v>
      </c>
      <c r="L4920">
        <v>7.4</v>
      </c>
    </row>
    <row r="4921" spans="1:12" x14ac:dyDescent="0.3">
      <c r="A4921" t="s">
        <v>4936</v>
      </c>
      <c r="B4921" t="s">
        <v>13</v>
      </c>
      <c r="C4921" t="s">
        <v>14</v>
      </c>
      <c r="D4921">
        <v>45</v>
      </c>
      <c r="E4921" s="1">
        <v>45312</v>
      </c>
      <c r="F4921">
        <v>2024</v>
      </c>
      <c r="G4921" t="s">
        <v>5037</v>
      </c>
      <c r="H4921">
        <v>21</v>
      </c>
      <c r="I4921">
        <v>2.39</v>
      </c>
      <c r="J4921">
        <v>8</v>
      </c>
      <c r="K4921">
        <v>13671.54</v>
      </c>
      <c r="L4921">
        <v>1.8</v>
      </c>
    </row>
    <row r="4922" spans="1:12" x14ac:dyDescent="0.3">
      <c r="A4922" t="s">
        <v>4937</v>
      </c>
      <c r="B4922" t="s">
        <v>13</v>
      </c>
      <c r="C4922" t="s">
        <v>14</v>
      </c>
      <c r="D4922">
        <v>30</v>
      </c>
      <c r="E4922" s="1">
        <v>41911</v>
      </c>
      <c r="F4922">
        <v>2014</v>
      </c>
      <c r="G4922" t="s">
        <v>5033</v>
      </c>
      <c r="H4922">
        <v>29</v>
      </c>
      <c r="I4922">
        <v>4.7300000000000004</v>
      </c>
      <c r="J4922">
        <v>2</v>
      </c>
      <c r="K4922">
        <v>8327.7999999999993</v>
      </c>
      <c r="L4922">
        <v>11.1</v>
      </c>
    </row>
    <row r="4923" spans="1:12" x14ac:dyDescent="0.3">
      <c r="A4923" t="s">
        <v>4938</v>
      </c>
      <c r="B4923" t="s">
        <v>34</v>
      </c>
      <c r="C4923" t="s">
        <v>14</v>
      </c>
      <c r="D4923">
        <v>42</v>
      </c>
      <c r="E4923" s="1">
        <v>40767</v>
      </c>
      <c r="F4923">
        <v>2011</v>
      </c>
      <c r="G4923" t="s">
        <v>5031</v>
      </c>
      <c r="H4923">
        <v>12</v>
      </c>
      <c r="I4923">
        <v>4.16</v>
      </c>
      <c r="J4923">
        <v>9</v>
      </c>
      <c r="K4923">
        <v>5745.73</v>
      </c>
      <c r="L4923">
        <v>14.2</v>
      </c>
    </row>
    <row r="4924" spans="1:12" x14ac:dyDescent="0.3">
      <c r="A4924" t="s">
        <v>4939</v>
      </c>
      <c r="B4924" t="s">
        <v>13</v>
      </c>
      <c r="C4924" t="s">
        <v>11</v>
      </c>
      <c r="D4924">
        <v>26</v>
      </c>
      <c r="E4924" s="1">
        <v>42539</v>
      </c>
      <c r="F4924">
        <v>2016</v>
      </c>
      <c r="G4924" t="s">
        <v>5032</v>
      </c>
      <c r="H4924">
        <v>18</v>
      </c>
      <c r="I4924">
        <v>2.12</v>
      </c>
      <c r="J4924">
        <v>1</v>
      </c>
      <c r="K4924">
        <v>3193.82</v>
      </c>
      <c r="L4924">
        <v>9.4</v>
      </c>
    </row>
    <row r="4925" spans="1:12" x14ac:dyDescent="0.3">
      <c r="A4925" t="s">
        <v>4940</v>
      </c>
      <c r="B4925" t="s">
        <v>24</v>
      </c>
      <c r="C4925" t="s">
        <v>11</v>
      </c>
      <c r="D4925">
        <v>51</v>
      </c>
      <c r="E4925" s="1">
        <v>44986</v>
      </c>
      <c r="F4925">
        <v>2023</v>
      </c>
      <c r="G4925" t="s">
        <v>5035</v>
      </c>
      <c r="H4925">
        <v>1</v>
      </c>
      <c r="I4925">
        <v>4.8499999999999996</v>
      </c>
      <c r="J4925">
        <v>9</v>
      </c>
      <c r="K4925">
        <v>12185.93</v>
      </c>
      <c r="L4925">
        <v>2.7</v>
      </c>
    </row>
    <row r="4926" spans="1:12" x14ac:dyDescent="0.3">
      <c r="A4926" t="s">
        <v>4941</v>
      </c>
      <c r="B4926" t="s">
        <v>16</v>
      </c>
      <c r="C4926" t="s">
        <v>11</v>
      </c>
      <c r="D4926">
        <v>32</v>
      </c>
      <c r="E4926" s="1">
        <v>44955</v>
      </c>
      <c r="F4926">
        <v>2023</v>
      </c>
      <c r="G4926" t="s">
        <v>5037</v>
      </c>
      <c r="H4926">
        <v>29</v>
      </c>
      <c r="I4926">
        <v>2.61</v>
      </c>
      <c r="J4926">
        <v>14</v>
      </c>
      <c r="K4926">
        <v>9876.6</v>
      </c>
      <c r="L4926">
        <v>2.8</v>
      </c>
    </row>
    <row r="4927" spans="1:12" x14ac:dyDescent="0.3">
      <c r="A4927" t="s">
        <v>4942</v>
      </c>
      <c r="B4927" t="s">
        <v>16</v>
      </c>
      <c r="C4927" t="s">
        <v>14</v>
      </c>
      <c r="D4927">
        <v>49</v>
      </c>
      <c r="E4927" s="1">
        <v>41637</v>
      </c>
      <c r="F4927">
        <v>2013</v>
      </c>
      <c r="G4927" t="s">
        <v>5041</v>
      </c>
      <c r="H4927">
        <v>29</v>
      </c>
      <c r="I4927">
        <v>3.89</v>
      </c>
      <c r="J4927">
        <v>4</v>
      </c>
      <c r="K4927">
        <v>9608.89</v>
      </c>
      <c r="L4927">
        <v>11.8</v>
      </c>
    </row>
    <row r="4928" spans="1:12" x14ac:dyDescent="0.3">
      <c r="A4928" t="s">
        <v>4943</v>
      </c>
      <c r="B4928" t="s">
        <v>24</v>
      </c>
      <c r="C4928" t="s">
        <v>14</v>
      </c>
      <c r="D4928">
        <v>39</v>
      </c>
      <c r="E4928" s="1">
        <v>42860</v>
      </c>
      <c r="F4928">
        <v>2017</v>
      </c>
      <c r="G4928" t="s">
        <v>5036</v>
      </c>
      <c r="H4928">
        <v>5</v>
      </c>
      <c r="I4928">
        <v>2.79</v>
      </c>
      <c r="J4928">
        <v>5</v>
      </c>
      <c r="K4928">
        <v>11616.68</v>
      </c>
      <c r="L4928">
        <v>8.5</v>
      </c>
    </row>
    <row r="4929" spans="1:12" x14ac:dyDescent="0.3">
      <c r="A4929" t="s">
        <v>4944</v>
      </c>
      <c r="B4929" t="s">
        <v>10</v>
      </c>
      <c r="C4929" t="s">
        <v>11</v>
      </c>
      <c r="D4929">
        <v>56</v>
      </c>
      <c r="E4929" s="1">
        <v>45249</v>
      </c>
      <c r="F4929">
        <v>2023</v>
      </c>
      <c r="G4929" t="s">
        <v>5038</v>
      </c>
      <c r="H4929">
        <v>19</v>
      </c>
      <c r="I4929">
        <v>2.27</v>
      </c>
      <c r="J4929">
        <v>13</v>
      </c>
      <c r="K4929">
        <v>8328.61</v>
      </c>
      <c r="L4929">
        <v>2</v>
      </c>
    </row>
    <row r="4930" spans="1:12" x14ac:dyDescent="0.3">
      <c r="A4930" t="s">
        <v>4945</v>
      </c>
      <c r="B4930" t="s">
        <v>18</v>
      </c>
      <c r="C4930" t="s">
        <v>14</v>
      </c>
      <c r="D4930">
        <v>49</v>
      </c>
      <c r="E4930" s="1">
        <v>40688</v>
      </c>
      <c r="F4930">
        <v>2011</v>
      </c>
      <c r="G4930" t="s">
        <v>5036</v>
      </c>
      <c r="H4930">
        <v>25</v>
      </c>
      <c r="I4930">
        <v>3.71</v>
      </c>
      <c r="J4930">
        <v>1</v>
      </c>
      <c r="K4930">
        <v>4539.17</v>
      </c>
      <c r="L4930">
        <v>14.4</v>
      </c>
    </row>
    <row r="4931" spans="1:12" x14ac:dyDescent="0.3">
      <c r="A4931" t="s">
        <v>4946</v>
      </c>
      <c r="B4931" t="s">
        <v>18</v>
      </c>
      <c r="C4931" t="s">
        <v>11</v>
      </c>
      <c r="D4931">
        <v>45</v>
      </c>
      <c r="E4931" s="1">
        <v>42838</v>
      </c>
      <c r="F4931">
        <v>2017</v>
      </c>
      <c r="G4931" t="s">
        <v>5040</v>
      </c>
      <c r="H4931">
        <v>13</v>
      </c>
      <c r="I4931">
        <v>4.1500000000000004</v>
      </c>
      <c r="J4931">
        <v>4</v>
      </c>
      <c r="K4931">
        <v>14300.29</v>
      </c>
      <c r="L4931">
        <v>8.6</v>
      </c>
    </row>
    <row r="4932" spans="1:12" x14ac:dyDescent="0.3">
      <c r="A4932" t="s">
        <v>4947</v>
      </c>
      <c r="B4932" t="s">
        <v>34</v>
      </c>
      <c r="C4932" t="s">
        <v>14</v>
      </c>
      <c r="D4932">
        <v>45</v>
      </c>
      <c r="E4932" s="1">
        <v>44264</v>
      </c>
      <c r="F4932">
        <v>2021</v>
      </c>
      <c r="G4932" t="s">
        <v>5035</v>
      </c>
      <c r="H4932">
        <v>9</v>
      </c>
      <c r="I4932">
        <v>4.08</v>
      </c>
      <c r="J4932">
        <v>3</v>
      </c>
      <c r="K4932">
        <v>10904.62</v>
      </c>
      <c r="L4932">
        <v>4.7</v>
      </c>
    </row>
    <row r="4933" spans="1:12" x14ac:dyDescent="0.3">
      <c r="A4933" t="s">
        <v>4948</v>
      </c>
      <c r="B4933" t="s">
        <v>34</v>
      </c>
      <c r="C4933" t="s">
        <v>14</v>
      </c>
      <c r="D4933">
        <v>47</v>
      </c>
      <c r="E4933" s="1">
        <v>42862</v>
      </c>
      <c r="F4933">
        <v>2017</v>
      </c>
      <c r="G4933" t="s">
        <v>5036</v>
      </c>
      <c r="H4933">
        <v>7</v>
      </c>
      <c r="I4933">
        <v>1.71</v>
      </c>
      <c r="J4933">
        <v>3</v>
      </c>
      <c r="K4933">
        <v>13796.91</v>
      </c>
      <c r="L4933">
        <v>8.5</v>
      </c>
    </row>
    <row r="4934" spans="1:12" x14ac:dyDescent="0.3">
      <c r="A4934" t="s">
        <v>4949</v>
      </c>
      <c r="B4934" t="s">
        <v>13</v>
      </c>
      <c r="C4934" t="s">
        <v>14</v>
      </c>
      <c r="D4934">
        <v>31</v>
      </c>
      <c r="E4934" s="1">
        <v>43266</v>
      </c>
      <c r="F4934">
        <v>2018</v>
      </c>
      <c r="G4934" t="s">
        <v>5032</v>
      </c>
      <c r="H4934">
        <v>15</v>
      </c>
      <c r="I4934">
        <v>3.9</v>
      </c>
      <c r="J4934">
        <v>3</v>
      </c>
      <c r="K4934">
        <v>8320.06</v>
      </c>
      <c r="L4934">
        <v>7.4</v>
      </c>
    </row>
    <row r="4935" spans="1:12" x14ac:dyDescent="0.3">
      <c r="A4935" t="s">
        <v>4950</v>
      </c>
      <c r="B4935" t="s">
        <v>16</v>
      </c>
      <c r="C4935" t="s">
        <v>14</v>
      </c>
      <c r="D4935">
        <v>60</v>
      </c>
      <c r="E4935" s="1">
        <v>42583</v>
      </c>
      <c r="F4935">
        <v>2016</v>
      </c>
      <c r="G4935" t="s">
        <v>5031</v>
      </c>
      <c r="H4935">
        <v>1</v>
      </c>
      <c r="I4935">
        <v>2.21</v>
      </c>
      <c r="J4935">
        <v>14</v>
      </c>
      <c r="K4935">
        <v>12437.34</v>
      </c>
      <c r="L4935">
        <v>9.3000000000000007</v>
      </c>
    </row>
    <row r="4936" spans="1:12" x14ac:dyDescent="0.3">
      <c r="A4936" t="s">
        <v>4951</v>
      </c>
      <c r="B4936" t="s">
        <v>24</v>
      </c>
      <c r="C4936" t="s">
        <v>14</v>
      </c>
      <c r="D4936">
        <v>46</v>
      </c>
      <c r="E4936" s="1">
        <v>42891</v>
      </c>
      <c r="F4936">
        <v>2017</v>
      </c>
      <c r="G4936" t="s">
        <v>5032</v>
      </c>
      <c r="H4936">
        <v>5</v>
      </c>
      <c r="I4936">
        <v>4.53</v>
      </c>
      <c r="J4936">
        <v>1</v>
      </c>
      <c r="K4936">
        <v>6078.4</v>
      </c>
      <c r="L4936">
        <v>8.4</v>
      </c>
    </row>
    <row r="4937" spans="1:12" x14ac:dyDescent="0.3">
      <c r="A4937" t="s">
        <v>4952</v>
      </c>
      <c r="B4937" t="s">
        <v>24</v>
      </c>
      <c r="C4937" t="s">
        <v>14</v>
      </c>
      <c r="D4937">
        <v>30</v>
      </c>
      <c r="E4937" s="1">
        <v>44947</v>
      </c>
      <c r="F4937">
        <v>2023</v>
      </c>
      <c r="G4937" t="s">
        <v>5037</v>
      </c>
      <c r="H4937">
        <v>21</v>
      </c>
      <c r="I4937">
        <v>2.5099999999999998</v>
      </c>
      <c r="J4937">
        <v>3</v>
      </c>
      <c r="K4937">
        <v>11850.3</v>
      </c>
      <c r="L4937">
        <v>2.8</v>
      </c>
    </row>
    <row r="4938" spans="1:12" x14ac:dyDescent="0.3">
      <c r="A4938" t="s">
        <v>4953</v>
      </c>
      <c r="B4938" t="s">
        <v>34</v>
      </c>
      <c r="C4938" t="s">
        <v>14</v>
      </c>
      <c r="D4938">
        <v>41</v>
      </c>
      <c r="E4938" s="1">
        <v>45782</v>
      </c>
      <c r="F4938">
        <v>2025</v>
      </c>
      <c r="G4938" t="s">
        <v>5036</v>
      </c>
      <c r="H4938">
        <v>5</v>
      </c>
      <c r="I4938">
        <v>4.55</v>
      </c>
      <c r="J4938">
        <v>5</v>
      </c>
      <c r="K4938">
        <v>6599.43</v>
      </c>
      <c r="L4938">
        <v>0.5</v>
      </c>
    </row>
    <row r="4939" spans="1:12" x14ac:dyDescent="0.3">
      <c r="A4939" t="s">
        <v>4954</v>
      </c>
      <c r="B4939" t="s">
        <v>24</v>
      </c>
      <c r="C4939" t="s">
        <v>11</v>
      </c>
      <c r="D4939">
        <v>57</v>
      </c>
      <c r="E4939" s="1">
        <v>42850</v>
      </c>
      <c r="F4939">
        <v>2017</v>
      </c>
      <c r="G4939" t="s">
        <v>5040</v>
      </c>
      <c r="H4939">
        <v>25</v>
      </c>
      <c r="I4939">
        <v>3.59</v>
      </c>
      <c r="J4939">
        <v>7</v>
      </c>
      <c r="K4939">
        <v>6626.22</v>
      </c>
      <c r="L4939">
        <v>8.5</v>
      </c>
    </row>
    <row r="4940" spans="1:12" x14ac:dyDescent="0.3">
      <c r="A4940" t="s">
        <v>4955</v>
      </c>
      <c r="B4940" t="s">
        <v>18</v>
      </c>
      <c r="C4940" t="s">
        <v>14</v>
      </c>
      <c r="D4940">
        <v>44</v>
      </c>
      <c r="E4940" s="1">
        <v>43816</v>
      </c>
      <c r="F4940">
        <v>2019</v>
      </c>
      <c r="G4940" t="s">
        <v>5041</v>
      </c>
      <c r="H4940">
        <v>17</v>
      </c>
      <c r="I4940">
        <v>3.11</v>
      </c>
      <c r="J4940">
        <v>2</v>
      </c>
      <c r="K4940">
        <v>9281.2999999999993</v>
      </c>
      <c r="L4940">
        <v>5.9</v>
      </c>
    </row>
    <row r="4941" spans="1:12" x14ac:dyDescent="0.3">
      <c r="A4941" t="s">
        <v>4956</v>
      </c>
      <c r="B4941" t="s">
        <v>34</v>
      </c>
      <c r="C4941" t="s">
        <v>14</v>
      </c>
      <c r="D4941">
        <v>37</v>
      </c>
      <c r="E4941" s="1">
        <v>42942</v>
      </c>
      <c r="F4941">
        <v>2017</v>
      </c>
      <c r="G4941" t="s">
        <v>5034</v>
      </c>
      <c r="H4941">
        <v>26</v>
      </c>
      <c r="I4941">
        <v>3.96</v>
      </c>
      <c r="J4941">
        <v>7</v>
      </c>
      <c r="K4941">
        <v>4613.6099999999997</v>
      </c>
      <c r="L4941">
        <v>8.3000000000000007</v>
      </c>
    </row>
    <row r="4942" spans="1:12" x14ac:dyDescent="0.3">
      <c r="A4942" t="s">
        <v>4957</v>
      </c>
      <c r="B4942" t="s">
        <v>10</v>
      </c>
      <c r="C4942" t="s">
        <v>11</v>
      </c>
      <c r="D4942">
        <v>41</v>
      </c>
      <c r="E4942" s="1">
        <v>42102</v>
      </c>
      <c r="F4942">
        <v>2015</v>
      </c>
      <c r="G4942" t="s">
        <v>5040</v>
      </c>
      <c r="H4942">
        <v>8</v>
      </c>
      <c r="I4942">
        <v>2.5499999999999998</v>
      </c>
      <c r="J4942">
        <v>14</v>
      </c>
      <c r="K4942">
        <v>6620.88</v>
      </c>
      <c r="L4942">
        <v>10.6</v>
      </c>
    </row>
    <row r="4943" spans="1:12" x14ac:dyDescent="0.3">
      <c r="A4943" t="s">
        <v>4958</v>
      </c>
      <c r="B4943" t="s">
        <v>13</v>
      </c>
      <c r="C4943" t="s">
        <v>11</v>
      </c>
      <c r="D4943">
        <v>30</v>
      </c>
      <c r="E4943" s="1">
        <v>44482</v>
      </c>
      <c r="F4943">
        <v>2021</v>
      </c>
      <c r="G4943" t="s">
        <v>5039</v>
      </c>
      <c r="H4943">
        <v>13</v>
      </c>
      <c r="I4943">
        <v>3.83</v>
      </c>
      <c r="J4943">
        <v>2</v>
      </c>
      <c r="K4943">
        <v>13041.17</v>
      </c>
      <c r="L4943">
        <v>4.0999999999999996</v>
      </c>
    </row>
    <row r="4944" spans="1:12" x14ac:dyDescent="0.3">
      <c r="A4944" t="s">
        <v>4959</v>
      </c>
      <c r="B4944" t="s">
        <v>10</v>
      </c>
      <c r="C4944" t="s">
        <v>11</v>
      </c>
      <c r="D4944">
        <v>43</v>
      </c>
      <c r="E4944" s="1">
        <v>45611</v>
      </c>
      <c r="F4944">
        <v>2024</v>
      </c>
      <c r="G4944" t="s">
        <v>5038</v>
      </c>
      <c r="H4944">
        <v>15</v>
      </c>
      <c r="I4944">
        <v>1.91</v>
      </c>
      <c r="J4944">
        <v>13</v>
      </c>
      <c r="K4944">
        <v>14224.3</v>
      </c>
      <c r="L4944">
        <v>1</v>
      </c>
    </row>
    <row r="4945" spans="1:12" x14ac:dyDescent="0.3">
      <c r="A4945" t="s">
        <v>4960</v>
      </c>
      <c r="B4945" t="s">
        <v>24</v>
      </c>
      <c r="C4945" t="s">
        <v>14</v>
      </c>
      <c r="D4945">
        <v>45</v>
      </c>
      <c r="E4945" s="1">
        <v>44577</v>
      </c>
      <c r="F4945">
        <v>2022</v>
      </c>
      <c r="G4945" t="s">
        <v>5037</v>
      </c>
      <c r="H4945">
        <v>16</v>
      </c>
      <c r="I4945">
        <v>2.23</v>
      </c>
      <c r="J4945">
        <v>5</v>
      </c>
      <c r="K4945">
        <v>5953.56</v>
      </c>
      <c r="L4945">
        <v>3.8</v>
      </c>
    </row>
    <row r="4946" spans="1:12" x14ac:dyDescent="0.3">
      <c r="A4946" t="s">
        <v>4961</v>
      </c>
      <c r="B4946" t="s">
        <v>34</v>
      </c>
      <c r="C4946" t="s">
        <v>11</v>
      </c>
      <c r="D4946">
        <v>32</v>
      </c>
      <c r="E4946" s="1">
        <v>45658</v>
      </c>
      <c r="F4946">
        <v>2025</v>
      </c>
      <c r="G4946" t="s">
        <v>5037</v>
      </c>
      <c r="H4946">
        <v>1</v>
      </c>
      <c r="I4946">
        <v>2.8</v>
      </c>
      <c r="J4946">
        <v>14</v>
      </c>
      <c r="K4946">
        <v>3469.43</v>
      </c>
      <c r="L4946">
        <v>0.8</v>
      </c>
    </row>
    <row r="4947" spans="1:12" x14ac:dyDescent="0.3">
      <c r="A4947" t="s">
        <v>4962</v>
      </c>
      <c r="B4947" t="s">
        <v>13</v>
      </c>
      <c r="C4947" t="s">
        <v>14</v>
      </c>
      <c r="D4947">
        <v>54</v>
      </c>
      <c r="E4947" s="1">
        <v>44932</v>
      </c>
      <c r="F4947">
        <v>2023</v>
      </c>
      <c r="G4947" t="s">
        <v>5037</v>
      </c>
      <c r="H4947">
        <v>6</v>
      </c>
      <c r="I4947">
        <v>3.92</v>
      </c>
      <c r="J4947">
        <v>3</v>
      </c>
      <c r="K4947">
        <v>9683.3799999999992</v>
      </c>
      <c r="L4947">
        <v>2.8</v>
      </c>
    </row>
    <row r="4948" spans="1:12" x14ac:dyDescent="0.3">
      <c r="A4948" t="s">
        <v>4963</v>
      </c>
      <c r="B4948" t="s">
        <v>13</v>
      </c>
      <c r="C4948" t="s">
        <v>14</v>
      </c>
      <c r="D4948">
        <v>55</v>
      </c>
      <c r="E4948" s="1">
        <v>42427</v>
      </c>
      <c r="F4948">
        <v>2016</v>
      </c>
      <c r="G4948" t="s">
        <v>5042</v>
      </c>
      <c r="H4948">
        <v>27</v>
      </c>
      <c r="I4948">
        <v>2.82</v>
      </c>
      <c r="J4948">
        <v>0</v>
      </c>
      <c r="K4948">
        <v>4749.3</v>
      </c>
      <c r="L4948">
        <v>9.6999999999999993</v>
      </c>
    </row>
    <row r="4949" spans="1:12" x14ac:dyDescent="0.3">
      <c r="A4949" t="s">
        <v>4964</v>
      </c>
      <c r="B4949" t="s">
        <v>13</v>
      </c>
      <c r="C4949" t="s">
        <v>11</v>
      </c>
      <c r="D4949">
        <v>36</v>
      </c>
      <c r="E4949" s="1">
        <v>41592</v>
      </c>
      <c r="F4949">
        <v>2013</v>
      </c>
      <c r="G4949" t="s">
        <v>5038</v>
      </c>
      <c r="H4949">
        <v>14</v>
      </c>
      <c r="I4949">
        <v>2.4700000000000002</v>
      </c>
      <c r="J4949">
        <v>4</v>
      </c>
      <c r="K4949">
        <v>4328.46</v>
      </c>
      <c r="L4949">
        <v>12</v>
      </c>
    </row>
    <row r="4950" spans="1:12" x14ac:dyDescent="0.3">
      <c r="A4950" t="s">
        <v>4965</v>
      </c>
      <c r="B4950" t="s">
        <v>18</v>
      </c>
      <c r="C4950" t="s">
        <v>14</v>
      </c>
      <c r="D4950">
        <v>37</v>
      </c>
      <c r="E4950" s="1">
        <v>43577</v>
      </c>
      <c r="F4950">
        <v>2019</v>
      </c>
      <c r="G4950" t="s">
        <v>5040</v>
      </c>
      <c r="H4950">
        <v>22</v>
      </c>
      <c r="I4950">
        <v>1.8</v>
      </c>
      <c r="J4950">
        <v>5</v>
      </c>
      <c r="K4950">
        <v>6204.24</v>
      </c>
      <c r="L4950">
        <v>6.5</v>
      </c>
    </row>
    <row r="4951" spans="1:12" x14ac:dyDescent="0.3">
      <c r="A4951" t="s">
        <v>4966</v>
      </c>
      <c r="B4951" t="s">
        <v>18</v>
      </c>
      <c r="C4951" t="s">
        <v>14</v>
      </c>
      <c r="D4951">
        <v>48</v>
      </c>
      <c r="E4951" s="1">
        <v>43989</v>
      </c>
      <c r="F4951">
        <v>2020</v>
      </c>
      <c r="G4951" t="s">
        <v>5032</v>
      </c>
      <c r="H4951">
        <v>7</v>
      </c>
      <c r="I4951">
        <v>4.22</v>
      </c>
      <c r="J4951">
        <v>13</v>
      </c>
      <c r="K4951">
        <v>12522.58</v>
      </c>
      <c r="L4951">
        <v>5.4</v>
      </c>
    </row>
    <row r="4952" spans="1:12" x14ac:dyDescent="0.3">
      <c r="A4952" t="s">
        <v>4967</v>
      </c>
      <c r="B4952" t="s">
        <v>34</v>
      </c>
      <c r="C4952" t="s">
        <v>11</v>
      </c>
      <c r="D4952">
        <v>34</v>
      </c>
      <c r="E4952" s="1">
        <v>45409</v>
      </c>
      <c r="F4952">
        <v>2024</v>
      </c>
      <c r="G4952" t="s">
        <v>5040</v>
      </c>
      <c r="H4952">
        <v>27</v>
      </c>
      <c r="I4952">
        <v>3.72</v>
      </c>
      <c r="J4952">
        <v>2</v>
      </c>
      <c r="K4952">
        <v>3126.13</v>
      </c>
      <c r="L4952">
        <v>1.5</v>
      </c>
    </row>
    <row r="4953" spans="1:12" x14ac:dyDescent="0.3">
      <c r="A4953" t="s">
        <v>4968</v>
      </c>
      <c r="B4953" t="s">
        <v>13</v>
      </c>
      <c r="C4953" t="s">
        <v>14</v>
      </c>
      <c r="D4953">
        <v>25</v>
      </c>
      <c r="E4953" s="1">
        <v>44886</v>
      </c>
      <c r="F4953">
        <v>2022</v>
      </c>
      <c r="G4953" t="s">
        <v>5038</v>
      </c>
      <c r="H4953">
        <v>21</v>
      </c>
      <c r="I4953">
        <v>3.9</v>
      </c>
      <c r="J4953">
        <v>1</v>
      </c>
      <c r="K4953">
        <v>7550.21</v>
      </c>
      <c r="L4953">
        <v>2.9</v>
      </c>
    </row>
    <row r="4954" spans="1:12" x14ac:dyDescent="0.3">
      <c r="A4954" t="s">
        <v>4969</v>
      </c>
      <c r="B4954" t="s">
        <v>24</v>
      </c>
      <c r="C4954" t="s">
        <v>11</v>
      </c>
      <c r="D4954">
        <v>43</v>
      </c>
      <c r="E4954" s="1">
        <v>44083</v>
      </c>
      <c r="F4954">
        <v>2020</v>
      </c>
      <c r="G4954" t="s">
        <v>5033</v>
      </c>
      <c r="H4954">
        <v>9</v>
      </c>
      <c r="I4954">
        <v>4.45</v>
      </c>
      <c r="J4954">
        <v>8</v>
      </c>
      <c r="K4954">
        <v>13879.54</v>
      </c>
      <c r="L4954">
        <v>5.0999999999999996</v>
      </c>
    </row>
    <row r="4955" spans="1:12" x14ac:dyDescent="0.3">
      <c r="A4955" t="s">
        <v>4970</v>
      </c>
      <c r="B4955" t="s">
        <v>13</v>
      </c>
      <c r="C4955" t="s">
        <v>11</v>
      </c>
      <c r="D4955">
        <v>38</v>
      </c>
      <c r="E4955" s="1">
        <v>44904</v>
      </c>
      <c r="F4955">
        <v>2022</v>
      </c>
      <c r="G4955" t="s">
        <v>5041</v>
      </c>
      <c r="H4955">
        <v>9</v>
      </c>
      <c r="I4955">
        <v>4.71</v>
      </c>
      <c r="J4955">
        <v>10</v>
      </c>
      <c r="K4955">
        <v>13308.12</v>
      </c>
      <c r="L4955">
        <v>2.9</v>
      </c>
    </row>
    <row r="4956" spans="1:12" x14ac:dyDescent="0.3">
      <c r="A4956" t="s">
        <v>4971</v>
      </c>
      <c r="B4956" t="s">
        <v>18</v>
      </c>
      <c r="C4956" t="s">
        <v>14</v>
      </c>
      <c r="D4956">
        <v>31</v>
      </c>
      <c r="E4956" s="1">
        <v>40313</v>
      </c>
      <c r="F4956">
        <v>2010</v>
      </c>
      <c r="G4956" t="s">
        <v>5036</v>
      </c>
      <c r="H4956">
        <v>15</v>
      </c>
      <c r="I4956">
        <v>4.33</v>
      </c>
      <c r="J4956">
        <v>12</v>
      </c>
      <c r="K4956">
        <v>12436.98</v>
      </c>
      <c r="L4956">
        <v>15.5</v>
      </c>
    </row>
    <row r="4957" spans="1:12" x14ac:dyDescent="0.3">
      <c r="A4957" t="s">
        <v>4972</v>
      </c>
      <c r="B4957" t="s">
        <v>16</v>
      </c>
      <c r="C4957" t="s">
        <v>14</v>
      </c>
      <c r="D4957">
        <v>42</v>
      </c>
      <c r="E4957" s="1">
        <v>44912</v>
      </c>
      <c r="F4957">
        <v>2022</v>
      </c>
      <c r="G4957" t="s">
        <v>5041</v>
      </c>
      <c r="H4957">
        <v>17</v>
      </c>
      <c r="I4957">
        <v>2.2599999999999998</v>
      </c>
      <c r="J4957">
        <v>14</v>
      </c>
      <c r="K4957">
        <v>5372.7</v>
      </c>
      <c r="L4957">
        <v>2.9</v>
      </c>
    </row>
    <row r="4958" spans="1:12" x14ac:dyDescent="0.3">
      <c r="A4958" t="s">
        <v>4973</v>
      </c>
      <c r="B4958" t="s">
        <v>16</v>
      </c>
      <c r="C4958" t="s">
        <v>14</v>
      </c>
      <c r="D4958">
        <v>35</v>
      </c>
      <c r="E4958" s="1">
        <v>43242</v>
      </c>
      <c r="F4958">
        <v>2018</v>
      </c>
      <c r="G4958" t="s">
        <v>5036</v>
      </c>
      <c r="H4958">
        <v>22</v>
      </c>
      <c r="I4958">
        <v>4.92</v>
      </c>
      <c r="J4958">
        <v>3</v>
      </c>
      <c r="K4958">
        <v>10066.99</v>
      </c>
      <c r="L4958">
        <v>7.5</v>
      </c>
    </row>
    <row r="4959" spans="1:12" x14ac:dyDescent="0.3">
      <c r="A4959" t="s">
        <v>4974</v>
      </c>
      <c r="B4959" t="s">
        <v>10</v>
      </c>
      <c r="C4959" t="s">
        <v>14</v>
      </c>
      <c r="D4959">
        <v>53</v>
      </c>
      <c r="E4959" s="1">
        <v>43817</v>
      </c>
      <c r="F4959">
        <v>2019</v>
      </c>
      <c r="G4959" t="s">
        <v>5041</v>
      </c>
      <c r="H4959">
        <v>18</v>
      </c>
      <c r="I4959">
        <v>2.13</v>
      </c>
      <c r="J4959">
        <v>13</v>
      </c>
      <c r="K4959">
        <v>5540.6</v>
      </c>
      <c r="L4959">
        <v>5.9</v>
      </c>
    </row>
    <row r="4960" spans="1:12" x14ac:dyDescent="0.3">
      <c r="A4960" t="s">
        <v>4975</v>
      </c>
      <c r="B4960" t="s">
        <v>24</v>
      </c>
      <c r="C4960" t="s">
        <v>14</v>
      </c>
      <c r="D4960">
        <v>57</v>
      </c>
      <c r="E4960" s="1">
        <v>40741</v>
      </c>
      <c r="F4960">
        <v>2011</v>
      </c>
      <c r="G4960" t="s">
        <v>5034</v>
      </c>
      <c r="H4960">
        <v>17</v>
      </c>
      <c r="I4960">
        <v>2.4700000000000002</v>
      </c>
      <c r="J4960">
        <v>2</v>
      </c>
      <c r="K4960">
        <v>10267.540000000001</v>
      </c>
      <c r="L4960">
        <v>14.3</v>
      </c>
    </row>
    <row r="4961" spans="1:12" x14ac:dyDescent="0.3">
      <c r="A4961" t="s">
        <v>4976</v>
      </c>
      <c r="B4961" t="s">
        <v>18</v>
      </c>
      <c r="C4961" t="s">
        <v>14</v>
      </c>
      <c r="D4961">
        <v>34</v>
      </c>
      <c r="E4961" s="1">
        <v>41898</v>
      </c>
      <c r="F4961">
        <v>2014</v>
      </c>
      <c r="G4961" t="s">
        <v>5033</v>
      </c>
      <c r="H4961">
        <v>16</v>
      </c>
      <c r="I4961">
        <v>4.8</v>
      </c>
      <c r="J4961">
        <v>7</v>
      </c>
      <c r="K4961">
        <v>5236.62</v>
      </c>
      <c r="L4961">
        <v>11.1</v>
      </c>
    </row>
    <row r="4962" spans="1:12" x14ac:dyDescent="0.3">
      <c r="A4962" t="s">
        <v>4977</v>
      </c>
      <c r="B4962" t="s">
        <v>34</v>
      </c>
      <c r="C4962" t="s">
        <v>14</v>
      </c>
      <c r="D4962">
        <v>52</v>
      </c>
      <c r="E4962" s="1">
        <v>44419</v>
      </c>
      <c r="F4962">
        <v>2021</v>
      </c>
      <c r="G4962" t="s">
        <v>5031</v>
      </c>
      <c r="H4962">
        <v>11</v>
      </c>
      <c r="I4962">
        <v>2.52</v>
      </c>
      <c r="J4962">
        <v>4</v>
      </c>
      <c r="K4962">
        <v>11942.47</v>
      </c>
      <c r="L4962">
        <v>4.2</v>
      </c>
    </row>
    <row r="4963" spans="1:12" x14ac:dyDescent="0.3">
      <c r="A4963" t="s">
        <v>4978</v>
      </c>
      <c r="B4963" t="s">
        <v>18</v>
      </c>
      <c r="C4963" t="s">
        <v>11</v>
      </c>
      <c r="D4963">
        <v>53</v>
      </c>
      <c r="E4963" s="1">
        <v>44591</v>
      </c>
      <c r="F4963">
        <v>2022</v>
      </c>
      <c r="G4963" t="s">
        <v>5037</v>
      </c>
      <c r="H4963">
        <v>30</v>
      </c>
      <c r="I4963">
        <v>2.42</v>
      </c>
      <c r="J4963">
        <v>2</v>
      </c>
      <c r="K4963">
        <v>3098.5</v>
      </c>
      <c r="L4963">
        <v>3.8</v>
      </c>
    </row>
    <row r="4964" spans="1:12" x14ac:dyDescent="0.3">
      <c r="A4964" t="s">
        <v>4979</v>
      </c>
      <c r="B4964" t="s">
        <v>16</v>
      </c>
      <c r="C4964" t="s">
        <v>14</v>
      </c>
      <c r="D4964">
        <v>51</v>
      </c>
      <c r="E4964" s="1">
        <v>42167</v>
      </c>
      <c r="F4964">
        <v>2015</v>
      </c>
      <c r="G4964" t="s">
        <v>5032</v>
      </c>
      <c r="H4964">
        <v>12</v>
      </c>
      <c r="I4964">
        <v>1.76</v>
      </c>
      <c r="J4964">
        <v>2</v>
      </c>
      <c r="K4964">
        <v>10849.26</v>
      </c>
      <c r="L4964">
        <v>10.4</v>
      </c>
    </row>
    <row r="4965" spans="1:12" x14ac:dyDescent="0.3">
      <c r="A4965" t="s">
        <v>4980</v>
      </c>
      <c r="B4965" t="s">
        <v>10</v>
      </c>
      <c r="C4965" t="s">
        <v>14</v>
      </c>
      <c r="D4965">
        <v>60</v>
      </c>
      <c r="E4965" s="1">
        <v>40757</v>
      </c>
      <c r="F4965">
        <v>2011</v>
      </c>
      <c r="G4965" t="s">
        <v>5031</v>
      </c>
      <c r="H4965">
        <v>2</v>
      </c>
      <c r="I4965">
        <v>3.96</v>
      </c>
      <c r="J4965">
        <v>14</v>
      </c>
      <c r="K4965">
        <v>14831.22</v>
      </c>
      <c r="L4965">
        <v>14.3</v>
      </c>
    </row>
    <row r="4966" spans="1:12" x14ac:dyDescent="0.3">
      <c r="A4966" t="s">
        <v>4981</v>
      </c>
      <c r="B4966" t="s">
        <v>34</v>
      </c>
      <c r="C4966" t="s">
        <v>14</v>
      </c>
      <c r="D4966">
        <v>45</v>
      </c>
      <c r="E4966" s="1">
        <v>45700</v>
      </c>
      <c r="F4966">
        <v>2025</v>
      </c>
      <c r="G4966" t="s">
        <v>5042</v>
      </c>
      <c r="H4966">
        <v>12</v>
      </c>
      <c r="I4966">
        <v>1.98</v>
      </c>
      <c r="J4966">
        <v>10</v>
      </c>
      <c r="K4966">
        <v>3717.53</v>
      </c>
      <c r="L4966">
        <v>0.7</v>
      </c>
    </row>
    <row r="4967" spans="1:12" x14ac:dyDescent="0.3">
      <c r="A4967" t="s">
        <v>4982</v>
      </c>
      <c r="B4967" t="s">
        <v>10</v>
      </c>
      <c r="C4967" t="s">
        <v>11</v>
      </c>
      <c r="D4967">
        <v>42</v>
      </c>
      <c r="E4967" s="1">
        <v>45723</v>
      </c>
      <c r="F4967">
        <v>2025</v>
      </c>
      <c r="G4967" t="s">
        <v>5035</v>
      </c>
      <c r="H4967">
        <v>7</v>
      </c>
      <c r="I4967">
        <v>4.18</v>
      </c>
      <c r="J4967">
        <v>15</v>
      </c>
      <c r="K4967">
        <v>7699.65</v>
      </c>
      <c r="L4967">
        <v>0.7</v>
      </c>
    </row>
    <row r="4968" spans="1:12" x14ac:dyDescent="0.3">
      <c r="A4968" t="s">
        <v>4983</v>
      </c>
      <c r="B4968" t="s">
        <v>18</v>
      </c>
      <c r="C4968" t="s">
        <v>14</v>
      </c>
      <c r="D4968">
        <v>58</v>
      </c>
      <c r="E4968" s="1">
        <v>40572</v>
      </c>
      <c r="F4968">
        <v>2011</v>
      </c>
      <c r="G4968" t="s">
        <v>5037</v>
      </c>
      <c r="H4968">
        <v>29</v>
      </c>
      <c r="I4968">
        <v>1.72</v>
      </c>
      <c r="J4968">
        <v>4</v>
      </c>
      <c r="K4968">
        <v>7609.45</v>
      </c>
      <c r="L4968">
        <v>14.8</v>
      </c>
    </row>
    <row r="4969" spans="1:12" x14ac:dyDescent="0.3">
      <c r="A4969" t="s">
        <v>4984</v>
      </c>
      <c r="B4969" t="s">
        <v>24</v>
      </c>
      <c r="C4969" t="s">
        <v>11</v>
      </c>
      <c r="D4969">
        <v>51</v>
      </c>
      <c r="E4969" s="1">
        <v>42383</v>
      </c>
      <c r="F4969">
        <v>2016</v>
      </c>
      <c r="G4969" t="s">
        <v>5037</v>
      </c>
      <c r="H4969">
        <v>14</v>
      </c>
      <c r="I4969">
        <v>1.67</v>
      </c>
      <c r="J4969">
        <v>14</v>
      </c>
      <c r="K4969">
        <v>9044.31</v>
      </c>
      <c r="L4969">
        <v>9.8000000000000007</v>
      </c>
    </row>
    <row r="4970" spans="1:12" x14ac:dyDescent="0.3">
      <c r="A4970" t="s">
        <v>4985</v>
      </c>
      <c r="B4970" t="s">
        <v>10</v>
      </c>
      <c r="C4970" t="s">
        <v>11</v>
      </c>
      <c r="D4970">
        <v>45</v>
      </c>
      <c r="E4970" s="1">
        <v>45058</v>
      </c>
      <c r="F4970">
        <v>2023</v>
      </c>
      <c r="G4970" t="s">
        <v>5036</v>
      </c>
      <c r="H4970">
        <v>12</v>
      </c>
      <c r="I4970">
        <v>4.08</v>
      </c>
      <c r="J4970">
        <v>5</v>
      </c>
      <c r="K4970">
        <v>10368.31</v>
      </c>
      <c r="L4970">
        <v>2.5</v>
      </c>
    </row>
    <row r="4971" spans="1:12" x14ac:dyDescent="0.3">
      <c r="A4971" t="s">
        <v>4986</v>
      </c>
      <c r="B4971" t="s">
        <v>16</v>
      </c>
      <c r="C4971" t="s">
        <v>14</v>
      </c>
      <c r="D4971">
        <v>49</v>
      </c>
      <c r="E4971" s="1">
        <v>45577</v>
      </c>
      <c r="F4971">
        <v>2024</v>
      </c>
      <c r="G4971" t="s">
        <v>5039</v>
      </c>
      <c r="H4971">
        <v>12</v>
      </c>
      <c r="I4971">
        <v>3.32</v>
      </c>
      <c r="J4971">
        <v>12</v>
      </c>
      <c r="K4971">
        <v>11621.1</v>
      </c>
      <c r="L4971">
        <v>1.1000000000000001</v>
      </c>
    </row>
    <row r="4972" spans="1:12" x14ac:dyDescent="0.3">
      <c r="A4972" t="s">
        <v>4987</v>
      </c>
      <c r="B4972" t="s">
        <v>24</v>
      </c>
      <c r="C4972" t="s">
        <v>11</v>
      </c>
      <c r="D4972">
        <v>30</v>
      </c>
      <c r="E4972" s="1">
        <v>41721</v>
      </c>
      <c r="F4972">
        <v>2014</v>
      </c>
      <c r="G4972" t="s">
        <v>5035</v>
      </c>
      <c r="H4972">
        <v>23</v>
      </c>
      <c r="I4972">
        <v>4.38</v>
      </c>
      <c r="J4972">
        <v>14</v>
      </c>
      <c r="K4972">
        <v>5592.29</v>
      </c>
      <c r="L4972">
        <v>11.6</v>
      </c>
    </row>
    <row r="4973" spans="1:12" x14ac:dyDescent="0.3">
      <c r="A4973" t="s">
        <v>4988</v>
      </c>
      <c r="B4973" t="s">
        <v>16</v>
      </c>
      <c r="C4973" t="s">
        <v>11</v>
      </c>
      <c r="D4973">
        <v>58</v>
      </c>
      <c r="E4973" s="1">
        <v>43732</v>
      </c>
      <c r="F4973">
        <v>2019</v>
      </c>
      <c r="G4973" t="s">
        <v>5033</v>
      </c>
      <c r="H4973">
        <v>24</v>
      </c>
      <c r="I4973">
        <v>2.54</v>
      </c>
      <c r="J4973">
        <v>1</v>
      </c>
      <c r="K4973">
        <v>11617.27</v>
      </c>
      <c r="L4973">
        <v>6.1</v>
      </c>
    </row>
    <row r="4974" spans="1:12" x14ac:dyDescent="0.3">
      <c r="A4974" t="s">
        <v>4989</v>
      </c>
      <c r="B4974" t="s">
        <v>18</v>
      </c>
      <c r="C4974" t="s">
        <v>11</v>
      </c>
      <c r="D4974">
        <v>54</v>
      </c>
      <c r="E4974" s="1">
        <v>43612</v>
      </c>
      <c r="F4974">
        <v>2019</v>
      </c>
      <c r="G4974" t="s">
        <v>5036</v>
      </c>
      <c r="H4974">
        <v>27</v>
      </c>
      <c r="I4974">
        <v>4.1100000000000003</v>
      </c>
      <c r="J4974">
        <v>3</v>
      </c>
      <c r="K4974">
        <v>12013.96</v>
      </c>
      <c r="L4974">
        <v>6.4</v>
      </c>
    </row>
    <row r="4975" spans="1:12" x14ac:dyDescent="0.3">
      <c r="A4975" t="s">
        <v>4990</v>
      </c>
      <c r="B4975" t="s">
        <v>10</v>
      </c>
      <c r="C4975" t="s">
        <v>11</v>
      </c>
      <c r="D4975">
        <v>48</v>
      </c>
      <c r="E4975" s="1">
        <v>43720</v>
      </c>
      <c r="F4975">
        <v>2019</v>
      </c>
      <c r="G4975" t="s">
        <v>5033</v>
      </c>
      <c r="H4975">
        <v>12</v>
      </c>
      <c r="I4975">
        <v>2.86</v>
      </c>
      <c r="J4975">
        <v>13</v>
      </c>
      <c r="K4975">
        <v>9192.5499999999993</v>
      </c>
      <c r="L4975">
        <v>6.1</v>
      </c>
    </row>
    <row r="4976" spans="1:12" x14ac:dyDescent="0.3">
      <c r="A4976" t="s">
        <v>4991</v>
      </c>
      <c r="B4976" t="s">
        <v>24</v>
      </c>
      <c r="C4976" t="s">
        <v>14</v>
      </c>
      <c r="D4976">
        <v>51</v>
      </c>
      <c r="E4976" s="1">
        <v>40610</v>
      </c>
      <c r="F4976">
        <v>2011</v>
      </c>
      <c r="G4976" t="s">
        <v>5035</v>
      </c>
      <c r="H4976">
        <v>8</v>
      </c>
      <c r="I4976">
        <v>2.1800000000000002</v>
      </c>
      <c r="J4976">
        <v>9</v>
      </c>
      <c r="K4976">
        <v>12918.72</v>
      </c>
      <c r="L4976">
        <v>14.7</v>
      </c>
    </row>
    <row r="4977" spans="1:12" x14ac:dyDescent="0.3">
      <c r="A4977" t="s">
        <v>4992</v>
      </c>
      <c r="B4977" t="s">
        <v>24</v>
      </c>
      <c r="C4977" t="s">
        <v>11</v>
      </c>
      <c r="D4977">
        <v>58</v>
      </c>
      <c r="E4977" s="1">
        <v>45108</v>
      </c>
      <c r="F4977">
        <v>2023</v>
      </c>
      <c r="G4977" t="s">
        <v>5034</v>
      </c>
      <c r="H4977">
        <v>1</v>
      </c>
      <c r="I4977">
        <v>3.17</v>
      </c>
      <c r="J4977">
        <v>11</v>
      </c>
      <c r="K4977">
        <v>6489.74</v>
      </c>
      <c r="L4977">
        <v>2.2999999999999998</v>
      </c>
    </row>
    <row r="4978" spans="1:12" x14ac:dyDescent="0.3">
      <c r="A4978" t="s">
        <v>4993</v>
      </c>
      <c r="B4978" t="s">
        <v>10</v>
      </c>
      <c r="C4978" t="s">
        <v>11</v>
      </c>
      <c r="D4978">
        <v>57</v>
      </c>
      <c r="E4978" s="1">
        <v>43394</v>
      </c>
      <c r="F4978">
        <v>2018</v>
      </c>
      <c r="G4978" t="s">
        <v>5039</v>
      </c>
      <c r="H4978">
        <v>21</v>
      </c>
      <c r="I4978">
        <v>3.58</v>
      </c>
      <c r="J4978">
        <v>13</v>
      </c>
      <c r="K4978">
        <v>8220.9500000000007</v>
      </c>
      <c r="L4978">
        <v>7</v>
      </c>
    </row>
    <row r="4979" spans="1:12" x14ac:dyDescent="0.3">
      <c r="A4979" t="s">
        <v>4994</v>
      </c>
      <c r="B4979" t="s">
        <v>18</v>
      </c>
      <c r="C4979" t="s">
        <v>11</v>
      </c>
      <c r="D4979">
        <v>25</v>
      </c>
      <c r="E4979" s="1">
        <v>40512</v>
      </c>
      <c r="F4979">
        <v>2010</v>
      </c>
      <c r="G4979" t="s">
        <v>5038</v>
      </c>
      <c r="H4979">
        <v>30</v>
      </c>
      <c r="I4979">
        <v>2.9</v>
      </c>
      <c r="J4979">
        <v>6</v>
      </c>
      <c r="K4979">
        <v>5685.34</v>
      </c>
      <c r="L4979">
        <v>14.9</v>
      </c>
    </row>
    <row r="4980" spans="1:12" x14ac:dyDescent="0.3">
      <c r="A4980" t="s">
        <v>4995</v>
      </c>
      <c r="B4980" t="s">
        <v>24</v>
      </c>
      <c r="C4980" t="s">
        <v>11</v>
      </c>
      <c r="D4980">
        <v>40</v>
      </c>
      <c r="E4980" s="1">
        <v>44359</v>
      </c>
      <c r="F4980">
        <v>2021</v>
      </c>
      <c r="G4980" t="s">
        <v>5032</v>
      </c>
      <c r="H4980">
        <v>12</v>
      </c>
      <c r="I4980">
        <v>5</v>
      </c>
      <c r="J4980">
        <v>3</v>
      </c>
      <c r="K4980">
        <v>8389.69</v>
      </c>
      <c r="L4980">
        <v>4.4000000000000004</v>
      </c>
    </row>
    <row r="4981" spans="1:12" x14ac:dyDescent="0.3">
      <c r="A4981" t="s">
        <v>4996</v>
      </c>
      <c r="B4981" t="s">
        <v>10</v>
      </c>
      <c r="C4981" t="s">
        <v>14</v>
      </c>
      <c r="D4981">
        <v>35</v>
      </c>
      <c r="E4981" s="1">
        <v>43918</v>
      </c>
      <c r="F4981">
        <v>2020</v>
      </c>
      <c r="G4981" t="s">
        <v>5035</v>
      </c>
      <c r="H4981">
        <v>28</v>
      </c>
      <c r="I4981">
        <v>4.09</v>
      </c>
      <c r="J4981">
        <v>13</v>
      </c>
      <c r="K4981">
        <v>12696.44</v>
      </c>
      <c r="L4981">
        <v>5.6</v>
      </c>
    </row>
    <row r="4982" spans="1:12" x14ac:dyDescent="0.3">
      <c r="A4982" t="s">
        <v>4997</v>
      </c>
      <c r="B4982" t="s">
        <v>13</v>
      </c>
      <c r="C4982" t="s">
        <v>11</v>
      </c>
      <c r="D4982">
        <v>48</v>
      </c>
      <c r="E4982" s="1">
        <v>43328</v>
      </c>
      <c r="F4982">
        <v>2018</v>
      </c>
      <c r="G4982" t="s">
        <v>5031</v>
      </c>
      <c r="H4982">
        <v>16</v>
      </c>
      <c r="I4982">
        <v>4.5999999999999996</v>
      </c>
      <c r="J4982">
        <v>10</v>
      </c>
      <c r="K4982">
        <v>8325.56</v>
      </c>
      <c r="L4982">
        <v>7.2</v>
      </c>
    </row>
    <row r="4983" spans="1:12" x14ac:dyDescent="0.3">
      <c r="A4983" t="s">
        <v>4998</v>
      </c>
      <c r="B4983" t="s">
        <v>24</v>
      </c>
      <c r="C4983" t="s">
        <v>14</v>
      </c>
      <c r="D4983">
        <v>42</v>
      </c>
      <c r="E4983" s="1">
        <v>42297</v>
      </c>
      <c r="F4983">
        <v>2015</v>
      </c>
      <c r="G4983" t="s">
        <v>5039</v>
      </c>
      <c r="H4983">
        <v>20</v>
      </c>
      <c r="I4983">
        <v>4.46</v>
      </c>
      <c r="J4983">
        <v>15</v>
      </c>
      <c r="K4983">
        <v>5551.49</v>
      </c>
      <c r="L4983">
        <v>10</v>
      </c>
    </row>
    <row r="4984" spans="1:12" x14ac:dyDescent="0.3">
      <c r="A4984" t="s">
        <v>4999</v>
      </c>
      <c r="B4984" t="s">
        <v>24</v>
      </c>
      <c r="C4984" t="s">
        <v>11</v>
      </c>
      <c r="D4984">
        <v>40</v>
      </c>
      <c r="E4984" s="1">
        <v>44508</v>
      </c>
      <c r="F4984">
        <v>2021</v>
      </c>
      <c r="G4984" t="s">
        <v>5038</v>
      </c>
      <c r="H4984">
        <v>8</v>
      </c>
      <c r="I4984">
        <v>2.78</v>
      </c>
      <c r="J4984">
        <v>10</v>
      </c>
      <c r="K4984">
        <v>6836.94</v>
      </c>
      <c r="L4984">
        <v>4</v>
      </c>
    </row>
    <row r="4985" spans="1:12" x14ac:dyDescent="0.3">
      <c r="A4985" t="s">
        <v>5000</v>
      </c>
      <c r="B4985" t="s">
        <v>10</v>
      </c>
      <c r="C4985" t="s">
        <v>14</v>
      </c>
      <c r="D4985">
        <v>49</v>
      </c>
      <c r="E4985" s="1">
        <v>42918</v>
      </c>
      <c r="F4985">
        <v>2017</v>
      </c>
      <c r="G4985" t="s">
        <v>5034</v>
      </c>
      <c r="H4985">
        <v>2</v>
      </c>
      <c r="I4985">
        <v>4.9800000000000004</v>
      </c>
      <c r="J4985">
        <v>2</v>
      </c>
      <c r="K4985">
        <v>9715.44</v>
      </c>
      <c r="L4985">
        <v>8.3000000000000007</v>
      </c>
    </row>
    <row r="4986" spans="1:12" x14ac:dyDescent="0.3">
      <c r="A4986" t="s">
        <v>5001</v>
      </c>
      <c r="B4986" t="s">
        <v>24</v>
      </c>
      <c r="C4986" t="s">
        <v>11</v>
      </c>
      <c r="D4986">
        <v>46</v>
      </c>
      <c r="E4986" s="1">
        <v>42073</v>
      </c>
      <c r="F4986">
        <v>2015</v>
      </c>
      <c r="G4986" t="s">
        <v>5035</v>
      </c>
      <c r="H4986">
        <v>10</v>
      </c>
      <c r="I4986">
        <v>3.53</v>
      </c>
      <c r="J4986">
        <v>12</v>
      </c>
      <c r="K4986">
        <v>14752.06</v>
      </c>
      <c r="L4986">
        <v>10.7</v>
      </c>
    </row>
    <row r="4987" spans="1:12" x14ac:dyDescent="0.3">
      <c r="A4987" t="s">
        <v>5002</v>
      </c>
      <c r="B4987" t="s">
        <v>16</v>
      </c>
      <c r="C4987" t="s">
        <v>14</v>
      </c>
      <c r="D4987">
        <v>53</v>
      </c>
      <c r="E4987" s="1">
        <v>40775</v>
      </c>
      <c r="F4987">
        <v>2011</v>
      </c>
      <c r="G4987" t="s">
        <v>5031</v>
      </c>
      <c r="H4987">
        <v>20</v>
      </c>
      <c r="I4987">
        <v>1.72</v>
      </c>
      <c r="J4987">
        <v>11</v>
      </c>
      <c r="K4987">
        <v>13567</v>
      </c>
      <c r="L4987">
        <v>14.2</v>
      </c>
    </row>
    <row r="4988" spans="1:12" x14ac:dyDescent="0.3">
      <c r="A4988" t="s">
        <v>5003</v>
      </c>
      <c r="B4988" t="s">
        <v>18</v>
      </c>
      <c r="C4988" t="s">
        <v>14</v>
      </c>
      <c r="D4988">
        <v>55</v>
      </c>
      <c r="E4988" s="1">
        <v>40959</v>
      </c>
      <c r="F4988">
        <v>2012</v>
      </c>
      <c r="G4988" t="s">
        <v>5042</v>
      </c>
      <c r="H4988">
        <v>20</v>
      </c>
      <c r="I4988">
        <v>2.98</v>
      </c>
      <c r="J4988">
        <v>13</v>
      </c>
      <c r="K4988">
        <v>9074.4500000000007</v>
      </c>
      <c r="L4988">
        <v>13.7</v>
      </c>
    </row>
    <row r="4989" spans="1:12" x14ac:dyDescent="0.3">
      <c r="A4989" t="s">
        <v>5004</v>
      </c>
      <c r="B4989" t="s">
        <v>13</v>
      </c>
      <c r="C4989" t="s">
        <v>14</v>
      </c>
      <c r="D4989">
        <v>27</v>
      </c>
      <c r="E4989" s="1">
        <v>43840</v>
      </c>
      <c r="F4989">
        <v>2020</v>
      </c>
      <c r="G4989" t="s">
        <v>5037</v>
      </c>
      <c r="H4989">
        <v>10</v>
      </c>
      <c r="I4989">
        <v>3.19</v>
      </c>
      <c r="J4989">
        <v>9</v>
      </c>
      <c r="K4989">
        <v>10912.38</v>
      </c>
      <c r="L4989">
        <v>5.8</v>
      </c>
    </row>
    <row r="4990" spans="1:12" x14ac:dyDescent="0.3">
      <c r="A4990" t="s">
        <v>5005</v>
      </c>
      <c r="B4990" t="s">
        <v>34</v>
      </c>
      <c r="C4990" t="s">
        <v>14</v>
      </c>
      <c r="D4990">
        <v>36</v>
      </c>
      <c r="E4990" s="1">
        <v>43926</v>
      </c>
      <c r="F4990">
        <v>2020</v>
      </c>
      <c r="G4990" t="s">
        <v>5040</v>
      </c>
      <c r="H4990">
        <v>5</v>
      </c>
      <c r="I4990">
        <v>1.54</v>
      </c>
      <c r="J4990">
        <v>3</v>
      </c>
      <c r="K4990">
        <v>5631.97</v>
      </c>
      <c r="L4990">
        <v>5.6</v>
      </c>
    </row>
    <row r="4991" spans="1:12" x14ac:dyDescent="0.3">
      <c r="A4991" t="s">
        <v>5006</v>
      </c>
      <c r="B4991" t="s">
        <v>34</v>
      </c>
      <c r="C4991" t="s">
        <v>11</v>
      </c>
      <c r="D4991">
        <v>52</v>
      </c>
      <c r="E4991" s="1">
        <v>45543</v>
      </c>
      <c r="F4991">
        <v>2024</v>
      </c>
      <c r="G4991" t="s">
        <v>5033</v>
      </c>
      <c r="H4991">
        <v>8</v>
      </c>
      <c r="I4991">
        <v>2.57</v>
      </c>
      <c r="J4991">
        <v>12</v>
      </c>
      <c r="K4991">
        <v>12761.86</v>
      </c>
      <c r="L4991">
        <v>1.1000000000000001</v>
      </c>
    </row>
    <row r="4992" spans="1:12" x14ac:dyDescent="0.3">
      <c r="A4992" t="s">
        <v>5007</v>
      </c>
      <c r="B4992" t="s">
        <v>18</v>
      </c>
      <c r="C4992" t="s">
        <v>14</v>
      </c>
      <c r="D4992">
        <v>22</v>
      </c>
      <c r="E4992" s="1">
        <v>40606</v>
      </c>
      <c r="F4992">
        <v>2011</v>
      </c>
      <c r="G4992" t="s">
        <v>5035</v>
      </c>
      <c r="H4992">
        <v>4</v>
      </c>
      <c r="I4992">
        <v>3.78</v>
      </c>
      <c r="J4992">
        <v>3</v>
      </c>
      <c r="K4992">
        <v>14887.83</v>
      </c>
      <c r="L4992">
        <v>14.7</v>
      </c>
    </row>
    <row r="4993" spans="1:12" x14ac:dyDescent="0.3">
      <c r="A4993" t="s">
        <v>5008</v>
      </c>
      <c r="B4993" t="s">
        <v>13</v>
      </c>
      <c r="C4993" t="s">
        <v>14</v>
      </c>
      <c r="D4993">
        <v>26</v>
      </c>
      <c r="E4993" s="1">
        <v>44830</v>
      </c>
      <c r="F4993">
        <v>2022</v>
      </c>
      <c r="G4993" t="s">
        <v>5033</v>
      </c>
      <c r="H4993">
        <v>26</v>
      </c>
      <c r="I4993">
        <v>3.31</v>
      </c>
      <c r="J4993">
        <v>9</v>
      </c>
      <c r="K4993">
        <v>8538.08</v>
      </c>
      <c r="L4993">
        <v>3.1</v>
      </c>
    </row>
    <row r="4994" spans="1:12" x14ac:dyDescent="0.3">
      <c r="A4994" t="s">
        <v>5009</v>
      </c>
      <c r="B4994" t="s">
        <v>34</v>
      </c>
      <c r="C4994" t="s">
        <v>11</v>
      </c>
      <c r="D4994">
        <v>52</v>
      </c>
      <c r="E4994" s="1">
        <v>42391</v>
      </c>
      <c r="F4994">
        <v>2016</v>
      </c>
      <c r="G4994" t="s">
        <v>5037</v>
      </c>
      <c r="H4994">
        <v>22</v>
      </c>
      <c r="I4994">
        <v>3.68</v>
      </c>
      <c r="J4994">
        <v>9</v>
      </c>
      <c r="K4994">
        <v>9704.83</v>
      </c>
      <c r="L4994">
        <v>9.8000000000000007</v>
      </c>
    </row>
    <row r="4995" spans="1:12" x14ac:dyDescent="0.3">
      <c r="A4995" t="s">
        <v>5010</v>
      </c>
      <c r="B4995" t="s">
        <v>34</v>
      </c>
      <c r="C4995" t="s">
        <v>11</v>
      </c>
      <c r="D4995">
        <v>24</v>
      </c>
      <c r="E4995" s="1">
        <v>42549</v>
      </c>
      <c r="F4995">
        <v>2016</v>
      </c>
      <c r="G4995" t="s">
        <v>5032</v>
      </c>
      <c r="H4995">
        <v>28</v>
      </c>
      <c r="I4995">
        <v>2.35</v>
      </c>
      <c r="J4995">
        <v>0</v>
      </c>
      <c r="K4995">
        <v>8370.14</v>
      </c>
      <c r="L4995">
        <v>9.4</v>
      </c>
    </row>
    <row r="4996" spans="1:12" x14ac:dyDescent="0.3">
      <c r="A4996" t="s">
        <v>5011</v>
      </c>
      <c r="B4996" t="s">
        <v>18</v>
      </c>
      <c r="C4996" t="s">
        <v>14</v>
      </c>
      <c r="D4996">
        <v>60</v>
      </c>
      <c r="E4996" s="1">
        <v>44930</v>
      </c>
      <c r="F4996">
        <v>2023</v>
      </c>
      <c r="G4996" t="s">
        <v>5037</v>
      </c>
      <c r="H4996">
        <v>4</v>
      </c>
      <c r="I4996">
        <v>2.9</v>
      </c>
      <c r="J4996">
        <v>1</v>
      </c>
      <c r="K4996">
        <v>11018.51</v>
      </c>
      <c r="L4996">
        <v>2.8</v>
      </c>
    </row>
    <row r="4997" spans="1:12" x14ac:dyDescent="0.3">
      <c r="A4997" t="s">
        <v>5012</v>
      </c>
      <c r="B4997" t="s">
        <v>18</v>
      </c>
      <c r="C4997" t="s">
        <v>11</v>
      </c>
      <c r="D4997">
        <v>33</v>
      </c>
      <c r="E4997" s="1">
        <v>43420</v>
      </c>
      <c r="F4997">
        <v>2018</v>
      </c>
      <c r="G4997" t="s">
        <v>5038</v>
      </c>
      <c r="H4997">
        <v>16</v>
      </c>
      <c r="I4997">
        <v>1.59</v>
      </c>
      <c r="J4997">
        <v>6</v>
      </c>
      <c r="K4997">
        <v>13656.58</v>
      </c>
      <c r="L4997">
        <v>7</v>
      </c>
    </row>
    <row r="4998" spans="1:12" x14ac:dyDescent="0.3">
      <c r="A4998" t="s">
        <v>5013</v>
      </c>
      <c r="B4998" t="s">
        <v>34</v>
      </c>
      <c r="C4998" t="s">
        <v>14</v>
      </c>
      <c r="D4998">
        <v>36</v>
      </c>
      <c r="E4998" s="1">
        <v>41512</v>
      </c>
      <c r="F4998">
        <v>2013</v>
      </c>
      <c r="G4998" t="s">
        <v>5031</v>
      </c>
      <c r="H4998">
        <v>26</v>
      </c>
      <c r="I4998">
        <v>4.8</v>
      </c>
      <c r="J4998">
        <v>15</v>
      </c>
      <c r="K4998">
        <v>10298.81</v>
      </c>
      <c r="L4998">
        <v>12.2</v>
      </c>
    </row>
    <row r="4999" spans="1:12" x14ac:dyDescent="0.3">
      <c r="A4999" t="s">
        <v>5014</v>
      </c>
      <c r="B4999" t="s">
        <v>13</v>
      </c>
      <c r="C4999" t="s">
        <v>14</v>
      </c>
      <c r="D4999">
        <v>51</v>
      </c>
      <c r="E4999" s="1">
        <v>44978</v>
      </c>
      <c r="F4999">
        <v>2023</v>
      </c>
      <c r="G4999" t="s">
        <v>5042</v>
      </c>
      <c r="H4999">
        <v>21</v>
      </c>
      <c r="I4999">
        <v>4.3499999999999996</v>
      </c>
      <c r="J4999">
        <v>1</v>
      </c>
      <c r="K4999">
        <v>5490.84</v>
      </c>
      <c r="L4999">
        <v>2.7</v>
      </c>
    </row>
    <row r="5000" spans="1:12" x14ac:dyDescent="0.3">
      <c r="A5000" t="s">
        <v>5015</v>
      </c>
      <c r="B5000" t="s">
        <v>10</v>
      </c>
      <c r="C5000" t="s">
        <v>11</v>
      </c>
      <c r="D5000">
        <v>43</v>
      </c>
      <c r="E5000" s="1">
        <v>43965</v>
      </c>
      <c r="F5000">
        <v>2020</v>
      </c>
      <c r="G5000" t="s">
        <v>5036</v>
      </c>
      <c r="H5000">
        <v>14</v>
      </c>
      <c r="I5000">
        <v>3.26</v>
      </c>
      <c r="J5000">
        <v>6</v>
      </c>
      <c r="K5000">
        <v>5480.13</v>
      </c>
      <c r="L5000">
        <v>5.5</v>
      </c>
    </row>
    <row r="5001" spans="1:12" x14ac:dyDescent="0.3">
      <c r="A5001" t="s">
        <v>5016</v>
      </c>
      <c r="B5001" t="s">
        <v>18</v>
      </c>
      <c r="C5001" t="s">
        <v>14</v>
      </c>
      <c r="D5001">
        <v>32</v>
      </c>
      <c r="E5001" s="1">
        <v>45747</v>
      </c>
      <c r="F5001">
        <v>2025</v>
      </c>
      <c r="G5001" t="s">
        <v>5035</v>
      </c>
      <c r="H5001">
        <v>31</v>
      </c>
      <c r="I5001">
        <v>2.75</v>
      </c>
      <c r="J5001">
        <v>2</v>
      </c>
      <c r="K5001">
        <v>10066.120000000001</v>
      </c>
      <c r="L5001">
        <v>0.6</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A3F05-B66A-40F8-BDE2-9D9DF0B2D8CF}">
  <dimension ref="A1:B7"/>
  <sheetViews>
    <sheetView workbookViewId="0">
      <selection activeCell="B2" sqref="B2"/>
    </sheetView>
  </sheetViews>
  <sheetFormatPr defaultRowHeight="14.4" x14ac:dyDescent="0.3"/>
  <cols>
    <col min="1" max="1" width="15.88671875" bestFit="1" customWidth="1"/>
    <col min="2" max="2" width="19.109375" bestFit="1" customWidth="1"/>
  </cols>
  <sheetData>
    <row r="1" spans="1:2" x14ac:dyDescent="0.3">
      <c r="A1" t="s">
        <v>5024</v>
      </c>
      <c r="B1" t="s">
        <v>5023</v>
      </c>
    </row>
    <row r="2" spans="1:2" x14ac:dyDescent="0.3">
      <c r="A2" t="s">
        <v>13</v>
      </c>
      <c r="B2" t="s">
        <v>5017</v>
      </c>
    </row>
    <row r="3" spans="1:2" x14ac:dyDescent="0.3">
      <c r="A3" t="s">
        <v>16</v>
      </c>
      <c r="B3" t="s">
        <v>5018</v>
      </c>
    </row>
    <row r="4" spans="1:2" x14ac:dyDescent="0.3">
      <c r="A4" t="s">
        <v>24</v>
      </c>
      <c r="B4" t="s">
        <v>5019</v>
      </c>
    </row>
    <row r="5" spans="1:2" x14ac:dyDescent="0.3">
      <c r="A5" t="s">
        <v>34</v>
      </c>
      <c r="B5" t="s">
        <v>5020</v>
      </c>
    </row>
    <row r="6" spans="1:2" x14ac:dyDescent="0.3">
      <c r="A6" t="s">
        <v>18</v>
      </c>
      <c r="B6" t="s">
        <v>5021</v>
      </c>
    </row>
    <row r="7" spans="1:2" x14ac:dyDescent="0.3">
      <c r="A7" t="s">
        <v>10</v>
      </c>
      <c r="B7" t="s">
        <v>5022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0D7C-97CE-4AF2-A7E1-C3F2851F7C18}">
  <dimension ref="A1:O650"/>
  <sheetViews>
    <sheetView workbookViewId="0">
      <selection activeCell="F2" sqref="F2"/>
    </sheetView>
  </sheetViews>
  <sheetFormatPr defaultRowHeight="14.4" x14ac:dyDescent="0.3"/>
  <cols>
    <col min="1" max="1" width="14" bestFit="1" customWidth="1"/>
    <col min="2" max="2" width="15.88671875" bestFit="1" customWidth="1"/>
    <col min="3" max="3" width="13.21875" bestFit="1" customWidth="1"/>
    <col min="4" max="4" width="9.33203125" bestFit="1" customWidth="1"/>
    <col min="5" max="5" width="6.21875" bestFit="1" customWidth="1"/>
    <col min="6" max="6" width="15.88671875" style="1" bestFit="1" customWidth="1"/>
    <col min="7" max="7" width="11.44140625" bestFit="1" customWidth="1"/>
    <col min="8" max="8" width="6.88671875" bestFit="1" customWidth="1"/>
    <col min="9" max="9" width="9.77734375" bestFit="1" customWidth="1"/>
    <col min="10" max="10" width="6.33203125" bestFit="1" customWidth="1"/>
    <col min="11" max="11" width="19.6640625" bestFit="1" customWidth="1"/>
    <col min="12" max="12" width="20.88671875" bestFit="1" customWidth="1"/>
    <col min="13" max="13" width="12.77734375" bestFit="1" customWidth="1"/>
    <col min="14" max="14" width="14.109375" bestFit="1" customWidth="1"/>
    <col min="15" max="15" width="16.88671875" customWidth="1"/>
    <col min="16" max="18" width="16.88671875" bestFit="1" customWidth="1"/>
    <col min="19" max="19" width="16.88671875" customWidth="1"/>
  </cols>
  <sheetData>
    <row r="1" spans="1:15" x14ac:dyDescent="0.3">
      <c r="A1" t="s">
        <v>0</v>
      </c>
      <c r="B1" t="s">
        <v>5024</v>
      </c>
      <c r="C1" t="s">
        <v>1</v>
      </c>
      <c r="D1" t="s">
        <v>2</v>
      </c>
      <c r="E1" t="s">
        <v>3</v>
      </c>
      <c r="F1" t="s">
        <v>5029</v>
      </c>
      <c r="G1" t="s">
        <v>4</v>
      </c>
      <c r="H1" t="s">
        <v>5043</v>
      </c>
      <c r="I1" t="s">
        <v>5044</v>
      </c>
      <c r="J1" t="s">
        <v>5045</v>
      </c>
      <c r="K1" t="s">
        <v>5</v>
      </c>
      <c r="L1" t="s">
        <v>6</v>
      </c>
      <c r="M1" t="s">
        <v>7</v>
      </c>
      <c r="N1" t="s">
        <v>8</v>
      </c>
      <c r="O1" t="s">
        <v>5048</v>
      </c>
    </row>
    <row r="2" spans="1:15" x14ac:dyDescent="0.3">
      <c r="A2" t="s">
        <v>20</v>
      </c>
      <c r="B2" t="s">
        <v>13</v>
      </c>
      <c r="C2" t="s">
        <v>5017</v>
      </c>
      <c r="D2" t="s">
        <v>11</v>
      </c>
      <c r="E2">
        <v>43</v>
      </c>
      <c r="F2" t="s">
        <v>5055</v>
      </c>
      <c r="G2" s="1">
        <v>44261</v>
      </c>
      <c r="H2">
        <v>2021</v>
      </c>
      <c r="I2" t="s">
        <v>5035</v>
      </c>
      <c r="J2">
        <v>6</v>
      </c>
      <c r="K2">
        <v>2.13</v>
      </c>
      <c r="L2">
        <v>0</v>
      </c>
      <c r="M2">
        <v>3895.18</v>
      </c>
      <c r="N2">
        <v>4.7</v>
      </c>
      <c r="O2" t="s">
        <v>5050</v>
      </c>
    </row>
    <row r="3" spans="1:15" x14ac:dyDescent="0.3">
      <c r="A3" t="s">
        <v>21</v>
      </c>
      <c r="B3" t="s">
        <v>16</v>
      </c>
      <c r="C3" t="s">
        <v>5018</v>
      </c>
      <c r="D3" t="s">
        <v>11</v>
      </c>
      <c r="E3">
        <v>34</v>
      </c>
      <c r="F3" t="s">
        <v>5055</v>
      </c>
      <c r="G3" s="1">
        <v>44687</v>
      </c>
      <c r="H3">
        <v>2022</v>
      </c>
      <c r="I3" t="s">
        <v>5036</v>
      </c>
      <c r="J3">
        <v>6</v>
      </c>
      <c r="K3">
        <v>4.09</v>
      </c>
      <c r="L3">
        <v>8</v>
      </c>
      <c r="M3">
        <v>10680.43</v>
      </c>
      <c r="N3">
        <v>3.5</v>
      </c>
      <c r="O3" t="s">
        <v>5050</v>
      </c>
    </row>
    <row r="4" spans="1:15" x14ac:dyDescent="0.3">
      <c r="A4" t="s">
        <v>22</v>
      </c>
      <c r="B4" t="s">
        <v>16</v>
      </c>
      <c r="C4" t="s">
        <v>5018</v>
      </c>
      <c r="D4" t="s">
        <v>14</v>
      </c>
      <c r="E4">
        <v>39</v>
      </c>
      <c r="F4" t="s">
        <v>5055</v>
      </c>
      <c r="G4" s="1">
        <v>44566</v>
      </c>
      <c r="H4">
        <v>2022</v>
      </c>
      <c r="I4" t="s">
        <v>5037</v>
      </c>
      <c r="J4">
        <v>5</v>
      </c>
      <c r="K4">
        <v>4.49</v>
      </c>
      <c r="L4">
        <v>14</v>
      </c>
      <c r="M4">
        <v>10850.25</v>
      </c>
      <c r="N4">
        <v>3.8</v>
      </c>
      <c r="O4" t="s">
        <v>5050</v>
      </c>
    </row>
    <row r="5" spans="1:15" x14ac:dyDescent="0.3">
      <c r="A5" t="s">
        <v>23</v>
      </c>
      <c r="B5" t="s">
        <v>24</v>
      </c>
      <c r="C5" t="s">
        <v>5019</v>
      </c>
      <c r="D5" t="s">
        <v>11</v>
      </c>
      <c r="E5">
        <v>55</v>
      </c>
      <c r="F5" t="s">
        <v>5056</v>
      </c>
      <c r="G5" s="1">
        <v>44159</v>
      </c>
      <c r="H5">
        <v>2020</v>
      </c>
      <c r="I5" t="s">
        <v>5038</v>
      </c>
      <c r="J5">
        <v>24</v>
      </c>
      <c r="K5">
        <v>2.4300000000000002</v>
      </c>
      <c r="L5">
        <v>12</v>
      </c>
      <c r="M5">
        <v>4237.22</v>
      </c>
      <c r="N5">
        <v>4.9000000000000004</v>
      </c>
      <c r="O5" t="s">
        <v>5050</v>
      </c>
    </row>
    <row r="6" spans="1:15" x14ac:dyDescent="0.3">
      <c r="A6" t="s">
        <v>25</v>
      </c>
      <c r="B6" t="s">
        <v>10</v>
      </c>
      <c r="C6" t="s">
        <v>5022</v>
      </c>
      <c r="D6" t="s">
        <v>14</v>
      </c>
      <c r="E6">
        <v>27</v>
      </c>
      <c r="F6" t="s">
        <v>5057</v>
      </c>
      <c r="G6" s="1">
        <v>44284</v>
      </c>
      <c r="H6">
        <v>2021</v>
      </c>
      <c r="I6" t="s">
        <v>5035</v>
      </c>
      <c r="J6">
        <v>29</v>
      </c>
      <c r="K6">
        <v>2.68</v>
      </c>
      <c r="L6">
        <v>3</v>
      </c>
      <c r="M6">
        <v>7679.81</v>
      </c>
      <c r="N6">
        <v>4.5999999999999996</v>
      </c>
      <c r="O6" t="s">
        <v>5050</v>
      </c>
    </row>
    <row r="7" spans="1:15" x14ac:dyDescent="0.3">
      <c r="A7" t="s">
        <v>30</v>
      </c>
      <c r="B7" t="s">
        <v>10</v>
      </c>
      <c r="C7" t="s">
        <v>5022</v>
      </c>
      <c r="D7" t="s">
        <v>14</v>
      </c>
      <c r="E7">
        <v>42</v>
      </c>
      <c r="F7" t="s">
        <v>5055</v>
      </c>
      <c r="G7" s="1">
        <v>45111</v>
      </c>
      <c r="H7">
        <v>2023</v>
      </c>
      <c r="I7" t="s">
        <v>5034</v>
      </c>
      <c r="J7">
        <v>4</v>
      </c>
      <c r="K7">
        <v>2.94</v>
      </c>
      <c r="L7">
        <v>3</v>
      </c>
      <c r="M7">
        <v>9556.83</v>
      </c>
      <c r="N7">
        <v>2.2999999999999998</v>
      </c>
      <c r="O7" t="s">
        <v>5050</v>
      </c>
    </row>
    <row r="8" spans="1:15" x14ac:dyDescent="0.3">
      <c r="A8" t="s">
        <v>26</v>
      </c>
      <c r="B8" t="s">
        <v>18</v>
      </c>
      <c r="C8" t="s">
        <v>5021</v>
      </c>
      <c r="D8" t="s">
        <v>11</v>
      </c>
      <c r="E8">
        <v>40</v>
      </c>
      <c r="F8" t="s">
        <v>5055</v>
      </c>
      <c r="G8" s="1">
        <v>44700</v>
      </c>
      <c r="H8">
        <v>2022</v>
      </c>
      <c r="I8" t="s">
        <v>5036</v>
      </c>
      <c r="J8">
        <v>19</v>
      </c>
      <c r="K8">
        <v>4.26</v>
      </c>
      <c r="L8">
        <v>7</v>
      </c>
      <c r="M8">
        <v>12468.25</v>
      </c>
      <c r="N8">
        <v>3.5</v>
      </c>
      <c r="O8" t="s">
        <v>5050</v>
      </c>
    </row>
    <row r="9" spans="1:15" x14ac:dyDescent="0.3">
      <c r="A9" t="s">
        <v>43</v>
      </c>
      <c r="B9" t="s">
        <v>18</v>
      </c>
      <c r="C9" t="s">
        <v>5021</v>
      </c>
      <c r="D9" t="s">
        <v>11</v>
      </c>
      <c r="E9">
        <v>44</v>
      </c>
      <c r="F9" t="s">
        <v>5055</v>
      </c>
      <c r="G9" s="1">
        <v>45100</v>
      </c>
      <c r="H9">
        <v>2023</v>
      </c>
      <c r="I9" t="s">
        <v>5032</v>
      </c>
      <c r="J9">
        <v>23</v>
      </c>
      <c r="K9">
        <v>3.75</v>
      </c>
      <c r="L9">
        <v>9</v>
      </c>
      <c r="M9">
        <v>4124.55</v>
      </c>
      <c r="N9">
        <v>2.4</v>
      </c>
      <c r="O9" t="s">
        <v>5050</v>
      </c>
    </row>
    <row r="10" spans="1:15" x14ac:dyDescent="0.3">
      <c r="A10" t="s">
        <v>44</v>
      </c>
      <c r="B10" t="s">
        <v>18</v>
      </c>
      <c r="C10" t="s">
        <v>5021</v>
      </c>
      <c r="D10" t="s">
        <v>11</v>
      </c>
      <c r="E10">
        <v>55</v>
      </c>
      <c r="F10" t="s">
        <v>5056</v>
      </c>
      <c r="G10" s="1">
        <v>45038</v>
      </c>
      <c r="H10">
        <v>2023</v>
      </c>
      <c r="I10" t="s">
        <v>5040</v>
      </c>
      <c r="J10">
        <v>22</v>
      </c>
      <c r="K10">
        <v>3.06</v>
      </c>
      <c r="L10">
        <v>0</v>
      </c>
      <c r="M10">
        <v>9508.4699999999993</v>
      </c>
      <c r="N10">
        <v>2.5</v>
      </c>
      <c r="O10" t="s">
        <v>5050</v>
      </c>
    </row>
    <row r="11" spans="1:15" x14ac:dyDescent="0.3">
      <c r="A11" t="s">
        <v>47</v>
      </c>
      <c r="B11" t="s">
        <v>13</v>
      </c>
      <c r="C11" t="s">
        <v>5017</v>
      </c>
      <c r="D11" t="s">
        <v>14</v>
      </c>
      <c r="E11">
        <v>53</v>
      </c>
      <c r="F11" t="s">
        <v>5056</v>
      </c>
      <c r="G11" s="1">
        <v>44815</v>
      </c>
      <c r="H11">
        <v>2022</v>
      </c>
      <c r="I11" t="s">
        <v>5033</v>
      </c>
      <c r="J11">
        <v>11</v>
      </c>
      <c r="K11">
        <v>1.89</v>
      </c>
      <c r="L11">
        <v>11</v>
      </c>
      <c r="M11">
        <v>5288.77</v>
      </c>
      <c r="N11">
        <v>3.1</v>
      </c>
      <c r="O11" t="s">
        <v>5050</v>
      </c>
    </row>
    <row r="12" spans="1:15" x14ac:dyDescent="0.3">
      <c r="A12" t="s">
        <v>50</v>
      </c>
      <c r="B12" t="s">
        <v>13</v>
      </c>
      <c r="C12" t="s">
        <v>5017</v>
      </c>
      <c r="D12" t="s">
        <v>14</v>
      </c>
      <c r="E12">
        <v>32</v>
      </c>
      <c r="F12" t="s">
        <v>5055</v>
      </c>
      <c r="G12" s="1">
        <v>44557</v>
      </c>
      <c r="H12">
        <v>2021</v>
      </c>
      <c r="I12" t="s">
        <v>5041</v>
      </c>
      <c r="J12">
        <v>27</v>
      </c>
      <c r="K12">
        <v>1.73</v>
      </c>
      <c r="L12">
        <v>7</v>
      </c>
      <c r="M12">
        <v>9091.7900000000009</v>
      </c>
      <c r="N12">
        <v>3.8</v>
      </c>
      <c r="O12" t="s">
        <v>5050</v>
      </c>
    </row>
    <row r="13" spans="1:15" x14ac:dyDescent="0.3">
      <c r="A13" t="s">
        <v>54</v>
      </c>
      <c r="B13" t="s">
        <v>24</v>
      </c>
      <c r="C13" t="s">
        <v>5019</v>
      </c>
      <c r="D13" t="s">
        <v>14</v>
      </c>
      <c r="E13">
        <v>34</v>
      </c>
      <c r="F13" t="s">
        <v>5055</v>
      </c>
      <c r="G13" s="1">
        <v>45326</v>
      </c>
      <c r="H13">
        <v>2024</v>
      </c>
      <c r="I13" t="s">
        <v>5042</v>
      </c>
      <c r="J13">
        <v>4</v>
      </c>
      <c r="K13">
        <v>4.1399999999999997</v>
      </c>
      <c r="L13">
        <v>14</v>
      </c>
      <c r="M13">
        <v>12913.35</v>
      </c>
      <c r="N13">
        <v>1.7</v>
      </c>
      <c r="O13" t="s">
        <v>5050</v>
      </c>
    </row>
    <row r="14" spans="1:15" x14ac:dyDescent="0.3">
      <c r="A14" t="s">
        <v>60</v>
      </c>
      <c r="B14" t="s">
        <v>16</v>
      </c>
      <c r="C14" t="s">
        <v>5018</v>
      </c>
      <c r="D14" t="s">
        <v>11</v>
      </c>
      <c r="E14">
        <v>24</v>
      </c>
      <c r="F14" t="s">
        <v>5057</v>
      </c>
      <c r="G14" s="1">
        <v>45446</v>
      </c>
      <c r="H14">
        <v>2024</v>
      </c>
      <c r="I14" t="s">
        <v>5032</v>
      </c>
      <c r="J14">
        <v>3</v>
      </c>
      <c r="K14">
        <v>2.4700000000000002</v>
      </c>
      <c r="L14">
        <v>2</v>
      </c>
      <c r="M14">
        <v>3891.54</v>
      </c>
      <c r="N14">
        <v>1.4</v>
      </c>
      <c r="O14" t="s">
        <v>5050</v>
      </c>
    </row>
    <row r="15" spans="1:15" x14ac:dyDescent="0.3">
      <c r="A15" t="s">
        <v>62</v>
      </c>
      <c r="B15" t="s">
        <v>34</v>
      </c>
      <c r="C15" t="s">
        <v>5020</v>
      </c>
      <c r="D15" t="s">
        <v>11</v>
      </c>
      <c r="E15">
        <v>45</v>
      </c>
      <c r="F15" t="s">
        <v>5055</v>
      </c>
      <c r="G15" s="1">
        <v>43867</v>
      </c>
      <c r="H15">
        <v>2020</v>
      </c>
      <c r="I15" t="s">
        <v>5042</v>
      </c>
      <c r="J15">
        <v>6</v>
      </c>
      <c r="K15">
        <v>4.82</v>
      </c>
      <c r="L15">
        <v>11</v>
      </c>
      <c r="M15">
        <v>3194.13</v>
      </c>
      <c r="N15">
        <v>5.7</v>
      </c>
      <c r="O15" t="s">
        <v>5049</v>
      </c>
    </row>
    <row r="16" spans="1:15" x14ac:dyDescent="0.3">
      <c r="A16" t="s">
        <v>65</v>
      </c>
      <c r="B16" t="s">
        <v>16</v>
      </c>
      <c r="C16" t="s">
        <v>5018</v>
      </c>
      <c r="D16" t="s">
        <v>14</v>
      </c>
      <c r="E16">
        <v>59</v>
      </c>
      <c r="F16" t="s">
        <v>5056</v>
      </c>
      <c r="G16" s="1">
        <v>44943</v>
      </c>
      <c r="H16">
        <v>2023</v>
      </c>
      <c r="I16" t="s">
        <v>5037</v>
      </c>
      <c r="J16">
        <v>17</v>
      </c>
      <c r="K16">
        <v>2.95</v>
      </c>
      <c r="L16">
        <v>7</v>
      </c>
      <c r="M16">
        <v>10187.15</v>
      </c>
      <c r="N16">
        <v>2.8</v>
      </c>
      <c r="O16" t="s">
        <v>5050</v>
      </c>
    </row>
    <row r="17" spans="1:15" x14ac:dyDescent="0.3">
      <c r="A17" t="s">
        <v>70</v>
      </c>
      <c r="B17" t="s">
        <v>18</v>
      </c>
      <c r="C17" t="s">
        <v>5021</v>
      </c>
      <c r="D17" t="s">
        <v>11</v>
      </c>
      <c r="E17">
        <v>49</v>
      </c>
      <c r="F17" t="s">
        <v>5055</v>
      </c>
      <c r="G17" s="1">
        <v>45485</v>
      </c>
      <c r="H17">
        <v>2024</v>
      </c>
      <c r="I17" t="s">
        <v>5034</v>
      </c>
      <c r="J17">
        <v>12</v>
      </c>
      <c r="K17">
        <v>1.78</v>
      </c>
      <c r="L17">
        <v>5</v>
      </c>
      <c r="M17">
        <v>14128.24</v>
      </c>
      <c r="N17">
        <v>1.3</v>
      </c>
      <c r="O17" t="s">
        <v>5050</v>
      </c>
    </row>
    <row r="18" spans="1:15" x14ac:dyDescent="0.3">
      <c r="A18" t="s">
        <v>74</v>
      </c>
      <c r="B18" t="s">
        <v>24</v>
      </c>
      <c r="C18" t="s">
        <v>5019</v>
      </c>
      <c r="D18" t="s">
        <v>11</v>
      </c>
      <c r="E18">
        <v>38</v>
      </c>
      <c r="F18" t="s">
        <v>5055</v>
      </c>
      <c r="G18" s="1">
        <v>43850</v>
      </c>
      <c r="H18">
        <v>2020</v>
      </c>
      <c r="I18" t="s">
        <v>5037</v>
      </c>
      <c r="J18">
        <v>20</v>
      </c>
      <c r="K18">
        <v>4.76</v>
      </c>
      <c r="L18">
        <v>3</v>
      </c>
      <c r="M18">
        <v>3651.84</v>
      </c>
      <c r="N18">
        <v>5.8</v>
      </c>
      <c r="O18" t="s">
        <v>5049</v>
      </c>
    </row>
    <row r="19" spans="1:15" x14ac:dyDescent="0.3">
      <c r="A19" t="s">
        <v>80</v>
      </c>
      <c r="B19" t="s">
        <v>34</v>
      </c>
      <c r="C19" t="s">
        <v>5020</v>
      </c>
      <c r="D19" t="s">
        <v>11</v>
      </c>
      <c r="E19">
        <v>53</v>
      </c>
      <c r="F19" t="s">
        <v>5056</v>
      </c>
      <c r="G19" s="1">
        <v>45413</v>
      </c>
      <c r="H19">
        <v>2024</v>
      </c>
      <c r="I19" t="s">
        <v>5036</v>
      </c>
      <c r="J19">
        <v>1</v>
      </c>
      <c r="K19">
        <v>2.95</v>
      </c>
      <c r="L19">
        <v>12</v>
      </c>
      <c r="M19">
        <v>7609.68</v>
      </c>
      <c r="N19">
        <v>1.5</v>
      </c>
      <c r="O19" t="s">
        <v>5050</v>
      </c>
    </row>
    <row r="20" spans="1:15" x14ac:dyDescent="0.3">
      <c r="A20" t="s">
        <v>82</v>
      </c>
      <c r="B20" t="s">
        <v>10</v>
      </c>
      <c r="C20" t="s">
        <v>5022</v>
      </c>
      <c r="D20" t="s">
        <v>14</v>
      </c>
      <c r="E20">
        <v>38</v>
      </c>
      <c r="F20" t="s">
        <v>5055</v>
      </c>
      <c r="G20" s="1">
        <v>45602</v>
      </c>
      <c r="H20">
        <v>2024</v>
      </c>
      <c r="I20" t="s">
        <v>5038</v>
      </c>
      <c r="J20">
        <v>6</v>
      </c>
      <c r="K20">
        <v>4.24</v>
      </c>
      <c r="L20">
        <v>5</v>
      </c>
      <c r="M20">
        <v>10789.2</v>
      </c>
      <c r="N20">
        <v>1</v>
      </c>
      <c r="O20" t="s">
        <v>5051</v>
      </c>
    </row>
    <row r="21" spans="1:15" x14ac:dyDescent="0.3">
      <c r="A21" t="s">
        <v>83</v>
      </c>
      <c r="B21" t="s">
        <v>13</v>
      </c>
      <c r="C21" t="s">
        <v>5017</v>
      </c>
      <c r="D21" t="s">
        <v>11</v>
      </c>
      <c r="E21">
        <v>27</v>
      </c>
      <c r="F21" t="s">
        <v>5057</v>
      </c>
      <c r="G21" s="1">
        <v>45310</v>
      </c>
      <c r="H21">
        <v>2024</v>
      </c>
      <c r="I21" t="s">
        <v>5037</v>
      </c>
      <c r="J21">
        <v>19</v>
      </c>
      <c r="K21">
        <v>3.05</v>
      </c>
      <c r="L21">
        <v>7</v>
      </c>
      <c r="M21">
        <v>13323.12</v>
      </c>
      <c r="N21">
        <v>1.8</v>
      </c>
      <c r="O21" t="s">
        <v>5050</v>
      </c>
    </row>
    <row r="22" spans="1:15" x14ac:dyDescent="0.3">
      <c r="A22" t="s">
        <v>84</v>
      </c>
      <c r="B22" t="s">
        <v>13</v>
      </c>
      <c r="C22" t="s">
        <v>5017</v>
      </c>
      <c r="D22" t="s">
        <v>11</v>
      </c>
      <c r="E22">
        <v>49</v>
      </c>
      <c r="F22" t="s">
        <v>5055</v>
      </c>
      <c r="G22" s="1">
        <v>44489</v>
      </c>
      <c r="H22">
        <v>2021</v>
      </c>
      <c r="I22" t="s">
        <v>5039</v>
      </c>
      <c r="J22">
        <v>20</v>
      </c>
      <c r="K22">
        <v>2.2200000000000002</v>
      </c>
      <c r="L22">
        <v>9</v>
      </c>
      <c r="M22">
        <v>6112.66</v>
      </c>
      <c r="N22">
        <v>4</v>
      </c>
      <c r="O22" t="s">
        <v>5050</v>
      </c>
    </row>
    <row r="23" spans="1:15" x14ac:dyDescent="0.3">
      <c r="A23" t="s">
        <v>85</v>
      </c>
      <c r="B23" t="s">
        <v>10</v>
      </c>
      <c r="C23" t="s">
        <v>5022</v>
      </c>
      <c r="D23" t="s">
        <v>14</v>
      </c>
      <c r="E23">
        <v>36</v>
      </c>
      <c r="F23" t="s">
        <v>5055</v>
      </c>
      <c r="G23" s="1">
        <v>45338</v>
      </c>
      <c r="H23">
        <v>2024</v>
      </c>
      <c r="I23" t="s">
        <v>5042</v>
      </c>
      <c r="J23">
        <v>16</v>
      </c>
      <c r="K23">
        <v>3.24</v>
      </c>
      <c r="L23">
        <v>2</v>
      </c>
      <c r="M23">
        <v>3328.06</v>
      </c>
      <c r="N23">
        <v>1.7</v>
      </c>
      <c r="O23" t="s">
        <v>5050</v>
      </c>
    </row>
    <row r="24" spans="1:15" x14ac:dyDescent="0.3">
      <c r="A24" t="s">
        <v>89</v>
      </c>
      <c r="B24" t="s">
        <v>18</v>
      </c>
      <c r="C24" t="s">
        <v>5021</v>
      </c>
      <c r="D24" t="s">
        <v>14</v>
      </c>
      <c r="E24">
        <v>22</v>
      </c>
      <c r="F24" t="s">
        <v>5057</v>
      </c>
      <c r="G24" s="1">
        <v>45750</v>
      </c>
      <c r="H24">
        <v>2025</v>
      </c>
      <c r="I24" t="s">
        <v>5040</v>
      </c>
      <c r="J24">
        <v>3</v>
      </c>
      <c r="K24">
        <v>1.95</v>
      </c>
      <c r="L24">
        <v>5</v>
      </c>
      <c r="M24">
        <v>12414.29</v>
      </c>
      <c r="N24">
        <v>0.6</v>
      </c>
      <c r="O24" t="s">
        <v>5051</v>
      </c>
    </row>
    <row r="25" spans="1:15" x14ac:dyDescent="0.3">
      <c r="A25" t="s">
        <v>98</v>
      </c>
      <c r="B25" t="s">
        <v>18</v>
      </c>
      <c r="C25" t="s">
        <v>5021</v>
      </c>
      <c r="D25" t="s">
        <v>14</v>
      </c>
      <c r="E25">
        <v>58</v>
      </c>
      <c r="F25" t="s">
        <v>5056</v>
      </c>
      <c r="G25" s="1">
        <v>44197</v>
      </c>
      <c r="H25">
        <v>2021</v>
      </c>
      <c r="I25" t="s">
        <v>5037</v>
      </c>
      <c r="J25">
        <v>1</v>
      </c>
      <c r="K25">
        <v>3.41</v>
      </c>
      <c r="L25">
        <v>9</v>
      </c>
      <c r="M25">
        <v>6506.59</v>
      </c>
      <c r="N25">
        <v>4.8</v>
      </c>
      <c r="O25" t="s">
        <v>5050</v>
      </c>
    </row>
    <row r="26" spans="1:15" x14ac:dyDescent="0.3">
      <c r="A26" t="s">
        <v>99</v>
      </c>
      <c r="B26" t="s">
        <v>13</v>
      </c>
      <c r="C26" t="s">
        <v>5017</v>
      </c>
      <c r="D26" t="s">
        <v>14</v>
      </c>
      <c r="E26">
        <v>39</v>
      </c>
      <c r="F26" t="s">
        <v>5055</v>
      </c>
      <c r="G26" s="1">
        <v>44588</v>
      </c>
      <c r="H26">
        <v>2022</v>
      </c>
      <c r="I26" t="s">
        <v>5037</v>
      </c>
      <c r="J26">
        <v>27</v>
      </c>
      <c r="K26">
        <v>3.12</v>
      </c>
      <c r="L26">
        <v>11</v>
      </c>
      <c r="M26">
        <v>4465.97</v>
      </c>
      <c r="N26">
        <v>3.8</v>
      </c>
      <c r="O26" t="s">
        <v>5050</v>
      </c>
    </row>
    <row r="27" spans="1:15" x14ac:dyDescent="0.3">
      <c r="A27" t="s">
        <v>101</v>
      </c>
      <c r="B27" t="s">
        <v>34</v>
      </c>
      <c r="C27" t="s">
        <v>5020</v>
      </c>
      <c r="D27" t="s">
        <v>14</v>
      </c>
      <c r="E27">
        <v>52</v>
      </c>
      <c r="F27" t="s">
        <v>5056</v>
      </c>
      <c r="G27" s="1">
        <v>44465</v>
      </c>
      <c r="H27">
        <v>2021</v>
      </c>
      <c r="I27" t="s">
        <v>5033</v>
      </c>
      <c r="J27">
        <v>26</v>
      </c>
      <c r="K27">
        <v>4.7300000000000004</v>
      </c>
      <c r="L27">
        <v>0</v>
      </c>
      <c r="M27">
        <v>12119.39</v>
      </c>
      <c r="N27">
        <v>4.0999999999999996</v>
      </c>
      <c r="O27" t="s">
        <v>5050</v>
      </c>
    </row>
    <row r="28" spans="1:15" x14ac:dyDescent="0.3">
      <c r="A28" t="s">
        <v>104</v>
      </c>
      <c r="B28" t="s">
        <v>24</v>
      </c>
      <c r="C28" t="s">
        <v>5019</v>
      </c>
      <c r="D28" t="s">
        <v>11</v>
      </c>
      <c r="E28">
        <v>50</v>
      </c>
      <c r="F28" t="s">
        <v>5055</v>
      </c>
      <c r="G28" s="1">
        <v>45927</v>
      </c>
      <c r="H28">
        <v>2025</v>
      </c>
      <c r="I28" t="s">
        <v>5033</v>
      </c>
      <c r="J28">
        <v>27</v>
      </c>
      <c r="K28">
        <v>2.63</v>
      </c>
      <c r="L28">
        <v>5</v>
      </c>
      <c r="M28">
        <v>5626.69</v>
      </c>
      <c r="N28">
        <v>0.1</v>
      </c>
      <c r="O28" t="s">
        <v>5051</v>
      </c>
    </row>
    <row r="29" spans="1:15" x14ac:dyDescent="0.3">
      <c r="A29" t="s">
        <v>105</v>
      </c>
      <c r="B29" t="s">
        <v>16</v>
      </c>
      <c r="C29" t="s">
        <v>5018</v>
      </c>
      <c r="D29" t="s">
        <v>11</v>
      </c>
      <c r="E29">
        <v>52</v>
      </c>
      <c r="F29" t="s">
        <v>5056</v>
      </c>
      <c r="G29" s="1">
        <v>44319</v>
      </c>
      <c r="H29">
        <v>2021</v>
      </c>
      <c r="I29" t="s">
        <v>5036</v>
      </c>
      <c r="J29">
        <v>3</v>
      </c>
      <c r="K29">
        <v>3.44</v>
      </c>
      <c r="L29">
        <v>8</v>
      </c>
      <c r="M29">
        <v>12346.44</v>
      </c>
      <c r="N29">
        <v>4.5</v>
      </c>
      <c r="O29" t="s">
        <v>5050</v>
      </c>
    </row>
    <row r="30" spans="1:15" x14ac:dyDescent="0.3">
      <c r="A30" t="s">
        <v>107</v>
      </c>
      <c r="B30" t="s">
        <v>18</v>
      </c>
      <c r="C30" t="s">
        <v>5021</v>
      </c>
      <c r="D30" t="s">
        <v>11</v>
      </c>
      <c r="E30">
        <v>53</v>
      </c>
      <c r="F30" t="s">
        <v>5056</v>
      </c>
      <c r="G30" s="1">
        <v>45212</v>
      </c>
      <c r="H30">
        <v>2023</v>
      </c>
      <c r="I30" t="s">
        <v>5039</v>
      </c>
      <c r="J30">
        <v>13</v>
      </c>
      <c r="K30">
        <v>2.1</v>
      </c>
      <c r="L30">
        <v>1</v>
      </c>
      <c r="M30">
        <v>6691.86</v>
      </c>
      <c r="N30">
        <v>2.1</v>
      </c>
      <c r="O30" t="s">
        <v>5050</v>
      </c>
    </row>
    <row r="31" spans="1:15" x14ac:dyDescent="0.3">
      <c r="A31" t="s">
        <v>108</v>
      </c>
      <c r="B31" t="s">
        <v>18</v>
      </c>
      <c r="C31" t="s">
        <v>5021</v>
      </c>
      <c r="D31" t="s">
        <v>14</v>
      </c>
      <c r="E31">
        <v>35</v>
      </c>
      <c r="F31" t="s">
        <v>5055</v>
      </c>
      <c r="G31" s="1">
        <v>45887</v>
      </c>
      <c r="H31">
        <v>2025</v>
      </c>
      <c r="I31" t="s">
        <v>5031</v>
      </c>
      <c r="J31">
        <v>18</v>
      </c>
      <c r="K31">
        <v>3.91</v>
      </c>
      <c r="L31">
        <v>7</v>
      </c>
      <c r="M31">
        <v>4748.5</v>
      </c>
      <c r="N31">
        <v>0.2</v>
      </c>
      <c r="O31" t="s">
        <v>5051</v>
      </c>
    </row>
    <row r="32" spans="1:15" x14ac:dyDescent="0.3">
      <c r="A32" t="s">
        <v>111</v>
      </c>
      <c r="B32" t="s">
        <v>10</v>
      </c>
      <c r="C32" t="s">
        <v>5022</v>
      </c>
      <c r="D32" t="s">
        <v>11</v>
      </c>
      <c r="E32">
        <v>23</v>
      </c>
      <c r="F32" t="s">
        <v>5057</v>
      </c>
      <c r="G32" s="1">
        <v>45067</v>
      </c>
      <c r="H32">
        <v>2023</v>
      </c>
      <c r="I32" t="s">
        <v>5036</v>
      </c>
      <c r="J32">
        <v>21</v>
      </c>
      <c r="K32">
        <v>4.6100000000000003</v>
      </c>
      <c r="L32">
        <v>11</v>
      </c>
      <c r="M32">
        <v>6759.8</v>
      </c>
      <c r="N32">
        <v>2.5</v>
      </c>
      <c r="O32" t="s">
        <v>5050</v>
      </c>
    </row>
    <row r="33" spans="1:15" x14ac:dyDescent="0.3">
      <c r="A33" t="s">
        <v>112</v>
      </c>
      <c r="B33" t="s">
        <v>10</v>
      </c>
      <c r="C33" t="s">
        <v>5022</v>
      </c>
      <c r="D33" t="s">
        <v>11</v>
      </c>
      <c r="E33">
        <v>52</v>
      </c>
      <c r="F33" t="s">
        <v>5056</v>
      </c>
      <c r="G33" s="1">
        <v>43961</v>
      </c>
      <c r="H33">
        <v>2020</v>
      </c>
      <c r="I33" t="s">
        <v>5036</v>
      </c>
      <c r="J33">
        <v>10</v>
      </c>
      <c r="K33">
        <v>2.08</v>
      </c>
      <c r="L33">
        <v>3</v>
      </c>
      <c r="M33">
        <v>9404.36</v>
      </c>
      <c r="N33">
        <v>5.5</v>
      </c>
      <c r="O33" t="s">
        <v>5049</v>
      </c>
    </row>
    <row r="34" spans="1:15" x14ac:dyDescent="0.3">
      <c r="A34" t="s">
        <v>113</v>
      </c>
      <c r="B34" t="s">
        <v>13</v>
      </c>
      <c r="C34" t="s">
        <v>5017</v>
      </c>
      <c r="D34" t="s">
        <v>11</v>
      </c>
      <c r="E34">
        <v>45</v>
      </c>
      <c r="F34" t="s">
        <v>5055</v>
      </c>
      <c r="G34" s="1">
        <v>44283</v>
      </c>
      <c r="H34">
        <v>2021</v>
      </c>
      <c r="I34" t="s">
        <v>5035</v>
      </c>
      <c r="J34">
        <v>28</v>
      </c>
      <c r="K34">
        <v>2.67</v>
      </c>
      <c r="L34">
        <v>9</v>
      </c>
      <c r="M34">
        <v>5624.49</v>
      </c>
      <c r="N34">
        <v>4.5999999999999996</v>
      </c>
      <c r="O34" t="s">
        <v>5050</v>
      </c>
    </row>
    <row r="35" spans="1:15" x14ac:dyDescent="0.3">
      <c r="A35" t="s">
        <v>114</v>
      </c>
      <c r="B35" t="s">
        <v>16</v>
      </c>
      <c r="C35" t="s">
        <v>5018</v>
      </c>
      <c r="D35" t="s">
        <v>11</v>
      </c>
      <c r="E35">
        <v>48</v>
      </c>
      <c r="F35" t="s">
        <v>5055</v>
      </c>
      <c r="G35" s="1">
        <v>44622</v>
      </c>
      <c r="H35">
        <v>2022</v>
      </c>
      <c r="I35" t="s">
        <v>5035</v>
      </c>
      <c r="J35">
        <v>2</v>
      </c>
      <c r="K35">
        <v>3.94</v>
      </c>
      <c r="L35">
        <v>15</v>
      </c>
      <c r="M35">
        <v>9839.67</v>
      </c>
      <c r="N35">
        <v>3.7</v>
      </c>
      <c r="O35" t="s">
        <v>5050</v>
      </c>
    </row>
    <row r="36" spans="1:15" x14ac:dyDescent="0.3">
      <c r="A36" t="s">
        <v>115</v>
      </c>
      <c r="B36" t="s">
        <v>34</v>
      </c>
      <c r="C36" t="s">
        <v>5020</v>
      </c>
      <c r="D36" t="s">
        <v>14</v>
      </c>
      <c r="E36">
        <v>54</v>
      </c>
      <c r="F36" t="s">
        <v>5056</v>
      </c>
      <c r="G36" s="1">
        <v>44066</v>
      </c>
      <c r="H36">
        <v>2020</v>
      </c>
      <c r="I36" t="s">
        <v>5031</v>
      </c>
      <c r="J36">
        <v>23</v>
      </c>
      <c r="K36">
        <v>4.33</v>
      </c>
      <c r="L36">
        <v>9</v>
      </c>
      <c r="M36">
        <v>9504.15</v>
      </c>
      <c r="N36">
        <v>5.2</v>
      </c>
      <c r="O36" t="s">
        <v>5049</v>
      </c>
    </row>
    <row r="37" spans="1:15" x14ac:dyDescent="0.3">
      <c r="A37" t="s">
        <v>118</v>
      </c>
      <c r="B37" t="s">
        <v>10</v>
      </c>
      <c r="C37" t="s">
        <v>5022</v>
      </c>
      <c r="D37" t="s">
        <v>11</v>
      </c>
      <c r="E37">
        <v>57</v>
      </c>
      <c r="F37" t="s">
        <v>5056</v>
      </c>
      <c r="G37" s="1">
        <v>45942</v>
      </c>
      <c r="H37">
        <v>2025</v>
      </c>
      <c r="I37" t="s">
        <v>5039</v>
      </c>
      <c r="J37">
        <v>12</v>
      </c>
      <c r="K37">
        <v>3.62</v>
      </c>
      <c r="L37">
        <v>2</v>
      </c>
      <c r="M37">
        <v>5361.07</v>
      </c>
      <c r="N37">
        <v>0.1</v>
      </c>
      <c r="O37" t="s">
        <v>5051</v>
      </c>
    </row>
    <row r="38" spans="1:15" x14ac:dyDescent="0.3">
      <c r="A38" t="s">
        <v>124</v>
      </c>
      <c r="B38" t="s">
        <v>13</v>
      </c>
      <c r="C38" t="s">
        <v>5017</v>
      </c>
      <c r="D38" t="s">
        <v>14</v>
      </c>
      <c r="E38">
        <v>32</v>
      </c>
      <c r="F38" t="s">
        <v>5055</v>
      </c>
      <c r="G38" s="1">
        <v>43869</v>
      </c>
      <c r="H38">
        <v>2020</v>
      </c>
      <c r="I38" t="s">
        <v>5042</v>
      </c>
      <c r="J38">
        <v>8</v>
      </c>
      <c r="K38">
        <v>3.41</v>
      </c>
      <c r="L38">
        <v>14</v>
      </c>
      <c r="M38">
        <v>4969.1099999999997</v>
      </c>
      <c r="N38">
        <v>5.7</v>
      </c>
      <c r="O38" t="s">
        <v>5049</v>
      </c>
    </row>
    <row r="39" spans="1:15" x14ac:dyDescent="0.3">
      <c r="A39" t="s">
        <v>125</v>
      </c>
      <c r="B39" t="s">
        <v>10</v>
      </c>
      <c r="C39" t="s">
        <v>5022</v>
      </c>
      <c r="D39" t="s">
        <v>14</v>
      </c>
      <c r="E39">
        <v>54</v>
      </c>
      <c r="F39" t="s">
        <v>5056</v>
      </c>
      <c r="G39" s="1">
        <v>45540</v>
      </c>
      <c r="H39">
        <v>2024</v>
      </c>
      <c r="I39" t="s">
        <v>5033</v>
      </c>
      <c r="J39">
        <v>5</v>
      </c>
      <c r="K39">
        <v>4.91</v>
      </c>
      <c r="L39">
        <v>5</v>
      </c>
      <c r="M39">
        <v>11529.9</v>
      </c>
      <c r="N39">
        <v>1.2</v>
      </c>
      <c r="O39" t="s">
        <v>5050</v>
      </c>
    </row>
    <row r="40" spans="1:15" x14ac:dyDescent="0.3">
      <c r="A40" t="s">
        <v>128</v>
      </c>
      <c r="B40" t="s">
        <v>34</v>
      </c>
      <c r="C40" t="s">
        <v>5020</v>
      </c>
      <c r="D40" t="s">
        <v>14</v>
      </c>
      <c r="E40">
        <v>25</v>
      </c>
      <c r="F40" t="s">
        <v>5057</v>
      </c>
      <c r="G40" s="1">
        <v>45948</v>
      </c>
      <c r="H40">
        <v>2025</v>
      </c>
      <c r="I40" t="s">
        <v>5039</v>
      </c>
      <c r="J40">
        <v>18</v>
      </c>
      <c r="K40">
        <v>2.59</v>
      </c>
      <c r="L40">
        <v>0</v>
      </c>
      <c r="M40">
        <v>4809.07</v>
      </c>
      <c r="N40">
        <v>0</v>
      </c>
      <c r="O40" t="s">
        <v>5051</v>
      </c>
    </row>
    <row r="41" spans="1:15" x14ac:dyDescent="0.3">
      <c r="A41" t="s">
        <v>129</v>
      </c>
      <c r="B41" t="s">
        <v>34</v>
      </c>
      <c r="C41" t="s">
        <v>5020</v>
      </c>
      <c r="D41" t="s">
        <v>11</v>
      </c>
      <c r="E41">
        <v>39</v>
      </c>
      <c r="F41" t="s">
        <v>5055</v>
      </c>
      <c r="G41" s="1">
        <v>43938</v>
      </c>
      <c r="H41">
        <v>2020</v>
      </c>
      <c r="I41" t="s">
        <v>5040</v>
      </c>
      <c r="J41">
        <v>17</v>
      </c>
      <c r="K41">
        <v>2.13</v>
      </c>
      <c r="L41">
        <v>6</v>
      </c>
      <c r="M41">
        <v>10125.98</v>
      </c>
      <c r="N41">
        <v>5.5</v>
      </c>
      <c r="O41" t="s">
        <v>5049</v>
      </c>
    </row>
    <row r="42" spans="1:15" x14ac:dyDescent="0.3">
      <c r="A42" t="s">
        <v>130</v>
      </c>
      <c r="B42" t="s">
        <v>16</v>
      </c>
      <c r="C42" t="s">
        <v>5018</v>
      </c>
      <c r="D42" t="s">
        <v>14</v>
      </c>
      <c r="E42">
        <v>47</v>
      </c>
      <c r="F42" t="s">
        <v>5055</v>
      </c>
      <c r="G42" s="1">
        <v>44485</v>
      </c>
      <c r="H42">
        <v>2021</v>
      </c>
      <c r="I42" t="s">
        <v>5039</v>
      </c>
      <c r="J42">
        <v>16</v>
      </c>
      <c r="K42">
        <v>3.11</v>
      </c>
      <c r="L42">
        <v>3</v>
      </c>
      <c r="M42">
        <v>8901.1200000000008</v>
      </c>
      <c r="N42">
        <v>4</v>
      </c>
      <c r="O42" t="s">
        <v>5050</v>
      </c>
    </row>
    <row r="43" spans="1:15" x14ac:dyDescent="0.3">
      <c r="A43" t="s">
        <v>132</v>
      </c>
      <c r="B43" t="s">
        <v>34</v>
      </c>
      <c r="C43" t="s">
        <v>5020</v>
      </c>
      <c r="D43" t="s">
        <v>11</v>
      </c>
      <c r="E43">
        <v>57</v>
      </c>
      <c r="F43" t="s">
        <v>5056</v>
      </c>
      <c r="G43" s="1">
        <v>44868</v>
      </c>
      <c r="H43">
        <v>2022</v>
      </c>
      <c r="I43" t="s">
        <v>5038</v>
      </c>
      <c r="J43">
        <v>3</v>
      </c>
      <c r="K43">
        <v>4.1500000000000004</v>
      </c>
      <c r="L43">
        <v>13</v>
      </c>
      <c r="M43">
        <v>6468.29</v>
      </c>
      <c r="N43">
        <v>3</v>
      </c>
      <c r="O43" t="s">
        <v>5050</v>
      </c>
    </row>
    <row r="44" spans="1:15" x14ac:dyDescent="0.3">
      <c r="A44" t="s">
        <v>133</v>
      </c>
      <c r="B44" t="s">
        <v>16</v>
      </c>
      <c r="C44" t="s">
        <v>5018</v>
      </c>
      <c r="D44" t="s">
        <v>11</v>
      </c>
      <c r="E44">
        <v>36</v>
      </c>
      <c r="F44" t="s">
        <v>5055</v>
      </c>
      <c r="G44" s="1">
        <v>45737</v>
      </c>
      <c r="H44">
        <v>2025</v>
      </c>
      <c r="I44" t="s">
        <v>5035</v>
      </c>
      <c r="J44">
        <v>21</v>
      </c>
      <c r="K44">
        <v>4</v>
      </c>
      <c r="L44">
        <v>11</v>
      </c>
      <c r="M44">
        <v>4409.9799999999996</v>
      </c>
      <c r="N44">
        <v>0.6</v>
      </c>
      <c r="O44" t="s">
        <v>5051</v>
      </c>
    </row>
    <row r="45" spans="1:15" x14ac:dyDescent="0.3">
      <c r="A45" t="s">
        <v>135</v>
      </c>
      <c r="B45" t="s">
        <v>16</v>
      </c>
      <c r="C45" t="s">
        <v>5018</v>
      </c>
      <c r="D45" t="s">
        <v>14</v>
      </c>
      <c r="E45">
        <v>42</v>
      </c>
      <c r="F45" t="s">
        <v>5055</v>
      </c>
      <c r="G45" s="1">
        <v>45947</v>
      </c>
      <c r="H45">
        <v>2025</v>
      </c>
      <c r="I45" t="s">
        <v>5039</v>
      </c>
      <c r="J45">
        <v>17</v>
      </c>
      <c r="K45">
        <v>1.87</v>
      </c>
      <c r="L45">
        <v>3</v>
      </c>
      <c r="M45">
        <v>5805.84</v>
      </c>
      <c r="N45">
        <v>0</v>
      </c>
      <c r="O45" t="s">
        <v>5051</v>
      </c>
    </row>
    <row r="46" spans="1:15" x14ac:dyDescent="0.3">
      <c r="A46" t="s">
        <v>137</v>
      </c>
      <c r="B46" t="s">
        <v>13</v>
      </c>
      <c r="C46" t="s">
        <v>5017</v>
      </c>
      <c r="D46" t="s">
        <v>11</v>
      </c>
      <c r="E46">
        <v>33</v>
      </c>
      <c r="F46" t="s">
        <v>5055</v>
      </c>
      <c r="G46" s="1">
        <v>44138</v>
      </c>
      <c r="H46">
        <v>2020</v>
      </c>
      <c r="I46" t="s">
        <v>5038</v>
      </c>
      <c r="J46">
        <v>3</v>
      </c>
      <c r="K46">
        <v>3.78</v>
      </c>
      <c r="L46">
        <v>6</v>
      </c>
      <c r="M46">
        <v>9014.23</v>
      </c>
      <c r="N46">
        <v>5</v>
      </c>
      <c r="O46" t="s">
        <v>5050</v>
      </c>
    </row>
    <row r="47" spans="1:15" x14ac:dyDescent="0.3">
      <c r="A47" t="s">
        <v>138</v>
      </c>
      <c r="B47" t="s">
        <v>10</v>
      </c>
      <c r="C47" t="s">
        <v>5022</v>
      </c>
      <c r="D47" t="s">
        <v>14</v>
      </c>
      <c r="E47">
        <v>30</v>
      </c>
      <c r="F47" t="s">
        <v>5057</v>
      </c>
      <c r="G47" s="1">
        <v>44838</v>
      </c>
      <c r="H47">
        <v>2022</v>
      </c>
      <c r="I47" t="s">
        <v>5039</v>
      </c>
      <c r="J47">
        <v>4</v>
      </c>
      <c r="K47">
        <v>3.81</v>
      </c>
      <c r="L47">
        <v>15</v>
      </c>
      <c r="M47">
        <v>4413.45</v>
      </c>
      <c r="N47">
        <v>3.1</v>
      </c>
      <c r="O47" t="s">
        <v>5050</v>
      </c>
    </row>
    <row r="48" spans="1:15" x14ac:dyDescent="0.3">
      <c r="A48" t="s">
        <v>139</v>
      </c>
      <c r="B48" t="s">
        <v>16</v>
      </c>
      <c r="C48" t="s">
        <v>5018</v>
      </c>
      <c r="D48" t="s">
        <v>14</v>
      </c>
      <c r="E48">
        <v>55</v>
      </c>
      <c r="F48" t="s">
        <v>5056</v>
      </c>
      <c r="G48" s="1">
        <v>44234</v>
      </c>
      <c r="H48">
        <v>2021</v>
      </c>
      <c r="I48" t="s">
        <v>5042</v>
      </c>
      <c r="J48">
        <v>7</v>
      </c>
      <c r="K48">
        <v>4.8099999999999996</v>
      </c>
      <c r="L48">
        <v>8</v>
      </c>
      <c r="M48">
        <v>4293.83</v>
      </c>
      <c r="N48">
        <v>4.7</v>
      </c>
      <c r="O48" t="s">
        <v>5050</v>
      </c>
    </row>
    <row r="49" spans="1:15" x14ac:dyDescent="0.3">
      <c r="A49" t="s">
        <v>141</v>
      </c>
      <c r="B49" t="s">
        <v>13</v>
      </c>
      <c r="C49" t="s">
        <v>5017</v>
      </c>
      <c r="D49" t="s">
        <v>14</v>
      </c>
      <c r="E49">
        <v>45</v>
      </c>
      <c r="F49" t="s">
        <v>5055</v>
      </c>
      <c r="G49" s="1">
        <v>44468</v>
      </c>
      <c r="H49">
        <v>2021</v>
      </c>
      <c r="I49" t="s">
        <v>5033</v>
      </c>
      <c r="J49">
        <v>29</v>
      </c>
      <c r="K49">
        <v>3.23</v>
      </c>
      <c r="L49">
        <v>5</v>
      </c>
      <c r="M49">
        <v>7433.39</v>
      </c>
      <c r="N49">
        <v>4.0999999999999996</v>
      </c>
      <c r="O49" t="s">
        <v>5050</v>
      </c>
    </row>
    <row r="50" spans="1:15" x14ac:dyDescent="0.3">
      <c r="A50" t="s">
        <v>144</v>
      </c>
      <c r="B50" t="s">
        <v>24</v>
      </c>
      <c r="C50" t="s">
        <v>5019</v>
      </c>
      <c r="D50" t="s">
        <v>11</v>
      </c>
      <c r="E50">
        <v>40</v>
      </c>
      <c r="F50" t="s">
        <v>5055</v>
      </c>
      <c r="G50" s="1">
        <v>45864</v>
      </c>
      <c r="H50">
        <v>2025</v>
      </c>
      <c r="I50" t="s">
        <v>5034</v>
      </c>
      <c r="J50">
        <v>26</v>
      </c>
      <c r="K50">
        <v>2.97</v>
      </c>
      <c r="L50">
        <v>11</v>
      </c>
      <c r="M50">
        <v>3223.63</v>
      </c>
      <c r="N50">
        <v>0.3</v>
      </c>
      <c r="O50" t="s">
        <v>5051</v>
      </c>
    </row>
    <row r="51" spans="1:15" x14ac:dyDescent="0.3">
      <c r="A51" t="s">
        <v>147</v>
      </c>
      <c r="B51" t="s">
        <v>34</v>
      </c>
      <c r="C51" t="s">
        <v>5020</v>
      </c>
      <c r="D51" t="s">
        <v>14</v>
      </c>
      <c r="E51">
        <v>22</v>
      </c>
      <c r="F51" t="s">
        <v>5057</v>
      </c>
      <c r="G51" s="1">
        <v>43934</v>
      </c>
      <c r="H51">
        <v>2020</v>
      </c>
      <c r="I51" t="s">
        <v>5040</v>
      </c>
      <c r="J51">
        <v>13</v>
      </c>
      <c r="K51">
        <v>4.5999999999999996</v>
      </c>
      <c r="L51">
        <v>13</v>
      </c>
      <c r="M51">
        <v>12899.11</v>
      </c>
      <c r="N51">
        <v>5.6</v>
      </c>
      <c r="O51" t="s">
        <v>5049</v>
      </c>
    </row>
    <row r="52" spans="1:15" x14ac:dyDescent="0.3">
      <c r="A52" t="s">
        <v>149</v>
      </c>
      <c r="B52" t="s">
        <v>16</v>
      </c>
      <c r="C52" t="s">
        <v>5018</v>
      </c>
      <c r="D52" t="s">
        <v>11</v>
      </c>
      <c r="E52">
        <v>57</v>
      </c>
      <c r="F52" t="s">
        <v>5056</v>
      </c>
      <c r="G52" s="1">
        <v>44690</v>
      </c>
      <c r="H52">
        <v>2022</v>
      </c>
      <c r="I52" t="s">
        <v>5036</v>
      </c>
      <c r="J52">
        <v>9</v>
      </c>
      <c r="K52">
        <v>4.6399999999999997</v>
      </c>
      <c r="L52">
        <v>10</v>
      </c>
      <c r="M52">
        <v>7365.99</v>
      </c>
      <c r="N52">
        <v>3.5</v>
      </c>
      <c r="O52" t="s">
        <v>5050</v>
      </c>
    </row>
    <row r="53" spans="1:15" x14ac:dyDescent="0.3">
      <c r="A53" t="s">
        <v>150</v>
      </c>
      <c r="B53" t="s">
        <v>24</v>
      </c>
      <c r="C53" t="s">
        <v>5019</v>
      </c>
      <c r="D53" t="s">
        <v>14</v>
      </c>
      <c r="E53">
        <v>57</v>
      </c>
      <c r="F53" t="s">
        <v>5056</v>
      </c>
      <c r="G53" s="1">
        <v>45745</v>
      </c>
      <c r="H53">
        <v>2025</v>
      </c>
      <c r="I53" t="s">
        <v>5035</v>
      </c>
      <c r="J53">
        <v>29</v>
      </c>
      <c r="K53">
        <v>4</v>
      </c>
      <c r="L53">
        <v>11</v>
      </c>
      <c r="M53">
        <v>3267.47</v>
      </c>
      <c r="N53">
        <v>0.6</v>
      </c>
      <c r="O53" t="s">
        <v>5051</v>
      </c>
    </row>
    <row r="54" spans="1:15" x14ac:dyDescent="0.3">
      <c r="A54" t="s">
        <v>156</v>
      </c>
      <c r="B54" t="s">
        <v>16</v>
      </c>
      <c r="C54" t="s">
        <v>5018</v>
      </c>
      <c r="D54" t="s">
        <v>14</v>
      </c>
      <c r="E54">
        <v>53</v>
      </c>
      <c r="F54" t="s">
        <v>5056</v>
      </c>
      <c r="G54" s="1">
        <v>44494</v>
      </c>
      <c r="H54">
        <v>2021</v>
      </c>
      <c r="I54" t="s">
        <v>5039</v>
      </c>
      <c r="J54">
        <v>25</v>
      </c>
      <c r="K54">
        <v>2.87</v>
      </c>
      <c r="L54">
        <v>1</v>
      </c>
      <c r="M54">
        <v>14052.96</v>
      </c>
      <c r="N54">
        <v>4</v>
      </c>
      <c r="O54" t="s">
        <v>5050</v>
      </c>
    </row>
    <row r="55" spans="1:15" x14ac:dyDescent="0.3">
      <c r="A55" t="s">
        <v>157</v>
      </c>
      <c r="B55" t="s">
        <v>34</v>
      </c>
      <c r="C55" t="s">
        <v>5020</v>
      </c>
      <c r="D55" t="s">
        <v>14</v>
      </c>
      <c r="E55">
        <v>47</v>
      </c>
      <c r="F55" t="s">
        <v>5055</v>
      </c>
      <c r="G55" s="1">
        <v>45054</v>
      </c>
      <c r="H55">
        <v>2023</v>
      </c>
      <c r="I55" t="s">
        <v>5036</v>
      </c>
      <c r="J55">
        <v>8</v>
      </c>
      <c r="K55">
        <v>3.73</v>
      </c>
      <c r="L55">
        <v>7</v>
      </c>
      <c r="M55">
        <v>5563.07</v>
      </c>
      <c r="N55">
        <v>2.5</v>
      </c>
      <c r="O55" t="s">
        <v>5050</v>
      </c>
    </row>
    <row r="56" spans="1:15" x14ac:dyDescent="0.3">
      <c r="A56" t="s">
        <v>160</v>
      </c>
      <c r="B56" t="s">
        <v>10</v>
      </c>
      <c r="C56" t="s">
        <v>5022</v>
      </c>
      <c r="D56" t="s">
        <v>14</v>
      </c>
      <c r="E56">
        <v>47</v>
      </c>
      <c r="F56" t="s">
        <v>5055</v>
      </c>
      <c r="G56" s="1">
        <v>44394</v>
      </c>
      <c r="H56">
        <v>2021</v>
      </c>
      <c r="I56" t="s">
        <v>5034</v>
      </c>
      <c r="J56">
        <v>17</v>
      </c>
      <c r="K56">
        <v>3.42</v>
      </c>
      <c r="L56">
        <v>3</v>
      </c>
      <c r="M56">
        <v>6800.55</v>
      </c>
      <c r="N56">
        <v>4.3</v>
      </c>
      <c r="O56" t="s">
        <v>5050</v>
      </c>
    </row>
    <row r="57" spans="1:15" x14ac:dyDescent="0.3">
      <c r="A57" t="s">
        <v>164</v>
      </c>
      <c r="B57" t="s">
        <v>24</v>
      </c>
      <c r="C57" t="s">
        <v>5019</v>
      </c>
      <c r="D57" t="s">
        <v>11</v>
      </c>
      <c r="E57">
        <v>36</v>
      </c>
      <c r="F57" t="s">
        <v>5055</v>
      </c>
      <c r="G57" s="1">
        <v>44839</v>
      </c>
      <c r="H57">
        <v>2022</v>
      </c>
      <c r="I57" t="s">
        <v>5039</v>
      </c>
      <c r="J57">
        <v>5</v>
      </c>
      <c r="K57">
        <v>4.4400000000000004</v>
      </c>
      <c r="L57">
        <v>6</v>
      </c>
      <c r="M57">
        <v>7644.67</v>
      </c>
      <c r="N57">
        <v>3.1</v>
      </c>
      <c r="O57" t="s">
        <v>5050</v>
      </c>
    </row>
    <row r="58" spans="1:15" x14ac:dyDescent="0.3">
      <c r="A58" t="s">
        <v>166</v>
      </c>
      <c r="B58" t="s">
        <v>34</v>
      </c>
      <c r="C58" t="s">
        <v>5020</v>
      </c>
      <c r="D58" t="s">
        <v>14</v>
      </c>
      <c r="E58">
        <v>34</v>
      </c>
      <c r="F58" t="s">
        <v>5055</v>
      </c>
      <c r="G58" s="1">
        <v>44809</v>
      </c>
      <c r="H58">
        <v>2022</v>
      </c>
      <c r="I58" t="s">
        <v>5033</v>
      </c>
      <c r="J58">
        <v>5</v>
      </c>
      <c r="K58">
        <v>1.53</v>
      </c>
      <c r="L58">
        <v>3</v>
      </c>
      <c r="M58">
        <v>5135.22</v>
      </c>
      <c r="N58">
        <v>3.2</v>
      </c>
      <c r="O58" t="s">
        <v>5050</v>
      </c>
    </row>
    <row r="59" spans="1:15" x14ac:dyDescent="0.3">
      <c r="A59" t="s">
        <v>168</v>
      </c>
      <c r="B59" t="s">
        <v>16</v>
      </c>
      <c r="C59" t="s">
        <v>5018</v>
      </c>
      <c r="D59" t="s">
        <v>11</v>
      </c>
      <c r="E59">
        <v>30</v>
      </c>
      <c r="F59" t="s">
        <v>5057</v>
      </c>
      <c r="G59" s="1">
        <v>44420</v>
      </c>
      <c r="H59">
        <v>2021</v>
      </c>
      <c r="I59" t="s">
        <v>5031</v>
      </c>
      <c r="J59">
        <v>12</v>
      </c>
      <c r="K59">
        <v>3.15</v>
      </c>
      <c r="L59">
        <v>10</v>
      </c>
      <c r="M59">
        <v>7891.14</v>
      </c>
      <c r="N59">
        <v>4.2</v>
      </c>
      <c r="O59" t="s">
        <v>5050</v>
      </c>
    </row>
    <row r="60" spans="1:15" x14ac:dyDescent="0.3">
      <c r="A60" t="s">
        <v>170</v>
      </c>
      <c r="B60" t="s">
        <v>18</v>
      </c>
      <c r="C60" t="s">
        <v>5021</v>
      </c>
      <c r="D60" t="s">
        <v>14</v>
      </c>
      <c r="E60">
        <v>35</v>
      </c>
      <c r="F60" t="s">
        <v>5055</v>
      </c>
      <c r="G60" s="1">
        <v>45836</v>
      </c>
      <c r="H60">
        <v>2025</v>
      </c>
      <c r="I60" t="s">
        <v>5032</v>
      </c>
      <c r="J60">
        <v>28</v>
      </c>
      <c r="K60">
        <v>3.05</v>
      </c>
      <c r="L60">
        <v>8</v>
      </c>
      <c r="M60">
        <v>10739.72</v>
      </c>
      <c r="N60">
        <v>0.3</v>
      </c>
      <c r="O60" t="s">
        <v>5051</v>
      </c>
    </row>
    <row r="61" spans="1:15" x14ac:dyDescent="0.3">
      <c r="A61" t="s">
        <v>182</v>
      </c>
      <c r="B61" t="s">
        <v>34</v>
      </c>
      <c r="C61" t="s">
        <v>5020</v>
      </c>
      <c r="D61" t="s">
        <v>14</v>
      </c>
      <c r="E61">
        <v>45</v>
      </c>
      <c r="F61" t="s">
        <v>5055</v>
      </c>
      <c r="G61" s="1">
        <v>45226</v>
      </c>
      <c r="H61">
        <v>2023</v>
      </c>
      <c r="I61" t="s">
        <v>5039</v>
      </c>
      <c r="J61">
        <v>27</v>
      </c>
      <c r="K61">
        <v>2.62</v>
      </c>
      <c r="L61">
        <v>8</v>
      </c>
      <c r="M61">
        <v>3192.36</v>
      </c>
      <c r="N61">
        <v>2</v>
      </c>
      <c r="O61" t="s">
        <v>5050</v>
      </c>
    </row>
    <row r="62" spans="1:15" x14ac:dyDescent="0.3">
      <c r="A62" t="s">
        <v>186</v>
      </c>
      <c r="B62" t="s">
        <v>10</v>
      </c>
      <c r="C62" t="s">
        <v>5022</v>
      </c>
      <c r="D62" t="s">
        <v>14</v>
      </c>
      <c r="E62">
        <v>34</v>
      </c>
      <c r="F62" t="s">
        <v>5055</v>
      </c>
      <c r="G62" s="1">
        <v>44240</v>
      </c>
      <c r="H62">
        <v>2021</v>
      </c>
      <c r="I62" t="s">
        <v>5042</v>
      </c>
      <c r="J62">
        <v>13</v>
      </c>
      <c r="K62">
        <v>4.26</v>
      </c>
      <c r="L62">
        <v>8</v>
      </c>
      <c r="M62">
        <v>9751.27</v>
      </c>
      <c r="N62">
        <v>4.7</v>
      </c>
      <c r="O62" t="s">
        <v>5050</v>
      </c>
    </row>
    <row r="63" spans="1:15" x14ac:dyDescent="0.3">
      <c r="A63" t="s">
        <v>188</v>
      </c>
      <c r="B63" t="s">
        <v>13</v>
      </c>
      <c r="C63" t="s">
        <v>5017</v>
      </c>
      <c r="D63" t="s">
        <v>14</v>
      </c>
      <c r="E63">
        <v>24</v>
      </c>
      <c r="F63" t="s">
        <v>5057</v>
      </c>
      <c r="G63" s="1">
        <v>45032</v>
      </c>
      <c r="H63">
        <v>2023</v>
      </c>
      <c r="I63" t="s">
        <v>5040</v>
      </c>
      <c r="J63">
        <v>16</v>
      </c>
      <c r="K63">
        <v>4.84</v>
      </c>
      <c r="L63">
        <v>2</v>
      </c>
      <c r="M63">
        <v>6698.81</v>
      </c>
      <c r="N63">
        <v>2.5</v>
      </c>
      <c r="O63" t="s">
        <v>5050</v>
      </c>
    </row>
    <row r="64" spans="1:15" x14ac:dyDescent="0.3">
      <c r="A64" t="s">
        <v>196</v>
      </c>
      <c r="B64" t="s">
        <v>24</v>
      </c>
      <c r="C64" t="s">
        <v>5019</v>
      </c>
      <c r="D64" t="s">
        <v>11</v>
      </c>
      <c r="E64">
        <v>31</v>
      </c>
      <c r="F64" t="s">
        <v>5057</v>
      </c>
      <c r="G64" s="1">
        <v>45150</v>
      </c>
      <c r="H64">
        <v>2023</v>
      </c>
      <c r="I64" t="s">
        <v>5031</v>
      </c>
      <c r="J64">
        <v>12</v>
      </c>
      <c r="K64">
        <v>1.63</v>
      </c>
      <c r="L64">
        <v>6</v>
      </c>
      <c r="M64">
        <v>9019.91</v>
      </c>
      <c r="N64">
        <v>2.2000000000000002</v>
      </c>
      <c r="O64" t="s">
        <v>5050</v>
      </c>
    </row>
    <row r="65" spans="1:15" x14ac:dyDescent="0.3">
      <c r="A65" t="s">
        <v>197</v>
      </c>
      <c r="B65" t="s">
        <v>10</v>
      </c>
      <c r="C65" t="s">
        <v>5022</v>
      </c>
      <c r="D65" t="s">
        <v>14</v>
      </c>
      <c r="E65">
        <v>24</v>
      </c>
      <c r="F65" t="s">
        <v>5057</v>
      </c>
      <c r="G65" s="1">
        <v>45703</v>
      </c>
      <c r="H65">
        <v>2025</v>
      </c>
      <c r="I65" t="s">
        <v>5042</v>
      </c>
      <c r="J65">
        <v>15</v>
      </c>
      <c r="K65">
        <v>3.96</v>
      </c>
      <c r="L65">
        <v>8</v>
      </c>
      <c r="M65">
        <v>13198.99</v>
      </c>
      <c r="N65">
        <v>0.7</v>
      </c>
      <c r="O65" t="s">
        <v>5051</v>
      </c>
    </row>
    <row r="66" spans="1:15" x14ac:dyDescent="0.3">
      <c r="A66" t="s">
        <v>198</v>
      </c>
      <c r="B66" t="s">
        <v>10</v>
      </c>
      <c r="C66" t="s">
        <v>5022</v>
      </c>
      <c r="D66" t="s">
        <v>14</v>
      </c>
      <c r="E66">
        <v>55</v>
      </c>
      <c r="F66" t="s">
        <v>5056</v>
      </c>
      <c r="G66" s="1">
        <v>43992</v>
      </c>
      <c r="H66">
        <v>2020</v>
      </c>
      <c r="I66" t="s">
        <v>5032</v>
      </c>
      <c r="J66">
        <v>10</v>
      </c>
      <c r="K66">
        <v>4.76</v>
      </c>
      <c r="L66">
        <v>8</v>
      </c>
      <c r="M66">
        <v>4318.88</v>
      </c>
      <c r="N66">
        <v>5.4</v>
      </c>
      <c r="O66" t="s">
        <v>5049</v>
      </c>
    </row>
    <row r="67" spans="1:15" x14ac:dyDescent="0.3">
      <c r="A67" t="s">
        <v>200</v>
      </c>
      <c r="B67" t="s">
        <v>18</v>
      </c>
      <c r="C67" t="s">
        <v>5021</v>
      </c>
      <c r="D67" t="s">
        <v>14</v>
      </c>
      <c r="E67">
        <v>45</v>
      </c>
      <c r="F67" t="s">
        <v>5055</v>
      </c>
      <c r="G67" s="1">
        <v>44614</v>
      </c>
      <c r="H67">
        <v>2022</v>
      </c>
      <c r="I67" t="s">
        <v>5042</v>
      </c>
      <c r="J67">
        <v>22</v>
      </c>
      <c r="K67">
        <v>2.34</v>
      </c>
      <c r="L67">
        <v>3</v>
      </c>
      <c r="M67">
        <v>13755.29</v>
      </c>
      <c r="N67">
        <v>3.7</v>
      </c>
      <c r="O67" t="s">
        <v>5050</v>
      </c>
    </row>
    <row r="68" spans="1:15" x14ac:dyDescent="0.3">
      <c r="A68" t="s">
        <v>205</v>
      </c>
      <c r="B68" t="s">
        <v>34</v>
      </c>
      <c r="C68" t="s">
        <v>5020</v>
      </c>
      <c r="D68" t="s">
        <v>14</v>
      </c>
      <c r="E68">
        <v>30</v>
      </c>
      <c r="F68" t="s">
        <v>5057</v>
      </c>
      <c r="G68" s="1">
        <v>44255</v>
      </c>
      <c r="H68">
        <v>2021</v>
      </c>
      <c r="I68" t="s">
        <v>5042</v>
      </c>
      <c r="J68">
        <v>28</v>
      </c>
      <c r="K68">
        <v>4.32</v>
      </c>
      <c r="L68">
        <v>4</v>
      </c>
      <c r="M68">
        <v>5270.92</v>
      </c>
      <c r="N68">
        <v>4.7</v>
      </c>
      <c r="O68" t="s">
        <v>5050</v>
      </c>
    </row>
    <row r="69" spans="1:15" x14ac:dyDescent="0.3">
      <c r="A69" t="s">
        <v>206</v>
      </c>
      <c r="B69" t="s">
        <v>13</v>
      </c>
      <c r="C69" t="s">
        <v>5017</v>
      </c>
      <c r="D69" t="s">
        <v>14</v>
      </c>
      <c r="E69">
        <v>41</v>
      </c>
      <c r="F69" t="s">
        <v>5055</v>
      </c>
      <c r="G69" s="1">
        <v>45216</v>
      </c>
      <c r="H69">
        <v>2023</v>
      </c>
      <c r="I69" t="s">
        <v>5039</v>
      </c>
      <c r="J69">
        <v>17</v>
      </c>
      <c r="K69">
        <v>1.53</v>
      </c>
      <c r="L69">
        <v>6</v>
      </c>
      <c r="M69">
        <v>9147.23</v>
      </c>
      <c r="N69">
        <v>2</v>
      </c>
      <c r="O69" t="s">
        <v>5050</v>
      </c>
    </row>
    <row r="70" spans="1:15" x14ac:dyDescent="0.3">
      <c r="A70" t="s">
        <v>207</v>
      </c>
      <c r="B70" t="s">
        <v>16</v>
      </c>
      <c r="C70" t="s">
        <v>5018</v>
      </c>
      <c r="D70" t="s">
        <v>14</v>
      </c>
      <c r="E70">
        <v>24</v>
      </c>
      <c r="F70" t="s">
        <v>5057</v>
      </c>
      <c r="G70" s="1">
        <v>44526</v>
      </c>
      <c r="H70">
        <v>2021</v>
      </c>
      <c r="I70" t="s">
        <v>5038</v>
      </c>
      <c r="J70">
        <v>26</v>
      </c>
      <c r="K70">
        <v>2.94</v>
      </c>
      <c r="L70">
        <v>3</v>
      </c>
      <c r="M70">
        <v>11483.31</v>
      </c>
      <c r="N70">
        <v>3.9</v>
      </c>
      <c r="O70" t="s">
        <v>5050</v>
      </c>
    </row>
    <row r="71" spans="1:15" x14ac:dyDescent="0.3">
      <c r="A71" t="s">
        <v>214</v>
      </c>
      <c r="B71" t="s">
        <v>10</v>
      </c>
      <c r="C71" t="s">
        <v>5022</v>
      </c>
      <c r="D71" t="s">
        <v>11</v>
      </c>
      <c r="E71">
        <v>25</v>
      </c>
      <c r="F71" t="s">
        <v>5057</v>
      </c>
      <c r="G71" s="1">
        <v>45088</v>
      </c>
      <c r="H71">
        <v>2023</v>
      </c>
      <c r="I71" t="s">
        <v>5032</v>
      </c>
      <c r="J71">
        <v>11</v>
      </c>
      <c r="K71">
        <v>3.11</v>
      </c>
      <c r="L71">
        <v>14</v>
      </c>
      <c r="M71">
        <v>10690.68</v>
      </c>
      <c r="N71">
        <v>2.4</v>
      </c>
      <c r="O71" t="s">
        <v>5050</v>
      </c>
    </row>
    <row r="72" spans="1:15" x14ac:dyDescent="0.3">
      <c r="A72" t="s">
        <v>215</v>
      </c>
      <c r="B72" t="s">
        <v>34</v>
      </c>
      <c r="C72" t="s">
        <v>5020</v>
      </c>
      <c r="D72" t="s">
        <v>11</v>
      </c>
      <c r="E72">
        <v>60</v>
      </c>
      <c r="F72" t="s">
        <v>5056</v>
      </c>
      <c r="G72" s="1">
        <v>45572</v>
      </c>
      <c r="H72">
        <v>2024</v>
      </c>
      <c r="I72" t="s">
        <v>5039</v>
      </c>
      <c r="J72">
        <v>7</v>
      </c>
      <c r="K72">
        <v>3.07</v>
      </c>
      <c r="L72">
        <v>1</v>
      </c>
      <c r="M72">
        <v>9710.43</v>
      </c>
      <c r="N72">
        <v>1.1000000000000001</v>
      </c>
      <c r="O72" t="s">
        <v>5050</v>
      </c>
    </row>
    <row r="73" spans="1:15" x14ac:dyDescent="0.3">
      <c r="A73" t="s">
        <v>217</v>
      </c>
      <c r="B73" t="s">
        <v>10</v>
      </c>
      <c r="C73" t="s">
        <v>5022</v>
      </c>
      <c r="D73" t="s">
        <v>11</v>
      </c>
      <c r="E73">
        <v>26</v>
      </c>
      <c r="F73" t="s">
        <v>5057</v>
      </c>
      <c r="G73" s="1">
        <v>44798</v>
      </c>
      <c r="H73">
        <v>2022</v>
      </c>
      <c r="I73" t="s">
        <v>5031</v>
      </c>
      <c r="J73">
        <v>25</v>
      </c>
      <c r="K73">
        <v>1.54</v>
      </c>
      <c r="L73">
        <v>9</v>
      </c>
      <c r="M73">
        <v>13551.38</v>
      </c>
      <c r="N73">
        <v>3.2</v>
      </c>
      <c r="O73" t="s">
        <v>5050</v>
      </c>
    </row>
    <row r="74" spans="1:15" x14ac:dyDescent="0.3">
      <c r="A74" t="s">
        <v>220</v>
      </c>
      <c r="B74" t="s">
        <v>16</v>
      </c>
      <c r="C74" t="s">
        <v>5018</v>
      </c>
      <c r="D74" t="s">
        <v>14</v>
      </c>
      <c r="E74">
        <v>52</v>
      </c>
      <c r="F74" t="s">
        <v>5056</v>
      </c>
      <c r="G74" s="1">
        <v>45749</v>
      </c>
      <c r="H74">
        <v>2025</v>
      </c>
      <c r="I74" t="s">
        <v>5040</v>
      </c>
      <c r="J74">
        <v>2</v>
      </c>
      <c r="K74">
        <v>2.7</v>
      </c>
      <c r="L74">
        <v>2</v>
      </c>
      <c r="M74">
        <v>13125.76</v>
      </c>
      <c r="N74">
        <v>0.6</v>
      </c>
      <c r="O74" t="s">
        <v>5051</v>
      </c>
    </row>
    <row r="75" spans="1:15" x14ac:dyDescent="0.3">
      <c r="A75" t="s">
        <v>221</v>
      </c>
      <c r="B75" t="s">
        <v>10</v>
      </c>
      <c r="C75" t="s">
        <v>5022</v>
      </c>
      <c r="D75" t="s">
        <v>14</v>
      </c>
      <c r="E75">
        <v>55</v>
      </c>
      <c r="F75" t="s">
        <v>5056</v>
      </c>
      <c r="G75" s="1">
        <v>44007</v>
      </c>
      <c r="H75">
        <v>2020</v>
      </c>
      <c r="I75" t="s">
        <v>5032</v>
      </c>
      <c r="J75">
        <v>25</v>
      </c>
      <c r="K75">
        <v>2.23</v>
      </c>
      <c r="L75">
        <v>3</v>
      </c>
      <c r="M75">
        <v>14019.76</v>
      </c>
      <c r="N75">
        <v>5.4</v>
      </c>
      <c r="O75" t="s">
        <v>5049</v>
      </c>
    </row>
    <row r="76" spans="1:15" x14ac:dyDescent="0.3">
      <c r="A76" t="s">
        <v>223</v>
      </c>
      <c r="B76" t="s">
        <v>18</v>
      </c>
      <c r="C76" t="s">
        <v>5021</v>
      </c>
      <c r="D76" t="s">
        <v>14</v>
      </c>
      <c r="E76">
        <v>33</v>
      </c>
      <c r="F76" t="s">
        <v>5055</v>
      </c>
      <c r="G76" s="1">
        <v>45547</v>
      </c>
      <c r="H76">
        <v>2024</v>
      </c>
      <c r="I76" t="s">
        <v>5033</v>
      </c>
      <c r="J76">
        <v>12</v>
      </c>
      <c r="K76">
        <v>4.3499999999999996</v>
      </c>
      <c r="L76">
        <v>14</v>
      </c>
      <c r="M76">
        <v>11740.23</v>
      </c>
      <c r="N76">
        <v>1.1000000000000001</v>
      </c>
      <c r="O76" t="s">
        <v>5050</v>
      </c>
    </row>
    <row r="77" spans="1:15" x14ac:dyDescent="0.3">
      <c r="A77" t="s">
        <v>227</v>
      </c>
      <c r="B77" t="s">
        <v>16</v>
      </c>
      <c r="C77" t="s">
        <v>5018</v>
      </c>
      <c r="D77" t="s">
        <v>11</v>
      </c>
      <c r="E77">
        <v>40</v>
      </c>
      <c r="F77" t="s">
        <v>5055</v>
      </c>
      <c r="G77" s="1">
        <v>45550</v>
      </c>
      <c r="H77">
        <v>2024</v>
      </c>
      <c r="I77" t="s">
        <v>5033</v>
      </c>
      <c r="J77">
        <v>15</v>
      </c>
      <c r="K77">
        <v>4.71</v>
      </c>
      <c r="L77">
        <v>7</v>
      </c>
      <c r="M77">
        <v>14267.13</v>
      </c>
      <c r="N77">
        <v>1.1000000000000001</v>
      </c>
      <c r="O77" t="s">
        <v>5050</v>
      </c>
    </row>
    <row r="78" spans="1:15" x14ac:dyDescent="0.3">
      <c r="A78" t="s">
        <v>229</v>
      </c>
      <c r="B78" t="s">
        <v>24</v>
      </c>
      <c r="C78" t="s">
        <v>5019</v>
      </c>
      <c r="D78" t="s">
        <v>11</v>
      </c>
      <c r="E78">
        <v>60</v>
      </c>
      <c r="F78" t="s">
        <v>5056</v>
      </c>
      <c r="G78" s="1">
        <v>44738</v>
      </c>
      <c r="H78">
        <v>2022</v>
      </c>
      <c r="I78" t="s">
        <v>5032</v>
      </c>
      <c r="J78">
        <v>26</v>
      </c>
      <c r="K78">
        <v>3.75</v>
      </c>
      <c r="L78">
        <v>12</v>
      </c>
      <c r="M78">
        <v>8613.16</v>
      </c>
      <c r="N78">
        <v>3.4</v>
      </c>
      <c r="O78" t="s">
        <v>5050</v>
      </c>
    </row>
    <row r="79" spans="1:15" x14ac:dyDescent="0.3">
      <c r="A79" t="s">
        <v>231</v>
      </c>
      <c r="B79" t="s">
        <v>10</v>
      </c>
      <c r="C79" t="s">
        <v>5022</v>
      </c>
      <c r="D79" t="s">
        <v>11</v>
      </c>
      <c r="E79">
        <v>46</v>
      </c>
      <c r="F79" t="s">
        <v>5055</v>
      </c>
      <c r="G79" s="1">
        <v>45716</v>
      </c>
      <c r="H79">
        <v>2025</v>
      </c>
      <c r="I79" t="s">
        <v>5042</v>
      </c>
      <c r="J79">
        <v>28</v>
      </c>
      <c r="K79">
        <v>3.38</v>
      </c>
      <c r="L79">
        <v>0</v>
      </c>
      <c r="M79">
        <v>3248.14</v>
      </c>
      <c r="N79">
        <v>0.7</v>
      </c>
      <c r="O79" t="s">
        <v>5051</v>
      </c>
    </row>
    <row r="80" spans="1:15" x14ac:dyDescent="0.3">
      <c r="A80" t="s">
        <v>236</v>
      </c>
      <c r="B80" t="s">
        <v>24</v>
      </c>
      <c r="C80" t="s">
        <v>5019</v>
      </c>
      <c r="D80" t="s">
        <v>11</v>
      </c>
      <c r="E80">
        <v>60</v>
      </c>
      <c r="F80" t="s">
        <v>5056</v>
      </c>
      <c r="G80" s="1">
        <v>45913</v>
      </c>
      <c r="H80">
        <v>2025</v>
      </c>
      <c r="I80" t="s">
        <v>5033</v>
      </c>
      <c r="J80">
        <v>13</v>
      </c>
      <c r="K80">
        <v>2.71</v>
      </c>
      <c r="L80">
        <v>4</v>
      </c>
      <c r="M80">
        <v>8633.7199999999993</v>
      </c>
      <c r="N80">
        <v>0.1</v>
      </c>
      <c r="O80" t="s">
        <v>5051</v>
      </c>
    </row>
    <row r="81" spans="1:15" x14ac:dyDescent="0.3">
      <c r="A81" t="s">
        <v>241</v>
      </c>
      <c r="B81" t="s">
        <v>13</v>
      </c>
      <c r="C81" t="s">
        <v>5017</v>
      </c>
      <c r="D81" t="s">
        <v>14</v>
      </c>
      <c r="E81">
        <v>43</v>
      </c>
      <c r="F81" t="s">
        <v>5055</v>
      </c>
      <c r="G81" s="1">
        <v>45745</v>
      </c>
      <c r="H81">
        <v>2025</v>
      </c>
      <c r="I81" t="s">
        <v>5035</v>
      </c>
      <c r="J81">
        <v>29</v>
      </c>
      <c r="K81">
        <v>3.22</v>
      </c>
      <c r="L81">
        <v>0</v>
      </c>
      <c r="M81">
        <v>10761.78</v>
      </c>
      <c r="N81">
        <v>0.6</v>
      </c>
      <c r="O81" t="s">
        <v>5051</v>
      </c>
    </row>
    <row r="82" spans="1:15" x14ac:dyDescent="0.3">
      <c r="A82" t="s">
        <v>243</v>
      </c>
      <c r="B82" t="s">
        <v>13</v>
      </c>
      <c r="C82" t="s">
        <v>5017</v>
      </c>
      <c r="D82" t="s">
        <v>14</v>
      </c>
      <c r="E82">
        <v>35</v>
      </c>
      <c r="F82" t="s">
        <v>5055</v>
      </c>
      <c r="G82" s="1">
        <v>44682</v>
      </c>
      <c r="H82">
        <v>2022</v>
      </c>
      <c r="I82" t="s">
        <v>5036</v>
      </c>
      <c r="J82">
        <v>1</v>
      </c>
      <c r="K82">
        <v>3.58</v>
      </c>
      <c r="L82">
        <v>5</v>
      </c>
      <c r="M82">
        <v>13432.36</v>
      </c>
      <c r="N82">
        <v>3.5</v>
      </c>
      <c r="O82" t="s">
        <v>5050</v>
      </c>
    </row>
    <row r="83" spans="1:15" x14ac:dyDescent="0.3">
      <c r="A83" t="s">
        <v>244</v>
      </c>
      <c r="B83" t="s">
        <v>18</v>
      </c>
      <c r="C83" t="s">
        <v>5021</v>
      </c>
      <c r="D83" t="s">
        <v>11</v>
      </c>
      <c r="E83">
        <v>57</v>
      </c>
      <c r="F83" t="s">
        <v>5056</v>
      </c>
      <c r="G83" s="1">
        <v>44598</v>
      </c>
      <c r="H83">
        <v>2022</v>
      </c>
      <c r="I83" t="s">
        <v>5042</v>
      </c>
      <c r="J83">
        <v>6</v>
      </c>
      <c r="K83">
        <v>4.1900000000000004</v>
      </c>
      <c r="L83">
        <v>2</v>
      </c>
      <c r="M83">
        <v>7965.27</v>
      </c>
      <c r="N83">
        <v>3.7</v>
      </c>
      <c r="O83" t="s">
        <v>5050</v>
      </c>
    </row>
    <row r="84" spans="1:15" x14ac:dyDescent="0.3">
      <c r="A84" t="s">
        <v>255</v>
      </c>
      <c r="B84" t="s">
        <v>24</v>
      </c>
      <c r="C84" t="s">
        <v>5019</v>
      </c>
      <c r="D84" t="s">
        <v>14</v>
      </c>
      <c r="E84">
        <v>25</v>
      </c>
      <c r="F84" t="s">
        <v>5057</v>
      </c>
      <c r="G84" s="1">
        <v>45658</v>
      </c>
      <c r="H84">
        <v>2025</v>
      </c>
      <c r="I84" t="s">
        <v>5037</v>
      </c>
      <c r="J84">
        <v>1</v>
      </c>
      <c r="K84">
        <v>1.76</v>
      </c>
      <c r="L84">
        <v>4</v>
      </c>
      <c r="M84">
        <v>12737</v>
      </c>
      <c r="N84">
        <v>0.8</v>
      </c>
      <c r="O84" t="s">
        <v>5051</v>
      </c>
    </row>
    <row r="85" spans="1:15" x14ac:dyDescent="0.3">
      <c r="A85" t="s">
        <v>256</v>
      </c>
      <c r="B85" t="s">
        <v>13</v>
      </c>
      <c r="C85" t="s">
        <v>5017</v>
      </c>
      <c r="D85" t="s">
        <v>11</v>
      </c>
      <c r="E85">
        <v>57</v>
      </c>
      <c r="F85" t="s">
        <v>5056</v>
      </c>
      <c r="G85" s="1">
        <v>44751</v>
      </c>
      <c r="H85">
        <v>2022</v>
      </c>
      <c r="I85" t="s">
        <v>5034</v>
      </c>
      <c r="J85">
        <v>9</v>
      </c>
      <c r="K85">
        <v>4.8600000000000003</v>
      </c>
      <c r="L85">
        <v>15</v>
      </c>
      <c r="M85">
        <v>8798.18</v>
      </c>
      <c r="N85">
        <v>3.3</v>
      </c>
      <c r="O85" t="s">
        <v>5050</v>
      </c>
    </row>
    <row r="86" spans="1:15" x14ac:dyDescent="0.3">
      <c r="A86" t="s">
        <v>257</v>
      </c>
      <c r="B86" t="s">
        <v>16</v>
      </c>
      <c r="C86" t="s">
        <v>5018</v>
      </c>
      <c r="D86" t="s">
        <v>14</v>
      </c>
      <c r="E86">
        <v>32</v>
      </c>
      <c r="F86" t="s">
        <v>5055</v>
      </c>
      <c r="G86" s="1">
        <v>44637</v>
      </c>
      <c r="H86">
        <v>2022</v>
      </c>
      <c r="I86" t="s">
        <v>5035</v>
      </c>
      <c r="J86">
        <v>17</v>
      </c>
      <c r="K86">
        <v>2.09</v>
      </c>
      <c r="L86">
        <v>6</v>
      </c>
      <c r="M86">
        <v>13617.35</v>
      </c>
      <c r="N86">
        <v>3.6</v>
      </c>
      <c r="O86" t="s">
        <v>5050</v>
      </c>
    </row>
    <row r="87" spans="1:15" x14ac:dyDescent="0.3">
      <c r="A87" t="s">
        <v>259</v>
      </c>
      <c r="B87" t="s">
        <v>10</v>
      </c>
      <c r="C87" t="s">
        <v>5022</v>
      </c>
      <c r="D87" t="s">
        <v>14</v>
      </c>
      <c r="E87">
        <v>27</v>
      </c>
      <c r="F87" t="s">
        <v>5057</v>
      </c>
      <c r="G87" s="1">
        <v>44558</v>
      </c>
      <c r="H87">
        <v>2021</v>
      </c>
      <c r="I87" t="s">
        <v>5041</v>
      </c>
      <c r="J87">
        <v>28</v>
      </c>
      <c r="K87">
        <v>1.75</v>
      </c>
      <c r="L87">
        <v>0</v>
      </c>
      <c r="M87">
        <v>3417.34</v>
      </c>
      <c r="N87">
        <v>3.8</v>
      </c>
      <c r="O87" t="s">
        <v>5050</v>
      </c>
    </row>
    <row r="88" spans="1:15" x14ac:dyDescent="0.3">
      <c r="A88" t="s">
        <v>262</v>
      </c>
      <c r="B88" t="s">
        <v>16</v>
      </c>
      <c r="C88" t="s">
        <v>5018</v>
      </c>
      <c r="D88" t="s">
        <v>14</v>
      </c>
      <c r="E88">
        <v>43</v>
      </c>
      <c r="F88" t="s">
        <v>5055</v>
      </c>
      <c r="G88" s="1">
        <v>45279</v>
      </c>
      <c r="H88">
        <v>2023</v>
      </c>
      <c r="I88" t="s">
        <v>5041</v>
      </c>
      <c r="J88">
        <v>19</v>
      </c>
      <c r="K88">
        <v>1.82</v>
      </c>
      <c r="L88">
        <v>8</v>
      </c>
      <c r="M88">
        <v>3002.18</v>
      </c>
      <c r="N88">
        <v>1.9</v>
      </c>
      <c r="O88" t="s">
        <v>5050</v>
      </c>
    </row>
    <row r="89" spans="1:15" x14ac:dyDescent="0.3">
      <c r="A89" t="s">
        <v>265</v>
      </c>
      <c r="B89" t="s">
        <v>16</v>
      </c>
      <c r="C89" t="s">
        <v>5018</v>
      </c>
      <c r="D89" t="s">
        <v>11</v>
      </c>
      <c r="E89">
        <v>51</v>
      </c>
      <c r="F89" t="s">
        <v>5056</v>
      </c>
      <c r="G89" s="1">
        <v>44633</v>
      </c>
      <c r="H89">
        <v>2022</v>
      </c>
      <c r="I89" t="s">
        <v>5035</v>
      </c>
      <c r="J89">
        <v>13</v>
      </c>
      <c r="K89">
        <v>1.88</v>
      </c>
      <c r="L89">
        <v>9</v>
      </c>
      <c r="M89">
        <v>13083.73</v>
      </c>
      <c r="N89">
        <v>3.6</v>
      </c>
      <c r="O89" t="s">
        <v>5050</v>
      </c>
    </row>
    <row r="90" spans="1:15" x14ac:dyDescent="0.3">
      <c r="A90" t="s">
        <v>267</v>
      </c>
      <c r="B90" t="s">
        <v>13</v>
      </c>
      <c r="C90" t="s">
        <v>5017</v>
      </c>
      <c r="D90" t="s">
        <v>11</v>
      </c>
      <c r="E90">
        <v>47</v>
      </c>
      <c r="F90" t="s">
        <v>5055</v>
      </c>
      <c r="G90" s="1">
        <v>44545</v>
      </c>
      <c r="H90">
        <v>2021</v>
      </c>
      <c r="I90" t="s">
        <v>5041</v>
      </c>
      <c r="J90">
        <v>15</v>
      </c>
      <c r="K90">
        <v>4.47</v>
      </c>
      <c r="L90">
        <v>7</v>
      </c>
      <c r="M90">
        <v>8315.8799999999992</v>
      </c>
      <c r="N90">
        <v>3.9</v>
      </c>
      <c r="O90" t="s">
        <v>5050</v>
      </c>
    </row>
    <row r="91" spans="1:15" x14ac:dyDescent="0.3">
      <c r="A91" t="s">
        <v>268</v>
      </c>
      <c r="B91" t="s">
        <v>13</v>
      </c>
      <c r="C91" t="s">
        <v>5017</v>
      </c>
      <c r="D91" t="s">
        <v>11</v>
      </c>
      <c r="E91">
        <v>38</v>
      </c>
      <c r="F91" t="s">
        <v>5055</v>
      </c>
      <c r="G91" s="1">
        <v>44132</v>
      </c>
      <c r="H91">
        <v>2020</v>
      </c>
      <c r="I91" t="s">
        <v>5039</v>
      </c>
      <c r="J91">
        <v>28</v>
      </c>
      <c r="K91">
        <v>4.16</v>
      </c>
      <c r="L91">
        <v>9</v>
      </c>
      <c r="M91">
        <v>6159.41</v>
      </c>
      <c r="N91">
        <v>5</v>
      </c>
      <c r="O91" t="s">
        <v>5050</v>
      </c>
    </row>
    <row r="92" spans="1:15" x14ac:dyDescent="0.3">
      <c r="A92" t="s">
        <v>269</v>
      </c>
      <c r="B92" t="s">
        <v>13</v>
      </c>
      <c r="C92" t="s">
        <v>5017</v>
      </c>
      <c r="D92" t="s">
        <v>14</v>
      </c>
      <c r="E92">
        <v>57</v>
      </c>
      <c r="F92" t="s">
        <v>5056</v>
      </c>
      <c r="G92" s="1">
        <v>44666</v>
      </c>
      <c r="H92">
        <v>2022</v>
      </c>
      <c r="I92" t="s">
        <v>5040</v>
      </c>
      <c r="J92">
        <v>15</v>
      </c>
      <c r="K92">
        <v>4.1500000000000004</v>
      </c>
      <c r="L92">
        <v>6</v>
      </c>
      <c r="M92">
        <v>12837.85</v>
      </c>
      <c r="N92">
        <v>3.6</v>
      </c>
      <c r="O92" t="s">
        <v>5050</v>
      </c>
    </row>
    <row r="93" spans="1:15" x14ac:dyDescent="0.3">
      <c r="A93" t="s">
        <v>275</v>
      </c>
      <c r="B93" t="s">
        <v>34</v>
      </c>
      <c r="C93" t="s">
        <v>5020</v>
      </c>
      <c r="D93" t="s">
        <v>14</v>
      </c>
      <c r="E93">
        <v>57</v>
      </c>
      <c r="F93" t="s">
        <v>5056</v>
      </c>
      <c r="G93" s="1">
        <v>45236</v>
      </c>
      <c r="H93">
        <v>2023</v>
      </c>
      <c r="I93" t="s">
        <v>5038</v>
      </c>
      <c r="J93">
        <v>6</v>
      </c>
      <c r="K93">
        <v>2.63</v>
      </c>
      <c r="L93">
        <v>9</v>
      </c>
      <c r="M93">
        <v>12181.09</v>
      </c>
      <c r="N93">
        <v>2</v>
      </c>
      <c r="O93" t="s">
        <v>5050</v>
      </c>
    </row>
    <row r="94" spans="1:15" x14ac:dyDescent="0.3">
      <c r="A94" t="s">
        <v>281</v>
      </c>
      <c r="B94" t="s">
        <v>18</v>
      </c>
      <c r="C94" t="s">
        <v>5021</v>
      </c>
      <c r="D94" t="s">
        <v>14</v>
      </c>
      <c r="E94">
        <v>39</v>
      </c>
      <c r="F94" t="s">
        <v>5055</v>
      </c>
      <c r="G94" s="1">
        <v>45278</v>
      </c>
      <c r="H94">
        <v>2023</v>
      </c>
      <c r="I94" t="s">
        <v>5041</v>
      </c>
      <c r="J94">
        <v>18</v>
      </c>
      <c r="K94">
        <v>2.2400000000000002</v>
      </c>
      <c r="L94">
        <v>0</v>
      </c>
      <c r="M94">
        <v>11891.85</v>
      </c>
      <c r="N94">
        <v>1.9</v>
      </c>
      <c r="O94" t="s">
        <v>5050</v>
      </c>
    </row>
    <row r="95" spans="1:15" x14ac:dyDescent="0.3">
      <c r="A95" t="s">
        <v>287</v>
      </c>
      <c r="B95" t="s">
        <v>13</v>
      </c>
      <c r="C95" t="s">
        <v>5017</v>
      </c>
      <c r="D95" t="s">
        <v>14</v>
      </c>
      <c r="E95">
        <v>41</v>
      </c>
      <c r="F95" t="s">
        <v>5055</v>
      </c>
      <c r="G95" s="1">
        <v>44743</v>
      </c>
      <c r="H95">
        <v>2022</v>
      </c>
      <c r="I95" t="s">
        <v>5034</v>
      </c>
      <c r="J95">
        <v>1</v>
      </c>
      <c r="K95">
        <v>1.7</v>
      </c>
      <c r="L95">
        <v>6</v>
      </c>
      <c r="M95">
        <v>11664.6</v>
      </c>
      <c r="N95">
        <v>3.3</v>
      </c>
      <c r="O95" t="s">
        <v>5050</v>
      </c>
    </row>
    <row r="96" spans="1:15" x14ac:dyDescent="0.3">
      <c r="A96" t="s">
        <v>288</v>
      </c>
      <c r="B96" t="s">
        <v>16</v>
      </c>
      <c r="C96" t="s">
        <v>5018</v>
      </c>
      <c r="D96" t="s">
        <v>14</v>
      </c>
      <c r="E96">
        <v>40</v>
      </c>
      <c r="F96" t="s">
        <v>5055</v>
      </c>
      <c r="G96" s="1">
        <v>44632</v>
      </c>
      <c r="H96">
        <v>2022</v>
      </c>
      <c r="I96" t="s">
        <v>5035</v>
      </c>
      <c r="J96">
        <v>12</v>
      </c>
      <c r="K96">
        <v>2.36</v>
      </c>
      <c r="L96">
        <v>12</v>
      </c>
      <c r="M96">
        <v>10076.25</v>
      </c>
      <c r="N96">
        <v>3.6</v>
      </c>
      <c r="O96" t="s">
        <v>5050</v>
      </c>
    </row>
    <row r="97" spans="1:15" x14ac:dyDescent="0.3">
      <c r="A97" t="s">
        <v>289</v>
      </c>
      <c r="B97" t="s">
        <v>10</v>
      </c>
      <c r="C97" t="s">
        <v>5022</v>
      </c>
      <c r="D97" t="s">
        <v>11</v>
      </c>
      <c r="E97">
        <v>26</v>
      </c>
      <c r="F97" t="s">
        <v>5057</v>
      </c>
      <c r="G97" s="1">
        <v>45032</v>
      </c>
      <c r="H97">
        <v>2023</v>
      </c>
      <c r="I97" t="s">
        <v>5040</v>
      </c>
      <c r="J97">
        <v>16</v>
      </c>
      <c r="K97">
        <v>1.53</v>
      </c>
      <c r="L97">
        <v>3</v>
      </c>
      <c r="M97">
        <v>13573.33</v>
      </c>
      <c r="N97">
        <v>2.5</v>
      </c>
      <c r="O97" t="s">
        <v>5050</v>
      </c>
    </row>
    <row r="98" spans="1:15" x14ac:dyDescent="0.3">
      <c r="A98" t="s">
        <v>291</v>
      </c>
      <c r="B98" t="s">
        <v>24</v>
      </c>
      <c r="C98" t="s">
        <v>5019</v>
      </c>
      <c r="D98" t="s">
        <v>14</v>
      </c>
      <c r="E98">
        <v>33</v>
      </c>
      <c r="F98" t="s">
        <v>5055</v>
      </c>
      <c r="G98" s="1">
        <v>44724</v>
      </c>
      <c r="H98">
        <v>2022</v>
      </c>
      <c r="I98" t="s">
        <v>5032</v>
      </c>
      <c r="J98">
        <v>12</v>
      </c>
      <c r="K98">
        <v>2.2400000000000002</v>
      </c>
      <c r="L98">
        <v>5</v>
      </c>
      <c r="M98">
        <v>5518.11</v>
      </c>
      <c r="N98">
        <v>3.4</v>
      </c>
      <c r="O98" t="s">
        <v>5050</v>
      </c>
    </row>
    <row r="99" spans="1:15" x14ac:dyDescent="0.3">
      <c r="A99" t="s">
        <v>293</v>
      </c>
      <c r="B99" t="s">
        <v>10</v>
      </c>
      <c r="C99" t="s">
        <v>5022</v>
      </c>
      <c r="D99" t="s">
        <v>14</v>
      </c>
      <c r="E99">
        <v>60</v>
      </c>
      <c r="F99" t="s">
        <v>5056</v>
      </c>
      <c r="G99" s="1">
        <v>44581</v>
      </c>
      <c r="H99">
        <v>2022</v>
      </c>
      <c r="I99" t="s">
        <v>5037</v>
      </c>
      <c r="J99">
        <v>20</v>
      </c>
      <c r="K99">
        <v>4.46</v>
      </c>
      <c r="L99">
        <v>14</v>
      </c>
      <c r="M99">
        <v>7670.34</v>
      </c>
      <c r="N99">
        <v>3.8</v>
      </c>
      <c r="O99" t="s">
        <v>5050</v>
      </c>
    </row>
    <row r="100" spans="1:15" x14ac:dyDescent="0.3">
      <c r="A100" t="s">
        <v>296</v>
      </c>
      <c r="B100" t="s">
        <v>16</v>
      </c>
      <c r="C100" t="s">
        <v>5018</v>
      </c>
      <c r="D100" t="s">
        <v>14</v>
      </c>
      <c r="E100">
        <v>26</v>
      </c>
      <c r="F100" t="s">
        <v>5057</v>
      </c>
      <c r="G100" s="1">
        <v>45924</v>
      </c>
      <c r="H100">
        <v>2025</v>
      </c>
      <c r="I100" t="s">
        <v>5033</v>
      </c>
      <c r="J100">
        <v>24</v>
      </c>
      <c r="K100">
        <v>2.0499999999999998</v>
      </c>
      <c r="L100">
        <v>5</v>
      </c>
      <c r="M100">
        <v>13279.35</v>
      </c>
      <c r="N100">
        <v>0.1</v>
      </c>
      <c r="O100" t="s">
        <v>5051</v>
      </c>
    </row>
    <row r="101" spans="1:15" x14ac:dyDescent="0.3">
      <c r="A101" t="s">
        <v>300</v>
      </c>
      <c r="B101" t="s">
        <v>18</v>
      </c>
      <c r="C101" t="s">
        <v>5021</v>
      </c>
      <c r="D101" t="s">
        <v>14</v>
      </c>
      <c r="E101">
        <v>34</v>
      </c>
      <c r="F101" t="s">
        <v>5055</v>
      </c>
      <c r="G101" s="1">
        <v>44163</v>
      </c>
      <c r="H101">
        <v>2020</v>
      </c>
      <c r="I101" t="s">
        <v>5038</v>
      </c>
      <c r="J101">
        <v>28</v>
      </c>
      <c r="K101">
        <v>4.24</v>
      </c>
      <c r="L101">
        <v>11</v>
      </c>
      <c r="M101">
        <v>6771.92</v>
      </c>
      <c r="N101">
        <v>4.9000000000000004</v>
      </c>
      <c r="O101" t="s">
        <v>5050</v>
      </c>
    </row>
    <row r="102" spans="1:15" x14ac:dyDescent="0.3">
      <c r="A102" t="s">
        <v>303</v>
      </c>
      <c r="B102" t="s">
        <v>10</v>
      </c>
      <c r="C102" t="s">
        <v>5022</v>
      </c>
      <c r="D102" t="s">
        <v>14</v>
      </c>
      <c r="E102">
        <v>40</v>
      </c>
      <c r="F102" t="s">
        <v>5055</v>
      </c>
      <c r="G102" s="1">
        <v>45035</v>
      </c>
      <c r="H102">
        <v>2023</v>
      </c>
      <c r="I102" t="s">
        <v>5040</v>
      </c>
      <c r="J102">
        <v>19</v>
      </c>
      <c r="K102">
        <v>3.38</v>
      </c>
      <c r="L102">
        <v>13</v>
      </c>
      <c r="M102">
        <v>10429.34</v>
      </c>
      <c r="N102">
        <v>2.5</v>
      </c>
      <c r="O102" t="s">
        <v>5050</v>
      </c>
    </row>
    <row r="103" spans="1:15" x14ac:dyDescent="0.3">
      <c r="A103" t="s">
        <v>306</v>
      </c>
      <c r="B103" t="s">
        <v>16</v>
      </c>
      <c r="C103" t="s">
        <v>5018</v>
      </c>
      <c r="D103" t="s">
        <v>14</v>
      </c>
      <c r="E103">
        <v>55</v>
      </c>
      <c r="F103" t="s">
        <v>5056</v>
      </c>
      <c r="G103" s="1">
        <v>44992</v>
      </c>
      <c r="H103">
        <v>2023</v>
      </c>
      <c r="I103" t="s">
        <v>5035</v>
      </c>
      <c r="J103">
        <v>7</v>
      </c>
      <c r="K103">
        <v>2.4700000000000002</v>
      </c>
      <c r="L103">
        <v>13</v>
      </c>
      <c r="M103">
        <v>3278.61</v>
      </c>
      <c r="N103">
        <v>2.7</v>
      </c>
      <c r="O103" t="s">
        <v>5050</v>
      </c>
    </row>
    <row r="104" spans="1:15" x14ac:dyDescent="0.3">
      <c r="A104" t="s">
        <v>307</v>
      </c>
      <c r="B104" t="s">
        <v>18</v>
      </c>
      <c r="C104" t="s">
        <v>5021</v>
      </c>
      <c r="D104" t="s">
        <v>14</v>
      </c>
      <c r="E104">
        <v>43</v>
      </c>
      <c r="F104" t="s">
        <v>5055</v>
      </c>
      <c r="G104" s="1">
        <v>45155</v>
      </c>
      <c r="H104">
        <v>2023</v>
      </c>
      <c r="I104" t="s">
        <v>5031</v>
      </c>
      <c r="J104">
        <v>17</v>
      </c>
      <c r="K104">
        <v>3.48</v>
      </c>
      <c r="L104">
        <v>2</v>
      </c>
      <c r="M104">
        <v>14061.94</v>
      </c>
      <c r="N104">
        <v>2.2000000000000002</v>
      </c>
      <c r="O104" t="s">
        <v>5050</v>
      </c>
    </row>
    <row r="105" spans="1:15" x14ac:dyDescent="0.3">
      <c r="A105" t="s">
        <v>309</v>
      </c>
      <c r="B105" t="s">
        <v>13</v>
      </c>
      <c r="C105" t="s">
        <v>5017</v>
      </c>
      <c r="D105" t="s">
        <v>11</v>
      </c>
      <c r="E105">
        <v>34</v>
      </c>
      <c r="F105" t="s">
        <v>5055</v>
      </c>
      <c r="G105" s="1">
        <v>44029</v>
      </c>
      <c r="H105">
        <v>2020</v>
      </c>
      <c r="I105" t="s">
        <v>5034</v>
      </c>
      <c r="J105">
        <v>17</v>
      </c>
      <c r="K105">
        <v>4.8899999999999997</v>
      </c>
      <c r="L105">
        <v>7</v>
      </c>
      <c r="M105">
        <v>14421.63</v>
      </c>
      <c r="N105">
        <v>5.3</v>
      </c>
      <c r="O105" t="s">
        <v>5049</v>
      </c>
    </row>
    <row r="106" spans="1:15" x14ac:dyDescent="0.3">
      <c r="A106" t="s">
        <v>311</v>
      </c>
      <c r="B106" t="s">
        <v>13</v>
      </c>
      <c r="C106" t="s">
        <v>5017</v>
      </c>
      <c r="D106" t="s">
        <v>14</v>
      </c>
      <c r="E106">
        <v>60</v>
      </c>
      <c r="F106" t="s">
        <v>5056</v>
      </c>
      <c r="G106" s="1">
        <v>45177</v>
      </c>
      <c r="H106">
        <v>2023</v>
      </c>
      <c r="I106" t="s">
        <v>5033</v>
      </c>
      <c r="J106">
        <v>8</v>
      </c>
      <c r="K106">
        <v>4.13</v>
      </c>
      <c r="L106">
        <v>13</v>
      </c>
      <c r="M106">
        <v>3204.32</v>
      </c>
      <c r="N106">
        <v>2.2000000000000002</v>
      </c>
      <c r="O106" t="s">
        <v>5050</v>
      </c>
    </row>
    <row r="107" spans="1:15" x14ac:dyDescent="0.3">
      <c r="A107" t="s">
        <v>315</v>
      </c>
      <c r="B107" t="s">
        <v>16</v>
      </c>
      <c r="C107" t="s">
        <v>5018</v>
      </c>
      <c r="D107" t="s">
        <v>11</v>
      </c>
      <c r="E107">
        <v>47</v>
      </c>
      <c r="F107" t="s">
        <v>5055</v>
      </c>
      <c r="G107" s="1">
        <v>43879</v>
      </c>
      <c r="H107">
        <v>2020</v>
      </c>
      <c r="I107" t="s">
        <v>5042</v>
      </c>
      <c r="J107">
        <v>18</v>
      </c>
      <c r="K107">
        <v>4.9000000000000004</v>
      </c>
      <c r="L107">
        <v>2</v>
      </c>
      <c r="M107">
        <v>8688.1</v>
      </c>
      <c r="N107">
        <v>5.7</v>
      </c>
      <c r="O107" t="s">
        <v>5049</v>
      </c>
    </row>
    <row r="108" spans="1:15" x14ac:dyDescent="0.3">
      <c r="A108" t="s">
        <v>319</v>
      </c>
      <c r="B108" t="s">
        <v>34</v>
      </c>
      <c r="C108" t="s">
        <v>5020</v>
      </c>
      <c r="D108" t="s">
        <v>14</v>
      </c>
      <c r="E108">
        <v>32</v>
      </c>
      <c r="F108" t="s">
        <v>5055</v>
      </c>
      <c r="G108" s="1">
        <v>44636</v>
      </c>
      <c r="H108">
        <v>2022</v>
      </c>
      <c r="I108" t="s">
        <v>5035</v>
      </c>
      <c r="J108">
        <v>16</v>
      </c>
      <c r="K108">
        <v>4.7300000000000004</v>
      </c>
      <c r="L108">
        <v>1</v>
      </c>
      <c r="M108">
        <v>14964.04</v>
      </c>
      <c r="N108">
        <v>3.6</v>
      </c>
      <c r="O108" t="s">
        <v>5050</v>
      </c>
    </row>
    <row r="109" spans="1:15" x14ac:dyDescent="0.3">
      <c r="A109" t="s">
        <v>330</v>
      </c>
      <c r="B109" t="s">
        <v>18</v>
      </c>
      <c r="C109" t="s">
        <v>5021</v>
      </c>
      <c r="D109" t="s">
        <v>11</v>
      </c>
      <c r="E109">
        <v>43</v>
      </c>
      <c r="F109" t="s">
        <v>5055</v>
      </c>
      <c r="G109" s="1">
        <v>43881</v>
      </c>
      <c r="H109">
        <v>2020</v>
      </c>
      <c r="I109" t="s">
        <v>5042</v>
      </c>
      <c r="J109">
        <v>20</v>
      </c>
      <c r="K109">
        <v>3.9</v>
      </c>
      <c r="L109">
        <v>6</v>
      </c>
      <c r="M109">
        <v>7913.81</v>
      </c>
      <c r="N109">
        <v>5.7</v>
      </c>
      <c r="O109" t="s">
        <v>5049</v>
      </c>
    </row>
    <row r="110" spans="1:15" x14ac:dyDescent="0.3">
      <c r="A110" t="s">
        <v>331</v>
      </c>
      <c r="B110" t="s">
        <v>13</v>
      </c>
      <c r="C110" t="s">
        <v>5017</v>
      </c>
      <c r="D110" t="s">
        <v>14</v>
      </c>
      <c r="E110">
        <v>22</v>
      </c>
      <c r="F110" t="s">
        <v>5057</v>
      </c>
      <c r="G110" s="1">
        <v>44382</v>
      </c>
      <c r="H110">
        <v>2021</v>
      </c>
      <c r="I110" t="s">
        <v>5034</v>
      </c>
      <c r="J110">
        <v>5</v>
      </c>
      <c r="K110">
        <v>1.62</v>
      </c>
      <c r="L110">
        <v>13</v>
      </c>
      <c r="M110">
        <v>13571.01</v>
      </c>
      <c r="N110">
        <v>4.3</v>
      </c>
      <c r="O110" t="s">
        <v>5050</v>
      </c>
    </row>
    <row r="111" spans="1:15" x14ac:dyDescent="0.3">
      <c r="A111" t="s">
        <v>333</v>
      </c>
      <c r="B111" t="s">
        <v>13</v>
      </c>
      <c r="C111" t="s">
        <v>5017</v>
      </c>
      <c r="D111" t="s">
        <v>11</v>
      </c>
      <c r="E111">
        <v>35</v>
      </c>
      <c r="F111" t="s">
        <v>5055</v>
      </c>
      <c r="G111" s="1">
        <v>44051</v>
      </c>
      <c r="H111">
        <v>2020</v>
      </c>
      <c r="I111" t="s">
        <v>5031</v>
      </c>
      <c r="J111">
        <v>8</v>
      </c>
      <c r="K111">
        <v>4.0199999999999996</v>
      </c>
      <c r="L111">
        <v>11</v>
      </c>
      <c r="M111">
        <v>5463.38</v>
      </c>
      <c r="N111">
        <v>5.2</v>
      </c>
      <c r="O111" t="s">
        <v>5049</v>
      </c>
    </row>
    <row r="112" spans="1:15" x14ac:dyDescent="0.3">
      <c r="A112" t="s">
        <v>335</v>
      </c>
      <c r="B112" t="s">
        <v>24</v>
      </c>
      <c r="C112" t="s">
        <v>5019</v>
      </c>
      <c r="D112" t="s">
        <v>14</v>
      </c>
      <c r="E112">
        <v>45</v>
      </c>
      <c r="F112" t="s">
        <v>5055</v>
      </c>
      <c r="G112" s="1">
        <v>44929</v>
      </c>
      <c r="H112">
        <v>2023</v>
      </c>
      <c r="I112" t="s">
        <v>5037</v>
      </c>
      <c r="J112">
        <v>3</v>
      </c>
      <c r="K112">
        <v>1.97</v>
      </c>
      <c r="L112">
        <v>7</v>
      </c>
      <c r="M112">
        <v>5366.6</v>
      </c>
      <c r="N112">
        <v>2.8</v>
      </c>
      <c r="O112" t="s">
        <v>5050</v>
      </c>
    </row>
    <row r="113" spans="1:15" x14ac:dyDescent="0.3">
      <c r="A113" t="s">
        <v>337</v>
      </c>
      <c r="B113" t="s">
        <v>16</v>
      </c>
      <c r="C113" t="s">
        <v>5018</v>
      </c>
      <c r="D113" t="s">
        <v>14</v>
      </c>
      <c r="E113">
        <v>44</v>
      </c>
      <c r="F113" t="s">
        <v>5055</v>
      </c>
      <c r="G113" s="1">
        <v>44772</v>
      </c>
      <c r="H113">
        <v>2022</v>
      </c>
      <c r="I113" t="s">
        <v>5034</v>
      </c>
      <c r="J113">
        <v>30</v>
      </c>
      <c r="K113">
        <v>4.08</v>
      </c>
      <c r="L113">
        <v>2</v>
      </c>
      <c r="M113">
        <v>12806.91</v>
      </c>
      <c r="N113">
        <v>3.3</v>
      </c>
      <c r="O113" t="s">
        <v>5050</v>
      </c>
    </row>
    <row r="114" spans="1:15" x14ac:dyDescent="0.3">
      <c r="A114" t="s">
        <v>339</v>
      </c>
      <c r="B114" t="s">
        <v>18</v>
      </c>
      <c r="C114" t="s">
        <v>5021</v>
      </c>
      <c r="D114" t="s">
        <v>11</v>
      </c>
      <c r="E114">
        <v>40</v>
      </c>
      <c r="F114" t="s">
        <v>5055</v>
      </c>
      <c r="G114" s="1">
        <v>44736</v>
      </c>
      <c r="H114">
        <v>2022</v>
      </c>
      <c r="I114" t="s">
        <v>5032</v>
      </c>
      <c r="J114">
        <v>24</v>
      </c>
      <c r="K114">
        <v>3.08</v>
      </c>
      <c r="L114">
        <v>14</v>
      </c>
      <c r="M114">
        <v>14299.02</v>
      </c>
      <c r="N114">
        <v>3.4</v>
      </c>
      <c r="O114" t="s">
        <v>5050</v>
      </c>
    </row>
    <row r="115" spans="1:15" x14ac:dyDescent="0.3">
      <c r="A115" t="s">
        <v>341</v>
      </c>
      <c r="B115" t="s">
        <v>24</v>
      </c>
      <c r="C115" t="s">
        <v>5019</v>
      </c>
      <c r="D115" t="s">
        <v>14</v>
      </c>
      <c r="E115">
        <v>38</v>
      </c>
      <c r="F115" t="s">
        <v>5055</v>
      </c>
      <c r="G115" s="1">
        <v>43888</v>
      </c>
      <c r="H115">
        <v>2020</v>
      </c>
      <c r="I115" t="s">
        <v>5042</v>
      </c>
      <c r="J115">
        <v>27</v>
      </c>
      <c r="K115">
        <v>2.89</v>
      </c>
      <c r="L115">
        <v>1</v>
      </c>
      <c r="M115">
        <v>14439.02</v>
      </c>
      <c r="N115">
        <v>5.7</v>
      </c>
      <c r="O115" t="s">
        <v>5049</v>
      </c>
    </row>
    <row r="116" spans="1:15" x14ac:dyDescent="0.3">
      <c r="A116" t="s">
        <v>342</v>
      </c>
      <c r="B116" t="s">
        <v>13</v>
      </c>
      <c r="C116" t="s">
        <v>5017</v>
      </c>
      <c r="D116" t="s">
        <v>14</v>
      </c>
      <c r="E116">
        <v>56</v>
      </c>
      <c r="F116" t="s">
        <v>5056</v>
      </c>
      <c r="G116" s="1">
        <v>44367</v>
      </c>
      <c r="H116">
        <v>2021</v>
      </c>
      <c r="I116" t="s">
        <v>5032</v>
      </c>
      <c r="J116">
        <v>20</v>
      </c>
      <c r="K116">
        <v>4.8600000000000003</v>
      </c>
      <c r="L116">
        <v>7</v>
      </c>
      <c r="M116">
        <v>6508.13</v>
      </c>
      <c r="N116">
        <v>4.4000000000000004</v>
      </c>
      <c r="O116" t="s">
        <v>5050</v>
      </c>
    </row>
    <row r="117" spans="1:15" x14ac:dyDescent="0.3">
      <c r="A117" t="s">
        <v>347</v>
      </c>
      <c r="B117" t="s">
        <v>24</v>
      </c>
      <c r="C117" t="s">
        <v>5019</v>
      </c>
      <c r="D117" t="s">
        <v>11</v>
      </c>
      <c r="E117">
        <v>47</v>
      </c>
      <c r="F117" t="s">
        <v>5055</v>
      </c>
      <c r="G117" s="1">
        <v>44147</v>
      </c>
      <c r="H117">
        <v>2020</v>
      </c>
      <c r="I117" t="s">
        <v>5038</v>
      </c>
      <c r="J117">
        <v>12</v>
      </c>
      <c r="K117">
        <v>3.17</v>
      </c>
      <c r="L117">
        <v>15</v>
      </c>
      <c r="M117">
        <v>12085.97</v>
      </c>
      <c r="N117">
        <v>5</v>
      </c>
      <c r="O117" t="s">
        <v>5050</v>
      </c>
    </row>
    <row r="118" spans="1:15" x14ac:dyDescent="0.3">
      <c r="A118" t="s">
        <v>355</v>
      </c>
      <c r="B118" t="s">
        <v>18</v>
      </c>
      <c r="C118" t="s">
        <v>5021</v>
      </c>
      <c r="D118" t="s">
        <v>11</v>
      </c>
      <c r="E118">
        <v>36</v>
      </c>
      <c r="F118" t="s">
        <v>5055</v>
      </c>
      <c r="G118" s="1">
        <v>44089</v>
      </c>
      <c r="H118">
        <v>2020</v>
      </c>
      <c r="I118" t="s">
        <v>5033</v>
      </c>
      <c r="J118">
        <v>15</v>
      </c>
      <c r="K118">
        <v>2.56</v>
      </c>
      <c r="L118">
        <v>3</v>
      </c>
      <c r="M118">
        <v>4706.3500000000004</v>
      </c>
      <c r="N118">
        <v>5.0999999999999996</v>
      </c>
      <c r="O118" t="s">
        <v>5049</v>
      </c>
    </row>
    <row r="119" spans="1:15" x14ac:dyDescent="0.3">
      <c r="A119" t="s">
        <v>358</v>
      </c>
      <c r="B119" t="s">
        <v>10</v>
      </c>
      <c r="C119" t="s">
        <v>5022</v>
      </c>
      <c r="D119" t="s">
        <v>11</v>
      </c>
      <c r="E119">
        <v>37</v>
      </c>
      <c r="F119" t="s">
        <v>5055</v>
      </c>
      <c r="G119" s="1">
        <v>45113</v>
      </c>
      <c r="H119">
        <v>2023</v>
      </c>
      <c r="I119" t="s">
        <v>5034</v>
      </c>
      <c r="J119">
        <v>6</v>
      </c>
      <c r="K119">
        <v>4.2300000000000004</v>
      </c>
      <c r="L119">
        <v>8</v>
      </c>
      <c r="M119">
        <v>12192.46</v>
      </c>
      <c r="N119">
        <v>2.2999999999999998</v>
      </c>
      <c r="O119" t="s">
        <v>5050</v>
      </c>
    </row>
    <row r="120" spans="1:15" x14ac:dyDescent="0.3">
      <c r="A120" t="s">
        <v>364</v>
      </c>
      <c r="B120" t="s">
        <v>18</v>
      </c>
      <c r="C120" t="s">
        <v>5021</v>
      </c>
      <c r="D120" t="s">
        <v>11</v>
      </c>
      <c r="E120">
        <v>46</v>
      </c>
      <c r="F120" t="s">
        <v>5055</v>
      </c>
      <c r="G120" s="1">
        <v>44982</v>
      </c>
      <c r="H120">
        <v>2023</v>
      </c>
      <c r="I120" t="s">
        <v>5042</v>
      </c>
      <c r="J120">
        <v>25</v>
      </c>
      <c r="K120">
        <v>2.5</v>
      </c>
      <c r="L120">
        <v>8</v>
      </c>
      <c r="M120">
        <v>10846.41</v>
      </c>
      <c r="N120">
        <v>2.7</v>
      </c>
      <c r="O120" t="s">
        <v>5050</v>
      </c>
    </row>
    <row r="121" spans="1:15" x14ac:dyDescent="0.3">
      <c r="A121" t="s">
        <v>369</v>
      </c>
      <c r="B121" t="s">
        <v>24</v>
      </c>
      <c r="C121" t="s">
        <v>5019</v>
      </c>
      <c r="D121" t="s">
        <v>11</v>
      </c>
      <c r="E121">
        <v>26</v>
      </c>
      <c r="F121" t="s">
        <v>5057</v>
      </c>
      <c r="G121" s="1">
        <v>43941</v>
      </c>
      <c r="H121">
        <v>2020</v>
      </c>
      <c r="I121" t="s">
        <v>5040</v>
      </c>
      <c r="J121">
        <v>20</v>
      </c>
      <c r="K121">
        <v>4.57</v>
      </c>
      <c r="L121">
        <v>14</v>
      </c>
      <c r="M121">
        <v>8053.84</v>
      </c>
      <c r="N121">
        <v>5.5</v>
      </c>
      <c r="O121" t="s">
        <v>5049</v>
      </c>
    </row>
    <row r="122" spans="1:15" x14ac:dyDescent="0.3">
      <c r="A122" t="s">
        <v>377</v>
      </c>
      <c r="B122" t="s">
        <v>16</v>
      </c>
      <c r="C122" t="s">
        <v>5018</v>
      </c>
      <c r="D122" t="s">
        <v>11</v>
      </c>
      <c r="E122">
        <v>51</v>
      </c>
      <c r="F122" t="s">
        <v>5056</v>
      </c>
      <c r="G122" s="1">
        <v>45153</v>
      </c>
      <c r="H122">
        <v>2023</v>
      </c>
      <c r="I122" t="s">
        <v>5031</v>
      </c>
      <c r="J122">
        <v>15</v>
      </c>
      <c r="K122">
        <v>3.23</v>
      </c>
      <c r="L122">
        <v>11</v>
      </c>
      <c r="M122">
        <v>11485.75</v>
      </c>
      <c r="N122">
        <v>2.2000000000000002</v>
      </c>
      <c r="O122" t="s">
        <v>5050</v>
      </c>
    </row>
    <row r="123" spans="1:15" x14ac:dyDescent="0.3">
      <c r="A123" t="s">
        <v>380</v>
      </c>
      <c r="B123" t="s">
        <v>18</v>
      </c>
      <c r="C123" t="s">
        <v>5021</v>
      </c>
      <c r="D123" t="s">
        <v>14</v>
      </c>
      <c r="E123">
        <v>50</v>
      </c>
      <c r="F123" t="s">
        <v>5055</v>
      </c>
      <c r="G123" s="1">
        <v>44565</v>
      </c>
      <c r="H123">
        <v>2022</v>
      </c>
      <c r="I123" t="s">
        <v>5037</v>
      </c>
      <c r="J123">
        <v>4</v>
      </c>
      <c r="K123">
        <v>4.95</v>
      </c>
      <c r="L123">
        <v>0</v>
      </c>
      <c r="M123">
        <v>11716.94</v>
      </c>
      <c r="N123">
        <v>3.8</v>
      </c>
      <c r="O123" t="s">
        <v>5050</v>
      </c>
    </row>
    <row r="124" spans="1:15" x14ac:dyDescent="0.3">
      <c r="A124" t="s">
        <v>383</v>
      </c>
      <c r="B124" t="s">
        <v>16</v>
      </c>
      <c r="C124" t="s">
        <v>5018</v>
      </c>
      <c r="D124" t="s">
        <v>11</v>
      </c>
      <c r="E124">
        <v>51</v>
      </c>
      <c r="F124" t="s">
        <v>5056</v>
      </c>
      <c r="G124" s="1">
        <v>45411</v>
      </c>
      <c r="H124">
        <v>2024</v>
      </c>
      <c r="I124" t="s">
        <v>5040</v>
      </c>
      <c r="J124">
        <v>29</v>
      </c>
      <c r="K124">
        <v>2.68</v>
      </c>
      <c r="L124">
        <v>1</v>
      </c>
      <c r="M124">
        <v>13534.6</v>
      </c>
      <c r="N124">
        <v>1.5</v>
      </c>
      <c r="O124" t="s">
        <v>5050</v>
      </c>
    </row>
    <row r="125" spans="1:15" x14ac:dyDescent="0.3">
      <c r="A125" t="s">
        <v>385</v>
      </c>
      <c r="B125" t="s">
        <v>16</v>
      </c>
      <c r="C125" t="s">
        <v>5018</v>
      </c>
      <c r="D125" t="s">
        <v>14</v>
      </c>
      <c r="E125">
        <v>33</v>
      </c>
      <c r="F125" t="s">
        <v>5055</v>
      </c>
      <c r="G125" s="1">
        <v>45126</v>
      </c>
      <c r="H125">
        <v>2023</v>
      </c>
      <c r="I125" t="s">
        <v>5034</v>
      </c>
      <c r="J125">
        <v>19</v>
      </c>
      <c r="K125">
        <v>2.08</v>
      </c>
      <c r="L125">
        <v>15</v>
      </c>
      <c r="M125">
        <v>13261.45</v>
      </c>
      <c r="N125">
        <v>2.2999999999999998</v>
      </c>
      <c r="O125" t="s">
        <v>5050</v>
      </c>
    </row>
    <row r="126" spans="1:15" x14ac:dyDescent="0.3">
      <c r="A126" t="s">
        <v>389</v>
      </c>
      <c r="B126" t="s">
        <v>34</v>
      </c>
      <c r="C126" t="s">
        <v>5020</v>
      </c>
      <c r="D126" t="s">
        <v>14</v>
      </c>
      <c r="E126">
        <v>54</v>
      </c>
      <c r="F126" t="s">
        <v>5056</v>
      </c>
      <c r="G126" s="1">
        <v>44322</v>
      </c>
      <c r="H126">
        <v>2021</v>
      </c>
      <c r="I126" t="s">
        <v>5036</v>
      </c>
      <c r="J126">
        <v>6</v>
      </c>
      <c r="K126">
        <v>4.03</v>
      </c>
      <c r="L126">
        <v>9</v>
      </c>
      <c r="M126">
        <v>3128.85</v>
      </c>
      <c r="N126">
        <v>4.5</v>
      </c>
      <c r="O126" t="s">
        <v>5050</v>
      </c>
    </row>
    <row r="127" spans="1:15" x14ac:dyDescent="0.3">
      <c r="A127" t="s">
        <v>392</v>
      </c>
      <c r="B127" t="s">
        <v>16</v>
      </c>
      <c r="C127" t="s">
        <v>5018</v>
      </c>
      <c r="D127" t="s">
        <v>11</v>
      </c>
      <c r="E127">
        <v>54</v>
      </c>
      <c r="F127" t="s">
        <v>5056</v>
      </c>
      <c r="G127" s="1">
        <v>45521</v>
      </c>
      <c r="H127">
        <v>2024</v>
      </c>
      <c r="I127" t="s">
        <v>5031</v>
      </c>
      <c r="J127">
        <v>17</v>
      </c>
      <c r="K127">
        <v>3.94</v>
      </c>
      <c r="L127">
        <v>0</v>
      </c>
      <c r="M127">
        <v>6462.09</v>
      </c>
      <c r="N127">
        <v>1.2</v>
      </c>
      <c r="O127" t="s">
        <v>5050</v>
      </c>
    </row>
    <row r="128" spans="1:15" x14ac:dyDescent="0.3">
      <c r="A128" t="s">
        <v>400</v>
      </c>
      <c r="B128" t="s">
        <v>34</v>
      </c>
      <c r="C128" t="s">
        <v>5020</v>
      </c>
      <c r="D128" t="s">
        <v>11</v>
      </c>
      <c r="E128">
        <v>23</v>
      </c>
      <c r="F128" t="s">
        <v>5057</v>
      </c>
      <c r="G128" s="1">
        <v>45499</v>
      </c>
      <c r="H128">
        <v>2024</v>
      </c>
      <c r="I128" t="s">
        <v>5034</v>
      </c>
      <c r="J128">
        <v>26</v>
      </c>
      <c r="K128">
        <v>1.58</v>
      </c>
      <c r="L128">
        <v>1</v>
      </c>
      <c r="M128">
        <v>9128.7999999999993</v>
      </c>
      <c r="N128">
        <v>1.3</v>
      </c>
      <c r="O128" t="s">
        <v>5050</v>
      </c>
    </row>
    <row r="129" spans="1:15" x14ac:dyDescent="0.3">
      <c r="A129" t="s">
        <v>405</v>
      </c>
      <c r="B129" t="s">
        <v>10</v>
      </c>
      <c r="C129" t="s">
        <v>5022</v>
      </c>
      <c r="D129" t="s">
        <v>14</v>
      </c>
      <c r="E129">
        <v>51</v>
      </c>
      <c r="F129" t="s">
        <v>5056</v>
      </c>
      <c r="G129" s="1">
        <v>44723</v>
      </c>
      <c r="H129">
        <v>2022</v>
      </c>
      <c r="I129" t="s">
        <v>5032</v>
      </c>
      <c r="J129">
        <v>11</v>
      </c>
      <c r="K129">
        <v>4.4000000000000004</v>
      </c>
      <c r="L129">
        <v>5</v>
      </c>
      <c r="M129">
        <v>9767.85</v>
      </c>
      <c r="N129">
        <v>3.4</v>
      </c>
      <c r="O129" t="s">
        <v>5050</v>
      </c>
    </row>
    <row r="130" spans="1:15" x14ac:dyDescent="0.3">
      <c r="A130" t="s">
        <v>408</v>
      </c>
      <c r="B130" t="s">
        <v>13</v>
      </c>
      <c r="C130" t="s">
        <v>5017</v>
      </c>
      <c r="D130" t="s">
        <v>11</v>
      </c>
      <c r="E130">
        <v>49</v>
      </c>
      <c r="F130" t="s">
        <v>5055</v>
      </c>
      <c r="G130" s="1">
        <v>45275</v>
      </c>
      <c r="H130">
        <v>2023</v>
      </c>
      <c r="I130" t="s">
        <v>5041</v>
      </c>
      <c r="J130">
        <v>15</v>
      </c>
      <c r="K130">
        <v>3.49</v>
      </c>
      <c r="L130">
        <v>1</v>
      </c>
      <c r="M130">
        <v>7956.48</v>
      </c>
      <c r="N130">
        <v>1.9</v>
      </c>
      <c r="O130" t="s">
        <v>5050</v>
      </c>
    </row>
    <row r="131" spans="1:15" x14ac:dyDescent="0.3">
      <c r="A131" t="s">
        <v>411</v>
      </c>
      <c r="B131" t="s">
        <v>13</v>
      </c>
      <c r="C131" t="s">
        <v>5017</v>
      </c>
      <c r="D131" t="s">
        <v>14</v>
      </c>
      <c r="E131">
        <v>31</v>
      </c>
      <c r="F131" t="s">
        <v>5057</v>
      </c>
      <c r="G131" s="1">
        <v>44097</v>
      </c>
      <c r="H131">
        <v>2020</v>
      </c>
      <c r="I131" t="s">
        <v>5033</v>
      </c>
      <c r="J131">
        <v>23</v>
      </c>
      <c r="K131">
        <v>4.2699999999999996</v>
      </c>
      <c r="L131">
        <v>13</v>
      </c>
      <c r="M131">
        <v>4630.8900000000003</v>
      </c>
      <c r="N131">
        <v>5.0999999999999996</v>
      </c>
      <c r="O131" t="s">
        <v>5049</v>
      </c>
    </row>
    <row r="132" spans="1:15" x14ac:dyDescent="0.3">
      <c r="A132" t="s">
        <v>413</v>
      </c>
      <c r="B132" t="s">
        <v>18</v>
      </c>
      <c r="C132" t="s">
        <v>5021</v>
      </c>
      <c r="D132" t="s">
        <v>14</v>
      </c>
      <c r="E132">
        <v>28</v>
      </c>
      <c r="F132" t="s">
        <v>5057</v>
      </c>
      <c r="G132" s="1">
        <v>44522</v>
      </c>
      <c r="H132">
        <v>2021</v>
      </c>
      <c r="I132" t="s">
        <v>5038</v>
      </c>
      <c r="J132">
        <v>22</v>
      </c>
      <c r="K132">
        <v>3.67</v>
      </c>
      <c r="L132">
        <v>9</v>
      </c>
      <c r="M132">
        <v>4217.78</v>
      </c>
      <c r="N132">
        <v>3.9</v>
      </c>
      <c r="O132" t="s">
        <v>5050</v>
      </c>
    </row>
    <row r="133" spans="1:15" x14ac:dyDescent="0.3">
      <c r="A133" t="s">
        <v>415</v>
      </c>
      <c r="B133" t="s">
        <v>10</v>
      </c>
      <c r="C133" t="s">
        <v>5022</v>
      </c>
      <c r="D133" t="s">
        <v>14</v>
      </c>
      <c r="E133">
        <v>26</v>
      </c>
      <c r="F133" t="s">
        <v>5057</v>
      </c>
      <c r="G133" s="1">
        <v>45784</v>
      </c>
      <c r="H133">
        <v>2025</v>
      </c>
      <c r="I133" t="s">
        <v>5036</v>
      </c>
      <c r="J133">
        <v>7</v>
      </c>
      <c r="K133">
        <v>4.18</v>
      </c>
      <c r="L133">
        <v>14</v>
      </c>
      <c r="M133">
        <v>8344.8799999999992</v>
      </c>
      <c r="N133">
        <v>0.5</v>
      </c>
      <c r="O133" t="s">
        <v>5051</v>
      </c>
    </row>
    <row r="134" spans="1:15" x14ac:dyDescent="0.3">
      <c r="A134" t="s">
        <v>418</v>
      </c>
      <c r="B134" t="s">
        <v>34</v>
      </c>
      <c r="C134" t="s">
        <v>5020</v>
      </c>
      <c r="D134" t="s">
        <v>11</v>
      </c>
      <c r="E134">
        <v>27</v>
      </c>
      <c r="F134" t="s">
        <v>5057</v>
      </c>
      <c r="G134" s="1">
        <v>45611</v>
      </c>
      <c r="H134">
        <v>2024</v>
      </c>
      <c r="I134" t="s">
        <v>5038</v>
      </c>
      <c r="J134">
        <v>15</v>
      </c>
      <c r="K134">
        <v>3.03</v>
      </c>
      <c r="L134">
        <v>14</v>
      </c>
      <c r="M134">
        <v>8777.73</v>
      </c>
      <c r="N134">
        <v>1</v>
      </c>
      <c r="O134" t="s">
        <v>5051</v>
      </c>
    </row>
    <row r="135" spans="1:15" x14ac:dyDescent="0.3">
      <c r="A135" t="s">
        <v>420</v>
      </c>
      <c r="B135" t="s">
        <v>18</v>
      </c>
      <c r="C135" t="s">
        <v>5021</v>
      </c>
      <c r="D135" t="s">
        <v>11</v>
      </c>
      <c r="E135">
        <v>46</v>
      </c>
      <c r="F135" t="s">
        <v>5055</v>
      </c>
      <c r="G135" s="1">
        <v>45852</v>
      </c>
      <c r="H135">
        <v>2025</v>
      </c>
      <c r="I135" t="s">
        <v>5034</v>
      </c>
      <c r="J135">
        <v>14</v>
      </c>
      <c r="K135">
        <v>4.12</v>
      </c>
      <c r="L135">
        <v>13</v>
      </c>
      <c r="M135">
        <v>13154.8</v>
      </c>
      <c r="N135">
        <v>0.3</v>
      </c>
      <c r="O135" t="s">
        <v>5051</v>
      </c>
    </row>
    <row r="136" spans="1:15" x14ac:dyDescent="0.3">
      <c r="A136" t="s">
        <v>422</v>
      </c>
      <c r="B136" t="s">
        <v>34</v>
      </c>
      <c r="C136" t="s">
        <v>5020</v>
      </c>
      <c r="D136" t="s">
        <v>11</v>
      </c>
      <c r="E136">
        <v>33</v>
      </c>
      <c r="F136" t="s">
        <v>5055</v>
      </c>
      <c r="G136" s="1">
        <v>45005</v>
      </c>
      <c r="H136">
        <v>2023</v>
      </c>
      <c r="I136" t="s">
        <v>5035</v>
      </c>
      <c r="J136">
        <v>20</v>
      </c>
      <c r="K136">
        <v>1.96</v>
      </c>
      <c r="L136">
        <v>1</v>
      </c>
      <c r="M136">
        <v>11176.02</v>
      </c>
      <c r="N136">
        <v>2.6</v>
      </c>
      <c r="O136" t="s">
        <v>5050</v>
      </c>
    </row>
    <row r="137" spans="1:15" x14ac:dyDescent="0.3">
      <c r="A137" t="s">
        <v>432</v>
      </c>
      <c r="B137" t="s">
        <v>13</v>
      </c>
      <c r="C137" t="s">
        <v>5017</v>
      </c>
      <c r="D137" t="s">
        <v>11</v>
      </c>
      <c r="E137">
        <v>60</v>
      </c>
      <c r="F137" t="s">
        <v>5056</v>
      </c>
      <c r="G137" s="1">
        <v>45116</v>
      </c>
      <c r="H137">
        <v>2023</v>
      </c>
      <c r="I137" t="s">
        <v>5034</v>
      </c>
      <c r="J137">
        <v>9</v>
      </c>
      <c r="K137">
        <v>3.81</v>
      </c>
      <c r="L137">
        <v>7</v>
      </c>
      <c r="M137">
        <v>8698.41</v>
      </c>
      <c r="N137">
        <v>2.2999999999999998</v>
      </c>
      <c r="O137" t="s">
        <v>5050</v>
      </c>
    </row>
    <row r="138" spans="1:15" x14ac:dyDescent="0.3">
      <c r="A138" t="s">
        <v>433</v>
      </c>
      <c r="B138" t="s">
        <v>13</v>
      </c>
      <c r="C138" t="s">
        <v>5017</v>
      </c>
      <c r="D138" t="s">
        <v>11</v>
      </c>
      <c r="E138">
        <v>58</v>
      </c>
      <c r="F138" t="s">
        <v>5056</v>
      </c>
      <c r="G138" s="1">
        <v>45912</v>
      </c>
      <c r="H138">
        <v>2025</v>
      </c>
      <c r="I138" t="s">
        <v>5033</v>
      </c>
      <c r="J138">
        <v>12</v>
      </c>
      <c r="K138">
        <v>3.6</v>
      </c>
      <c r="L138">
        <v>12</v>
      </c>
      <c r="M138">
        <v>7376.43</v>
      </c>
      <c r="N138">
        <v>0.1</v>
      </c>
      <c r="O138" t="s">
        <v>5051</v>
      </c>
    </row>
    <row r="139" spans="1:15" x14ac:dyDescent="0.3">
      <c r="A139" t="s">
        <v>434</v>
      </c>
      <c r="B139" t="s">
        <v>18</v>
      </c>
      <c r="C139" t="s">
        <v>5021</v>
      </c>
      <c r="D139" t="s">
        <v>11</v>
      </c>
      <c r="E139">
        <v>36</v>
      </c>
      <c r="F139" t="s">
        <v>5055</v>
      </c>
      <c r="G139" s="1">
        <v>45895</v>
      </c>
      <c r="H139">
        <v>2025</v>
      </c>
      <c r="I139" t="s">
        <v>5031</v>
      </c>
      <c r="J139">
        <v>26</v>
      </c>
      <c r="K139">
        <v>3.41</v>
      </c>
      <c r="L139">
        <v>10</v>
      </c>
      <c r="M139">
        <v>10805.6</v>
      </c>
      <c r="N139">
        <v>0.2</v>
      </c>
      <c r="O139" t="s">
        <v>5051</v>
      </c>
    </row>
    <row r="140" spans="1:15" x14ac:dyDescent="0.3">
      <c r="A140" t="s">
        <v>435</v>
      </c>
      <c r="B140" t="s">
        <v>10</v>
      </c>
      <c r="C140" t="s">
        <v>5022</v>
      </c>
      <c r="D140" t="s">
        <v>14</v>
      </c>
      <c r="E140">
        <v>39</v>
      </c>
      <c r="F140" t="s">
        <v>5055</v>
      </c>
      <c r="G140" s="1">
        <v>45058</v>
      </c>
      <c r="H140">
        <v>2023</v>
      </c>
      <c r="I140" t="s">
        <v>5036</v>
      </c>
      <c r="J140">
        <v>12</v>
      </c>
      <c r="K140">
        <v>3.55</v>
      </c>
      <c r="L140">
        <v>4</v>
      </c>
      <c r="M140">
        <v>8562.5300000000007</v>
      </c>
      <c r="N140">
        <v>2.5</v>
      </c>
      <c r="O140" t="s">
        <v>5050</v>
      </c>
    </row>
    <row r="141" spans="1:15" x14ac:dyDescent="0.3">
      <c r="A141" t="s">
        <v>437</v>
      </c>
      <c r="B141" t="s">
        <v>16</v>
      </c>
      <c r="C141" t="s">
        <v>5018</v>
      </c>
      <c r="D141" t="s">
        <v>14</v>
      </c>
      <c r="E141">
        <v>54</v>
      </c>
      <c r="F141" t="s">
        <v>5056</v>
      </c>
      <c r="G141" s="1">
        <v>45158</v>
      </c>
      <c r="H141">
        <v>2023</v>
      </c>
      <c r="I141" t="s">
        <v>5031</v>
      </c>
      <c r="J141">
        <v>20</v>
      </c>
      <c r="K141">
        <v>2.15</v>
      </c>
      <c r="L141">
        <v>12</v>
      </c>
      <c r="M141">
        <v>10663.48</v>
      </c>
      <c r="N141">
        <v>2.2000000000000002</v>
      </c>
      <c r="O141" t="s">
        <v>5050</v>
      </c>
    </row>
    <row r="142" spans="1:15" x14ac:dyDescent="0.3">
      <c r="A142" t="s">
        <v>439</v>
      </c>
      <c r="B142" t="s">
        <v>24</v>
      </c>
      <c r="C142" t="s">
        <v>5019</v>
      </c>
      <c r="D142" t="s">
        <v>11</v>
      </c>
      <c r="E142">
        <v>37</v>
      </c>
      <c r="F142" t="s">
        <v>5055</v>
      </c>
      <c r="G142" s="1">
        <v>44719</v>
      </c>
      <c r="H142">
        <v>2022</v>
      </c>
      <c r="I142" t="s">
        <v>5032</v>
      </c>
      <c r="J142">
        <v>7</v>
      </c>
      <c r="K142">
        <v>1.86</v>
      </c>
      <c r="L142">
        <v>13</v>
      </c>
      <c r="M142">
        <v>3603.92</v>
      </c>
      <c r="N142">
        <v>3.4</v>
      </c>
      <c r="O142" t="s">
        <v>5050</v>
      </c>
    </row>
    <row r="143" spans="1:15" x14ac:dyDescent="0.3">
      <c r="A143" t="s">
        <v>444</v>
      </c>
      <c r="B143" t="s">
        <v>18</v>
      </c>
      <c r="C143" t="s">
        <v>5021</v>
      </c>
      <c r="D143" t="s">
        <v>11</v>
      </c>
      <c r="E143">
        <v>37</v>
      </c>
      <c r="F143" t="s">
        <v>5055</v>
      </c>
      <c r="G143" s="1">
        <v>44748</v>
      </c>
      <c r="H143">
        <v>2022</v>
      </c>
      <c r="I143" t="s">
        <v>5034</v>
      </c>
      <c r="J143">
        <v>6</v>
      </c>
      <c r="K143">
        <v>3.26</v>
      </c>
      <c r="L143">
        <v>8</v>
      </c>
      <c r="M143">
        <v>13688.81</v>
      </c>
      <c r="N143">
        <v>3.3</v>
      </c>
      <c r="O143" t="s">
        <v>5050</v>
      </c>
    </row>
    <row r="144" spans="1:15" x14ac:dyDescent="0.3">
      <c r="A144" t="s">
        <v>446</v>
      </c>
      <c r="B144" t="s">
        <v>13</v>
      </c>
      <c r="C144" t="s">
        <v>5017</v>
      </c>
      <c r="D144" t="s">
        <v>11</v>
      </c>
      <c r="E144">
        <v>45</v>
      </c>
      <c r="F144" t="s">
        <v>5055</v>
      </c>
      <c r="G144" s="1">
        <v>44676</v>
      </c>
      <c r="H144">
        <v>2022</v>
      </c>
      <c r="I144" t="s">
        <v>5040</v>
      </c>
      <c r="J144">
        <v>25</v>
      </c>
      <c r="K144">
        <v>4.68</v>
      </c>
      <c r="L144">
        <v>9</v>
      </c>
      <c r="M144">
        <v>5306.58</v>
      </c>
      <c r="N144">
        <v>3.5</v>
      </c>
      <c r="O144" t="s">
        <v>5050</v>
      </c>
    </row>
    <row r="145" spans="1:15" x14ac:dyDescent="0.3">
      <c r="A145" t="s">
        <v>447</v>
      </c>
      <c r="B145" t="s">
        <v>34</v>
      </c>
      <c r="C145" t="s">
        <v>5020</v>
      </c>
      <c r="D145" t="s">
        <v>14</v>
      </c>
      <c r="E145">
        <v>56</v>
      </c>
      <c r="F145" t="s">
        <v>5056</v>
      </c>
      <c r="G145" s="1">
        <v>44472</v>
      </c>
      <c r="H145">
        <v>2021</v>
      </c>
      <c r="I145" t="s">
        <v>5039</v>
      </c>
      <c r="J145">
        <v>3</v>
      </c>
      <c r="K145">
        <v>4.28</v>
      </c>
      <c r="L145">
        <v>12</v>
      </c>
      <c r="M145">
        <v>4876.57</v>
      </c>
      <c r="N145">
        <v>4.0999999999999996</v>
      </c>
      <c r="O145" t="s">
        <v>5050</v>
      </c>
    </row>
    <row r="146" spans="1:15" x14ac:dyDescent="0.3">
      <c r="A146" t="s">
        <v>451</v>
      </c>
      <c r="B146" t="s">
        <v>18</v>
      </c>
      <c r="C146" t="s">
        <v>5021</v>
      </c>
      <c r="D146" t="s">
        <v>11</v>
      </c>
      <c r="E146">
        <v>32</v>
      </c>
      <c r="F146" t="s">
        <v>5055</v>
      </c>
      <c r="G146" s="1">
        <v>44838</v>
      </c>
      <c r="H146">
        <v>2022</v>
      </c>
      <c r="I146" t="s">
        <v>5039</v>
      </c>
      <c r="J146">
        <v>4</v>
      </c>
      <c r="K146">
        <v>4.03</v>
      </c>
      <c r="L146">
        <v>8</v>
      </c>
      <c r="M146">
        <v>12941.15</v>
      </c>
      <c r="N146">
        <v>3.1</v>
      </c>
      <c r="O146" t="s">
        <v>5050</v>
      </c>
    </row>
    <row r="147" spans="1:15" x14ac:dyDescent="0.3">
      <c r="A147" t="s">
        <v>453</v>
      </c>
      <c r="B147" t="s">
        <v>18</v>
      </c>
      <c r="C147" t="s">
        <v>5021</v>
      </c>
      <c r="D147" t="s">
        <v>11</v>
      </c>
      <c r="E147">
        <v>29</v>
      </c>
      <c r="F147" t="s">
        <v>5057</v>
      </c>
      <c r="G147" s="1">
        <v>45598</v>
      </c>
      <c r="H147">
        <v>2024</v>
      </c>
      <c r="I147" t="s">
        <v>5038</v>
      </c>
      <c r="J147">
        <v>2</v>
      </c>
      <c r="K147">
        <v>4.7300000000000004</v>
      </c>
      <c r="L147">
        <v>7</v>
      </c>
      <c r="M147">
        <v>14476.24</v>
      </c>
      <c r="N147">
        <v>1</v>
      </c>
      <c r="O147" t="s">
        <v>5051</v>
      </c>
    </row>
    <row r="148" spans="1:15" x14ac:dyDescent="0.3">
      <c r="A148" t="s">
        <v>454</v>
      </c>
      <c r="B148" t="s">
        <v>18</v>
      </c>
      <c r="C148" t="s">
        <v>5021</v>
      </c>
      <c r="D148" t="s">
        <v>11</v>
      </c>
      <c r="E148">
        <v>58</v>
      </c>
      <c r="F148" t="s">
        <v>5056</v>
      </c>
      <c r="G148" s="1">
        <v>44742</v>
      </c>
      <c r="H148">
        <v>2022</v>
      </c>
      <c r="I148" t="s">
        <v>5032</v>
      </c>
      <c r="J148">
        <v>30</v>
      </c>
      <c r="K148">
        <v>2.79</v>
      </c>
      <c r="L148">
        <v>11</v>
      </c>
      <c r="M148">
        <v>8626.2900000000009</v>
      </c>
      <c r="N148">
        <v>3.3</v>
      </c>
      <c r="O148" t="s">
        <v>5050</v>
      </c>
    </row>
    <row r="149" spans="1:15" x14ac:dyDescent="0.3">
      <c r="A149" t="s">
        <v>455</v>
      </c>
      <c r="B149" t="s">
        <v>10</v>
      </c>
      <c r="C149" t="s">
        <v>5022</v>
      </c>
      <c r="D149" t="s">
        <v>14</v>
      </c>
      <c r="E149">
        <v>52</v>
      </c>
      <c r="F149" t="s">
        <v>5056</v>
      </c>
      <c r="G149" s="1">
        <v>43958</v>
      </c>
      <c r="H149">
        <v>2020</v>
      </c>
      <c r="I149" t="s">
        <v>5036</v>
      </c>
      <c r="J149">
        <v>7</v>
      </c>
      <c r="K149">
        <v>1.74</v>
      </c>
      <c r="L149">
        <v>3</v>
      </c>
      <c r="M149">
        <v>5769.38</v>
      </c>
      <c r="N149">
        <v>5.5</v>
      </c>
      <c r="O149" t="s">
        <v>5049</v>
      </c>
    </row>
    <row r="150" spans="1:15" x14ac:dyDescent="0.3">
      <c r="A150" t="s">
        <v>456</v>
      </c>
      <c r="B150" t="s">
        <v>34</v>
      </c>
      <c r="C150" t="s">
        <v>5020</v>
      </c>
      <c r="D150" t="s">
        <v>11</v>
      </c>
      <c r="E150">
        <v>26</v>
      </c>
      <c r="F150" t="s">
        <v>5057</v>
      </c>
      <c r="G150" s="1">
        <v>44814</v>
      </c>
      <c r="H150">
        <v>2022</v>
      </c>
      <c r="I150" t="s">
        <v>5033</v>
      </c>
      <c r="J150">
        <v>10</v>
      </c>
      <c r="K150">
        <v>3.89</v>
      </c>
      <c r="L150">
        <v>2</v>
      </c>
      <c r="M150">
        <v>9052.3700000000008</v>
      </c>
      <c r="N150">
        <v>3.1</v>
      </c>
      <c r="O150" t="s">
        <v>5050</v>
      </c>
    </row>
    <row r="151" spans="1:15" x14ac:dyDescent="0.3">
      <c r="A151" t="s">
        <v>458</v>
      </c>
      <c r="B151" t="s">
        <v>34</v>
      </c>
      <c r="C151" t="s">
        <v>5020</v>
      </c>
      <c r="D151" t="s">
        <v>14</v>
      </c>
      <c r="E151">
        <v>24</v>
      </c>
      <c r="F151" t="s">
        <v>5057</v>
      </c>
      <c r="G151" s="1">
        <v>45400</v>
      </c>
      <c r="H151">
        <v>2024</v>
      </c>
      <c r="I151" t="s">
        <v>5040</v>
      </c>
      <c r="J151">
        <v>18</v>
      </c>
      <c r="K151">
        <v>4.42</v>
      </c>
      <c r="L151">
        <v>1</v>
      </c>
      <c r="M151">
        <v>4202.7700000000004</v>
      </c>
      <c r="N151">
        <v>1.5</v>
      </c>
      <c r="O151" t="s">
        <v>5050</v>
      </c>
    </row>
    <row r="152" spans="1:15" x14ac:dyDescent="0.3">
      <c r="A152" t="s">
        <v>461</v>
      </c>
      <c r="B152" t="s">
        <v>13</v>
      </c>
      <c r="C152" t="s">
        <v>5017</v>
      </c>
      <c r="D152" t="s">
        <v>14</v>
      </c>
      <c r="E152">
        <v>44</v>
      </c>
      <c r="F152" t="s">
        <v>5055</v>
      </c>
      <c r="G152" s="1">
        <v>44790</v>
      </c>
      <c r="H152">
        <v>2022</v>
      </c>
      <c r="I152" t="s">
        <v>5031</v>
      </c>
      <c r="J152">
        <v>17</v>
      </c>
      <c r="K152">
        <v>2.37</v>
      </c>
      <c r="L152">
        <v>2</v>
      </c>
      <c r="M152">
        <v>12577.6</v>
      </c>
      <c r="N152">
        <v>3.2</v>
      </c>
      <c r="O152" t="s">
        <v>5050</v>
      </c>
    </row>
    <row r="153" spans="1:15" x14ac:dyDescent="0.3">
      <c r="A153" t="s">
        <v>462</v>
      </c>
      <c r="B153" t="s">
        <v>10</v>
      </c>
      <c r="C153" t="s">
        <v>5022</v>
      </c>
      <c r="D153" t="s">
        <v>11</v>
      </c>
      <c r="E153">
        <v>56</v>
      </c>
      <c r="F153" t="s">
        <v>5056</v>
      </c>
      <c r="G153" s="1">
        <v>44894</v>
      </c>
      <c r="H153">
        <v>2022</v>
      </c>
      <c r="I153" t="s">
        <v>5038</v>
      </c>
      <c r="J153">
        <v>29</v>
      </c>
      <c r="K153">
        <v>2.81</v>
      </c>
      <c r="L153">
        <v>1</v>
      </c>
      <c r="M153">
        <v>9872.42</v>
      </c>
      <c r="N153">
        <v>2.9</v>
      </c>
      <c r="O153" t="s">
        <v>5050</v>
      </c>
    </row>
    <row r="154" spans="1:15" x14ac:dyDescent="0.3">
      <c r="A154" t="s">
        <v>464</v>
      </c>
      <c r="B154" t="s">
        <v>18</v>
      </c>
      <c r="C154" t="s">
        <v>5021</v>
      </c>
      <c r="D154" t="s">
        <v>11</v>
      </c>
      <c r="E154">
        <v>24</v>
      </c>
      <c r="F154" t="s">
        <v>5057</v>
      </c>
      <c r="G154" s="1">
        <v>45403</v>
      </c>
      <c r="H154">
        <v>2024</v>
      </c>
      <c r="I154" t="s">
        <v>5040</v>
      </c>
      <c r="J154">
        <v>21</v>
      </c>
      <c r="K154">
        <v>2.2599999999999998</v>
      </c>
      <c r="L154">
        <v>7</v>
      </c>
      <c r="M154">
        <v>11088.66</v>
      </c>
      <c r="N154">
        <v>1.5</v>
      </c>
      <c r="O154" t="s">
        <v>5050</v>
      </c>
    </row>
    <row r="155" spans="1:15" x14ac:dyDescent="0.3">
      <c r="A155" t="s">
        <v>468</v>
      </c>
      <c r="B155" t="s">
        <v>10</v>
      </c>
      <c r="C155" t="s">
        <v>5022</v>
      </c>
      <c r="D155" t="s">
        <v>11</v>
      </c>
      <c r="E155">
        <v>45</v>
      </c>
      <c r="F155" t="s">
        <v>5055</v>
      </c>
      <c r="G155" s="1">
        <v>43886</v>
      </c>
      <c r="H155">
        <v>2020</v>
      </c>
      <c r="I155" t="s">
        <v>5042</v>
      </c>
      <c r="J155">
        <v>25</v>
      </c>
      <c r="K155">
        <v>3.66</v>
      </c>
      <c r="L155">
        <v>3</v>
      </c>
      <c r="M155">
        <v>12667.79</v>
      </c>
      <c r="N155">
        <v>5.7</v>
      </c>
      <c r="O155" t="s">
        <v>5049</v>
      </c>
    </row>
    <row r="156" spans="1:15" x14ac:dyDescent="0.3">
      <c r="A156" t="s">
        <v>471</v>
      </c>
      <c r="B156" t="s">
        <v>18</v>
      </c>
      <c r="C156" t="s">
        <v>5021</v>
      </c>
      <c r="D156" t="s">
        <v>11</v>
      </c>
      <c r="E156">
        <v>42</v>
      </c>
      <c r="F156" t="s">
        <v>5055</v>
      </c>
      <c r="G156" s="1">
        <v>44542</v>
      </c>
      <c r="H156">
        <v>2021</v>
      </c>
      <c r="I156" t="s">
        <v>5041</v>
      </c>
      <c r="J156">
        <v>12</v>
      </c>
      <c r="K156">
        <v>3.11</v>
      </c>
      <c r="L156">
        <v>5</v>
      </c>
      <c r="M156">
        <v>6580.28</v>
      </c>
      <c r="N156">
        <v>3.9</v>
      </c>
      <c r="O156" t="s">
        <v>5050</v>
      </c>
    </row>
    <row r="157" spans="1:15" x14ac:dyDescent="0.3">
      <c r="A157" t="s">
        <v>476</v>
      </c>
      <c r="B157" t="s">
        <v>16</v>
      </c>
      <c r="C157" t="s">
        <v>5018</v>
      </c>
      <c r="D157" t="s">
        <v>14</v>
      </c>
      <c r="E157">
        <v>43</v>
      </c>
      <c r="F157" t="s">
        <v>5055</v>
      </c>
      <c r="G157" s="1">
        <v>45472</v>
      </c>
      <c r="H157">
        <v>2024</v>
      </c>
      <c r="I157" t="s">
        <v>5032</v>
      </c>
      <c r="J157">
        <v>29</v>
      </c>
      <c r="K157">
        <v>1.73</v>
      </c>
      <c r="L157">
        <v>12</v>
      </c>
      <c r="M157">
        <v>13758.78</v>
      </c>
      <c r="N157">
        <v>1.3</v>
      </c>
      <c r="O157" t="s">
        <v>5050</v>
      </c>
    </row>
    <row r="158" spans="1:15" x14ac:dyDescent="0.3">
      <c r="A158" t="s">
        <v>477</v>
      </c>
      <c r="B158" t="s">
        <v>34</v>
      </c>
      <c r="C158" t="s">
        <v>5020</v>
      </c>
      <c r="D158" t="s">
        <v>14</v>
      </c>
      <c r="E158">
        <v>32</v>
      </c>
      <c r="F158" t="s">
        <v>5055</v>
      </c>
      <c r="G158" s="1">
        <v>44894</v>
      </c>
      <c r="H158">
        <v>2022</v>
      </c>
      <c r="I158" t="s">
        <v>5038</v>
      </c>
      <c r="J158">
        <v>29</v>
      </c>
      <c r="K158">
        <v>2.42</v>
      </c>
      <c r="L158">
        <v>3</v>
      </c>
      <c r="M158">
        <v>12780.89</v>
      </c>
      <c r="N158">
        <v>2.9</v>
      </c>
      <c r="O158" t="s">
        <v>5050</v>
      </c>
    </row>
    <row r="159" spans="1:15" x14ac:dyDescent="0.3">
      <c r="A159" t="s">
        <v>480</v>
      </c>
      <c r="B159" t="s">
        <v>18</v>
      </c>
      <c r="C159" t="s">
        <v>5021</v>
      </c>
      <c r="D159" t="s">
        <v>14</v>
      </c>
      <c r="E159">
        <v>28</v>
      </c>
      <c r="F159" t="s">
        <v>5057</v>
      </c>
      <c r="G159" s="1">
        <v>44804</v>
      </c>
      <c r="H159">
        <v>2022</v>
      </c>
      <c r="I159" t="s">
        <v>5031</v>
      </c>
      <c r="J159">
        <v>31</v>
      </c>
      <c r="K159">
        <v>3.36</v>
      </c>
      <c r="L159">
        <v>5</v>
      </c>
      <c r="M159">
        <v>5399.61</v>
      </c>
      <c r="N159">
        <v>3.2</v>
      </c>
      <c r="O159" t="s">
        <v>5050</v>
      </c>
    </row>
    <row r="160" spans="1:15" x14ac:dyDescent="0.3">
      <c r="A160" t="s">
        <v>481</v>
      </c>
      <c r="B160" t="s">
        <v>10</v>
      </c>
      <c r="C160" t="s">
        <v>5022</v>
      </c>
      <c r="D160" t="s">
        <v>11</v>
      </c>
      <c r="E160">
        <v>52</v>
      </c>
      <c r="F160" t="s">
        <v>5056</v>
      </c>
      <c r="G160" s="1">
        <v>44103</v>
      </c>
      <c r="H160">
        <v>2020</v>
      </c>
      <c r="I160" t="s">
        <v>5033</v>
      </c>
      <c r="J160">
        <v>29</v>
      </c>
      <c r="K160">
        <v>3.09</v>
      </c>
      <c r="L160">
        <v>13</v>
      </c>
      <c r="M160">
        <v>12005.09</v>
      </c>
      <c r="N160">
        <v>5.0999999999999996</v>
      </c>
      <c r="O160" t="s">
        <v>5049</v>
      </c>
    </row>
    <row r="161" spans="1:15" x14ac:dyDescent="0.3">
      <c r="A161" t="s">
        <v>487</v>
      </c>
      <c r="B161" t="s">
        <v>24</v>
      </c>
      <c r="C161" t="s">
        <v>5019</v>
      </c>
      <c r="D161" t="s">
        <v>11</v>
      </c>
      <c r="E161">
        <v>23</v>
      </c>
      <c r="F161" t="s">
        <v>5057</v>
      </c>
      <c r="G161" s="1">
        <v>43980</v>
      </c>
      <c r="H161">
        <v>2020</v>
      </c>
      <c r="I161" t="s">
        <v>5036</v>
      </c>
      <c r="J161">
        <v>29</v>
      </c>
      <c r="K161">
        <v>2.37</v>
      </c>
      <c r="L161">
        <v>14</v>
      </c>
      <c r="M161">
        <v>11033.94</v>
      </c>
      <c r="N161">
        <v>5.4</v>
      </c>
      <c r="O161" t="s">
        <v>5049</v>
      </c>
    </row>
    <row r="162" spans="1:15" x14ac:dyDescent="0.3">
      <c r="A162" t="s">
        <v>488</v>
      </c>
      <c r="B162" t="s">
        <v>34</v>
      </c>
      <c r="C162" t="s">
        <v>5020</v>
      </c>
      <c r="D162" t="s">
        <v>11</v>
      </c>
      <c r="E162">
        <v>59</v>
      </c>
      <c r="F162" t="s">
        <v>5056</v>
      </c>
      <c r="G162" s="1">
        <v>44859</v>
      </c>
      <c r="H162">
        <v>2022</v>
      </c>
      <c r="I162" t="s">
        <v>5039</v>
      </c>
      <c r="J162">
        <v>25</v>
      </c>
      <c r="K162">
        <v>4.5199999999999996</v>
      </c>
      <c r="L162">
        <v>14</v>
      </c>
      <c r="M162">
        <v>13097.49</v>
      </c>
      <c r="N162">
        <v>3</v>
      </c>
      <c r="O162" t="s">
        <v>5050</v>
      </c>
    </row>
    <row r="163" spans="1:15" x14ac:dyDescent="0.3">
      <c r="A163" t="s">
        <v>491</v>
      </c>
      <c r="B163" t="s">
        <v>24</v>
      </c>
      <c r="C163" t="s">
        <v>5019</v>
      </c>
      <c r="D163" t="s">
        <v>11</v>
      </c>
      <c r="E163">
        <v>55</v>
      </c>
      <c r="F163" t="s">
        <v>5056</v>
      </c>
      <c r="G163" s="1">
        <v>44685</v>
      </c>
      <c r="H163">
        <v>2022</v>
      </c>
      <c r="I163" t="s">
        <v>5036</v>
      </c>
      <c r="J163">
        <v>4</v>
      </c>
      <c r="K163">
        <v>3.16</v>
      </c>
      <c r="L163">
        <v>13</v>
      </c>
      <c r="M163">
        <v>8707.1299999999992</v>
      </c>
      <c r="N163">
        <v>3.5</v>
      </c>
      <c r="O163" t="s">
        <v>5050</v>
      </c>
    </row>
    <row r="164" spans="1:15" x14ac:dyDescent="0.3">
      <c r="A164" t="s">
        <v>497</v>
      </c>
      <c r="B164" t="s">
        <v>34</v>
      </c>
      <c r="C164" t="s">
        <v>5020</v>
      </c>
      <c r="D164" t="s">
        <v>11</v>
      </c>
      <c r="E164">
        <v>28</v>
      </c>
      <c r="F164" t="s">
        <v>5057</v>
      </c>
      <c r="G164" s="1">
        <v>44900</v>
      </c>
      <c r="H164">
        <v>2022</v>
      </c>
      <c r="I164" t="s">
        <v>5041</v>
      </c>
      <c r="J164">
        <v>5</v>
      </c>
      <c r="K164">
        <v>3.24</v>
      </c>
      <c r="L164">
        <v>15</v>
      </c>
      <c r="M164">
        <v>5291.97</v>
      </c>
      <c r="N164">
        <v>2.9</v>
      </c>
      <c r="O164" t="s">
        <v>5050</v>
      </c>
    </row>
    <row r="165" spans="1:15" x14ac:dyDescent="0.3">
      <c r="A165" t="s">
        <v>500</v>
      </c>
      <c r="B165" t="s">
        <v>34</v>
      </c>
      <c r="C165" t="s">
        <v>5020</v>
      </c>
      <c r="D165" t="s">
        <v>11</v>
      </c>
      <c r="E165">
        <v>25</v>
      </c>
      <c r="F165" t="s">
        <v>5057</v>
      </c>
      <c r="G165" s="1">
        <v>45612</v>
      </c>
      <c r="H165">
        <v>2024</v>
      </c>
      <c r="I165" t="s">
        <v>5038</v>
      </c>
      <c r="J165">
        <v>16</v>
      </c>
      <c r="K165">
        <v>4.9400000000000004</v>
      </c>
      <c r="L165">
        <v>8</v>
      </c>
      <c r="M165">
        <v>8908.2999999999993</v>
      </c>
      <c r="N165">
        <v>1</v>
      </c>
      <c r="O165" t="s">
        <v>5051</v>
      </c>
    </row>
    <row r="166" spans="1:15" x14ac:dyDescent="0.3">
      <c r="A166" t="s">
        <v>502</v>
      </c>
      <c r="B166" t="s">
        <v>34</v>
      </c>
      <c r="C166" t="s">
        <v>5020</v>
      </c>
      <c r="D166" t="s">
        <v>14</v>
      </c>
      <c r="E166">
        <v>25</v>
      </c>
      <c r="F166" t="s">
        <v>5057</v>
      </c>
      <c r="G166" s="1">
        <v>45144</v>
      </c>
      <c r="H166">
        <v>2023</v>
      </c>
      <c r="I166" t="s">
        <v>5031</v>
      </c>
      <c r="J166">
        <v>6</v>
      </c>
      <c r="K166">
        <v>4.9800000000000004</v>
      </c>
      <c r="L166">
        <v>7</v>
      </c>
      <c r="M166">
        <v>5188.96</v>
      </c>
      <c r="N166">
        <v>2.2000000000000002</v>
      </c>
      <c r="O166" t="s">
        <v>5050</v>
      </c>
    </row>
    <row r="167" spans="1:15" x14ac:dyDescent="0.3">
      <c r="A167" t="s">
        <v>504</v>
      </c>
      <c r="B167" t="s">
        <v>24</v>
      </c>
      <c r="C167" t="s">
        <v>5019</v>
      </c>
      <c r="D167" t="s">
        <v>14</v>
      </c>
      <c r="E167">
        <v>36</v>
      </c>
      <c r="F167" t="s">
        <v>5055</v>
      </c>
      <c r="G167" s="1">
        <v>43840</v>
      </c>
      <c r="H167">
        <v>2020</v>
      </c>
      <c r="I167" t="s">
        <v>5037</v>
      </c>
      <c r="J167">
        <v>10</v>
      </c>
      <c r="K167">
        <v>3.45</v>
      </c>
      <c r="L167">
        <v>11</v>
      </c>
      <c r="M167">
        <v>12220.75</v>
      </c>
      <c r="N167">
        <v>5.8</v>
      </c>
      <c r="O167" t="s">
        <v>5049</v>
      </c>
    </row>
    <row r="168" spans="1:15" x14ac:dyDescent="0.3">
      <c r="A168" t="s">
        <v>505</v>
      </c>
      <c r="B168" t="s">
        <v>16</v>
      </c>
      <c r="C168" t="s">
        <v>5018</v>
      </c>
      <c r="D168" t="s">
        <v>11</v>
      </c>
      <c r="E168">
        <v>36</v>
      </c>
      <c r="F168" t="s">
        <v>5055</v>
      </c>
      <c r="G168" s="1">
        <v>45326</v>
      </c>
      <c r="H168">
        <v>2024</v>
      </c>
      <c r="I168" t="s">
        <v>5042</v>
      </c>
      <c r="J168">
        <v>4</v>
      </c>
      <c r="K168">
        <v>3.4</v>
      </c>
      <c r="L168">
        <v>14</v>
      </c>
      <c r="M168">
        <v>3000.36</v>
      </c>
      <c r="N168">
        <v>1.7</v>
      </c>
      <c r="O168" t="s">
        <v>5050</v>
      </c>
    </row>
    <row r="169" spans="1:15" x14ac:dyDescent="0.3">
      <c r="A169" t="s">
        <v>506</v>
      </c>
      <c r="B169" t="s">
        <v>24</v>
      </c>
      <c r="C169" t="s">
        <v>5019</v>
      </c>
      <c r="D169" t="s">
        <v>14</v>
      </c>
      <c r="E169">
        <v>32</v>
      </c>
      <c r="F169" t="s">
        <v>5055</v>
      </c>
      <c r="G169" s="1">
        <v>45784</v>
      </c>
      <c r="H169">
        <v>2025</v>
      </c>
      <c r="I169" t="s">
        <v>5036</v>
      </c>
      <c r="J169">
        <v>7</v>
      </c>
      <c r="K169">
        <v>3.52</v>
      </c>
      <c r="L169">
        <v>3</v>
      </c>
      <c r="M169">
        <v>5490.28</v>
      </c>
      <c r="N169">
        <v>0.5</v>
      </c>
      <c r="O169" t="s">
        <v>5051</v>
      </c>
    </row>
    <row r="170" spans="1:15" x14ac:dyDescent="0.3">
      <c r="A170" t="s">
        <v>507</v>
      </c>
      <c r="B170" t="s">
        <v>34</v>
      </c>
      <c r="C170" t="s">
        <v>5020</v>
      </c>
      <c r="D170" t="s">
        <v>14</v>
      </c>
      <c r="E170">
        <v>29</v>
      </c>
      <c r="F170" t="s">
        <v>5057</v>
      </c>
      <c r="G170" s="1">
        <v>45390</v>
      </c>
      <c r="H170">
        <v>2024</v>
      </c>
      <c r="I170" t="s">
        <v>5040</v>
      </c>
      <c r="J170">
        <v>8</v>
      </c>
      <c r="K170">
        <v>4.33</v>
      </c>
      <c r="L170">
        <v>9</v>
      </c>
      <c r="M170">
        <v>11965.47</v>
      </c>
      <c r="N170">
        <v>1.6</v>
      </c>
      <c r="O170" t="s">
        <v>5050</v>
      </c>
    </row>
    <row r="171" spans="1:15" x14ac:dyDescent="0.3">
      <c r="A171" t="s">
        <v>509</v>
      </c>
      <c r="B171" t="s">
        <v>13</v>
      </c>
      <c r="C171" t="s">
        <v>5017</v>
      </c>
      <c r="D171" t="s">
        <v>14</v>
      </c>
      <c r="E171">
        <v>28</v>
      </c>
      <c r="F171" t="s">
        <v>5057</v>
      </c>
      <c r="G171" s="1">
        <v>44576</v>
      </c>
      <c r="H171">
        <v>2022</v>
      </c>
      <c r="I171" t="s">
        <v>5037</v>
      </c>
      <c r="J171">
        <v>15</v>
      </c>
      <c r="K171">
        <v>2.1800000000000002</v>
      </c>
      <c r="L171">
        <v>8</v>
      </c>
      <c r="M171">
        <v>11469.43</v>
      </c>
      <c r="N171">
        <v>3.8</v>
      </c>
      <c r="O171" t="s">
        <v>5050</v>
      </c>
    </row>
    <row r="172" spans="1:15" x14ac:dyDescent="0.3">
      <c r="A172" t="s">
        <v>512</v>
      </c>
      <c r="B172" t="s">
        <v>18</v>
      </c>
      <c r="C172" t="s">
        <v>5021</v>
      </c>
      <c r="D172" t="s">
        <v>14</v>
      </c>
      <c r="E172">
        <v>47</v>
      </c>
      <c r="F172" t="s">
        <v>5055</v>
      </c>
      <c r="G172" s="1">
        <v>45633</v>
      </c>
      <c r="H172">
        <v>2024</v>
      </c>
      <c r="I172" t="s">
        <v>5041</v>
      </c>
      <c r="J172">
        <v>7</v>
      </c>
      <c r="K172">
        <v>3.48</v>
      </c>
      <c r="L172">
        <v>2</v>
      </c>
      <c r="M172">
        <v>4345.33</v>
      </c>
      <c r="N172">
        <v>0.9</v>
      </c>
      <c r="O172" t="s">
        <v>5051</v>
      </c>
    </row>
    <row r="173" spans="1:15" x14ac:dyDescent="0.3">
      <c r="A173" t="s">
        <v>515</v>
      </c>
      <c r="B173" t="s">
        <v>24</v>
      </c>
      <c r="C173" t="s">
        <v>5019</v>
      </c>
      <c r="D173" t="s">
        <v>14</v>
      </c>
      <c r="E173">
        <v>50</v>
      </c>
      <c r="F173" t="s">
        <v>5055</v>
      </c>
      <c r="G173" s="1">
        <v>44718</v>
      </c>
      <c r="H173">
        <v>2022</v>
      </c>
      <c r="I173" t="s">
        <v>5032</v>
      </c>
      <c r="J173">
        <v>6</v>
      </c>
      <c r="K173">
        <v>1.85</v>
      </c>
      <c r="L173">
        <v>14</v>
      </c>
      <c r="M173">
        <v>12291.58</v>
      </c>
      <c r="N173">
        <v>3.4</v>
      </c>
      <c r="O173" t="s">
        <v>5050</v>
      </c>
    </row>
    <row r="174" spans="1:15" x14ac:dyDescent="0.3">
      <c r="A174" t="s">
        <v>516</v>
      </c>
      <c r="B174" t="s">
        <v>24</v>
      </c>
      <c r="C174" t="s">
        <v>5019</v>
      </c>
      <c r="D174" t="s">
        <v>11</v>
      </c>
      <c r="E174">
        <v>49</v>
      </c>
      <c r="F174" t="s">
        <v>5055</v>
      </c>
      <c r="G174" s="1">
        <v>45835</v>
      </c>
      <c r="H174">
        <v>2025</v>
      </c>
      <c r="I174" t="s">
        <v>5032</v>
      </c>
      <c r="J174">
        <v>27</v>
      </c>
      <c r="K174">
        <v>3.91</v>
      </c>
      <c r="L174">
        <v>3</v>
      </c>
      <c r="M174">
        <v>14813.88</v>
      </c>
      <c r="N174">
        <v>0.3</v>
      </c>
      <c r="O174" t="s">
        <v>5051</v>
      </c>
    </row>
    <row r="175" spans="1:15" x14ac:dyDescent="0.3">
      <c r="A175" t="s">
        <v>518</v>
      </c>
      <c r="B175" t="s">
        <v>34</v>
      </c>
      <c r="C175" t="s">
        <v>5020</v>
      </c>
      <c r="D175" t="s">
        <v>11</v>
      </c>
      <c r="E175">
        <v>31</v>
      </c>
      <c r="F175" t="s">
        <v>5057</v>
      </c>
      <c r="G175" s="1">
        <v>44023</v>
      </c>
      <c r="H175">
        <v>2020</v>
      </c>
      <c r="I175" t="s">
        <v>5034</v>
      </c>
      <c r="J175">
        <v>11</v>
      </c>
      <c r="K175">
        <v>1.53</v>
      </c>
      <c r="L175">
        <v>12</v>
      </c>
      <c r="M175">
        <v>5281.52</v>
      </c>
      <c r="N175">
        <v>5.3</v>
      </c>
      <c r="O175" t="s">
        <v>5049</v>
      </c>
    </row>
    <row r="176" spans="1:15" x14ac:dyDescent="0.3">
      <c r="A176" t="s">
        <v>520</v>
      </c>
      <c r="B176" t="s">
        <v>24</v>
      </c>
      <c r="C176" t="s">
        <v>5019</v>
      </c>
      <c r="D176" t="s">
        <v>14</v>
      </c>
      <c r="E176">
        <v>60</v>
      </c>
      <c r="F176" t="s">
        <v>5056</v>
      </c>
      <c r="G176" s="1">
        <v>45444</v>
      </c>
      <c r="H176">
        <v>2024</v>
      </c>
      <c r="I176" t="s">
        <v>5032</v>
      </c>
      <c r="J176">
        <v>1</v>
      </c>
      <c r="K176">
        <v>1.51</v>
      </c>
      <c r="L176">
        <v>11</v>
      </c>
      <c r="M176">
        <v>12305.09</v>
      </c>
      <c r="N176">
        <v>1.4</v>
      </c>
      <c r="O176" t="s">
        <v>5050</v>
      </c>
    </row>
    <row r="177" spans="1:15" x14ac:dyDescent="0.3">
      <c r="A177" t="s">
        <v>521</v>
      </c>
      <c r="B177" t="s">
        <v>13</v>
      </c>
      <c r="C177" t="s">
        <v>5017</v>
      </c>
      <c r="D177" t="s">
        <v>11</v>
      </c>
      <c r="E177">
        <v>24</v>
      </c>
      <c r="F177" t="s">
        <v>5057</v>
      </c>
      <c r="G177" s="1">
        <v>44084</v>
      </c>
      <c r="H177">
        <v>2020</v>
      </c>
      <c r="I177" t="s">
        <v>5033</v>
      </c>
      <c r="J177">
        <v>10</v>
      </c>
      <c r="K177">
        <v>3.19</v>
      </c>
      <c r="L177">
        <v>3</v>
      </c>
      <c r="M177">
        <v>12274.07</v>
      </c>
      <c r="N177">
        <v>5.0999999999999996</v>
      </c>
      <c r="O177" t="s">
        <v>5049</v>
      </c>
    </row>
    <row r="178" spans="1:15" x14ac:dyDescent="0.3">
      <c r="A178" t="s">
        <v>522</v>
      </c>
      <c r="B178" t="s">
        <v>10</v>
      </c>
      <c r="C178" t="s">
        <v>5022</v>
      </c>
      <c r="D178" t="s">
        <v>14</v>
      </c>
      <c r="E178">
        <v>42</v>
      </c>
      <c r="F178" t="s">
        <v>5055</v>
      </c>
      <c r="G178" s="1">
        <v>45595</v>
      </c>
      <c r="H178">
        <v>2024</v>
      </c>
      <c r="I178" t="s">
        <v>5039</v>
      </c>
      <c r="J178">
        <v>30</v>
      </c>
      <c r="K178">
        <v>2.71</v>
      </c>
      <c r="L178">
        <v>2</v>
      </c>
      <c r="M178">
        <v>11328.79</v>
      </c>
      <c r="N178">
        <v>1</v>
      </c>
      <c r="O178" t="s">
        <v>5051</v>
      </c>
    </row>
    <row r="179" spans="1:15" x14ac:dyDescent="0.3">
      <c r="A179" t="s">
        <v>523</v>
      </c>
      <c r="B179" t="s">
        <v>16</v>
      </c>
      <c r="C179" t="s">
        <v>5018</v>
      </c>
      <c r="D179" t="s">
        <v>14</v>
      </c>
      <c r="E179">
        <v>29</v>
      </c>
      <c r="F179" t="s">
        <v>5057</v>
      </c>
      <c r="G179" s="1">
        <v>44969</v>
      </c>
      <c r="H179">
        <v>2023</v>
      </c>
      <c r="I179" t="s">
        <v>5042</v>
      </c>
      <c r="J179">
        <v>12</v>
      </c>
      <c r="K179">
        <v>3.53</v>
      </c>
      <c r="L179">
        <v>8</v>
      </c>
      <c r="M179">
        <v>8448.76</v>
      </c>
      <c r="N179">
        <v>2.7</v>
      </c>
      <c r="O179" t="s">
        <v>5050</v>
      </c>
    </row>
    <row r="180" spans="1:15" x14ac:dyDescent="0.3">
      <c r="A180" t="s">
        <v>529</v>
      </c>
      <c r="B180" t="s">
        <v>18</v>
      </c>
      <c r="C180" t="s">
        <v>5021</v>
      </c>
      <c r="D180" t="s">
        <v>11</v>
      </c>
      <c r="E180">
        <v>54</v>
      </c>
      <c r="F180" t="s">
        <v>5056</v>
      </c>
      <c r="G180" s="1">
        <v>44810</v>
      </c>
      <c r="H180">
        <v>2022</v>
      </c>
      <c r="I180" t="s">
        <v>5033</v>
      </c>
      <c r="J180">
        <v>6</v>
      </c>
      <c r="K180">
        <v>2.67</v>
      </c>
      <c r="L180">
        <v>8</v>
      </c>
      <c r="M180">
        <v>12352.62</v>
      </c>
      <c r="N180">
        <v>3.2</v>
      </c>
      <c r="O180" t="s">
        <v>5050</v>
      </c>
    </row>
    <row r="181" spans="1:15" x14ac:dyDescent="0.3">
      <c r="A181" t="s">
        <v>530</v>
      </c>
      <c r="B181" t="s">
        <v>24</v>
      </c>
      <c r="C181" t="s">
        <v>5019</v>
      </c>
      <c r="D181" t="s">
        <v>14</v>
      </c>
      <c r="E181">
        <v>31</v>
      </c>
      <c r="F181" t="s">
        <v>5057</v>
      </c>
      <c r="G181" s="1">
        <v>44166</v>
      </c>
      <c r="H181">
        <v>2020</v>
      </c>
      <c r="I181" t="s">
        <v>5041</v>
      </c>
      <c r="J181">
        <v>1</v>
      </c>
      <c r="K181">
        <v>2.71</v>
      </c>
      <c r="L181">
        <v>14</v>
      </c>
      <c r="M181">
        <v>12089.16</v>
      </c>
      <c r="N181">
        <v>4.9000000000000004</v>
      </c>
      <c r="O181" t="s">
        <v>5050</v>
      </c>
    </row>
    <row r="182" spans="1:15" x14ac:dyDescent="0.3">
      <c r="A182" t="s">
        <v>532</v>
      </c>
      <c r="B182" t="s">
        <v>34</v>
      </c>
      <c r="C182" t="s">
        <v>5020</v>
      </c>
      <c r="D182" t="s">
        <v>11</v>
      </c>
      <c r="E182">
        <v>52</v>
      </c>
      <c r="F182" t="s">
        <v>5056</v>
      </c>
      <c r="G182" s="1">
        <v>45648</v>
      </c>
      <c r="H182">
        <v>2024</v>
      </c>
      <c r="I182" t="s">
        <v>5041</v>
      </c>
      <c r="J182">
        <v>22</v>
      </c>
      <c r="K182">
        <v>3.56</v>
      </c>
      <c r="L182">
        <v>15</v>
      </c>
      <c r="M182">
        <v>4787.25</v>
      </c>
      <c r="N182">
        <v>0.9</v>
      </c>
      <c r="O182" t="s">
        <v>5051</v>
      </c>
    </row>
    <row r="183" spans="1:15" x14ac:dyDescent="0.3">
      <c r="A183" t="s">
        <v>538</v>
      </c>
      <c r="B183" t="s">
        <v>10</v>
      </c>
      <c r="C183" t="s">
        <v>5022</v>
      </c>
      <c r="D183" t="s">
        <v>14</v>
      </c>
      <c r="E183">
        <v>60</v>
      </c>
      <c r="F183" t="s">
        <v>5056</v>
      </c>
      <c r="G183" s="1">
        <v>45390</v>
      </c>
      <c r="H183">
        <v>2024</v>
      </c>
      <c r="I183" t="s">
        <v>5040</v>
      </c>
      <c r="J183">
        <v>8</v>
      </c>
      <c r="K183">
        <v>2.25</v>
      </c>
      <c r="L183">
        <v>3</v>
      </c>
      <c r="M183">
        <v>13860.19</v>
      </c>
      <c r="N183">
        <v>1.6</v>
      </c>
      <c r="O183" t="s">
        <v>5050</v>
      </c>
    </row>
    <row r="184" spans="1:15" x14ac:dyDescent="0.3">
      <c r="A184" t="s">
        <v>539</v>
      </c>
      <c r="B184" t="s">
        <v>16</v>
      </c>
      <c r="C184" t="s">
        <v>5018</v>
      </c>
      <c r="D184" t="s">
        <v>11</v>
      </c>
      <c r="E184">
        <v>54</v>
      </c>
      <c r="F184" t="s">
        <v>5056</v>
      </c>
      <c r="G184" s="1">
        <v>44027</v>
      </c>
      <c r="H184">
        <v>2020</v>
      </c>
      <c r="I184" t="s">
        <v>5034</v>
      </c>
      <c r="J184">
        <v>15</v>
      </c>
      <c r="K184">
        <v>4.84</v>
      </c>
      <c r="L184">
        <v>1</v>
      </c>
      <c r="M184">
        <v>5385.1</v>
      </c>
      <c r="N184">
        <v>5.3</v>
      </c>
      <c r="O184" t="s">
        <v>5049</v>
      </c>
    </row>
    <row r="185" spans="1:15" x14ac:dyDescent="0.3">
      <c r="A185" t="s">
        <v>544</v>
      </c>
      <c r="B185" t="s">
        <v>10</v>
      </c>
      <c r="C185" t="s">
        <v>5022</v>
      </c>
      <c r="D185" t="s">
        <v>11</v>
      </c>
      <c r="E185">
        <v>46</v>
      </c>
      <c r="F185" t="s">
        <v>5055</v>
      </c>
      <c r="G185" s="1">
        <v>44721</v>
      </c>
      <c r="H185">
        <v>2022</v>
      </c>
      <c r="I185" t="s">
        <v>5032</v>
      </c>
      <c r="J185">
        <v>9</v>
      </c>
      <c r="K185">
        <v>4.67</v>
      </c>
      <c r="L185">
        <v>15</v>
      </c>
      <c r="M185">
        <v>8648.01</v>
      </c>
      <c r="N185">
        <v>3.4</v>
      </c>
      <c r="O185" t="s">
        <v>5050</v>
      </c>
    </row>
    <row r="186" spans="1:15" x14ac:dyDescent="0.3">
      <c r="A186" t="s">
        <v>545</v>
      </c>
      <c r="B186" t="s">
        <v>24</v>
      </c>
      <c r="C186" t="s">
        <v>5019</v>
      </c>
      <c r="D186" t="s">
        <v>14</v>
      </c>
      <c r="E186">
        <v>53</v>
      </c>
      <c r="F186" t="s">
        <v>5056</v>
      </c>
      <c r="G186" s="1">
        <v>44213</v>
      </c>
      <c r="H186">
        <v>2021</v>
      </c>
      <c r="I186" t="s">
        <v>5037</v>
      </c>
      <c r="J186">
        <v>17</v>
      </c>
      <c r="K186">
        <v>4.72</v>
      </c>
      <c r="L186">
        <v>3</v>
      </c>
      <c r="M186">
        <v>3949.88</v>
      </c>
      <c r="N186">
        <v>4.8</v>
      </c>
      <c r="O186" t="s">
        <v>5050</v>
      </c>
    </row>
    <row r="187" spans="1:15" x14ac:dyDescent="0.3">
      <c r="A187" t="s">
        <v>547</v>
      </c>
      <c r="B187" t="s">
        <v>34</v>
      </c>
      <c r="C187" t="s">
        <v>5020</v>
      </c>
      <c r="D187" t="s">
        <v>11</v>
      </c>
      <c r="E187">
        <v>58</v>
      </c>
      <c r="F187" t="s">
        <v>5056</v>
      </c>
      <c r="G187" s="1">
        <v>44692</v>
      </c>
      <c r="H187">
        <v>2022</v>
      </c>
      <c r="I187" t="s">
        <v>5036</v>
      </c>
      <c r="J187">
        <v>11</v>
      </c>
      <c r="K187">
        <v>2.08</v>
      </c>
      <c r="L187">
        <v>7</v>
      </c>
      <c r="M187">
        <v>13242.56</v>
      </c>
      <c r="N187">
        <v>3.5</v>
      </c>
      <c r="O187" t="s">
        <v>5050</v>
      </c>
    </row>
    <row r="188" spans="1:15" x14ac:dyDescent="0.3">
      <c r="A188" t="s">
        <v>548</v>
      </c>
      <c r="B188" t="s">
        <v>13</v>
      </c>
      <c r="C188" t="s">
        <v>5017</v>
      </c>
      <c r="D188" t="s">
        <v>11</v>
      </c>
      <c r="E188">
        <v>30</v>
      </c>
      <c r="F188" t="s">
        <v>5057</v>
      </c>
      <c r="G188" s="1">
        <v>43899</v>
      </c>
      <c r="H188">
        <v>2020</v>
      </c>
      <c r="I188" t="s">
        <v>5035</v>
      </c>
      <c r="J188">
        <v>9</v>
      </c>
      <c r="K188">
        <v>4.6500000000000004</v>
      </c>
      <c r="L188">
        <v>7</v>
      </c>
      <c r="M188">
        <v>13802.34</v>
      </c>
      <c r="N188">
        <v>5.7</v>
      </c>
      <c r="O188" t="s">
        <v>5049</v>
      </c>
    </row>
    <row r="189" spans="1:15" x14ac:dyDescent="0.3">
      <c r="A189" t="s">
        <v>550</v>
      </c>
      <c r="B189" t="s">
        <v>13</v>
      </c>
      <c r="C189" t="s">
        <v>5017</v>
      </c>
      <c r="D189" t="s">
        <v>11</v>
      </c>
      <c r="E189">
        <v>51</v>
      </c>
      <c r="F189" t="s">
        <v>5056</v>
      </c>
      <c r="G189" s="1">
        <v>43891</v>
      </c>
      <c r="H189">
        <v>2020</v>
      </c>
      <c r="I189" t="s">
        <v>5035</v>
      </c>
      <c r="J189">
        <v>1</v>
      </c>
      <c r="K189">
        <v>4.34</v>
      </c>
      <c r="L189">
        <v>8</v>
      </c>
      <c r="M189">
        <v>13639.52</v>
      </c>
      <c r="N189">
        <v>5.7</v>
      </c>
      <c r="O189" t="s">
        <v>5049</v>
      </c>
    </row>
    <row r="190" spans="1:15" x14ac:dyDescent="0.3">
      <c r="A190" t="s">
        <v>551</v>
      </c>
      <c r="B190" t="s">
        <v>24</v>
      </c>
      <c r="C190" t="s">
        <v>5019</v>
      </c>
      <c r="D190" t="s">
        <v>11</v>
      </c>
      <c r="E190">
        <v>41</v>
      </c>
      <c r="F190" t="s">
        <v>5055</v>
      </c>
      <c r="G190" s="1">
        <v>43885</v>
      </c>
      <c r="H190">
        <v>2020</v>
      </c>
      <c r="I190" t="s">
        <v>5042</v>
      </c>
      <c r="J190">
        <v>24</v>
      </c>
      <c r="K190">
        <v>2.52</v>
      </c>
      <c r="L190">
        <v>13</v>
      </c>
      <c r="M190">
        <v>11524.61</v>
      </c>
      <c r="N190">
        <v>5.7</v>
      </c>
      <c r="O190" t="s">
        <v>5049</v>
      </c>
    </row>
    <row r="191" spans="1:15" x14ac:dyDescent="0.3">
      <c r="A191" t="s">
        <v>558</v>
      </c>
      <c r="B191" t="s">
        <v>13</v>
      </c>
      <c r="C191" t="s">
        <v>5017</v>
      </c>
      <c r="D191" t="s">
        <v>14</v>
      </c>
      <c r="E191">
        <v>44</v>
      </c>
      <c r="F191" t="s">
        <v>5055</v>
      </c>
      <c r="G191" s="1">
        <v>44546</v>
      </c>
      <c r="H191">
        <v>2021</v>
      </c>
      <c r="I191" t="s">
        <v>5041</v>
      </c>
      <c r="J191">
        <v>16</v>
      </c>
      <c r="K191">
        <v>4.43</v>
      </c>
      <c r="L191">
        <v>12</v>
      </c>
      <c r="M191">
        <v>5995.87</v>
      </c>
      <c r="N191">
        <v>3.9</v>
      </c>
      <c r="O191" t="s">
        <v>5050</v>
      </c>
    </row>
    <row r="192" spans="1:15" x14ac:dyDescent="0.3">
      <c r="A192" t="s">
        <v>564</v>
      </c>
      <c r="B192" t="s">
        <v>34</v>
      </c>
      <c r="C192" t="s">
        <v>5020</v>
      </c>
      <c r="D192" t="s">
        <v>14</v>
      </c>
      <c r="E192">
        <v>42</v>
      </c>
      <c r="F192" t="s">
        <v>5055</v>
      </c>
      <c r="G192" s="1">
        <v>44836</v>
      </c>
      <c r="H192">
        <v>2022</v>
      </c>
      <c r="I192" t="s">
        <v>5039</v>
      </c>
      <c r="J192">
        <v>2</v>
      </c>
      <c r="K192">
        <v>3.56</v>
      </c>
      <c r="L192">
        <v>11</v>
      </c>
      <c r="M192">
        <v>3954.89</v>
      </c>
      <c r="N192">
        <v>3.1</v>
      </c>
      <c r="O192" t="s">
        <v>5050</v>
      </c>
    </row>
    <row r="193" spans="1:15" x14ac:dyDescent="0.3">
      <c r="A193" t="s">
        <v>565</v>
      </c>
      <c r="B193" t="s">
        <v>10</v>
      </c>
      <c r="C193" t="s">
        <v>5022</v>
      </c>
      <c r="D193" t="s">
        <v>11</v>
      </c>
      <c r="E193">
        <v>52</v>
      </c>
      <c r="F193" t="s">
        <v>5056</v>
      </c>
      <c r="G193" s="1">
        <v>45839</v>
      </c>
      <c r="H193">
        <v>2025</v>
      </c>
      <c r="I193" t="s">
        <v>5034</v>
      </c>
      <c r="J193">
        <v>1</v>
      </c>
      <c r="K193">
        <v>3.04</v>
      </c>
      <c r="L193">
        <v>8</v>
      </c>
      <c r="M193">
        <v>7207.39</v>
      </c>
      <c r="N193">
        <v>0.3</v>
      </c>
      <c r="O193" t="s">
        <v>5051</v>
      </c>
    </row>
    <row r="194" spans="1:15" x14ac:dyDescent="0.3">
      <c r="A194" t="s">
        <v>568</v>
      </c>
      <c r="B194" t="s">
        <v>13</v>
      </c>
      <c r="C194" t="s">
        <v>5017</v>
      </c>
      <c r="D194" t="s">
        <v>11</v>
      </c>
      <c r="E194">
        <v>58</v>
      </c>
      <c r="F194" t="s">
        <v>5056</v>
      </c>
      <c r="G194" s="1">
        <v>45861</v>
      </c>
      <c r="H194">
        <v>2025</v>
      </c>
      <c r="I194" t="s">
        <v>5034</v>
      </c>
      <c r="J194">
        <v>23</v>
      </c>
      <c r="K194">
        <v>3.36</v>
      </c>
      <c r="L194">
        <v>9</v>
      </c>
      <c r="M194">
        <v>5402.33</v>
      </c>
      <c r="N194">
        <v>0.3</v>
      </c>
      <c r="O194" t="s">
        <v>5051</v>
      </c>
    </row>
    <row r="195" spans="1:15" x14ac:dyDescent="0.3">
      <c r="A195" t="s">
        <v>572</v>
      </c>
      <c r="B195" t="s">
        <v>16</v>
      </c>
      <c r="C195" t="s">
        <v>5018</v>
      </c>
      <c r="D195" t="s">
        <v>11</v>
      </c>
      <c r="E195">
        <v>25</v>
      </c>
      <c r="F195" t="s">
        <v>5057</v>
      </c>
      <c r="G195" s="1">
        <v>44506</v>
      </c>
      <c r="H195">
        <v>2021</v>
      </c>
      <c r="I195" t="s">
        <v>5038</v>
      </c>
      <c r="J195">
        <v>6</v>
      </c>
      <c r="K195">
        <v>3.38</v>
      </c>
      <c r="L195">
        <v>1</v>
      </c>
      <c r="M195">
        <v>4923.2</v>
      </c>
      <c r="N195">
        <v>4</v>
      </c>
      <c r="O195" t="s">
        <v>5050</v>
      </c>
    </row>
    <row r="196" spans="1:15" x14ac:dyDescent="0.3">
      <c r="A196" t="s">
        <v>574</v>
      </c>
      <c r="B196" t="s">
        <v>34</v>
      </c>
      <c r="C196" t="s">
        <v>5020</v>
      </c>
      <c r="D196" t="s">
        <v>14</v>
      </c>
      <c r="E196">
        <v>25</v>
      </c>
      <c r="F196" t="s">
        <v>5057</v>
      </c>
      <c r="G196" s="1">
        <v>44449</v>
      </c>
      <c r="H196">
        <v>2021</v>
      </c>
      <c r="I196" t="s">
        <v>5033</v>
      </c>
      <c r="J196">
        <v>10</v>
      </c>
      <c r="K196">
        <v>2.7</v>
      </c>
      <c r="L196">
        <v>0</v>
      </c>
      <c r="M196">
        <v>13585.31</v>
      </c>
      <c r="N196">
        <v>4.0999999999999996</v>
      </c>
      <c r="O196" t="s">
        <v>5050</v>
      </c>
    </row>
    <row r="197" spans="1:15" x14ac:dyDescent="0.3">
      <c r="A197" t="s">
        <v>576</v>
      </c>
      <c r="B197" t="s">
        <v>18</v>
      </c>
      <c r="C197" t="s">
        <v>5021</v>
      </c>
      <c r="D197" t="s">
        <v>11</v>
      </c>
      <c r="E197">
        <v>44</v>
      </c>
      <c r="F197" t="s">
        <v>5055</v>
      </c>
      <c r="G197" s="1">
        <v>45138</v>
      </c>
      <c r="H197">
        <v>2023</v>
      </c>
      <c r="I197" t="s">
        <v>5034</v>
      </c>
      <c r="J197">
        <v>31</v>
      </c>
      <c r="K197">
        <v>2.76</v>
      </c>
      <c r="L197">
        <v>2</v>
      </c>
      <c r="M197">
        <v>12624.25</v>
      </c>
      <c r="N197">
        <v>2.2999999999999998</v>
      </c>
      <c r="O197" t="s">
        <v>5050</v>
      </c>
    </row>
    <row r="198" spans="1:15" x14ac:dyDescent="0.3">
      <c r="A198" t="s">
        <v>583</v>
      </c>
      <c r="B198" t="s">
        <v>13</v>
      </c>
      <c r="C198" t="s">
        <v>5017</v>
      </c>
      <c r="D198" t="s">
        <v>14</v>
      </c>
      <c r="E198">
        <v>44</v>
      </c>
      <c r="F198" t="s">
        <v>5055</v>
      </c>
      <c r="G198" s="1">
        <v>44013</v>
      </c>
      <c r="H198">
        <v>2020</v>
      </c>
      <c r="I198" t="s">
        <v>5034</v>
      </c>
      <c r="J198">
        <v>1</v>
      </c>
      <c r="K198">
        <v>3.71</v>
      </c>
      <c r="L198">
        <v>7</v>
      </c>
      <c r="M198">
        <v>14665.2</v>
      </c>
      <c r="N198">
        <v>5.3</v>
      </c>
      <c r="O198" t="s">
        <v>5049</v>
      </c>
    </row>
    <row r="199" spans="1:15" x14ac:dyDescent="0.3">
      <c r="A199" t="s">
        <v>587</v>
      </c>
      <c r="B199" t="s">
        <v>34</v>
      </c>
      <c r="C199" t="s">
        <v>5020</v>
      </c>
      <c r="D199" t="s">
        <v>14</v>
      </c>
      <c r="E199">
        <v>34</v>
      </c>
      <c r="F199" t="s">
        <v>5055</v>
      </c>
      <c r="G199" s="1">
        <v>45779</v>
      </c>
      <c r="H199">
        <v>2025</v>
      </c>
      <c r="I199" t="s">
        <v>5036</v>
      </c>
      <c r="J199">
        <v>2</v>
      </c>
      <c r="K199">
        <v>4.76</v>
      </c>
      <c r="L199">
        <v>15</v>
      </c>
      <c r="M199">
        <v>10161.540000000001</v>
      </c>
      <c r="N199">
        <v>0.5</v>
      </c>
      <c r="O199" t="s">
        <v>5051</v>
      </c>
    </row>
    <row r="200" spans="1:15" x14ac:dyDescent="0.3">
      <c r="A200" t="s">
        <v>592</v>
      </c>
      <c r="B200" t="s">
        <v>18</v>
      </c>
      <c r="C200" t="s">
        <v>5021</v>
      </c>
      <c r="D200" t="s">
        <v>11</v>
      </c>
      <c r="E200">
        <v>45</v>
      </c>
      <c r="F200" t="s">
        <v>5055</v>
      </c>
      <c r="G200" s="1">
        <v>43952</v>
      </c>
      <c r="H200">
        <v>2020</v>
      </c>
      <c r="I200" t="s">
        <v>5036</v>
      </c>
      <c r="J200">
        <v>1</v>
      </c>
      <c r="K200">
        <v>2.58</v>
      </c>
      <c r="L200">
        <v>8</v>
      </c>
      <c r="M200">
        <v>14051.44</v>
      </c>
      <c r="N200">
        <v>5.5</v>
      </c>
      <c r="O200" t="s">
        <v>5049</v>
      </c>
    </row>
    <row r="201" spans="1:15" x14ac:dyDescent="0.3">
      <c r="A201" t="s">
        <v>593</v>
      </c>
      <c r="B201" t="s">
        <v>18</v>
      </c>
      <c r="C201" t="s">
        <v>5021</v>
      </c>
      <c r="D201" t="s">
        <v>11</v>
      </c>
      <c r="E201">
        <v>41</v>
      </c>
      <c r="F201" t="s">
        <v>5055</v>
      </c>
      <c r="G201" s="1">
        <v>45524</v>
      </c>
      <c r="H201">
        <v>2024</v>
      </c>
      <c r="I201" t="s">
        <v>5031</v>
      </c>
      <c r="J201">
        <v>20</v>
      </c>
      <c r="K201">
        <v>1.5</v>
      </c>
      <c r="L201">
        <v>14</v>
      </c>
      <c r="M201">
        <v>14343.32</v>
      </c>
      <c r="N201">
        <v>1.2</v>
      </c>
      <c r="O201" t="s">
        <v>5050</v>
      </c>
    </row>
    <row r="202" spans="1:15" x14ac:dyDescent="0.3">
      <c r="A202" t="s">
        <v>597</v>
      </c>
      <c r="B202" t="s">
        <v>16</v>
      </c>
      <c r="C202" t="s">
        <v>5018</v>
      </c>
      <c r="D202" t="s">
        <v>11</v>
      </c>
      <c r="E202">
        <v>36</v>
      </c>
      <c r="F202" t="s">
        <v>5055</v>
      </c>
      <c r="G202" s="1">
        <v>45933</v>
      </c>
      <c r="H202">
        <v>2025</v>
      </c>
      <c r="I202" t="s">
        <v>5039</v>
      </c>
      <c r="J202">
        <v>3</v>
      </c>
      <c r="K202">
        <v>2.66</v>
      </c>
      <c r="L202">
        <v>9</v>
      </c>
      <c r="M202">
        <v>7395.82</v>
      </c>
      <c r="N202">
        <v>0.1</v>
      </c>
      <c r="O202" t="s">
        <v>5051</v>
      </c>
    </row>
    <row r="203" spans="1:15" x14ac:dyDescent="0.3">
      <c r="A203" t="s">
        <v>601</v>
      </c>
      <c r="B203" t="s">
        <v>18</v>
      </c>
      <c r="C203" t="s">
        <v>5021</v>
      </c>
      <c r="D203" t="s">
        <v>11</v>
      </c>
      <c r="E203">
        <v>35</v>
      </c>
      <c r="F203" t="s">
        <v>5055</v>
      </c>
      <c r="G203" s="1">
        <v>45707</v>
      </c>
      <c r="H203">
        <v>2025</v>
      </c>
      <c r="I203" t="s">
        <v>5042</v>
      </c>
      <c r="J203">
        <v>19</v>
      </c>
      <c r="K203">
        <v>3.06</v>
      </c>
      <c r="L203">
        <v>8</v>
      </c>
      <c r="M203">
        <v>8867</v>
      </c>
      <c r="N203">
        <v>0.7</v>
      </c>
      <c r="O203" t="s">
        <v>5051</v>
      </c>
    </row>
    <row r="204" spans="1:15" x14ac:dyDescent="0.3">
      <c r="A204" t="s">
        <v>602</v>
      </c>
      <c r="B204" t="s">
        <v>24</v>
      </c>
      <c r="C204" t="s">
        <v>5019</v>
      </c>
      <c r="D204" t="s">
        <v>14</v>
      </c>
      <c r="E204">
        <v>39</v>
      </c>
      <c r="F204" t="s">
        <v>5055</v>
      </c>
      <c r="G204" s="1">
        <v>45754</v>
      </c>
      <c r="H204">
        <v>2025</v>
      </c>
      <c r="I204" t="s">
        <v>5040</v>
      </c>
      <c r="J204">
        <v>7</v>
      </c>
      <c r="K204">
        <v>2.61</v>
      </c>
      <c r="L204">
        <v>15</v>
      </c>
      <c r="M204">
        <v>4135.38</v>
      </c>
      <c r="N204">
        <v>0.6</v>
      </c>
      <c r="O204" t="s">
        <v>5051</v>
      </c>
    </row>
    <row r="205" spans="1:15" x14ac:dyDescent="0.3">
      <c r="A205" t="s">
        <v>603</v>
      </c>
      <c r="B205" t="s">
        <v>10</v>
      </c>
      <c r="C205" t="s">
        <v>5022</v>
      </c>
      <c r="D205" t="s">
        <v>11</v>
      </c>
      <c r="E205">
        <v>26</v>
      </c>
      <c r="F205" t="s">
        <v>5057</v>
      </c>
      <c r="G205" s="1">
        <v>44070</v>
      </c>
      <c r="H205">
        <v>2020</v>
      </c>
      <c r="I205" t="s">
        <v>5031</v>
      </c>
      <c r="J205">
        <v>27</v>
      </c>
      <c r="K205">
        <v>3.59</v>
      </c>
      <c r="L205">
        <v>11</v>
      </c>
      <c r="M205">
        <v>4228.6499999999996</v>
      </c>
      <c r="N205">
        <v>5.2</v>
      </c>
      <c r="O205" t="s">
        <v>5049</v>
      </c>
    </row>
    <row r="206" spans="1:15" x14ac:dyDescent="0.3">
      <c r="A206" t="s">
        <v>606</v>
      </c>
      <c r="B206" t="s">
        <v>34</v>
      </c>
      <c r="C206" t="s">
        <v>5020</v>
      </c>
      <c r="D206" t="s">
        <v>11</v>
      </c>
      <c r="E206">
        <v>40</v>
      </c>
      <c r="F206" t="s">
        <v>5055</v>
      </c>
      <c r="G206" s="1">
        <v>44281</v>
      </c>
      <c r="H206">
        <v>2021</v>
      </c>
      <c r="I206" t="s">
        <v>5035</v>
      </c>
      <c r="J206">
        <v>26</v>
      </c>
      <c r="K206">
        <v>4.2699999999999996</v>
      </c>
      <c r="L206">
        <v>8</v>
      </c>
      <c r="M206">
        <v>3322.05</v>
      </c>
      <c r="N206">
        <v>4.5999999999999996</v>
      </c>
      <c r="O206" t="s">
        <v>5050</v>
      </c>
    </row>
    <row r="207" spans="1:15" x14ac:dyDescent="0.3">
      <c r="A207" t="s">
        <v>608</v>
      </c>
      <c r="B207" t="s">
        <v>18</v>
      </c>
      <c r="C207" t="s">
        <v>5021</v>
      </c>
      <c r="D207" t="s">
        <v>11</v>
      </c>
      <c r="E207">
        <v>56</v>
      </c>
      <c r="F207" t="s">
        <v>5056</v>
      </c>
      <c r="G207" s="1">
        <v>44499</v>
      </c>
      <c r="H207">
        <v>2021</v>
      </c>
      <c r="I207" t="s">
        <v>5039</v>
      </c>
      <c r="J207">
        <v>30</v>
      </c>
      <c r="K207">
        <v>2.2999999999999998</v>
      </c>
      <c r="L207">
        <v>7</v>
      </c>
      <c r="M207">
        <v>10605.17</v>
      </c>
      <c r="N207">
        <v>4</v>
      </c>
      <c r="O207" t="s">
        <v>5050</v>
      </c>
    </row>
    <row r="208" spans="1:15" x14ac:dyDescent="0.3">
      <c r="A208" t="s">
        <v>611</v>
      </c>
      <c r="B208" t="s">
        <v>10</v>
      </c>
      <c r="C208" t="s">
        <v>5022</v>
      </c>
      <c r="D208" t="s">
        <v>14</v>
      </c>
      <c r="E208">
        <v>51</v>
      </c>
      <c r="F208" t="s">
        <v>5056</v>
      </c>
      <c r="G208" s="1">
        <v>44336</v>
      </c>
      <c r="H208">
        <v>2021</v>
      </c>
      <c r="I208" t="s">
        <v>5036</v>
      </c>
      <c r="J208">
        <v>20</v>
      </c>
      <c r="K208">
        <v>4.08</v>
      </c>
      <c r="L208">
        <v>12</v>
      </c>
      <c r="M208">
        <v>14591.95</v>
      </c>
      <c r="N208">
        <v>4.5</v>
      </c>
      <c r="O208" t="s">
        <v>5050</v>
      </c>
    </row>
    <row r="209" spans="1:15" x14ac:dyDescent="0.3">
      <c r="A209" t="s">
        <v>619</v>
      </c>
      <c r="B209" t="s">
        <v>34</v>
      </c>
      <c r="C209" t="s">
        <v>5020</v>
      </c>
      <c r="D209" t="s">
        <v>11</v>
      </c>
      <c r="E209">
        <v>44</v>
      </c>
      <c r="F209" t="s">
        <v>5055</v>
      </c>
      <c r="G209" s="1">
        <v>44394</v>
      </c>
      <c r="H209">
        <v>2021</v>
      </c>
      <c r="I209" t="s">
        <v>5034</v>
      </c>
      <c r="J209">
        <v>17</v>
      </c>
      <c r="K209">
        <v>2.82</v>
      </c>
      <c r="L209">
        <v>10</v>
      </c>
      <c r="M209">
        <v>12819.57</v>
      </c>
      <c r="N209">
        <v>4.3</v>
      </c>
      <c r="O209" t="s">
        <v>5050</v>
      </c>
    </row>
    <row r="210" spans="1:15" x14ac:dyDescent="0.3">
      <c r="A210" t="s">
        <v>621</v>
      </c>
      <c r="B210" t="s">
        <v>34</v>
      </c>
      <c r="C210" t="s">
        <v>5020</v>
      </c>
      <c r="D210" t="s">
        <v>14</v>
      </c>
      <c r="E210">
        <v>47</v>
      </c>
      <c r="F210" t="s">
        <v>5055</v>
      </c>
      <c r="G210" s="1">
        <v>44250</v>
      </c>
      <c r="H210">
        <v>2021</v>
      </c>
      <c r="I210" t="s">
        <v>5042</v>
      </c>
      <c r="J210">
        <v>23</v>
      </c>
      <c r="K210">
        <v>3.58</v>
      </c>
      <c r="L210">
        <v>5</v>
      </c>
      <c r="M210">
        <v>11915.86</v>
      </c>
      <c r="N210">
        <v>4.7</v>
      </c>
      <c r="O210" t="s">
        <v>5050</v>
      </c>
    </row>
    <row r="211" spans="1:15" x14ac:dyDescent="0.3">
      <c r="A211" t="s">
        <v>624</v>
      </c>
      <c r="B211" t="s">
        <v>24</v>
      </c>
      <c r="C211" t="s">
        <v>5019</v>
      </c>
      <c r="D211" t="s">
        <v>14</v>
      </c>
      <c r="E211">
        <v>24</v>
      </c>
      <c r="F211" t="s">
        <v>5057</v>
      </c>
      <c r="G211" s="1">
        <v>44139</v>
      </c>
      <c r="H211">
        <v>2020</v>
      </c>
      <c r="I211" t="s">
        <v>5038</v>
      </c>
      <c r="J211">
        <v>4</v>
      </c>
      <c r="K211">
        <v>3.33</v>
      </c>
      <c r="L211">
        <v>11</v>
      </c>
      <c r="M211">
        <v>4639.3</v>
      </c>
      <c r="N211">
        <v>5</v>
      </c>
      <c r="O211" t="s">
        <v>5050</v>
      </c>
    </row>
    <row r="212" spans="1:15" x14ac:dyDescent="0.3">
      <c r="A212" t="s">
        <v>632</v>
      </c>
      <c r="B212" t="s">
        <v>16</v>
      </c>
      <c r="C212" t="s">
        <v>5018</v>
      </c>
      <c r="D212" t="s">
        <v>11</v>
      </c>
      <c r="E212">
        <v>47</v>
      </c>
      <c r="F212" t="s">
        <v>5055</v>
      </c>
      <c r="G212" s="1">
        <v>44377</v>
      </c>
      <c r="H212">
        <v>2021</v>
      </c>
      <c r="I212" t="s">
        <v>5032</v>
      </c>
      <c r="J212">
        <v>30</v>
      </c>
      <c r="K212">
        <v>4.67</v>
      </c>
      <c r="L212">
        <v>6</v>
      </c>
      <c r="M212">
        <v>7618.82</v>
      </c>
      <c r="N212">
        <v>4.3</v>
      </c>
      <c r="O212" t="s">
        <v>5050</v>
      </c>
    </row>
    <row r="213" spans="1:15" x14ac:dyDescent="0.3">
      <c r="A213" t="s">
        <v>633</v>
      </c>
      <c r="B213" t="s">
        <v>24</v>
      </c>
      <c r="C213" t="s">
        <v>5019</v>
      </c>
      <c r="D213" t="s">
        <v>11</v>
      </c>
      <c r="E213">
        <v>33</v>
      </c>
      <c r="F213" t="s">
        <v>5055</v>
      </c>
      <c r="G213" s="1">
        <v>44665</v>
      </c>
      <c r="H213">
        <v>2022</v>
      </c>
      <c r="I213" t="s">
        <v>5040</v>
      </c>
      <c r="J213">
        <v>14</v>
      </c>
      <c r="K213">
        <v>4.9800000000000004</v>
      </c>
      <c r="L213">
        <v>9</v>
      </c>
      <c r="M213">
        <v>5213.25</v>
      </c>
      <c r="N213">
        <v>3.6</v>
      </c>
      <c r="O213" t="s">
        <v>5050</v>
      </c>
    </row>
    <row r="214" spans="1:15" x14ac:dyDescent="0.3">
      <c r="A214" t="s">
        <v>635</v>
      </c>
      <c r="B214" t="s">
        <v>34</v>
      </c>
      <c r="C214" t="s">
        <v>5020</v>
      </c>
      <c r="D214" t="s">
        <v>14</v>
      </c>
      <c r="E214">
        <v>36</v>
      </c>
      <c r="F214" t="s">
        <v>5055</v>
      </c>
      <c r="G214" s="1">
        <v>45841</v>
      </c>
      <c r="H214">
        <v>2025</v>
      </c>
      <c r="I214" t="s">
        <v>5034</v>
      </c>
      <c r="J214">
        <v>3</v>
      </c>
      <c r="K214">
        <v>3.79</v>
      </c>
      <c r="L214">
        <v>12</v>
      </c>
      <c r="M214">
        <v>13385.69</v>
      </c>
      <c r="N214">
        <v>0.3</v>
      </c>
      <c r="O214" t="s">
        <v>5051</v>
      </c>
    </row>
    <row r="215" spans="1:15" x14ac:dyDescent="0.3">
      <c r="A215" t="s">
        <v>636</v>
      </c>
      <c r="B215" t="s">
        <v>24</v>
      </c>
      <c r="C215" t="s">
        <v>5019</v>
      </c>
      <c r="D215" t="s">
        <v>14</v>
      </c>
      <c r="E215">
        <v>40</v>
      </c>
      <c r="F215" t="s">
        <v>5055</v>
      </c>
      <c r="G215" s="1">
        <v>44649</v>
      </c>
      <c r="H215">
        <v>2022</v>
      </c>
      <c r="I215" t="s">
        <v>5035</v>
      </c>
      <c r="J215">
        <v>29</v>
      </c>
      <c r="K215">
        <v>2.93</v>
      </c>
      <c r="L215">
        <v>2</v>
      </c>
      <c r="M215">
        <v>13817.76</v>
      </c>
      <c r="N215">
        <v>3.6</v>
      </c>
      <c r="O215" t="s">
        <v>5050</v>
      </c>
    </row>
    <row r="216" spans="1:15" x14ac:dyDescent="0.3">
      <c r="A216" t="s">
        <v>639</v>
      </c>
      <c r="B216" t="s">
        <v>18</v>
      </c>
      <c r="C216" t="s">
        <v>5021</v>
      </c>
      <c r="D216" t="s">
        <v>14</v>
      </c>
      <c r="E216">
        <v>41</v>
      </c>
      <c r="F216" t="s">
        <v>5055</v>
      </c>
      <c r="G216" s="1">
        <v>44269</v>
      </c>
      <c r="H216">
        <v>2021</v>
      </c>
      <c r="I216" t="s">
        <v>5035</v>
      </c>
      <c r="J216">
        <v>14</v>
      </c>
      <c r="K216">
        <v>1.96</v>
      </c>
      <c r="L216">
        <v>4</v>
      </c>
      <c r="M216">
        <v>8479.5499999999993</v>
      </c>
      <c r="N216">
        <v>4.5999999999999996</v>
      </c>
      <c r="O216" t="s">
        <v>5050</v>
      </c>
    </row>
    <row r="217" spans="1:15" x14ac:dyDescent="0.3">
      <c r="A217" t="s">
        <v>640</v>
      </c>
      <c r="B217" t="s">
        <v>24</v>
      </c>
      <c r="C217" t="s">
        <v>5019</v>
      </c>
      <c r="D217" t="s">
        <v>11</v>
      </c>
      <c r="E217">
        <v>60</v>
      </c>
      <c r="F217" t="s">
        <v>5056</v>
      </c>
      <c r="G217" s="1">
        <v>45119</v>
      </c>
      <c r="H217">
        <v>2023</v>
      </c>
      <c r="I217" t="s">
        <v>5034</v>
      </c>
      <c r="J217">
        <v>12</v>
      </c>
      <c r="K217">
        <v>2.35</v>
      </c>
      <c r="L217">
        <v>15</v>
      </c>
      <c r="M217">
        <v>14557.19</v>
      </c>
      <c r="N217">
        <v>2.2999999999999998</v>
      </c>
      <c r="O217" t="s">
        <v>5050</v>
      </c>
    </row>
    <row r="218" spans="1:15" x14ac:dyDescent="0.3">
      <c r="A218" t="s">
        <v>643</v>
      </c>
      <c r="B218" t="s">
        <v>34</v>
      </c>
      <c r="C218" t="s">
        <v>5020</v>
      </c>
      <c r="D218" t="s">
        <v>11</v>
      </c>
      <c r="E218">
        <v>34</v>
      </c>
      <c r="F218" t="s">
        <v>5055</v>
      </c>
      <c r="G218" s="1">
        <v>45734</v>
      </c>
      <c r="H218">
        <v>2025</v>
      </c>
      <c r="I218" t="s">
        <v>5035</v>
      </c>
      <c r="J218">
        <v>18</v>
      </c>
      <c r="K218">
        <v>2.89</v>
      </c>
      <c r="L218">
        <v>14</v>
      </c>
      <c r="M218">
        <v>13790</v>
      </c>
      <c r="N218">
        <v>0.6</v>
      </c>
      <c r="O218" t="s">
        <v>5051</v>
      </c>
    </row>
    <row r="219" spans="1:15" x14ac:dyDescent="0.3">
      <c r="A219" t="s">
        <v>650</v>
      </c>
      <c r="B219" t="s">
        <v>16</v>
      </c>
      <c r="C219" t="s">
        <v>5018</v>
      </c>
      <c r="D219" t="s">
        <v>14</v>
      </c>
      <c r="E219">
        <v>53</v>
      </c>
      <c r="F219" t="s">
        <v>5056</v>
      </c>
      <c r="G219" s="1">
        <v>45426</v>
      </c>
      <c r="H219">
        <v>2024</v>
      </c>
      <c r="I219" t="s">
        <v>5036</v>
      </c>
      <c r="J219">
        <v>14</v>
      </c>
      <c r="K219">
        <v>3.94</v>
      </c>
      <c r="L219">
        <v>1</v>
      </c>
      <c r="M219">
        <v>11747.1</v>
      </c>
      <c r="N219">
        <v>1.5</v>
      </c>
      <c r="O219" t="s">
        <v>5050</v>
      </c>
    </row>
    <row r="220" spans="1:15" x14ac:dyDescent="0.3">
      <c r="A220" t="s">
        <v>652</v>
      </c>
      <c r="B220" t="s">
        <v>24</v>
      </c>
      <c r="C220" t="s">
        <v>5019</v>
      </c>
      <c r="D220" t="s">
        <v>11</v>
      </c>
      <c r="E220">
        <v>55</v>
      </c>
      <c r="F220" t="s">
        <v>5056</v>
      </c>
      <c r="G220" s="1">
        <v>44827</v>
      </c>
      <c r="H220">
        <v>2022</v>
      </c>
      <c r="I220" t="s">
        <v>5033</v>
      </c>
      <c r="J220">
        <v>23</v>
      </c>
      <c r="K220">
        <v>1.85</v>
      </c>
      <c r="L220">
        <v>11</v>
      </c>
      <c r="M220">
        <v>14121.55</v>
      </c>
      <c r="N220">
        <v>3.1</v>
      </c>
      <c r="O220" t="s">
        <v>5050</v>
      </c>
    </row>
    <row r="221" spans="1:15" x14ac:dyDescent="0.3">
      <c r="A221" t="s">
        <v>653</v>
      </c>
      <c r="B221" t="s">
        <v>10</v>
      </c>
      <c r="C221" t="s">
        <v>5022</v>
      </c>
      <c r="D221" t="s">
        <v>14</v>
      </c>
      <c r="E221">
        <v>31</v>
      </c>
      <c r="F221" t="s">
        <v>5057</v>
      </c>
      <c r="G221" s="1">
        <v>44359</v>
      </c>
      <c r="H221">
        <v>2021</v>
      </c>
      <c r="I221" t="s">
        <v>5032</v>
      </c>
      <c r="J221">
        <v>12</v>
      </c>
      <c r="K221">
        <v>4.78</v>
      </c>
      <c r="L221">
        <v>11</v>
      </c>
      <c r="M221">
        <v>5123.8500000000004</v>
      </c>
      <c r="N221">
        <v>4.4000000000000004</v>
      </c>
      <c r="O221" t="s">
        <v>5050</v>
      </c>
    </row>
    <row r="222" spans="1:15" x14ac:dyDescent="0.3">
      <c r="A222" t="s">
        <v>654</v>
      </c>
      <c r="B222" t="s">
        <v>34</v>
      </c>
      <c r="C222" t="s">
        <v>5020</v>
      </c>
      <c r="D222" t="s">
        <v>14</v>
      </c>
      <c r="E222">
        <v>57</v>
      </c>
      <c r="F222" t="s">
        <v>5056</v>
      </c>
      <c r="G222" s="1">
        <v>44563</v>
      </c>
      <c r="H222">
        <v>2022</v>
      </c>
      <c r="I222" t="s">
        <v>5037</v>
      </c>
      <c r="J222">
        <v>2</v>
      </c>
      <c r="K222">
        <v>4.58</v>
      </c>
      <c r="L222">
        <v>2</v>
      </c>
      <c r="M222">
        <v>5315.76</v>
      </c>
      <c r="N222">
        <v>3.8</v>
      </c>
      <c r="O222" t="s">
        <v>5050</v>
      </c>
    </row>
    <row r="223" spans="1:15" x14ac:dyDescent="0.3">
      <c r="A223" t="s">
        <v>656</v>
      </c>
      <c r="B223" t="s">
        <v>24</v>
      </c>
      <c r="C223" t="s">
        <v>5019</v>
      </c>
      <c r="D223" t="s">
        <v>14</v>
      </c>
      <c r="E223">
        <v>37</v>
      </c>
      <c r="F223" t="s">
        <v>5055</v>
      </c>
      <c r="G223" s="1">
        <v>44071</v>
      </c>
      <c r="H223">
        <v>2020</v>
      </c>
      <c r="I223" t="s">
        <v>5031</v>
      </c>
      <c r="J223">
        <v>28</v>
      </c>
      <c r="K223">
        <v>2.64</v>
      </c>
      <c r="L223">
        <v>3</v>
      </c>
      <c r="M223">
        <v>9297.02</v>
      </c>
      <c r="N223">
        <v>5.2</v>
      </c>
      <c r="O223" t="s">
        <v>5049</v>
      </c>
    </row>
    <row r="224" spans="1:15" x14ac:dyDescent="0.3">
      <c r="A224" t="s">
        <v>659</v>
      </c>
      <c r="B224" t="s">
        <v>10</v>
      </c>
      <c r="C224" t="s">
        <v>5022</v>
      </c>
      <c r="D224" t="s">
        <v>14</v>
      </c>
      <c r="E224">
        <v>32</v>
      </c>
      <c r="F224" t="s">
        <v>5055</v>
      </c>
      <c r="G224" s="1">
        <v>43900</v>
      </c>
      <c r="H224">
        <v>2020</v>
      </c>
      <c r="I224" t="s">
        <v>5035</v>
      </c>
      <c r="J224">
        <v>10</v>
      </c>
      <c r="K224">
        <v>3.76</v>
      </c>
      <c r="L224">
        <v>4</v>
      </c>
      <c r="M224">
        <v>5879.01</v>
      </c>
      <c r="N224">
        <v>5.6</v>
      </c>
      <c r="O224" t="s">
        <v>5049</v>
      </c>
    </row>
    <row r="225" spans="1:15" x14ac:dyDescent="0.3">
      <c r="A225" t="s">
        <v>664</v>
      </c>
      <c r="B225" t="s">
        <v>34</v>
      </c>
      <c r="C225" t="s">
        <v>5020</v>
      </c>
      <c r="D225" t="s">
        <v>11</v>
      </c>
      <c r="E225">
        <v>56</v>
      </c>
      <c r="F225" t="s">
        <v>5056</v>
      </c>
      <c r="G225" s="1">
        <v>45038</v>
      </c>
      <c r="H225">
        <v>2023</v>
      </c>
      <c r="I225" t="s">
        <v>5040</v>
      </c>
      <c r="J225">
        <v>22</v>
      </c>
      <c r="K225">
        <v>2.85</v>
      </c>
      <c r="L225">
        <v>9</v>
      </c>
      <c r="M225">
        <v>8792.92</v>
      </c>
      <c r="N225">
        <v>2.5</v>
      </c>
      <c r="O225" t="s">
        <v>5050</v>
      </c>
    </row>
    <row r="226" spans="1:15" x14ac:dyDescent="0.3">
      <c r="A226" t="s">
        <v>665</v>
      </c>
      <c r="B226" t="s">
        <v>18</v>
      </c>
      <c r="C226" t="s">
        <v>5021</v>
      </c>
      <c r="D226" t="s">
        <v>14</v>
      </c>
      <c r="E226">
        <v>22</v>
      </c>
      <c r="F226" t="s">
        <v>5057</v>
      </c>
      <c r="G226" s="1">
        <v>44387</v>
      </c>
      <c r="H226">
        <v>2021</v>
      </c>
      <c r="I226" t="s">
        <v>5034</v>
      </c>
      <c r="J226">
        <v>10</v>
      </c>
      <c r="K226">
        <v>4.34</v>
      </c>
      <c r="L226">
        <v>0</v>
      </c>
      <c r="M226">
        <v>5800.68</v>
      </c>
      <c r="N226">
        <v>4.3</v>
      </c>
      <c r="O226" t="s">
        <v>5050</v>
      </c>
    </row>
    <row r="227" spans="1:15" x14ac:dyDescent="0.3">
      <c r="A227" t="s">
        <v>666</v>
      </c>
      <c r="B227" t="s">
        <v>13</v>
      </c>
      <c r="C227" t="s">
        <v>5017</v>
      </c>
      <c r="D227" t="s">
        <v>11</v>
      </c>
      <c r="E227">
        <v>60</v>
      </c>
      <c r="F227" t="s">
        <v>5056</v>
      </c>
      <c r="G227" s="1">
        <v>45606</v>
      </c>
      <c r="H227">
        <v>2024</v>
      </c>
      <c r="I227" t="s">
        <v>5038</v>
      </c>
      <c r="J227">
        <v>10</v>
      </c>
      <c r="K227">
        <v>4.93</v>
      </c>
      <c r="L227">
        <v>6</v>
      </c>
      <c r="M227">
        <v>10524.55</v>
      </c>
      <c r="N227">
        <v>1</v>
      </c>
      <c r="O227" t="s">
        <v>5051</v>
      </c>
    </row>
    <row r="228" spans="1:15" x14ac:dyDescent="0.3">
      <c r="A228" t="s">
        <v>668</v>
      </c>
      <c r="B228" t="s">
        <v>24</v>
      </c>
      <c r="C228" t="s">
        <v>5019</v>
      </c>
      <c r="D228" t="s">
        <v>14</v>
      </c>
      <c r="E228">
        <v>52</v>
      </c>
      <c r="F228" t="s">
        <v>5056</v>
      </c>
      <c r="G228" s="1">
        <v>44991</v>
      </c>
      <c r="H228">
        <v>2023</v>
      </c>
      <c r="I228" t="s">
        <v>5035</v>
      </c>
      <c r="J228">
        <v>6</v>
      </c>
      <c r="K228">
        <v>3.01</v>
      </c>
      <c r="L228">
        <v>1</v>
      </c>
      <c r="M228">
        <v>10146.75</v>
      </c>
      <c r="N228">
        <v>2.7</v>
      </c>
      <c r="O228" t="s">
        <v>5050</v>
      </c>
    </row>
    <row r="229" spans="1:15" x14ac:dyDescent="0.3">
      <c r="A229" t="s">
        <v>670</v>
      </c>
      <c r="B229" t="s">
        <v>24</v>
      </c>
      <c r="C229" t="s">
        <v>5019</v>
      </c>
      <c r="D229" t="s">
        <v>11</v>
      </c>
      <c r="E229">
        <v>28</v>
      </c>
      <c r="F229" t="s">
        <v>5057</v>
      </c>
      <c r="G229" s="1">
        <v>44009</v>
      </c>
      <c r="H229">
        <v>2020</v>
      </c>
      <c r="I229" t="s">
        <v>5032</v>
      </c>
      <c r="J229">
        <v>27</v>
      </c>
      <c r="K229">
        <v>4.05</v>
      </c>
      <c r="L229">
        <v>3</v>
      </c>
      <c r="M229">
        <v>10764.76</v>
      </c>
      <c r="N229">
        <v>5.4</v>
      </c>
      <c r="O229" t="s">
        <v>5049</v>
      </c>
    </row>
    <row r="230" spans="1:15" x14ac:dyDescent="0.3">
      <c r="A230" t="s">
        <v>676</v>
      </c>
      <c r="B230" t="s">
        <v>24</v>
      </c>
      <c r="C230" t="s">
        <v>5019</v>
      </c>
      <c r="D230" t="s">
        <v>14</v>
      </c>
      <c r="E230">
        <v>37</v>
      </c>
      <c r="F230" t="s">
        <v>5055</v>
      </c>
      <c r="G230" s="1">
        <v>44573</v>
      </c>
      <c r="H230">
        <v>2022</v>
      </c>
      <c r="I230" t="s">
        <v>5037</v>
      </c>
      <c r="J230">
        <v>12</v>
      </c>
      <c r="K230">
        <v>2.59</v>
      </c>
      <c r="L230">
        <v>11</v>
      </c>
      <c r="M230">
        <v>6595.42</v>
      </c>
      <c r="N230">
        <v>3.8</v>
      </c>
      <c r="O230" t="s">
        <v>5050</v>
      </c>
    </row>
    <row r="231" spans="1:15" x14ac:dyDescent="0.3">
      <c r="A231" t="s">
        <v>678</v>
      </c>
      <c r="B231" t="s">
        <v>18</v>
      </c>
      <c r="C231" t="s">
        <v>5021</v>
      </c>
      <c r="D231" t="s">
        <v>14</v>
      </c>
      <c r="E231">
        <v>52</v>
      </c>
      <c r="F231" t="s">
        <v>5056</v>
      </c>
      <c r="G231" s="1">
        <v>44209</v>
      </c>
      <c r="H231">
        <v>2021</v>
      </c>
      <c r="I231" t="s">
        <v>5037</v>
      </c>
      <c r="J231">
        <v>13</v>
      </c>
      <c r="K231">
        <v>3.87</v>
      </c>
      <c r="L231">
        <v>15</v>
      </c>
      <c r="M231">
        <v>7197.69</v>
      </c>
      <c r="N231">
        <v>4.8</v>
      </c>
      <c r="O231" t="s">
        <v>5050</v>
      </c>
    </row>
    <row r="232" spans="1:15" x14ac:dyDescent="0.3">
      <c r="A232" t="s">
        <v>679</v>
      </c>
      <c r="B232" t="s">
        <v>18</v>
      </c>
      <c r="C232" t="s">
        <v>5021</v>
      </c>
      <c r="D232" t="s">
        <v>14</v>
      </c>
      <c r="E232">
        <v>46</v>
      </c>
      <c r="F232" t="s">
        <v>5055</v>
      </c>
      <c r="G232" s="1">
        <v>44190</v>
      </c>
      <c r="H232">
        <v>2020</v>
      </c>
      <c r="I232" t="s">
        <v>5041</v>
      </c>
      <c r="J232">
        <v>25</v>
      </c>
      <c r="K232">
        <v>1.9</v>
      </c>
      <c r="L232">
        <v>2</v>
      </c>
      <c r="M232">
        <v>11519</v>
      </c>
      <c r="N232">
        <v>4.9000000000000004</v>
      </c>
      <c r="O232" t="s">
        <v>5050</v>
      </c>
    </row>
    <row r="233" spans="1:15" x14ac:dyDescent="0.3">
      <c r="A233" t="s">
        <v>682</v>
      </c>
      <c r="B233" t="s">
        <v>13</v>
      </c>
      <c r="C233" t="s">
        <v>5017</v>
      </c>
      <c r="D233" t="s">
        <v>11</v>
      </c>
      <c r="E233">
        <v>30</v>
      </c>
      <c r="F233" t="s">
        <v>5057</v>
      </c>
      <c r="G233" s="1">
        <v>44857</v>
      </c>
      <c r="H233">
        <v>2022</v>
      </c>
      <c r="I233" t="s">
        <v>5039</v>
      </c>
      <c r="J233">
        <v>23</v>
      </c>
      <c r="K233">
        <v>3.38</v>
      </c>
      <c r="L233">
        <v>0</v>
      </c>
      <c r="M233">
        <v>9325.17</v>
      </c>
      <c r="N233">
        <v>3</v>
      </c>
      <c r="O233" t="s">
        <v>5050</v>
      </c>
    </row>
    <row r="234" spans="1:15" x14ac:dyDescent="0.3">
      <c r="A234" t="s">
        <v>686</v>
      </c>
      <c r="B234" t="s">
        <v>18</v>
      </c>
      <c r="C234" t="s">
        <v>5021</v>
      </c>
      <c r="D234" t="s">
        <v>14</v>
      </c>
      <c r="E234">
        <v>36</v>
      </c>
      <c r="F234" t="s">
        <v>5055</v>
      </c>
      <c r="G234" s="1">
        <v>45014</v>
      </c>
      <c r="H234">
        <v>2023</v>
      </c>
      <c r="I234" t="s">
        <v>5035</v>
      </c>
      <c r="J234">
        <v>29</v>
      </c>
      <c r="K234">
        <v>4.75</v>
      </c>
      <c r="L234">
        <v>14</v>
      </c>
      <c r="M234">
        <v>9567.24</v>
      </c>
      <c r="N234">
        <v>2.6</v>
      </c>
      <c r="O234" t="s">
        <v>5050</v>
      </c>
    </row>
    <row r="235" spans="1:15" x14ac:dyDescent="0.3">
      <c r="A235" t="s">
        <v>693</v>
      </c>
      <c r="B235" t="s">
        <v>16</v>
      </c>
      <c r="C235" t="s">
        <v>5018</v>
      </c>
      <c r="D235" t="s">
        <v>14</v>
      </c>
      <c r="E235">
        <v>40</v>
      </c>
      <c r="F235" t="s">
        <v>5055</v>
      </c>
      <c r="G235" s="1">
        <v>45812</v>
      </c>
      <c r="H235">
        <v>2025</v>
      </c>
      <c r="I235" t="s">
        <v>5032</v>
      </c>
      <c r="J235">
        <v>4</v>
      </c>
      <c r="K235">
        <v>2.36</v>
      </c>
      <c r="L235">
        <v>2</v>
      </c>
      <c r="M235">
        <v>4955.17</v>
      </c>
      <c r="N235">
        <v>0.4</v>
      </c>
      <c r="O235" t="s">
        <v>5051</v>
      </c>
    </row>
    <row r="236" spans="1:15" x14ac:dyDescent="0.3">
      <c r="A236" t="s">
        <v>696</v>
      </c>
      <c r="B236" t="s">
        <v>10</v>
      </c>
      <c r="C236" t="s">
        <v>5022</v>
      </c>
      <c r="D236" t="s">
        <v>11</v>
      </c>
      <c r="E236">
        <v>39</v>
      </c>
      <c r="F236" t="s">
        <v>5055</v>
      </c>
      <c r="G236" s="1">
        <v>44926</v>
      </c>
      <c r="H236">
        <v>2022</v>
      </c>
      <c r="I236" t="s">
        <v>5041</v>
      </c>
      <c r="J236">
        <v>31</v>
      </c>
      <c r="K236">
        <v>1.57</v>
      </c>
      <c r="L236">
        <v>13</v>
      </c>
      <c r="M236">
        <v>9667.5400000000009</v>
      </c>
      <c r="N236">
        <v>2.8</v>
      </c>
      <c r="O236" t="s">
        <v>5050</v>
      </c>
    </row>
    <row r="237" spans="1:15" x14ac:dyDescent="0.3">
      <c r="A237" t="s">
        <v>701</v>
      </c>
      <c r="B237" t="s">
        <v>34</v>
      </c>
      <c r="C237" t="s">
        <v>5020</v>
      </c>
      <c r="D237" t="s">
        <v>11</v>
      </c>
      <c r="E237">
        <v>54</v>
      </c>
      <c r="F237" t="s">
        <v>5056</v>
      </c>
      <c r="G237" s="1">
        <v>45808</v>
      </c>
      <c r="H237">
        <v>2025</v>
      </c>
      <c r="I237" t="s">
        <v>5036</v>
      </c>
      <c r="J237">
        <v>31</v>
      </c>
      <c r="K237">
        <v>3.61</v>
      </c>
      <c r="L237">
        <v>7</v>
      </c>
      <c r="M237">
        <v>9763.59</v>
      </c>
      <c r="N237">
        <v>0.4</v>
      </c>
      <c r="O237" t="s">
        <v>5051</v>
      </c>
    </row>
    <row r="238" spans="1:15" x14ac:dyDescent="0.3">
      <c r="A238" t="s">
        <v>702</v>
      </c>
      <c r="B238" t="s">
        <v>10</v>
      </c>
      <c r="C238" t="s">
        <v>5022</v>
      </c>
      <c r="D238" t="s">
        <v>14</v>
      </c>
      <c r="E238">
        <v>55</v>
      </c>
      <c r="F238" t="s">
        <v>5056</v>
      </c>
      <c r="G238" s="1">
        <v>44373</v>
      </c>
      <c r="H238">
        <v>2021</v>
      </c>
      <c r="I238" t="s">
        <v>5032</v>
      </c>
      <c r="J238">
        <v>26</v>
      </c>
      <c r="K238">
        <v>4.68</v>
      </c>
      <c r="L238">
        <v>4</v>
      </c>
      <c r="M238">
        <v>12063.61</v>
      </c>
      <c r="N238">
        <v>4.4000000000000004</v>
      </c>
      <c r="O238" t="s">
        <v>5050</v>
      </c>
    </row>
    <row r="239" spans="1:15" x14ac:dyDescent="0.3">
      <c r="A239" t="s">
        <v>703</v>
      </c>
      <c r="B239" t="s">
        <v>18</v>
      </c>
      <c r="C239" t="s">
        <v>5021</v>
      </c>
      <c r="D239" t="s">
        <v>14</v>
      </c>
      <c r="E239">
        <v>47</v>
      </c>
      <c r="F239" t="s">
        <v>5055</v>
      </c>
      <c r="G239" s="1">
        <v>45721</v>
      </c>
      <c r="H239">
        <v>2025</v>
      </c>
      <c r="I239" t="s">
        <v>5035</v>
      </c>
      <c r="J239">
        <v>5</v>
      </c>
      <c r="K239">
        <v>3.67</v>
      </c>
      <c r="L239">
        <v>1</v>
      </c>
      <c r="M239">
        <v>12523.51</v>
      </c>
      <c r="N239">
        <v>0.7</v>
      </c>
      <c r="O239" t="s">
        <v>5051</v>
      </c>
    </row>
    <row r="240" spans="1:15" x14ac:dyDescent="0.3">
      <c r="A240" t="s">
        <v>704</v>
      </c>
      <c r="B240" t="s">
        <v>34</v>
      </c>
      <c r="C240" t="s">
        <v>5020</v>
      </c>
      <c r="D240" t="s">
        <v>11</v>
      </c>
      <c r="E240">
        <v>43</v>
      </c>
      <c r="F240" t="s">
        <v>5055</v>
      </c>
      <c r="G240" s="1">
        <v>44322</v>
      </c>
      <c r="H240">
        <v>2021</v>
      </c>
      <c r="I240" t="s">
        <v>5036</v>
      </c>
      <c r="J240">
        <v>6</v>
      </c>
      <c r="K240">
        <v>2.4900000000000002</v>
      </c>
      <c r="L240">
        <v>11</v>
      </c>
      <c r="M240">
        <v>13977.18</v>
      </c>
      <c r="N240">
        <v>4.5</v>
      </c>
      <c r="O240" t="s">
        <v>5050</v>
      </c>
    </row>
    <row r="241" spans="1:15" x14ac:dyDescent="0.3">
      <c r="A241" t="s">
        <v>706</v>
      </c>
      <c r="B241" t="s">
        <v>16</v>
      </c>
      <c r="C241" t="s">
        <v>5018</v>
      </c>
      <c r="D241" t="s">
        <v>11</v>
      </c>
      <c r="E241">
        <v>56</v>
      </c>
      <c r="F241" t="s">
        <v>5056</v>
      </c>
      <c r="G241" s="1">
        <v>44354</v>
      </c>
      <c r="H241">
        <v>2021</v>
      </c>
      <c r="I241" t="s">
        <v>5032</v>
      </c>
      <c r="J241">
        <v>7</v>
      </c>
      <c r="K241">
        <v>1.5</v>
      </c>
      <c r="L241">
        <v>4</v>
      </c>
      <c r="M241">
        <v>4853.84</v>
      </c>
      <c r="N241">
        <v>4.4000000000000004</v>
      </c>
      <c r="O241" t="s">
        <v>5050</v>
      </c>
    </row>
    <row r="242" spans="1:15" x14ac:dyDescent="0.3">
      <c r="A242" t="s">
        <v>708</v>
      </c>
      <c r="B242" t="s">
        <v>13</v>
      </c>
      <c r="C242" t="s">
        <v>5017</v>
      </c>
      <c r="D242" t="s">
        <v>14</v>
      </c>
      <c r="E242">
        <v>23</v>
      </c>
      <c r="F242" t="s">
        <v>5057</v>
      </c>
      <c r="G242" s="1">
        <v>44821</v>
      </c>
      <c r="H242">
        <v>2022</v>
      </c>
      <c r="I242" t="s">
        <v>5033</v>
      </c>
      <c r="J242">
        <v>17</v>
      </c>
      <c r="K242">
        <v>4.0199999999999996</v>
      </c>
      <c r="L242">
        <v>0</v>
      </c>
      <c r="M242">
        <v>8803.57</v>
      </c>
      <c r="N242">
        <v>3.1</v>
      </c>
      <c r="O242" t="s">
        <v>5050</v>
      </c>
    </row>
    <row r="243" spans="1:15" x14ac:dyDescent="0.3">
      <c r="A243" t="s">
        <v>710</v>
      </c>
      <c r="B243" t="s">
        <v>34</v>
      </c>
      <c r="C243" t="s">
        <v>5020</v>
      </c>
      <c r="D243" t="s">
        <v>14</v>
      </c>
      <c r="E243">
        <v>34</v>
      </c>
      <c r="F243" t="s">
        <v>5055</v>
      </c>
      <c r="G243" s="1">
        <v>45945</v>
      </c>
      <c r="H243">
        <v>2025</v>
      </c>
      <c r="I243" t="s">
        <v>5039</v>
      </c>
      <c r="J243">
        <v>15</v>
      </c>
      <c r="K243">
        <v>2.23</v>
      </c>
      <c r="L243">
        <v>5</v>
      </c>
      <c r="M243">
        <v>3751.49</v>
      </c>
      <c r="N243">
        <v>0</v>
      </c>
      <c r="O243" t="s">
        <v>5051</v>
      </c>
    </row>
    <row r="244" spans="1:15" x14ac:dyDescent="0.3">
      <c r="A244" t="s">
        <v>711</v>
      </c>
      <c r="B244" t="s">
        <v>10</v>
      </c>
      <c r="C244" t="s">
        <v>5022</v>
      </c>
      <c r="D244" t="s">
        <v>11</v>
      </c>
      <c r="E244">
        <v>38</v>
      </c>
      <c r="F244" t="s">
        <v>5055</v>
      </c>
      <c r="G244" s="1">
        <v>45302</v>
      </c>
      <c r="H244">
        <v>2024</v>
      </c>
      <c r="I244" t="s">
        <v>5037</v>
      </c>
      <c r="J244">
        <v>11</v>
      </c>
      <c r="K244">
        <v>3.31</v>
      </c>
      <c r="L244">
        <v>13</v>
      </c>
      <c r="M244">
        <v>3720.69</v>
      </c>
      <c r="N244">
        <v>1.8</v>
      </c>
      <c r="O244" t="s">
        <v>5050</v>
      </c>
    </row>
    <row r="245" spans="1:15" x14ac:dyDescent="0.3">
      <c r="A245" t="s">
        <v>712</v>
      </c>
      <c r="B245" t="s">
        <v>18</v>
      </c>
      <c r="C245" t="s">
        <v>5021</v>
      </c>
      <c r="D245" t="s">
        <v>11</v>
      </c>
      <c r="E245">
        <v>33</v>
      </c>
      <c r="F245" t="s">
        <v>5055</v>
      </c>
      <c r="G245" s="1">
        <v>45906</v>
      </c>
      <c r="H245">
        <v>2025</v>
      </c>
      <c r="I245" t="s">
        <v>5033</v>
      </c>
      <c r="J245">
        <v>6</v>
      </c>
      <c r="K245">
        <v>2.29</v>
      </c>
      <c r="L245">
        <v>9</v>
      </c>
      <c r="M245">
        <v>5283.68</v>
      </c>
      <c r="N245">
        <v>0.2</v>
      </c>
      <c r="O245" t="s">
        <v>5051</v>
      </c>
    </row>
    <row r="246" spans="1:15" x14ac:dyDescent="0.3">
      <c r="A246" t="s">
        <v>714</v>
      </c>
      <c r="B246" t="s">
        <v>16</v>
      </c>
      <c r="C246" t="s">
        <v>5018</v>
      </c>
      <c r="D246" t="s">
        <v>11</v>
      </c>
      <c r="E246">
        <v>34</v>
      </c>
      <c r="F246" t="s">
        <v>5055</v>
      </c>
      <c r="G246" s="1">
        <v>45615</v>
      </c>
      <c r="H246">
        <v>2024</v>
      </c>
      <c r="I246" t="s">
        <v>5038</v>
      </c>
      <c r="J246">
        <v>19</v>
      </c>
      <c r="K246">
        <v>3.29</v>
      </c>
      <c r="L246">
        <v>12</v>
      </c>
      <c r="M246">
        <v>12678.44</v>
      </c>
      <c r="N246">
        <v>1</v>
      </c>
      <c r="O246" t="s">
        <v>5051</v>
      </c>
    </row>
    <row r="247" spans="1:15" x14ac:dyDescent="0.3">
      <c r="A247" t="s">
        <v>716</v>
      </c>
      <c r="B247" t="s">
        <v>13</v>
      </c>
      <c r="C247" t="s">
        <v>5017</v>
      </c>
      <c r="D247" t="s">
        <v>14</v>
      </c>
      <c r="E247">
        <v>49</v>
      </c>
      <c r="F247" t="s">
        <v>5055</v>
      </c>
      <c r="G247" s="1">
        <v>44628</v>
      </c>
      <c r="H247">
        <v>2022</v>
      </c>
      <c r="I247" t="s">
        <v>5035</v>
      </c>
      <c r="J247">
        <v>8</v>
      </c>
      <c r="K247">
        <v>3.4</v>
      </c>
      <c r="L247">
        <v>3</v>
      </c>
      <c r="M247">
        <v>5977.15</v>
      </c>
      <c r="N247">
        <v>3.7</v>
      </c>
      <c r="O247" t="s">
        <v>5050</v>
      </c>
    </row>
    <row r="248" spans="1:15" x14ac:dyDescent="0.3">
      <c r="A248" t="s">
        <v>719</v>
      </c>
      <c r="B248" t="s">
        <v>13</v>
      </c>
      <c r="C248" t="s">
        <v>5017</v>
      </c>
      <c r="D248" t="s">
        <v>14</v>
      </c>
      <c r="E248">
        <v>59</v>
      </c>
      <c r="F248" t="s">
        <v>5056</v>
      </c>
      <c r="G248" s="1">
        <v>44698</v>
      </c>
      <c r="H248">
        <v>2022</v>
      </c>
      <c r="I248" t="s">
        <v>5036</v>
      </c>
      <c r="J248">
        <v>17</v>
      </c>
      <c r="K248">
        <v>4.04</v>
      </c>
      <c r="L248">
        <v>11</v>
      </c>
      <c r="M248">
        <v>10823.15</v>
      </c>
      <c r="N248">
        <v>3.5</v>
      </c>
      <c r="O248" t="s">
        <v>5050</v>
      </c>
    </row>
    <row r="249" spans="1:15" x14ac:dyDescent="0.3">
      <c r="A249" t="s">
        <v>720</v>
      </c>
      <c r="B249" t="s">
        <v>16</v>
      </c>
      <c r="C249" t="s">
        <v>5018</v>
      </c>
      <c r="D249" t="s">
        <v>11</v>
      </c>
      <c r="E249">
        <v>25</v>
      </c>
      <c r="F249" t="s">
        <v>5057</v>
      </c>
      <c r="G249" s="1">
        <v>45454</v>
      </c>
      <c r="H249">
        <v>2024</v>
      </c>
      <c r="I249" t="s">
        <v>5032</v>
      </c>
      <c r="J249">
        <v>11</v>
      </c>
      <c r="K249">
        <v>3.88</v>
      </c>
      <c r="L249">
        <v>3</v>
      </c>
      <c r="M249">
        <v>6454.46</v>
      </c>
      <c r="N249">
        <v>1.4</v>
      </c>
      <c r="O249" t="s">
        <v>5050</v>
      </c>
    </row>
    <row r="250" spans="1:15" x14ac:dyDescent="0.3">
      <c r="A250" t="s">
        <v>725</v>
      </c>
      <c r="B250" t="s">
        <v>13</v>
      </c>
      <c r="C250" t="s">
        <v>5017</v>
      </c>
      <c r="D250" t="s">
        <v>14</v>
      </c>
      <c r="E250">
        <v>53</v>
      </c>
      <c r="F250" t="s">
        <v>5056</v>
      </c>
      <c r="G250" s="1">
        <v>44015</v>
      </c>
      <c r="H250">
        <v>2020</v>
      </c>
      <c r="I250" t="s">
        <v>5034</v>
      </c>
      <c r="J250">
        <v>3</v>
      </c>
      <c r="K250">
        <v>1.58</v>
      </c>
      <c r="L250">
        <v>15</v>
      </c>
      <c r="M250">
        <v>8964.0400000000009</v>
      </c>
      <c r="N250">
        <v>5.3</v>
      </c>
      <c r="O250" t="s">
        <v>5049</v>
      </c>
    </row>
    <row r="251" spans="1:15" x14ac:dyDescent="0.3">
      <c r="A251" t="s">
        <v>731</v>
      </c>
      <c r="B251" t="s">
        <v>24</v>
      </c>
      <c r="C251" t="s">
        <v>5019</v>
      </c>
      <c r="D251" t="s">
        <v>11</v>
      </c>
      <c r="E251">
        <v>38</v>
      </c>
      <c r="F251" t="s">
        <v>5055</v>
      </c>
      <c r="G251" s="1">
        <v>44571</v>
      </c>
      <c r="H251">
        <v>2022</v>
      </c>
      <c r="I251" t="s">
        <v>5037</v>
      </c>
      <c r="J251">
        <v>10</v>
      </c>
      <c r="K251">
        <v>3.27</v>
      </c>
      <c r="L251">
        <v>1</v>
      </c>
      <c r="M251">
        <v>13110.49</v>
      </c>
      <c r="N251">
        <v>3.8</v>
      </c>
      <c r="O251" t="s">
        <v>5050</v>
      </c>
    </row>
    <row r="252" spans="1:15" x14ac:dyDescent="0.3">
      <c r="A252" t="s">
        <v>735</v>
      </c>
      <c r="B252" t="s">
        <v>13</v>
      </c>
      <c r="C252" t="s">
        <v>5017</v>
      </c>
      <c r="D252" t="s">
        <v>14</v>
      </c>
      <c r="E252">
        <v>41</v>
      </c>
      <c r="F252" t="s">
        <v>5055</v>
      </c>
      <c r="G252" s="1">
        <v>44787</v>
      </c>
      <c r="H252">
        <v>2022</v>
      </c>
      <c r="I252" t="s">
        <v>5031</v>
      </c>
      <c r="J252">
        <v>14</v>
      </c>
      <c r="K252">
        <v>2.73</v>
      </c>
      <c r="L252">
        <v>14</v>
      </c>
      <c r="M252">
        <v>12248.26</v>
      </c>
      <c r="N252">
        <v>3.2</v>
      </c>
      <c r="O252" t="s">
        <v>5050</v>
      </c>
    </row>
    <row r="253" spans="1:15" x14ac:dyDescent="0.3">
      <c r="A253" t="s">
        <v>737</v>
      </c>
      <c r="B253" t="s">
        <v>24</v>
      </c>
      <c r="C253" t="s">
        <v>5019</v>
      </c>
      <c r="D253" t="s">
        <v>14</v>
      </c>
      <c r="E253">
        <v>22</v>
      </c>
      <c r="F253" t="s">
        <v>5057</v>
      </c>
      <c r="G253" s="1">
        <v>44924</v>
      </c>
      <c r="H253">
        <v>2022</v>
      </c>
      <c r="I253" t="s">
        <v>5041</v>
      </c>
      <c r="J253">
        <v>29</v>
      </c>
      <c r="K253">
        <v>4.3600000000000003</v>
      </c>
      <c r="L253">
        <v>14</v>
      </c>
      <c r="M253">
        <v>6419.51</v>
      </c>
      <c r="N253">
        <v>2.8</v>
      </c>
      <c r="O253" t="s">
        <v>5050</v>
      </c>
    </row>
    <row r="254" spans="1:15" x14ac:dyDescent="0.3">
      <c r="A254" t="s">
        <v>740</v>
      </c>
      <c r="B254" t="s">
        <v>18</v>
      </c>
      <c r="C254" t="s">
        <v>5021</v>
      </c>
      <c r="D254" t="s">
        <v>14</v>
      </c>
      <c r="E254">
        <v>50</v>
      </c>
      <c r="F254" t="s">
        <v>5055</v>
      </c>
      <c r="G254" s="1">
        <v>44742</v>
      </c>
      <c r="H254">
        <v>2022</v>
      </c>
      <c r="I254" t="s">
        <v>5032</v>
      </c>
      <c r="J254">
        <v>30</v>
      </c>
      <c r="K254">
        <v>4.9400000000000004</v>
      </c>
      <c r="L254">
        <v>15</v>
      </c>
      <c r="M254">
        <v>8119.56</v>
      </c>
      <c r="N254">
        <v>3.3</v>
      </c>
      <c r="O254" t="s">
        <v>5050</v>
      </c>
    </row>
    <row r="255" spans="1:15" x14ac:dyDescent="0.3">
      <c r="A255" t="s">
        <v>741</v>
      </c>
      <c r="B255" t="s">
        <v>10</v>
      </c>
      <c r="C255" t="s">
        <v>5022</v>
      </c>
      <c r="D255" t="s">
        <v>14</v>
      </c>
      <c r="E255">
        <v>39</v>
      </c>
      <c r="F255" t="s">
        <v>5055</v>
      </c>
      <c r="G255" s="1">
        <v>43918</v>
      </c>
      <c r="H255">
        <v>2020</v>
      </c>
      <c r="I255" t="s">
        <v>5035</v>
      </c>
      <c r="J255">
        <v>28</v>
      </c>
      <c r="K255">
        <v>4.46</v>
      </c>
      <c r="L255">
        <v>13</v>
      </c>
      <c r="M255">
        <v>6660.39</v>
      </c>
      <c r="N255">
        <v>5.6</v>
      </c>
      <c r="O255" t="s">
        <v>5049</v>
      </c>
    </row>
    <row r="256" spans="1:15" x14ac:dyDescent="0.3">
      <c r="A256" t="s">
        <v>743</v>
      </c>
      <c r="B256" t="s">
        <v>18</v>
      </c>
      <c r="C256" t="s">
        <v>5021</v>
      </c>
      <c r="D256" t="s">
        <v>11</v>
      </c>
      <c r="E256">
        <v>56</v>
      </c>
      <c r="F256" t="s">
        <v>5056</v>
      </c>
      <c r="G256" s="1">
        <v>45442</v>
      </c>
      <c r="H256">
        <v>2024</v>
      </c>
      <c r="I256" t="s">
        <v>5036</v>
      </c>
      <c r="J256">
        <v>30</v>
      </c>
      <c r="K256">
        <v>1.69</v>
      </c>
      <c r="L256">
        <v>6</v>
      </c>
      <c r="M256">
        <v>3267.93</v>
      </c>
      <c r="N256">
        <v>1.4</v>
      </c>
      <c r="O256" t="s">
        <v>5050</v>
      </c>
    </row>
    <row r="257" spans="1:15" x14ac:dyDescent="0.3">
      <c r="A257" t="s">
        <v>744</v>
      </c>
      <c r="B257" t="s">
        <v>16</v>
      </c>
      <c r="C257" t="s">
        <v>5018</v>
      </c>
      <c r="D257" t="s">
        <v>14</v>
      </c>
      <c r="E257">
        <v>27</v>
      </c>
      <c r="F257" t="s">
        <v>5057</v>
      </c>
      <c r="G257" s="1">
        <v>45821</v>
      </c>
      <c r="H257">
        <v>2025</v>
      </c>
      <c r="I257" t="s">
        <v>5032</v>
      </c>
      <c r="J257">
        <v>13</v>
      </c>
      <c r="K257">
        <v>3.65</v>
      </c>
      <c r="L257">
        <v>6</v>
      </c>
      <c r="M257">
        <v>6226.08</v>
      </c>
      <c r="N257">
        <v>0.4</v>
      </c>
      <c r="O257" t="s">
        <v>5051</v>
      </c>
    </row>
    <row r="258" spans="1:15" x14ac:dyDescent="0.3">
      <c r="A258" t="s">
        <v>747</v>
      </c>
      <c r="B258" t="s">
        <v>10</v>
      </c>
      <c r="C258" t="s">
        <v>5022</v>
      </c>
      <c r="D258" t="s">
        <v>14</v>
      </c>
      <c r="E258">
        <v>25</v>
      </c>
      <c r="F258" t="s">
        <v>5057</v>
      </c>
      <c r="G258" s="1">
        <v>44410</v>
      </c>
      <c r="H258">
        <v>2021</v>
      </c>
      <c r="I258" t="s">
        <v>5031</v>
      </c>
      <c r="J258">
        <v>2</v>
      </c>
      <c r="K258">
        <v>4.37</v>
      </c>
      <c r="L258">
        <v>4</v>
      </c>
      <c r="M258">
        <v>10887.11</v>
      </c>
      <c r="N258">
        <v>4.3</v>
      </c>
      <c r="O258" t="s">
        <v>5050</v>
      </c>
    </row>
    <row r="259" spans="1:15" x14ac:dyDescent="0.3">
      <c r="A259" t="s">
        <v>749</v>
      </c>
      <c r="B259" t="s">
        <v>16</v>
      </c>
      <c r="C259" t="s">
        <v>5018</v>
      </c>
      <c r="D259" t="s">
        <v>14</v>
      </c>
      <c r="E259">
        <v>57</v>
      </c>
      <c r="F259" t="s">
        <v>5056</v>
      </c>
      <c r="G259" s="1">
        <v>44198</v>
      </c>
      <c r="H259">
        <v>2021</v>
      </c>
      <c r="I259" t="s">
        <v>5037</v>
      </c>
      <c r="J259">
        <v>2</v>
      </c>
      <c r="K259">
        <v>3.98</v>
      </c>
      <c r="L259">
        <v>12</v>
      </c>
      <c r="M259">
        <v>12723.83</v>
      </c>
      <c r="N259">
        <v>4.8</v>
      </c>
      <c r="O259" t="s">
        <v>5050</v>
      </c>
    </row>
    <row r="260" spans="1:15" x14ac:dyDescent="0.3">
      <c r="A260" t="s">
        <v>750</v>
      </c>
      <c r="B260" t="s">
        <v>10</v>
      </c>
      <c r="C260" t="s">
        <v>5022</v>
      </c>
      <c r="D260" t="s">
        <v>14</v>
      </c>
      <c r="E260">
        <v>31</v>
      </c>
      <c r="F260" t="s">
        <v>5057</v>
      </c>
      <c r="G260" s="1">
        <v>43892</v>
      </c>
      <c r="H260">
        <v>2020</v>
      </c>
      <c r="I260" t="s">
        <v>5035</v>
      </c>
      <c r="J260">
        <v>2</v>
      </c>
      <c r="K260">
        <v>4.04</v>
      </c>
      <c r="L260">
        <v>11</v>
      </c>
      <c r="M260">
        <v>8334.41</v>
      </c>
      <c r="N260">
        <v>5.7</v>
      </c>
      <c r="O260" t="s">
        <v>5049</v>
      </c>
    </row>
    <row r="261" spans="1:15" x14ac:dyDescent="0.3">
      <c r="A261" t="s">
        <v>754</v>
      </c>
      <c r="B261" t="s">
        <v>10</v>
      </c>
      <c r="C261" t="s">
        <v>5022</v>
      </c>
      <c r="D261" t="s">
        <v>11</v>
      </c>
      <c r="E261">
        <v>37</v>
      </c>
      <c r="F261" t="s">
        <v>5055</v>
      </c>
      <c r="G261" s="1">
        <v>45406</v>
      </c>
      <c r="H261">
        <v>2024</v>
      </c>
      <c r="I261" t="s">
        <v>5040</v>
      </c>
      <c r="J261">
        <v>24</v>
      </c>
      <c r="K261">
        <v>4.24</v>
      </c>
      <c r="L261">
        <v>2</v>
      </c>
      <c r="M261">
        <v>14437.4</v>
      </c>
      <c r="N261">
        <v>1.5</v>
      </c>
      <c r="O261" t="s">
        <v>5050</v>
      </c>
    </row>
    <row r="262" spans="1:15" x14ac:dyDescent="0.3">
      <c r="A262" t="s">
        <v>756</v>
      </c>
      <c r="B262" t="s">
        <v>34</v>
      </c>
      <c r="C262" t="s">
        <v>5020</v>
      </c>
      <c r="D262" t="s">
        <v>14</v>
      </c>
      <c r="E262">
        <v>54</v>
      </c>
      <c r="F262" t="s">
        <v>5056</v>
      </c>
      <c r="G262" s="1">
        <v>43975</v>
      </c>
      <c r="H262">
        <v>2020</v>
      </c>
      <c r="I262" t="s">
        <v>5036</v>
      </c>
      <c r="J262">
        <v>24</v>
      </c>
      <c r="K262">
        <v>3.83</v>
      </c>
      <c r="L262">
        <v>6</v>
      </c>
      <c r="M262">
        <v>7016.19</v>
      </c>
      <c r="N262">
        <v>5.4</v>
      </c>
      <c r="O262" t="s">
        <v>5049</v>
      </c>
    </row>
    <row r="263" spans="1:15" x14ac:dyDescent="0.3">
      <c r="A263" t="s">
        <v>757</v>
      </c>
      <c r="B263" t="s">
        <v>10</v>
      </c>
      <c r="C263" t="s">
        <v>5022</v>
      </c>
      <c r="D263" t="s">
        <v>11</v>
      </c>
      <c r="E263">
        <v>48</v>
      </c>
      <c r="F263" t="s">
        <v>5055</v>
      </c>
      <c r="G263" s="1">
        <v>44506</v>
      </c>
      <c r="H263">
        <v>2021</v>
      </c>
      <c r="I263" t="s">
        <v>5038</v>
      </c>
      <c r="J263">
        <v>6</v>
      </c>
      <c r="K263">
        <v>1.55</v>
      </c>
      <c r="L263">
        <v>6</v>
      </c>
      <c r="M263">
        <v>14176.28</v>
      </c>
      <c r="N263">
        <v>4</v>
      </c>
      <c r="O263" t="s">
        <v>5050</v>
      </c>
    </row>
    <row r="264" spans="1:15" x14ac:dyDescent="0.3">
      <c r="A264" t="s">
        <v>759</v>
      </c>
      <c r="B264" t="s">
        <v>10</v>
      </c>
      <c r="C264" t="s">
        <v>5022</v>
      </c>
      <c r="D264" t="s">
        <v>14</v>
      </c>
      <c r="E264">
        <v>38</v>
      </c>
      <c r="F264" t="s">
        <v>5055</v>
      </c>
      <c r="G264" s="1">
        <v>44784</v>
      </c>
      <c r="H264">
        <v>2022</v>
      </c>
      <c r="I264" t="s">
        <v>5031</v>
      </c>
      <c r="J264">
        <v>11</v>
      </c>
      <c r="K264">
        <v>2.79</v>
      </c>
      <c r="L264">
        <v>10</v>
      </c>
      <c r="M264">
        <v>10613.92</v>
      </c>
      <c r="N264">
        <v>3.2</v>
      </c>
      <c r="O264" t="s">
        <v>5050</v>
      </c>
    </row>
    <row r="265" spans="1:15" x14ac:dyDescent="0.3">
      <c r="A265" t="s">
        <v>761</v>
      </c>
      <c r="B265" t="s">
        <v>24</v>
      </c>
      <c r="C265" t="s">
        <v>5019</v>
      </c>
      <c r="D265" t="s">
        <v>11</v>
      </c>
      <c r="E265">
        <v>26</v>
      </c>
      <c r="F265" t="s">
        <v>5057</v>
      </c>
      <c r="G265" s="1">
        <v>44715</v>
      </c>
      <c r="H265">
        <v>2022</v>
      </c>
      <c r="I265" t="s">
        <v>5032</v>
      </c>
      <c r="J265">
        <v>3</v>
      </c>
      <c r="K265">
        <v>2.9</v>
      </c>
      <c r="L265">
        <v>13</v>
      </c>
      <c r="M265">
        <v>4465.41</v>
      </c>
      <c r="N265">
        <v>3.4</v>
      </c>
      <c r="O265" t="s">
        <v>5050</v>
      </c>
    </row>
    <row r="266" spans="1:15" x14ac:dyDescent="0.3">
      <c r="A266" t="s">
        <v>763</v>
      </c>
      <c r="B266" t="s">
        <v>34</v>
      </c>
      <c r="C266" t="s">
        <v>5020</v>
      </c>
      <c r="D266" t="s">
        <v>14</v>
      </c>
      <c r="E266">
        <v>57</v>
      </c>
      <c r="F266" t="s">
        <v>5056</v>
      </c>
      <c r="G266" s="1">
        <v>44139</v>
      </c>
      <c r="H266">
        <v>2020</v>
      </c>
      <c r="I266" t="s">
        <v>5038</v>
      </c>
      <c r="J266">
        <v>4</v>
      </c>
      <c r="K266">
        <v>2.75</v>
      </c>
      <c r="L266">
        <v>15</v>
      </c>
      <c r="M266">
        <v>6995.11</v>
      </c>
      <c r="N266">
        <v>5</v>
      </c>
      <c r="O266" t="s">
        <v>5050</v>
      </c>
    </row>
    <row r="267" spans="1:15" x14ac:dyDescent="0.3">
      <c r="A267" t="s">
        <v>767</v>
      </c>
      <c r="B267" t="s">
        <v>16</v>
      </c>
      <c r="C267" t="s">
        <v>5018</v>
      </c>
      <c r="D267" t="s">
        <v>11</v>
      </c>
      <c r="E267">
        <v>52</v>
      </c>
      <c r="F267" t="s">
        <v>5056</v>
      </c>
      <c r="G267" s="1">
        <v>45492</v>
      </c>
      <c r="H267">
        <v>2024</v>
      </c>
      <c r="I267" t="s">
        <v>5034</v>
      </c>
      <c r="J267">
        <v>19</v>
      </c>
      <c r="K267">
        <v>4.99</v>
      </c>
      <c r="L267">
        <v>3</v>
      </c>
      <c r="M267">
        <v>12703.77</v>
      </c>
      <c r="N267">
        <v>1.3</v>
      </c>
      <c r="O267" t="s">
        <v>5050</v>
      </c>
    </row>
    <row r="268" spans="1:15" x14ac:dyDescent="0.3">
      <c r="A268" t="s">
        <v>768</v>
      </c>
      <c r="B268" t="s">
        <v>34</v>
      </c>
      <c r="C268" t="s">
        <v>5020</v>
      </c>
      <c r="D268" t="s">
        <v>11</v>
      </c>
      <c r="E268">
        <v>30</v>
      </c>
      <c r="F268" t="s">
        <v>5057</v>
      </c>
      <c r="G268" s="1">
        <v>44572</v>
      </c>
      <c r="H268">
        <v>2022</v>
      </c>
      <c r="I268" t="s">
        <v>5037</v>
      </c>
      <c r="J268">
        <v>11</v>
      </c>
      <c r="K268">
        <v>2.21</v>
      </c>
      <c r="L268">
        <v>13</v>
      </c>
      <c r="M268">
        <v>10842.31</v>
      </c>
      <c r="N268">
        <v>3.8</v>
      </c>
      <c r="O268" t="s">
        <v>5050</v>
      </c>
    </row>
    <row r="269" spans="1:15" x14ac:dyDescent="0.3">
      <c r="A269" t="s">
        <v>772</v>
      </c>
      <c r="B269" t="s">
        <v>13</v>
      </c>
      <c r="C269" t="s">
        <v>5017</v>
      </c>
      <c r="D269" t="s">
        <v>14</v>
      </c>
      <c r="E269">
        <v>49</v>
      </c>
      <c r="F269" t="s">
        <v>5055</v>
      </c>
      <c r="G269" s="1">
        <v>44132</v>
      </c>
      <c r="H269">
        <v>2020</v>
      </c>
      <c r="I269" t="s">
        <v>5039</v>
      </c>
      <c r="J269">
        <v>28</v>
      </c>
      <c r="K269">
        <v>3.86</v>
      </c>
      <c r="L269">
        <v>14</v>
      </c>
      <c r="M269">
        <v>6950.21</v>
      </c>
      <c r="N269">
        <v>5</v>
      </c>
      <c r="O269" t="s">
        <v>5050</v>
      </c>
    </row>
    <row r="270" spans="1:15" x14ac:dyDescent="0.3">
      <c r="A270" t="s">
        <v>783</v>
      </c>
      <c r="B270" t="s">
        <v>24</v>
      </c>
      <c r="C270" t="s">
        <v>5019</v>
      </c>
      <c r="D270" t="s">
        <v>14</v>
      </c>
      <c r="E270">
        <v>48</v>
      </c>
      <c r="F270" t="s">
        <v>5055</v>
      </c>
      <c r="G270" s="1">
        <v>44788</v>
      </c>
      <c r="H270">
        <v>2022</v>
      </c>
      <c r="I270" t="s">
        <v>5031</v>
      </c>
      <c r="J270">
        <v>15</v>
      </c>
      <c r="K270">
        <v>4.13</v>
      </c>
      <c r="L270">
        <v>8</v>
      </c>
      <c r="M270">
        <v>10686.7</v>
      </c>
      <c r="N270">
        <v>3.2</v>
      </c>
      <c r="O270" t="s">
        <v>5050</v>
      </c>
    </row>
    <row r="271" spans="1:15" x14ac:dyDescent="0.3">
      <c r="A271" t="s">
        <v>784</v>
      </c>
      <c r="B271" t="s">
        <v>18</v>
      </c>
      <c r="C271" t="s">
        <v>5021</v>
      </c>
      <c r="D271" t="s">
        <v>11</v>
      </c>
      <c r="E271">
        <v>60</v>
      </c>
      <c r="F271" t="s">
        <v>5056</v>
      </c>
      <c r="G271" s="1">
        <v>45479</v>
      </c>
      <c r="H271">
        <v>2024</v>
      </c>
      <c r="I271" t="s">
        <v>5034</v>
      </c>
      <c r="J271">
        <v>6</v>
      </c>
      <c r="K271">
        <v>3.32</v>
      </c>
      <c r="L271">
        <v>3</v>
      </c>
      <c r="M271">
        <v>6599.78</v>
      </c>
      <c r="N271">
        <v>1.3</v>
      </c>
      <c r="O271" t="s">
        <v>5050</v>
      </c>
    </row>
    <row r="272" spans="1:15" x14ac:dyDescent="0.3">
      <c r="A272" t="s">
        <v>788</v>
      </c>
      <c r="B272" t="s">
        <v>34</v>
      </c>
      <c r="C272" t="s">
        <v>5020</v>
      </c>
      <c r="D272" t="s">
        <v>14</v>
      </c>
      <c r="E272">
        <v>34</v>
      </c>
      <c r="F272" t="s">
        <v>5055</v>
      </c>
      <c r="G272" s="1">
        <v>44317</v>
      </c>
      <c r="H272">
        <v>2021</v>
      </c>
      <c r="I272" t="s">
        <v>5036</v>
      </c>
      <c r="J272">
        <v>1</v>
      </c>
      <c r="K272">
        <v>2.74</v>
      </c>
      <c r="L272">
        <v>11</v>
      </c>
      <c r="M272">
        <v>9343.18</v>
      </c>
      <c r="N272">
        <v>4.5</v>
      </c>
      <c r="O272" t="s">
        <v>5050</v>
      </c>
    </row>
    <row r="273" spans="1:15" x14ac:dyDescent="0.3">
      <c r="A273" t="s">
        <v>794</v>
      </c>
      <c r="B273" t="s">
        <v>10</v>
      </c>
      <c r="C273" t="s">
        <v>5022</v>
      </c>
      <c r="D273" t="s">
        <v>11</v>
      </c>
      <c r="E273">
        <v>47</v>
      </c>
      <c r="F273" t="s">
        <v>5055</v>
      </c>
      <c r="G273" s="1">
        <v>44775</v>
      </c>
      <c r="H273">
        <v>2022</v>
      </c>
      <c r="I273" t="s">
        <v>5031</v>
      </c>
      <c r="J273">
        <v>2</v>
      </c>
      <c r="K273">
        <v>2.48</v>
      </c>
      <c r="L273">
        <v>8</v>
      </c>
      <c r="M273">
        <v>4403.33</v>
      </c>
      <c r="N273">
        <v>3.3</v>
      </c>
      <c r="O273" t="s">
        <v>5050</v>
      </c>
    </row>
    <row r="274" spans="1:15" x14ac:dyDescent="0.3">
      <c r="A274" t="s">
        <v>797</v>
      </c>
      <c r="B274" t="s">
        <v>10</v>
      </c>
      <c r="C274" t="s">
        <v>5022</v>
      </c>
      <c r="D274" t="s">
        <v>11</v>
      </c>
      <c r="E274">
        <v>54</v>
      </c>
      <c r="F274" t="s">
        <v>5056</v>
      </c>
      <c r="G274" s="1">
        <v>44082</v>
      </c>
      <c r="H274">
        <v>2020</v>
      </c>
      <c r="I274" t="s">
        <v>5033</v>
      </c>
      <c r="J274">
        <v>8</v>
      </c>
      <c r="K274">
        <v>3.09</v>
      </c>
      <c r="L274">
        <v>2</v>
      </c>
      <c r="M274">
        <v>9748.98</v>
      </c>
      <c r="N274">
        <v>5.2</v>
      </c>
      <c r="O274" t="s">
        <v>5049</v>
      </c>
    </row>
    <row r="275" spans="1:15" x14ac:dyDescent="0.3">
      <c r="A275" t="s">
        <v>798</v>
      </c>
      <c r="B275" t="s">
        <v>18</v>
      </c>
      <c r="C275" t="s">
        <v>5021</v>
      </c>
      <c r="D275" t="s">
        <v>14</v>
      </c>
      <c r="E275">
        <v>41</v>
      </c>
      <c r="F275" t="s">
        <v>5055</v>
      </c>
      <c r="G275" s="1">
        <v>45202</v>
      </c>
      <c r="H275">
        <v>2023</v>
      </c>
      <c r="I275" t="s">
        <v>5039</v>
      </c>
      <c r="J275">
        <v>3</v>
      </c>
      <c r="K275">
        <v>2.4300000000000002</v>
      </c>
      <c r="L275">
        <v>14</v>
      </c>
      <c r="M275">
        <v>7391.36</v>
      </c>
      <c r="N275">
        <v>2.1</v>
      </c>
      <c r="O275" t="s">
        <v>5050</v>
      </c>
    </row>
    <row r="276" spans="1:15" x14ac:dyDescent="0.3">
      <c r="A276" t="s">
        <v>801</v>
      </c>
      <c r="B276" t="s">
        <v>16</v>
      </c>
      <c r="C276" t="s">
        <v>5018</v>
      </c>
      <c r="D276" t="s">
        <v>11</v>
      </c>
      <c r="E276">
        <v>32</v>
      </c>
      <c r="F276" t="s">
        <v>5055</v>
      </c>
      <c r="G276" s="1">
        <v>44618</v>
      </c>
      <c r="H276">
        <v>2022</v>
      </c>
      <c r="I276" t="s">
        <v>5042</v>
      </c>
      <c r="J276">
        <v>26</v>
      </c>
      <c r="K276">
        <v>4.26</v>
      </c>
      <c r="L276">
        <v>11</v>
      </c>
      <c r="M276">
        <v>6931.08</v>
      </c>
      <c r="N276">
        <v>3.7</v>
      </c>
      <c r="O276" t="s">
        <v>5050</v>
      </c>
    </row>
    <row r="277" spans="1:15" x14ac:dyDescent="0.3">
      <c r="A277" t="s">
        <v>803</v>
      </c>
      <c r="B277" t="s">
        <v>18</v>
      </c>
      <c r="C277" t="s">
        <v>5021</v>
      </c>
      <c r="D277" t="s">
        <v>14</v>
      </c>
      <c r="E277">
        <v>40</v>
      </c>
      <c r="F277" t="s">
        <v>5055</v>
      </c>
      <c r="G277" s="1">
        <v>44068</v>
      </c>
      <c r="H277">
        <v>2020</v>
      </c>
      <c r="I277" t="s">
        <v>5031</v>
      </c>
      <c r="J277">
        <v>25</v>
      </c>
      <c r="K277">
        <v>3.54</v>
      </c>
      <c r="L277">
        <v>12</v>
      </c>
      <c r="M277">
        <v>4677.6400000000003</v>
      </c>
      <c r="N277">
        <v>5.2</v>
      </c>
      <c r="O277" t="s">
        <v>5049</v>
      </c>
    </row>
    <row r="278" spans="1:15" x14ac:dyDescent="0.3">
      <c r="A278" t="s">
        <v>805</v>
      </c>
      <c r="B278" t="s">
        <v>10</v>
      </c>
      <c r="C278" t="s">
        <v>5022</v>
      </c>
      <c r="D278" t="s">
        <v>11</v>
      </c>
      <c r="E278">
        <v>30</v>
      </c>
      <c r="F278" t="s">
        <v>5057</v>
      </c>
      <c r="G278" s="1">
        <v>44849</v>
      </c>
      <c r="H278">
        <v>2022</v>
      </c>
      <c r="I278" t="s">
        <v>5039</v>
      </c>
      <c r="J278">
        <v>15</v>
      </c>
      <c r="K278">
        <v>1.87</v>
      </c>
      <c r="L278">
        <v>13</v>
      </c>
      <c r="M278">
        <v>12397.64</v>
      </c>
      <c r="N278">
        <v>3</v>
      </c>
      <c r="O278" t="s">
        <v>5050</v>
      </c>
    </row>
    <row r="279" spans="1:15" x14ac:dyDescent="0.3">
      <c r="A279" t="s">
        <v>808</v>
      </c>
      <c r="B279" t="s">
        <v>34</v>
      </c>
      <c r="C279" t="s">
        <v>5020</v>
      </c>
      <c r="D279" t="s">
        <v>11</v>
      </c>
      <c r="E279">
        <v>39</v>
      </c>
      <c r="F279" t="s">
        <v>5055</v>
      </c>
      <c r="G279" s="1">
        <v>44812</v>
      </c>
      <c r="H279">
        <v>2022</v>
      </c>
      <c r="I279" t="s">
        <v>5033</v>
      </c>
      <c r="J279">
        <v>8</v>
      </c>
      <c r="K279">
        <v>2.31</v>
      </c>
      <c r="L279">
        <v>0</v>
      </c>
      <c r="M279">
        <v>5090.54</v>
      </c>
      <c r="N279">
        <v>3.2</v>
      </c>
      <c r="O279" t="s">
        <v>5050</v>
      </c>
    </row>
    <row r="280" spans="1:15" x14ac:dyDescent="0.3">
      <c r="A280" t="s">
        <v>809</v>
      </c>
      <c r="B280" t="s">
        <v>34</v>
      </c>
      <c r="C280" t="s">
        <v>5020</v>
      </c>
      <c r="D280" t="s">
        <v>11</v>
      </c>
      <c r="E280">
        <v>38</v>
      </c>
      <c r="F280" t="s">
        <v>5055</v>
      </c>
      <c r="G280" s="1">
        <v>44146</v>
      </c>
      <c r="H280">
        <v>2020</v>
      </c>
      <c r="I280" t="s">
        <v>5038</v>
      </c>
      <c r="J280">
        <v>11</v>
      </c>
      <c r="K280">
        <v>3.5</v>
      </c>
      <c r="L280">
        <v>10</v>
      </c>
      <c r="M280">
        <v>12628.62</v>
      </c>
      <c r="N280">
        <v>5</v>
      </c>
      <c r="O280" t="s">
        <v>5050</v>
      </c>
    </row>
    <row r="281" spans="1:15" x14ac:dyDescent="0.3">
      <c r="A281" t="s">
        <v>810</v>
      </c>
      <c r="B281" t="s">
        <v>34</v>
      </c>
      <c r="C281" t="s">
        <v>5020</v>
      </c>
      <c r="D281" t="s">
        <v>14</v>
      </c>
      <c r="E281">
        <v>59</v>
      </c>
      <c r="F281" t="s">
        <v>5056</v>
      </c>
      <c r="G281" s="1">
        <v>45572</v>
      </c>
      <c r="H281">
        <v>2024</v>
      </c>
      <c r="I281" t="s">
        <v>5039</v>
      </c>
      <c r="J281">
        <v>7</v>
      </c>
      <c r="K281">
        <v>3.24</v>
      </c>
      <c r="L281">
        <v>1</v>
      </c>
      <c r="M281">
        <v>6428.96</v>
      </c>
      <c r="N281">
        <v>1.1000000000000001</v>
      </c>
      <c r="O281" t="s">
        <v>5050</v>
      </c>
    </row>
    <row r="282" spans="1:15" x14ac:dyDescent="0.3">
      <c r="A282" t="s">
        <v>813</v>
      </c>
      <c r="B282" t="s">
        <v>34</v>
      </c>
      <c r="C282" t="s">
        <v>5020</v>
      </c>
      <c r="D282" t="s">
        <v>11</v>
      </c>
      <c r="E282">
        <v>35</v>
      </c>
      <c r="F282" t="s">
        <v>5055</v>
      </c>
      <c r="G282" s="1">
        <v>45316</v>
      </c>
      <c r="H282">
        <v>2024</v>
      </c>
      <c r="I282" t="s">
        <v>5037</v>
      </c>
      <c r="J282">
        <v>25</v>
      </c>
      <c r="K282">
        <v>3.26</v>
      </c>
      <c r="L282">
        <v>11</v>
      </c>
      <c r="M282">
        <v>3315.71</v>
      </c>
      <c r="N282">
        <v>1.8</v>
      </c>
      <c r="O282" t="s">
        <v>5050</v>
      </c>
    </row>
    <row r="283" spans="1:15" x14ac:dyDescent="0.3">
      <c r="A283" t="s">
        <v>815</v>
      </c>
      <c r="B283" t="s">
        <v>24</v>
      </c>
      <c r="C283" t="s">
        <v>5019</v>
      </c>
      <c r="D283" t="s">
        <v>11</v>
      </c>
      <c r="E283">
        <v>60</v>
      </c>
      <c r="F283" t="s">
        <v>5056</v>
      </c>
      <c r="G283" s="1">
        <v>45656</v>
      </c>
      <c r="H283">
        <v>2024</v>
      </c>
      <c r="I283" t="s">
        <v>5041</v>
      </c>
      <c r="J283">
        <v>30</v>
      </c>
      <c r="K283">
        <v>3.81</v>
      </c>
      <c r="L283">
        <v>0</v>
      </c>
      <c r="M283">
        <v>13489.77</v>
      </c>
      <c r="N283">
        <v>0.8</v>
      </c>
      <c r="O283" t="s">
        <v>5051</v>
      </c>
    </row>
    <row r="284" spans="1:15" x14ac:dyDescent="0.3">
      <c r="A284" t="s">
        <v>816</v>
      </c>
      <c r="B284" t="s">
        <v>34</v>
      </c>
      <c r="C284" t="s">
        <v>5020</v>
      </c>
      <c r="D284" t="s">
        <v>11</v>
      </c>
      <c r="E284">
        <v>52</v>
      </c>
      <c r="F284" t="s">
        <v>5056</v>
      </c>
      <c r="G284" s="1">
        <v>44184</v>
      </c>
      <c r="H284">
        <v>2020</v>
      </c>
      <c r="I284" t="s">
        <v>5041</v>
      </c>
      <c r="J284">
        <v>19</v>
      </c>
      <c r="K284">
        <v>1.53</v>
      </c>
      <c r="L284">
        <v>14</v>
      </c>
      <c r="M284">
        <v>4139.43</v>
      </c>
      <c r="N284">
        <v>4.9000000000000004</v>
      </c>
      <c r="O284" t="s">
        <v>5050</v>
      </c>
    </row>
    <row r="285" spans="1:15" x14ac:dyDescent="0.3">
      <c r="A285" t="s">
        <v>817</v>
      </c>
      <c r="B285" t="s">
        <v>16</v>
      </c>
      <c r="C285" t="s">
        <v>5018</v>
      </c>
      <c r="D285" t="s">
        <v>14</v>
      </c>
      <c r="E285">
        <v>49</v>
      </c>
      <c r="F285" t="s">
        <v>5055</v>
      </c>
      <c r="G285" s="1">
        <v>44948</v>
      </c>
      <c r="H285">
        <v>2023</v>
      </c>
      <c r="I285" t="s">
        <v>5037</v>
      </c>
      <c r="J285">
        <v>22</v>
      </c>
      <c r="K285">
        <v>3.61</v>
      </c>
      <c r="L285">
        <v>3</v>
      </c>
      <c r="M285">
        <v>13644.1</v>
      </c>
      <c r="N285">
        <v>2.8</v>
      </c>
      <c r="O285" t="s">
        <v>5050</v>
      </c>
    </row>
    <row r="286" spans="1:15" x14ac:dyDescent="0.3">
      <c r="A286" t="s">
        <v>823</v>
      </c>
      <c r="B286" t="s">
        <v>16</v>
      </c>
      <c r="C286" t="s">
        <v>5018</v>
      </c>
      <c r="D286" t="s">
        <v>14</v>
      </c>
      <c r="E286">
        <v>59</v>
      </c>
      <c r="F286" t="s">
        <v>5056</v>
      </c>
      <c r="G286" s="1">
        <v>45080</v>
      </c>
      <c r="H286">
        <v>2023</v>
      </c>
      <c r="I286" t="s">
        <v>5032</v>
      </c>
      <c r="J286">
        <v>3</v>
      </c>
      <c r="K286">
        <v>4.67</v>
      </c>
      <c r="L286">
        <v>10</v>
      </c>
      <c r="M286">
        <v>11532.07</v>
      </c>
      <c r="N286">
        <v>2.4</v>
      </c>
      <c r="O286" t="s">
        <v>5050</v>
      </c>
    </row>
    <row r="287" spans="1:15" x14ac:dyDescent="0.3">
      <c r="A287" t="s">
        <v>827</v>
      </c>
      <c r="B287" t="s">
        <v>34</v>
      </c>
      <c r="C287" t="s">
        <v>5020</v>
      </c>
      <c r="D287" t="s">
        <v>11</v>
      </c>
      <c r="E287">
        <v>49</v>
      </c>
      <c r="F287" t="s">
        <v>5055</v>
      </c>
      <c r="G287" s="1">
        <v>44889</v>
      </c>
      <c r="H287">
        <v>2022</v>
      </c>
      <c r="I287" t="s">
        <v>5038</v>
      </c>
      <c r="J287">
        <v>24</v>
      </c>
      <c r="K287">
        <v>3.9</v>
      </c>
      <c r="L287">
        <v>13</v>
      </c>
      <c r="M287">
        <v>7514.31</v>
      </c>
      <c r="N287">
        <v>2.9</v>
      </c>
      <c r="O287" t="s">
        <v>5050</v>
      </c>
    </row>
    <row r="288" spans="1:15" x14ac:dyDescent="0.3">
      <c r="A288" t="s">
        <v>828</v>
      </c>
      <c r="B288" t="s">
        <v>16</v>
      </c>
      <c r="C288" t="s">
        <v>5018</v>
      </c>
      <c r="D288" t="s">
        <v>11</v>
      </c>
      <c r="E288">
        <v>42</v>
      </c>
      <c r="F288" t="s">
        <v>5055</v>
      </c>
      <c r="G288" s="1">
        <v>45931</v>
      </c>
      <c r="H288">
        <v>2025</v>
      </c>
      <c r="I288" t="s">
        <v>5039</v>
      </c>
      <c r="J288">
        <v>1</v>
      </c>
      <c r="K288">
        <v>3.85</v>
      </c>
      <c r="L288">
        <v>6</v>
      </c>
      <c r="M288">
        <v>6329.96</v>
      </c>
      <c r="N288">
        <v>0.1</v>
      </c>
      <c r="O288" t="s">
        <v>5051</v>
      </c>
    </row>
    <row r="289" spans="1:15" x14ac:dyDescent="0.3">
      <c r="A289" t="s">
        <v>832</v>
      </c>
      <c r="B289" t="s">
        <v>10</v>
      </c>
      <c r="C289" t="s">
        <v>5022</v>
      </c>
      <c r="D289" t="s">
        <v>11</v>
      </c>
      <c r="E289">
        <v>34</v>
      </c>
      <c r="F289" t="s">
        <v>5055</v>
      </c>
      <c r="G289" s="1">
        <v>44156</v>
      </c>
      <c r="H289">
        <v>2020</v>
      </c>
      <c r="I289" t="s">
        <v>5038</v>
      </c>
      <c r="J289">
        <v>21</v>
      </c>
      <c r="K289">
        <v>1.67</v>
      </c>
      <c r="L289">
        <v>11</v>
      </c>
      <c r="M289">
        <v>13473.52</v>
      </c>
      <c r="N289">
        <v>4.9000000000000004</v>
      </c>
      <c r="O289" t="s">
        <v>5050</v>
      </c>
    </row>
    <row r="290" spans="1:15" x14ac:dyDescent="0.3">
      <c r="A290" t="s">
        <v>835</v>
      </c>
      <c r="B290" t="s">
        <v>10</v>
      </c>
      <c r="C290" t="s">
        <v>5022</v>
      </c>
      <c r="D290" t="s">
        <v>14</v>
      </c>
      <c r="E290">
        <v>56</v>
      </c>
      <c r="F290" t="s">
        <v>5056</v>
      </c>
      <c r="G290" s="1">
        <v>43872</v>
      </c>
      <c r="H290">
        <v>2020</v>
      </c>
      <c r="I290" t="s">
        <v>5042</v>
      </c>
      <c r="J290">
        <v>11</v>
      </c>
      <c r="K290">
        <v>2.11</v>
      </c>
      <c r="L290">
        <v>0</v>
      </c>
      <c r="M290">
        <v>5868.16</v>
      </c>
      <c r="N290">
        <v>5.7</v>
      </c>
      <c r="O290" t="s">
        <v>5049</v>
      </c>
    </row>
    <row r="291" spans="1:15" x14ac:dyDescent="0.3">
      <c r="A291" t="s">
        <v>838</v>
      </c>
      <c r="B291" t="s">
        <v>24</v>
      </c>
      <c r="C291" t="s">
        <v>5019</v>
      </c>
      <c r="D291" t="s">
        <v>14</v>
      </c>
      <c r="E291">
        <v>35</v>
      </c>
      <c r="F291" t="s">
        <v>5055</v>
      </c>
      <c r="G291" s="1">
        <v>44933</v>
      </c>
      <c r="H291">
        <v>2023</v>
      </c>
      <c r="I291" t="s">
        <v>5037</v>
      </c>
      <c r="J291">
        <v>7</v>
      </c>
      <c r="K291">
        <v>2.58</v>
      </c>
      <c r="L291">
        <v>13</v>
      </c>
      <c r="M291">
        <v>14707.36</v>
      </c>
      <c r="N291">
        <v>2.8</v>
      </c>
      <c r="O291" t="s">
        <v>5050</v>
      </c>
    </row>
    <row r="292" spans="1:15" x14ac:dyDescent="0.3">
      <c r="A292" t="s">
        <v>839</v>
      </c>
      <c r="B292" t="s">
        <v>16</v>
      </c>
      <c r="C292" t="s">
        <v>5018</v>
      </c>
      <c r="D292" t="s">
        <v>11</v>
      </c>
      <c r="E292">
        <v>59</v>
      </c>
      <c r="F292" t="s">
        <v>5056</v>
      </c>
      <c r="G292" s="1">
        <v>45887</v>
      </c>
      <c r="H292">
        <v>2025</v>
      </c>
      <c r="I292" t="s">
        <v>5031</v>
      </c>
      <c r="J292">
        <v>18</v>
      </c>
      <c r="K292">
        <v>4.17</v>
      </c>
      <c r="L292">
        <v>3</v>
      </c>
      <c r="M292">
        <v>14604.37</v>
      </c>
      <c r="N292">
        <v>0.2</v>
      </c>
      <c r="O292" t="s">
        <v>5051</v>
      </c>
    </row>
    <row r="293" spans="1:15" x14ac:dyDescent="0.3">
      <c r="A293" t="s">
        <v>840</v>
      </c>
      <c r="B293" t="s">
        <v>16</v>
      </c>
      <c r="C293" t="s">
        <v>5018</v>
      </c>
      <c r="D293" t="s">
        <v>14</v>
      </c>
      <c r="E293">
        <v>33</v>
      </c>
      <c r="F293" t="s">
        <v>5055</v>
      </c>
      <c r="G293" s="1">
        <v>45136</v>
      </c>
      <c r="H293">
        <v>2023</v>
      </c>
      <c r="I293" t="s">
        <v>5034</v>
      </c>
      <c r="J293">
        <v>29</v>
      </c>
      <c r="K293">
        <v>3.99</v>
      </c>
      <c r="L293">
        <v>0</v>
      </c>
      <c r="M293">
        <v>9825.83</v>
      </c>
      <c r="N293">
        <v>2.2999999999999998</v>
      </c>
      <c r="O293" t="s">
        <v>5050</v>
      </c>
    </row>
    <row r="294" spans="1:15" x14ac:dyDescent="0.3">
      <c r="A294" t="s">
        <v>841</v>
      </c>
      <c r="B294" t="s">
        <v>16</v>
      </c>
      <c r="C294" t="s">
        <v>5018</v>
      </c>
      <c r="D294" t="s">
        <v>14</v>
      </c>
      <c r="E294">
        <v>60</v>
      </c>
      <c r="F294" t="s">
        <v>5056</v>
      </c>
      <c r="G294" s="1">
        <v>43937</v>
      </c>
      <c r="H294">
        <v>2020</v>
      </c>
      <c r="I294" t="s">
        <v>5040</v>
      </c>
      <c r="J294">
        <v>16</v>
      </c>
      <c r="K294">
        <v>2.64</v>
      </c>
      <c r="L294">
        <v>12</v>
      </c>
      <c r="M294">
        <v>7328.31</v>
      </c>
      <c r="N294">
        <v>5.5</v>
      </c>
      <c r="O294" t="s">
        <v>5049</v>
      </c>
    </row>
    <row r="295" spans="1:15" x14ac:dyDescent="0.3">
      <c r="A295" t="s">
        <v>844</v>
      </c>
      <c r="B295" t="s">
        <v>34</v>
      </c>
      <c r="C295" t="s">
        <v>5020</v>
      </c>
      <c r="D295" t="s">
        <v>14</v>
      </c>
      <c r="E295">
        <v>56</v>
      </c>
      <c r="F295" t="s">
        <v>5056</v>
      </c>
      <c r="G295" s="1">
        <v>43965</v>
      </c>
      <c r="H295">
        <v>2020</v>
      </c>
      <c r="I295" t="s">
        <v>5036</v>
      </c>
      <c r="J295">
        <v>14</v>
      </c>
      <c r="K295">
        <v>3.11</v>
      </c>
      <c r="L295">
        <v>2</v>
      </c>
      <c r="M295">
        <v>4294.87</v>
      </c>
      <c r="N295">
        <v>5.5</v>
      </c>
      <c r="O295" t="s">
        <v>5049</v>
      </c>
    </row>
    <row r="296" spans="1:15" x14ac:dyDescent="0.3">
      <c r="A296" t="s">
        <v>847</v>
      </c>
      <c r="B296" t="s">
        <v>13</v>
      </c>
      <c r="C296" t="s">
        <v>5017</v>
      </c>
      <c r="D296" t="s">
        <v>14</v>
      </c>
      <c r="E296">
        <v>24</v>
      </c>
      <c r="F296" t="s">
        <v>5057</v>
      </c>
      <c r="G296" s="1">
        <v>44986</v>
      </c>
      <c r="H296">
        <v>2023</v>
      </c>
      <c r="I296" t="s">
        <v>5035</v>
      </c>
      <c r="J296">
        <v>1</v>
      </c>
      <c r="K296">
        <v>2.46</v>
      </c>
      <c r="L296">
        <v>12</v>
      </c>
      <c r="M296">
        <v>3151.79</v>
      </c>
      <c r="N296">
        <v>2.7</v>
      </c>
      <c r="O296" t="s">
        <v>5050</v>
      </c>
    </row>
    <row r="297" spans="1:15" x14ac:dyDescent="0.3">
      <c r="A297" t="s">
        <v>849</v>
      </c>
      <c r="B297" t="s">
        <v>16</v>
      </c>
      <c r="C297" t="s">
        <v>5018</v>
      </c>
      <c r="D297" t="s">
        <v>11</v>
      </c>
      <c r="E297">
        <v>55</v>
      </c>
      <c r="F297" t="s">
        <v>5056</v>
      </c>
      <c r="G297" s="1">
        <v>44658</v>
      </c>
      <c r="H297">
        <v>2022</v>
      </c>
      <c r="I297" t="s">
        <v>5040</v>
      </c>
      <c r="J297">
        <v>7</v>
      </c>
      <c r="K297">
        <v>3.37</v>
      </c>
      <c r="L297">
        <v>3</v>
      </c>
      <c r="M297">
        <v>13976.07</v>
      </c>
      <c r="N297">
        <v>3.6</v>
      </c>
      <c r="O297" t="s">
        <v>5050</v>
      </c>
    </row>
    <row r="298" spans="1:15" x14ac:dyDescent="0.3">
      <c r="A298" t="s">
        <v>850</v>
      </c>
      <c r="B298" t="s">
        <v>16</v>
      </c>
      <c r="C298" t="s">
        <v>5018</v>
      </c>
      <c r="D298" t="s">
        <v>11</v>
      </c>
      <c r="E298">
        <v>24</v>
      </c>
      <c r="F298" t="s">
        <v>5057</v>
      </c>
      <c r="G298" s="1">
        <v>44479</v>
      </c>
      <c r="H298">
        <v>2021</v>
      </c>
      <c r="I298" t="s">
        <v>5039</v>
      </c>
      <c r="J298">
        <v>10</v>
      </c>
      <c r="K298">
        <v>3.91</v>
      </c>
      <c r="L298">
        <v>13</v>
      </c>
      <c r="M298">
        <v>3149.95</v>
      </c>
      <c r="N298">
        <v>4.0999999999999996</v>
      </c>
      <c r="O298" t="s">
        <v>5050</v>
      </c>
    </row>
    <row r="299" spans="1:15" x14ac:dyDescent="0.3">
      <c r="A299" t="s">
        <v>851</v>
      </c>
      <c r="B299" t="s">
        <v>24</v>
      </c>
      <c r="C299" t="s">
        <v>5019</v>
      </c>
      <c r="D299" t="s">
        <v>11</v>
      </c>
      <c r="E299">
        <v>45</v>
      </c>
      <c r="F299" t="s">
        <v>5055</v>
      </c>
      <c r="G299" s="1">
        <v>45904</v>
      </c>
      <c r="H299">
        <v>2025</v>
      </c>
      <c r="I299" t="s">
        <v>5033</v>
      </c>
      <c r="J299">
        <v>4</v>
      </c>
      <c r="K299">
        <v>3.78</v>
      </c>
      <c r="L299">
        <v>0</v>
      </c>
      <c r="M299">
        <v>12672.74</v>
      </c>
      <c r="N299">
        <v>0.2</v>
      </c>
      <c r="O299" t="s">
        <v>5051</v>
      </c>
    </row>
    <row r="300" spans="1:15" x14ac:dyDescent="0.3">
      <c r="A300" t="s">
        <v>854</v>
      </c>
      <c r="B300" t="s">
        <v>13</v>
      </c>
      <c r="C300" t="s">
        <v>5017</v>
      </c>
      <c r="D300" t="s">
        <v>11</v>
      </c>
      <c r="E300">
        <v>56</v>
      </c>
      <c r="F300" t="s">
        <v>5056</v>
      </c>
      <c r="G300" s="1">
        <v>44894</v>
      </c>
      <c r="H300">
        <v>2022</v>
      </c>
      <c r="I300" t="s">
        <v>5038</v>
      </c>
      <c r="J300">
        <v>29</v>
      </c>
      <c r="K300">
        <v>4.1500000000000004</v>
      </c>
      <c r="L300">
        <v>9</v>
      </c>
      <c r="M300">
        <v>7871.94</v>
      </c>
      <c r="N300">
        <v>2.9</v>
      </c>
      <c r="O300" t="s">
        <v>5050</v>
      </c>
    </row>
    <row r="301" spans="1:15" x14ac:dyDescent="0.3">
      <c r="A301" t="s">
        <v>856</v>
      </c>
      <c r="B301" t="s">
        <v>16</v>
      </c>
      <c r="C301" t="s">
        <v>5018</v>
      </c>
      <c r="D301" t="s">
        <v>11</v>
      </c>
      <c r="E301">
        <v>34</v>
      </c>
      <c r="F301" t="s">
        <v>5055</v>
      </c>
      <c r="G301" s="1">
        <v>44057</v>
      </c>
      <c r="H301">
        <v>2020</v>
      </c>
      <c r="I301" t="s">
        <v>5031</v>
      </c>
      <c r="J301">
        <v>14</v>
      </c>
      <c r="K301">
        <v>2.46</v>
      </c>
      <c r="L301">
        <v>4</v>
      </c>
      <c r="M301">
        <v>6655.59</v>
      </c>
      <c r="N301">
        <v>5.2</v>
      </c>
      <c r="O301" t="s">
        <v>5049</v>
      </c>
    </row>
    <row r="302" spans="1:15" x14ac:dyDescent="0.3">
      <c r="A302" t="s">
        <v>857</v>
      </c>
      <c r="B302" t="s">
        <v>16</v>
      </c>
      <c r="C302" t="s">
        <v>5018</v>
      </c>
      <c r="D302" t="s">
        <v>14</v>
      </c>
      <c r="E302">
        <v>49</v>
      </c>
      <c r="F302" t="s">
        <v>5055</v>
      </c>
      <c r="G302" s="1">
        <v>44079</v>
      </c>
      <c r="H302">
        <v>2020</v>
      </c>
      <c r="I302" t="s">
        <v>5033</v>
      </c>
      <c r="J302">
        <v>5</v>
      </c>
      <c r="K302">
        <v>4.42</v>
      </c>
      <c r="L302">
        <v>5</v>
      </c>
      <c r="M302">
        <v>8083.32</v>
      </c>
      <c r="N302">
        <v>5.2</v>
      </c>
      <c r="O302" t="s">
        <v>5049</v>
      </c>
    </row>
    <row r="303" spans="1:15" x14ac:dyDescent="0.3">
      <c r="A303" t="s">
        <v>860</v>
      </c>
      <c r="B303" t="s">
        <v>16</v>
      </c>
      <c r="C303" t="s">
        <v>5018</v>
      </c>
      <c r="D303" t="s">
        <v>14</v>
      </c>
      <c r="E303">
        <v>44</v>
      </c>
      <c r="F303" t="s">
        <v>5055</v>
      </c>
      <c r="G303" s="1">
        <v>45385</v>
      </c>
      <c r="H303">
        <v>2024</v>
      </c>
      <c r="I303" t="s">
        <v>5040</v>
      </c>
      <c r="J303">
        <v>3</v>
      </c>
      <c r="K303">
        <v>3.46</v>
      </c>
      <c r="L303">
        <v>12</v>
      </c>
      <c r="M303">
        <v>3343.47</v>
      </c>
      <c r="N303">
        <v>1.6</v>
      </c>
      <c r="O303" t="s">
        <v>5050</v>
      </c>
    </row>
    <row r="304" spans="1:15" x14ac:dyDescent="0.3">
      <c r="A304" t="s">
        <v>861</v>
      </c>
      <c r="B304" t="s">
        <v>16</v>
      </c>
      <c r="C304" t="s">
        <v>5018</v>
      </c>
      <c r="D304" t="s">
        <v>14</v>
      </c>
      <c r="E304">
        <v>27</v>
      </c>
      <c r="F304" t="s">
        <v>5057</v>
      </c>
      <c r="G304" s="1">
        <v>45524</v>
      </c>
      <c r="H304">
        <v>2024</v>
      </c>
      <c r="I304" t="s">
        <v>5031</v>
      </c>
      <c r="J304">
        <v>20</v>
      </c>
      <c r="K304">
        <v>1.51</v>
      </c>
      <c r="L304">
        <v>2</v>
      </c>
      <c r="M304">
        <v>13322.79</v>
      </c>
      <c r="N304">
        <v>1.2</v>
      </c>
      <c r="O304" t="s">
        <v>5050</v>
      </c>
    </row>
    <row r="305" spans="1:15" x14ac:dyDescent="0.3">
      <c r="A305" t="s">
        <v>863</v>
      </c>
      <c r="B305" t="s">
        <v>18</v>
      </c>
      <c r="C305" t="s">
        <v>5021</v>
      </c>
      <c r="D305" t="s">
        <v>14</v>
      </c>
      <c r="E305">
        <v>52</v>
      </c>
      <c r="F305" t="s">
        <v>5056</v>
      </c>
      <c r="G305" s="1">
        <v>43964</v>
      </c>
      <c r="H305">
        <v>2020</v>
      </c>
      <c r="I305" t="s">
        <v>5036</v>
      </c>
      <c r="J305">
        <v>13</v>
      </c>
      <c r="K305">
        <v>3.25</v>
      </c>
      <c r="L305">
        <v>5</v>
      </c>
      <c r="M305">
        <v>5004.3599999999997</v>
      </c>
      <c r="N305">
        <v>5.5</v>
      </c>
      <c r="O305" t="s">
        <v>5049</v>
      </c>
    </row>
    <row r="306" spans="1:15" x14ac:dyDescent="0.3">
      <c r="A306" t="s">
        <v>866</v>
      </c>
      <c r="B306" t="s">
        <v>16</v>
      </c>
      <c r="C306" t="s">
        <v>5018</v>
      </c>
      <c r="D306" t="s">
        <v>14</v>
      </c>
      <c r="E306">
        <v>46</v>
      </c>
      <c r="F306" t="s">
        <v>5055</v>
      </c>
      <c r="G306" s="1">
        <v>45249</v>
      </c>
      <c r="H306">
        <v>2023</v>
      </c>
      <c r="I306" t="s">
        <v>5038</v>
      </c>
      <c r="J306">
        <v>19</v>
      </c>
      <c r="K306">
        <v>1.85</v>
      </c>
      <c r="L306">
        <v>6</v>
      </c>
      <c r="M306">
        <v>14093.17</v>
      </c>
      <c r="N306">
        <v>2</v>
      </c>
      <c r="O306" t="s">
        <v>5050</v>
      </c>
    </row>
    <row r="307" spans="1:15" x14ac:dyDescent="0.3">
      <c r="A307" t="s">
        <v>867</v>
      </c>
      <c r="B307" t="s">
        <v>18</v>
      </c>
      <c r="C307" t="s">
        <v>5021</v>
      </c>
      <c r="D307" t="s">
        <v>11</v>
      </c>
      <c r="E307">
        <v>23</v>
      </c>
      <c r="F307" t="s">
        <v>5057</v>
      </c>
      <c r="G307" s="1">
        <v>44414</v>
      </c>
      <c r="H307">
        <v>2021</v>
      </c>
      <c r="I307" t="s">
        <v>5031</v>
      </c>
      <c r="J307">
        <v>6</v>
      </c>
      <c r="K307">
        <v>3.7</v>
      </c>
      <c r="L307">
        <v>5</v>
      </c>
      <c r="M307">
        <v>11343.5</v>
      </c>
      <c r="N307">
        <v>4.2</v>
      </c>
      <c r="O307" t="s">
        <v>5050</v>
      </c>
    </row>
    <row r="308" spans="1:15" x14ac:dyDescent="0.3">
      <c r="A308" t="s">
        <v>869</v>
      </c>
      <c r="B308" t="s">
        <v>18</v>
      </c>
      <c r="C308" t="s">
        <v>5021</v>
      </c>
      <c r="D308" t="s">
        <v>14</v>
      </c>
      <c r="E308">
        <v>54</v>
      </c>
      <c r="F308" t="s">
        <v>5056</v>
      </c>
      <c r="G308" s="1">
        <v>44806</v>
      </c>
      <c r="H308">
        <v>2022</v>
      </c>
      <c r="I308" t="s">
        <v>5033</v>
      </c>
      <c r="J308">
        <v>2</v>
      </c>
      <c r="K308">
        <v>3.06</v>
      </c>
      <c r="L308">
        <v>13</v>
      </c>
      <c r="M308">
        <v>14936.96</v>
      </c>
      <c r="N308">
        <v>3.2</v>
      </c>
      <c r="O308" t="s">
        <v>5050</v>
      </c>
    </row>
    <row r="309" spans="1:15" x14ac:dyDescent="0.3">
      <c r="A309" t="s">
        <v>870</v>
      </c>
      <c r="B309" t="s">
        <v>16</v>
      </c>
      <c r="C309" t="s">
        <v>5018</v>
      </c>
      <c r="D309" t="s">
        <v>14</v>
      </c>
      <c r="E309">
        <v>53</v>
      </c>
      <c r="F309" t="s">
        <v>5056</v>
      </c>
      <c r="G309" s="1">
        <v>45308</v>
      </c>
      <c r="H309">
        <v>2024</v>
      </c>
      <c r="I309" t="s">
        <v>5037</v>
      </c>
      <c r="J309">
        <v>17</v>
      </c>
      <c r="K309">
        <v>2.33</v>
      </c>
      <c r="L309">
        <v>2</v>
      </c>
      <c r="M309">
        <v>13766.88</v>
      </c>
      <c r="N309">
        <v>1.8</v>
      </c>
      <c r="O309" t="s">
        <v>5050</v>
      </c>
    </row>
    <row r="310" spans="1:15" x14ac:dyDescent="0.3">
      <c r="A310" t="s">
        <v>873</v>
      </c>
      <c r="B310" t="s">
        <v>24</v>
      </c>
      <c r="C310" t="s">
        <v>5019</v>
      </c>
      <c r="D310" t="s">
        <v>11</v>
      </c>
      <c r="E310">
        <v>51</v>
      </c>
      <c r="F310" t="s">
        <v>5056</v>
      </c>
      <c r="G310" s="1">
        <v>44500</v>
      </c>
      <c r="H310">
        <v>2021</v>
      </c>
      <c r="I310" t="s">
        <v>5039</v>
      </c>
      <c r="J310">
        <v>31</v>
      </c>
      <c r="K310">
        <v>1.98</v>
      </c>
      <c r="L310">
        <v>13</v>
      </c>
      <c r="M310">
        <v>4446.55</v>
      </c>
      <c r="N310">
        <v>4</v>
      </c>
      <c r="O310" t="s">
        <v>5050</v>
      </c>
    </row>
    <row r="311" spans="1:15" x14ac:dyDescent="0.3">
      <c r="A311" t="s">
        <v>874</v>
      </c>
      <c r="B311" t="s">
        <v>13</v>
      </c>
      <c r="C311" t="s">
        <v>5017</v>
      </c>
      <c r="D311" t="s">
        <v>14</v>
      </c>
      <c r="E311">
        <v>42</v>
      </c>
      <c r="F311" t="s">
        <v>5055</v>
      </c>
      <c r="G311" s="1">
        <v>45765</v>
      </c>
      <c r="H311">
        <v>2025</v>
      </c>
      <c r="I311" t="s">
        <v>5040</v>
      </c>
      <c r="J311">
        <v>18</v>
      </c>
      <c r="K311">
        <v>4.74</v>
      </c>
      <c r="L311">
        <v>11</v>
      </c>
      <c r="M311">
        <v>3491.61</v>
      </c>
      <c r="N311">
        <v>0.5</v>
      </c>
      <c r="O311" t="s">
        <v>5051</v>
      </c>
    </row>
    <row r="312" spans="1:15" x14ac:dyDescent="0.3">
      <c r="A312" t="s">
        <v>876</v>
      </c>
      <c r="B312" t="s">
        <v>18</v>
      </c>
      <c r="C312" t="s">
        <v>5021</v>
      </c>
      <c r="D312" t="s">
        <v>14</v>
      </c>
      <c r="E312">
        <v>45</v>
      </c>
      <c r="F312" t="s">
        <v>5055</v>
      </c>
      <c r="G312" s="1">
        <v>44823</v>
      </c>
      <c r="H312">
        <v>2022</v>
      </c>
      <c r="I312" t="s">
        <v>5033</v>
      </c>
      <c r="J312">
        <v>19</v>
      </c>
      <c r="K312">
        <v>2.2599999999999998</v>
      </c>
      <c r="L312">
        <v>7</v>
      </c>
      <c r="M312">
        <v>10812.27</v>
      </c>
      <c r="N312">
        <v>3.1</v>
      </c>
      <c r="O312" t="s">
        <v>5050</v>
      </c>
    </row>
    <row r="313" spans="1:15" x14ac:dyDescent="0.3">
      <c r="A313" t="s">
        <v>879</v>
      </c>
      <c r="B313" t="s">
        <v>34</v>
      </c>
      <c r="C313" t="s">
        <v>5020</v>
      </c>
      <c r="D313" t="s">
        <v>11</v>
      </c>
      <c r="E313">
        <v>55</v>
      </c>
      <c r="F313" t="s">
        <v>5056</v>
      </c>
      <c r="G313" s="1">
        <v>45731</v>
      </c>
      <c r="H313">
        <v>2025</v>
      </c>
      <c r="I313" t="s">
        <v>5035</v>
      </c>
      <c r="J313">
        <v>15</v>
      </c>
      <c r="K313">
        <v>2.72</v>
      </c>
      <c r="L313">
        <v>6</v>
      </c>
      <c r="M313">
        <v>13872.58</v>
      </c>
      <c r="N313">
        <v>0.6</v>
      </c>
      <c r="O313" t="s">
        <v>5051</v>
      </c>
    </row>
    <row r="314" spans="1:15" x14ac:dyDescent="0.3">
      <c r="A314" t="s">
        <v>883</v>
      </c>
      <c r="B314" t="s">
        <v>34</v>
      </c>
      <c r="C314" t="s">
        <v>5020</v>
      </c>
      <c r="D314" t="s">
        <v>11</v>
      </c>
      <c r="E314">
        <v>43</v>
      </c>
      <c r="F314" t="s">
        <v>5055</v>
      </c>
      <c r="G314" s="1">
        <v>44426</v>
      </c>
      <c r="H314">
        <v>2021</v>
      </c>
      <c r="I314" t="s">
        <v>5031</v>
      </c>
      <c r="J314">
        <v>18</v>
      </c>
      <c r="K314">
        <v>4.78</v>
      </c>
      <c r="L314">
        <v>7</v>
      </c>
      <c r="M314">
        <v>9389.4599999999991</v>
      </c>
      <c r="N314">
        <v>4.2</v>
      </c>
      <c r="O314" t="s">
        <v>5050</v>
      </c>
    </row>
    <row r="315" spans="1:15" x14ac:dyDescent="0.3">
      <c r="A315" t="s">
        <v>884</v>
      </c>
      <c r="B315" t="s">
        <v>16</v>
      </c>
      <c r="C315" t="s">
        <v>5018</v>
      </c>
      <c r="D315" t="s">
        <v>11</v>
      </c>
      <c r="E315">
        <v>37</v>
      </c>
      <c r="F315" t="s">
        <v>5055</v>
      </c>
      <c r="G315" s="1">
        <v>44317</v>
      </c>
      <c r="H315">
        <v>2021</v>
      </c>
      <c r="I315" t="s">
        <v>5036</v>
      </c>
      <c r="J315">
        <v>1</v>
      </c>
      <c r="K315">
        <v>3</v>
      </c>
      <c r="L315">
        <v>6</v>
      </c>
      <c r="M315">
        <v>14649.85</v>
      </c>
      <c r="N315">
        <v>4.5</v>
      </c>
      <c r="O315" t="s">
        <v>5050</v>
      </c>
    </row>
    <row r="316" spans="1:15" x14ac:dyDescent="0.3">
      <c r="A316" t="s">
        <v>886</v>
      </c>
      <c r="B316" t="s">
        <v>24</v>
      </c>
      <c r="C316" t="s">
        <v>5019</v>
      </c>
      <c r="D316" t="s">
        <v>11</v>
      </c>
      <c r="E316">
        <v>48</v>
      </c>
      <c r="F316" t="s">
        <v>5055</v>
      </c>
      <c r="G316" s="1">
        <v>44187</v>
      </c>
      <c r="H316">
        <v>2020</v>
      </c>
      <c r="I316" t="s">
        <v>5041</v>
      </c>
      <c r="J316">
        <v>22</v>
      </c>
      <c r="K316">
        <v>3.97</v>
      </c>
      <c r="L316">
        <v>14</v>
      </c>
      <c r="M316">
        <v>7138.36</v>
      </c>
      <c r="N316">
        <v>4.9000000000000004</v>
      </c>
      <c r="O316" t="s">
        <v>5050</v>
      </c>
    </row>
    <row r="317" spans="1:15" x14ac:dyDescent="0.3">
      <c r="A317" t="s">
        <v>890</v>
      </c>
      <c r="B317" t="s">
        <v>24</v>
      </c>
      <c r="C317" t="s">
        <v>5019</v>
      </c>
      <c r="D317" t="s">
        <v>11</v>
      </c>
      <c r="E317">
        <v>47</v>
      </c>
      <c r="F317" t="s">
        <v>5055</v>
      </c>
      <c r="G317" s="1">
        <v>45675</v>
      </c>
      <c r="H317">
        <v>2025</v>
      </c>
      <c r="I317" t="s">
        <v>5037</v>
      </c>
      <c r="J317">
        <v>18</v>
      </c>
      <c r="K317">
        <v>4.32</v>
      </c>
      <c r="L317">
        <v>7</v>
      </c>
      <c r="M317">
        <v>4626.32</v>
      </c>
      <c r="N317">
        <v>0.8</v>
      </c>
      <c r="O317" t="s">
        <v>5051</v>
      </c>
    </row>
    <row r="318" spans="1:15" x14ac:dyDescent="0.3">
      <c r="A318" t="s">
        <v>907</v>
      </c>
      <c r="B318" t="s">
        <v>10</v>
      </c>
      <c r="C318" t="s">
        <v>5022</v>
      </c>
      <c r="D318" t="s">
        <v>11</v>
      </c>
      <c r="E318">
        <v>34</v>
      </c>
      <c r="F318" t="s">
        <v>5055</v>
      </c>
      <c r="G318" s="1">
        <v>44874</v>
      </c>
      <c r="H318">
        <v>2022</v>
      </c>
      <c r="I318" t="s">
        <v>5038</v>
      </c>
      <c r="J318">
        <v>9</v>
      </c>
      <c r="K318">
        <v>2.75</v>
      </c>
      <c r="L318">
        <v>13</v>
      </c>
      <c r="M318">
        <v>14437.55</v>
      </c>
      <c r="N318">
        <v>3</v>
      </c>
      <c r="O318" t="s">
        <v>5050</v>
      </c>
    </row>
    <row r="319" spans="1:15" x14ac:dyDescent="0.3">
      <c r="A319" t="s">
        <v>910</v>
      </c>
      <c r="B319" t="s">
        <v>10</v>
      </c>
      <c r="C319" t="s">
        <v>5022</v>
      </c>
      <c r="D319" t="s">
        <v>11</v>
      </c>
      <c r="E319">
        <v>59</v>
      </c>
      <c r="F319" t="s">
        <v>5056</v>
      </c>
      <c r="G319" s="1">
        <v>43943</v>
      </c>
      <c r="H319">
        <v>2020</v>
      </c>
      <c r="I319" t="s">
        <v>5040</v>
      </c>
      <c r="J319">
        <v>22</v>
      </c>
      <c r="K319">
        <v>1.73</v>
      </c>
      <c r="L319">
        <v>4</v>
      </c>
      <c r="M319">
        <v>5294.77</v>
      </c>
      <c r="N319">
        <v>5.5</v>
      </c>
      <c r="O319" t="s">
        <v>5049</v>
      </c>
    </row>
    <row r="320" spans="1:15" x14ac:dyDescent="0.3">
      <c r="A320" t="s">
        <v>916</v>
      </c>
      <c r="B320" t="s">
        <v>10</v>
      </c>
      <c r="C320" t="s">
        <v>5022</v>
      </c>
      <c r="D320" t="s">
        <v>11</v>
      </c>
      <c r="E320">
        <v>40</v>
      </c>
      <c r="F320" t="s">
        <v>5055</v>
      </c>
      <c r="G320" s="1">
        <v>45638</v>
      </c>
      <c r="H320">
        <v>2024</v>
      </c>
      <c r="I320" t="s">
        <v>5041</v>
      </c>
      <c r="J320">
        <v>12</v>
      </c>
      <c r="K320">
        <v>4.37</v>
      </c>
      <c r="L320">
        <v>5</v>
      </c>
      <c r="M320">
        <v>9401.58</v>
      </c>
      <c r="N320">
        <v>0.9</v>
      </c>
      <c r="O320" t="s">
        <v>5051</v>
      </c>
    </row>
    <row r="321" spans="1:15" x14ac:dyDescent="0.3">
      <c r="A321" t="s">
        <v>925</v>
      </c>
      <c r="B321" t="s">
        <v>13</v>
      </c>
      <c r="C321" t="s">
        <v>5017</v>
      </c>
      <c r="D321" t="s">
        <v>14</v>
      </c>
      <c r="E321">
        <v>27</v>
      </c>
      <c r="F321" t="s">
        <v>5057</v>
      </c>
      <c r="G321" s="1">
        <v>44788</v>
      </c>
      <c r="H321">
        <v>2022</v>
      </c>
      <c r="I321" t="s">
        <v>5031</v>
      </c>
      <c r="J321">
        <v>15</v>
      </c>
      <c r="K321">
        <v>1.73</v>
      </c>
      <c r="L321">
        <v>0</v>
      </c>
      <c r="M321">
        <v>10123.01</v>
      </c>
      <c r="N321">
        <v>3.2</v>
      </c>
      <c r="O321" t="s">
        <v>5050</v>
      </c>
    </row>
    <row r="322" spans="1:15" x14ac:dyDescent="0.3">
      <c r="A322" t="s">
        <v>926</v>
      </c>
      <c r="B322" t="s">
        <v>34</v>
      </c>
      <c r="C322" t="s">
        <v>5020</v>
      </c>
      <c r="D322" t="s">
        <v>14</v>
      </c>
      <c r="E322">
        <v>37</v>
      </c>
      <c r="F322" t="s">
        <v>5055</v>
      </c>
      <c r="G322" s="1">
        <v>45830</v>
      </c>
      <c r="H322">
        <v>2025</v>
      </c>
      <c r="I322" t="s">
        <v>5032</v>
      </c>
      <c r="J322">
        <v>22</v>
      </c>
      <c r="K322">
        <v>2.5099999999999998</v>
      </c>
      <c r="L322">
        <v>1</v>
      </c>
      <c r="M322">
        <v>12460.68</v>
      </c>
      <c r="N322">
        <v>0.4</v>
      </c>
      <c r="O322" t="s">
        <v>5051</v>
      </c>
    </row>
    <row r="323" spans="1:15" x14ac:dyDescent="0.3">
      <c r="A323" t="s">
        <v>927</v>
      </c>
      <c r="B323" t="s">
        <v>34</v>
      </c>
      <c r="C323" t="s">
        <v>5020</v>
      </c>
      <c r="D323" t="s">
        <v>14</v>
      </c>
      <c r="E323">
        <v>32</v>
      </c>
      <c r="F323" t="s">
        <v>5055</v>
      </c>
      <c r="G323" s="1">
        <v>45708</v>
      </c>
      <c r="H323">
        <v>2025</v>
      </c>
      <c r="I323" t="s">
        <v>5042</v>
      </c>
      <c r="J323">
        <v>20</v>
      </c>
      <c r="K323">
        <v>1.71</v>
      </c>
      <c r="L323">
        <v>4</v>
      </c>
      <c r="M323">
        <v>5591.86</v>
      </c>
      <c r="N323">
        <v>0.7</v>
      </c>
      <c r="O323" t="s">
        <v>5051</v>
      </c>
    </row>
    <row r="324" spans="1:15" x14ac:dyDescent="0.3">
      <c r="A324" t="s">
        <v>928</v>
      </c>
      <c r="B324" t="s">
        <v>16</v>
      </c>
      <c r="C324" t="s">
        <v>5018</v>
      </c>
      <c r="D324" t="s">
        <v>11</v>
      </c>
      <c r="E324">
        <v>60</v>
      </c>
      <c r="F324" t="s">
        <v>5056</v>
      </c>
      <c r="G324" s="1">
        <v>45553</v>
      </c>
      <c r="H324">
        <v>2024</v>
      </c>
      <c r="I324" t="s">
        <v>5033</v>
      </c>
      <c r="J324">
        <v>18</v>
      </c>
      <c r="K324">
        <v>3.25</v>
      </c>
      <c r="L324">
        <v>0</v>
      </c>
      <c r="M324">
        <v>10741.88</v>
      </c>
      <c r="N324">
        <v>1.1000000000000001</v>
      </c>
      <c r="O324" t="s">
        <v>5050</v>
      </c>
    </row>
    <row r="325" spans="1:15" x14ac:dyDescent="0.3">
      <c r="A325" t="s">
        <v>930</v>
      </c>
      <c r="B325" t="s">
        <v>34</v>
      </c>
      <c r="C325" t="s">
        <v>5020</v>
      </c>
      <c r="D325" t="s">
        <v>11</v>
      </c>
      <c r="E325">
        <v>56</v>
      </c>
      <c r="F325" t="s">
        <v>5056</v>
      </c>
      <c r="G325" s="1">
        <v>45422</v>
      </c>
      <c r="H325">
        <v>2024</v>
      </c>
      <c r="I325" t="s">
        <v>5036</v>
      </c>
      <c r="J325">
        <v>10</v>
      </c>
      <c r="K325">
        <v>3.44</v>
      </c>
      <c r="L325">
        <v>10</v>
      </c>
      <c r="M325">
        <v>13703.82</v>
      </c>
      <c r="N325">
        <v>1.5</v>
      </c>
      <c r="O325" t="s">
        <v>5050</v>
      </c>
    </row>
    <row r="326" spans="1:15" x14ac:dyDescent="0.3">
      <c r="A326" t="s">
        <v>931</v>
      </c>
      <c r="B326" t="s">
        <v>16</v>
      </c>
      <c r="C326" t="s">
        <v>5018</v>
      </c>
      <c r="D326" t="s">
        <v>11</v>
      </c>
      <c r="E326">
        <v>54</v>
      </c>
      <c r="F326" t="s">
        <v>5056</v>
      </c>
      <c r="G326" s="1">
        <v>45328</v>
      </c>
      <c r="H326">
        <v>2024</v>
      </c>
      <c r="I326" t="s">
        <v>5042</v>
      </c>
      <c r="J326">
        <v>6</v>
      </c>
      <c r="K326">
        <v>4.37</v>
      </c>
      <c r="L326">
        <v>14</v>
      </c>
      <c r="M326">
        <v>13112.37</v>
      </c>
      <c r="N326">
        <v>1.7</v>
      </c>
      <c r="O326" t="s">
        <v>5050</v>
      </c>
    </row>
    <row r="327" spans="1:15" x14ac:dyDescent="0.3">
      <c r="A327" t="s">
        <v>934</v>
      </c>
      <c r="B327" t="s">
        <v>18</v>
      </c>
      <c r="C327" t="s">
        <v>5021</v>
      </c>
      <c r="D327" t="s">
        <v>11</v>
      </c>
      <c r="E327">
        <v>39</v>
      </c>
      <c r="F327" t="s">
        <v>5055</v>
      </c>
      <c r="G327" s="1">
        <v>43895</v>
      </c>
      <c r="H327">
        <v>2020</v>
      </c>
      <c r="I327" t="s">
        <v>5035</v>
      </c>
      <c r="J327">
        <v>5</v>
      </c>
      <c r="K327">
        <v>1.97</v>
      </c>
      <c r="L327">
        <v>10</v>
      </c>
      <c r="M327">
        <v>6258.49</v>
      </c>
      <c r="N327">
        <v>5.7</v>
      </c>
      <c r="O327" t="s">
        <v>5049</v>
      </c>
    </row>
    <row r="328" spans="1:15" x14ac:dyDescent="0.3">
      <c r="A328" t="s">
        <v>935</v>
      </c>
      <c r="B328" t="s">
        <v>10</v>
      </c>
      <c r="C328" t="s">
        <v>5022</v>
      </c>
      <c r="D328" t="s">
        <v>14</v>
      </c>
      <c r="E328">
        <v>22</v>
      </c>
      <c r="F328" t="s">
        <v>5057</v>
      </c>
      <c r="G328" s="1">
        <v>45578</v>
      </c>
      <c r="H328">
        <v>2024</v>
      </c>
      <c r="I328" t="s">
        <v>5039</v>
      </c>
      <c r="J328">
        <v>13</v>
      </c>
      <c r="K328">
        <v>4.12</v>
      </c>
      <c r="L328">
        <v>5</v>
      </c>
      <c r="M328">
        <v>12669.51</v>
      </c>
      <c r="N328">
        <v>1.1000000000000001</v>
      </c>
      <c r="O328" t="s">
        <v>5050</v>
      </c>
    </row>
    <row r="329" spans="1:15" x14ac:dyDescent="0.3">
      <c r="A329" t="s">
        <v>939</v>
      </c>
      <c r="B329" t="s">
        <v>16</v>
      </c>
      <c r="C329" t="s">
        <v>5018</v>
      </c>
      <c r="D329" t="s">
        <v>11</v>
      </c>
      <c r="E329">
        <v>58</v>
      </c>
      <c r="F329" t="s">
        <v>5056</v>
      </c>
      <c r="G329" s="1">
        <v>44185</v>
      </c>
      <c r="H329">
        <v>2020</v>
      </c>
      <c r="I329" t="s">
        <v>5041</v>
      </c>
      <c r="J329">
        <v>20</v>
      </c>
      <c r="K329">
        <v>3.23</v>
      </c>
      <c r="L329">
        <v>3</v>
      </c>
      <c r="M329">
        <v>8276.4500000000007</v>
      </c>
      <c r="N329">
        <v>4.9000000000000004</v>
      </c>
      <c r="O329" t="s">
        <v>5050</v>
      </c>
    </row>
    <row r="330" spans="1:15" x14ac:dyDescent="0.3">
      <c r="A330" t="s">
        <v>940</v>
      </c>
      <c r="B330" t="s">
        <v>16</v>
      </c>
      <c r="C330" t="s">
        <v>5018</v>
      </c>
      <c r="D330" t="s">
        <v>14</v>
      </c>
      <c r="E330">
        <v>56</v>
      </c>
      <c r="F330" t="s">
        <v>5056</v>
      </c>
      <c r="G330" s="1">
        <v>44360</v>
      </c>
      <c r="H330">
        <v>2021</v>
      </c>
      <c r="I330" t="s">
        <v>5032</v>
      </c>
      <c r="J330">
        <v>13</v>
      </c>
      <c r="K330">
        <v>4.68</v>
      </c>
      <c r="L330">
        <v>0</v>
      </c>
      <c r="M330">
        <v>12316.86</v>
      </c>
      <c r="N330">
        <v>4.4000000000000004</v>
      </c>
      <c r="O330" t="s">
        <v>5050</v>
      </c>
    </row>
    <row r="331" spans="1:15" x14ac:dyDescent="0.3">
      <c r="A331" t="s">
        <v>942</v>
      </c>
      <c r="B331" t="s">
        <v>18</v>
      </c>
      <c r="C331" t="s">
        <v>5021</v>
      </c>
      <c r="D331" t="s">
        <v>14</v>
      </c>
      <c r="E331">
        <v>50</v>
      </c>
      <c r="F331" t="s">
        <v>5055</v>
      </c>
      <c r="G331" s="1">
        <v>44660</v>
      </c>
      <c r="H331">
        <v>2022</v>
      </c>
      <c r="I331" t="s">
        <v>5040</v>
      </c>
      <c r="J331">
        <v>9</v>
      </c>
      <c r="K331">
        <v>5</v>
      </c>
      <c r="L331">
        <v>14</v>
      </c>
      <c r="M331">
        <v>7350.31</v>
      </c>
      <c r="N331">
        <v>3.6</v>
      </c>
      <c r="O331" t="s">
        <v>5050</v>
      </c>
    </row>
    <row r="332" spans="1:15" x14ac:dyDescent="0.3">
      <c r="A332" t="s">
        <v>943</v>
      </c>
      <c r="B332" t="s">
        <v>18</v>
      </c>
      <c r="C332" t="s">
        <v>5021</v>
      </c>
      <c r="D332" t="s">
        <v>14</v>
      </c>
      <c r="E332">
        <v>40</v>
      </c>
      <c r="F332" t="s">
        <v>5055</v>
      </c>
      <c r="G332" s="1">
        <v>44612</v>
      </c>
      <c r="H332">
        <v>2022</v>
      </c>
      <c r="I332" t="s">
        <v>5042</v>
      </c>
      <c r="J332">
        <v>20</v>
      </c>
      <c r="K332">
        <v>4.9000000000000004</v>
      </c>
      <c r="L332">
        <v>13</v>
      </c>
      <c r="M332">
        <v>14590.63</v>
      </c>
      <c r="N332">
        <v>3.7</v>
      </c>
      <c r="O332" t="s">
        <v>5050</v>
      </c>
    </row>
    <row r="333" spans="1:15" x14ac:dyDescent="0.3">
      <c r="A333" t="s">
        <v>944</v>
      </c>
      <c r="B333" t="s">
        <v>24</v>
      </c>
      <c r="C333" t="s">
        <v>5019</v>
      </c>
      <c r="D333" t="s">
        <v>14</v>
      </c>
      <c r="E333">
        <v>40</v>
      </c>
      <c r="F333" t="s">
        <v>5055</v>
      </c>
      <c r="G333" s="1">
        <v>43848</v>
      </c>
      <c r="H333">
        <v>2020</v>
      </c>
      <c r="I333" t="s">
        <v>5037</v>
      </c>
      <c r="J333">
        <v>18</v>
      </c>
      <c r="K333">
        <v>3.96</v>
      </c>
      <c r="L333">
        <v>12</v>
      </c>
      <c r="M333">
        <v>11463.75</v>
      </c>
      <c r="N333">
        <v>5.8</v>
      </c>
      <c r="O333" t="s">
        <v>5049</v>
      </c>
    </row>
    <row r="334" spans="1:15" x14ac:dyDescent="0.3">
      <c r="A334" t="s">
        <v>945</v>
      </c>
      <c r="B334" t="s">
        <v>24</v>
      </c>
      <c r="C334" t="s">
        <v>5019</v>
      </c>
      <c r="D334" t="s">
        <v>14</v>
      </c>
      <c r="E334">
        <v>38</v>
      </c>
      <c r="F334" t="s">
        <v>5055</v>
      </c>
      <c r="G334" s="1">
        <v>45549</v>
      </c>
      <c r="H334">
        <v>2024</v>
      </c>
      <c r="I334" t="s">
        <v>5033</v>
      </c>
      <c r="J334">
        <v>14</v>
      </c>
      <c r="K334">
        <v>4.66</v>
      </c>
      <c r="L334">
        <v>4</v>
      </c>
      <c r="M334">
        <v>6795.45</v>
      </c>
      <c r="N334">
        <v>1.1000000000000001</v>
      </c>
      <c r="O334" t="s">
        <v>5050</v>
      </c>
    </row>
    <row r="335" spans="1:15" x14ac:dyDescent="0.3">
      <c r="A335" t="s">
        <v>947</v>
      </c>
      <c r="B335" t="s">
        <v>18</v>
      </c>
      <c r="C335" t="s">
        <v>5021</v>
      </c>
      <c r="D335" t="s">
        <v>11</v>
      </c>
      <c r="E335">
        <v>27</v>
      </c>
      <c r="F335" t="s">
        <v>5057</v>
      </c>
      <c r="G335" s="1">
        <v>44540</v>
      </c>
      <c r="H335">
        <v>2021</v>
      </c>
      <c r="I335" t="s">
        <v>5041</v>
      </c>
      <c r="J335">
        <v>10</v>
      </c>
      <c r="K335">
        <v>2.34</v>
      </c>
      <c r="L335">
        <v>6</v>
      </c>
      <c r="M335">
        <v>10730.69</v>
      </c>
      <c r="N335">
        <v>3.9</v>
      </c>
      <c r="O335" t="s">
        <v>5050</v>
      </c>
    </row>
    <row r="336" spans="1:15" x14ac:dyDescent="0.3">
      <c r="A336" t="s">
        <v>949</v>
      </c>
      <c r="B336" t="s">
        <v>16</v>
      </c>
      <c r="C336" t="s">
        <v>5018</v>
      </c>
      <c r="D336" t="s">
        <v>11</v>
      </c>
      <c r="E336">
        <v>33</v>
      </c>
      <c r="F336" t="s">
        <v>5055</v>
      </c>
      <c r="G336" s="1">
        <v>44404</v>
      </c>
      <c r="H336">
        <v>2021</v>
      </c>
      <c r="I336" t="s">
        <v>5034</v>
      </c>
      <c r="J336">
        <v>27</v>
      </c>
      <c r="K336">
        <v>2.06</v>
      </c>
      <c r="L336">
        <v>14</v>
      </c>
      <c r="M336">
        <v>4660.32</v>
      </c>
      <c r="N336">
        <v>4.3</v>
      </c>
      <c r="O336" t="s">
        <v>5050</v>
      </c>
    </row>
    <row r="337" spans="1:15" x14ac:dyDescent="0.3">
      <c r="A337" t="s">
        <v>950</v>
      </c>
      <c r="B337" t="s">
        <v>24</v>
      </c>
      <c r="C337" t="s">
        <v>5019</v>
      </c>
      <c r="D337" t="s">
        <v>14</v>
      </c>
      <c r="E337">
        <v>39</v>
      </c>
      <c r="F337" t="s">
        <v>5055</v>
      </c>
      <c r="G337" s="1">
        <v>45894</v>
      </c>
      <c r="H337">
        <v>2025</v>
      </c>
      <c r="I337" t="s">
        <v>5031</v>
      </c>
      <c r="J337">
        <v>25</v>
      </c>
      <c r="K337">
        <v>3.17</v>
      </c>
      <c r="L337">
        <v>12</v>
      </c>
      <c r="M337">
        <v>7912.29</v>
      </c>
      <c r="N337">
        <v>0.2</v>
      </c>
      <c r="O337" t="s">
        <v>5051</v>
      </c>
    </row>
    <row r="338" spans="1:15" x14ac:dyDescent="0.3">
      <c r="A338" t="s">
        <v>952</v>
      </c>
      <c r="B338" t="s">
        <v>24</v>
      </c>
      <c r="C338" t="s">
        <v>5019</v>
      </c>
      <c r="D338" t="s">
        <v>11</v>
      </c>
      <c r="E338">
        <v>49</v>
      </c>
      <c r="F338" t="s">
        <v>5055</v>
      </c>
      <c r="G338" s="1">
        <v>45296</v>
      </c>
      <c r="H338">
        <v>2024</v>
      </c>
      <c r="I338" t="s">
        <v>5037</v>
      </c>
      <c r="J338">
        <v>5</v>
      </c>
      <c r="K338">
        <v>1.83</v>
      </c>
      <c r="L338">
        <v>13</v>
      </c>
      <c r="M338">
        <v>11129.02</v>
      </c>
      <c r="N338">
        <v>1.8</v>
      </c>
      <c r="O338" t="s">
        <v>5050</v>
      </c>
    </row>
    <row r="339" spans="1:15" x14ac:dyDescent="0.3">
      <c r="A339" t="s">
        <v>957</v>
      </c>
      <c r="B339" t="s">
        <v>10</v>
      </c>
      <c r="C339" t="s">
        <v>5022</v>
      </c>
      <c r="D339" t="s">
        <v>11</v>
      </c>
      <c r="E339">
        <v>26</v>
      </c>
      <c r="F339" t="s">
        <v>5057</v>
      </c>
      <c r="G339" s="1">
        <v>45406</v>
      </c>
      <c r="H339">
        <v>2024</v>
      </c>
      <c r="I339" t="s">
        <v>5040</v>
      </c>
      <c r="J339">
        <v>24</v>
      </c>
      <c r="K339">
        <v>4.33</v>
      </c>
      <c r="L339">
        <v>9</v>
      </c>
      <c r="M339">
        <v>3854.37</v>
      </c>
      <c r="N339">
        <v>1.5</v>
      </c>
      <c r="O339" t="s">
        <v>5050</v>
      </c>
    </row>
    <row r="340" spans="1:15" x14ac:dyDescent="0.3">
      <c r="A340" t="s">
        <v>960</v>
      </c>
      <c r="B340" t="s">
        <v>13</v>
      </c>
      <c r="C340" t="s">
        <v>5017</v>
      </c>
      <c r="D340" t="s">
        <v>11</v>
      </c>
      <c r="E340">
        <v>52</v>
      </c>
      <c r="F340" t="s">
        <v>5056</v>
      </c>
      <c r="G340" s="1">
        <v>45181</v>
      </c>
      <c r="H340">
        <v>2023</v>
      </c>
      <c r="I340" t="s">
        <v>5033</v>
      </c>
      <c r="J340">
        <v>12</v>
      </c>
      <c r="K340">
        <v>2.83</v>
      </c>
      <c r="L340">
        <v>7</v>
      </c>
      <c r="M340">
        <v>4010.74</v>
      </c>
      <c r="N340">
        <v>2.1</v>
      </c>
      <c r="O340" t="s">
        <v>5050</v>
      </c>
    </row>
    <row r="341" spans="1:15" x14ac:dyDescent="0.3">
      <c r="A341" t="s">
        <v>964</v>
      </c>
      <c r="B341" t="s">
        <v>16</v>
      </c>
      <c r="C341" t="s">
        <v>5018</v>
      </c>
      <c r="D341" t="s">
        <v>14</v>
      </c>
      <c r="E341">
        <v>35</v>
      </c>
      <c r="F341" t="s">
        <v>5055</v>
      </c>
      <c r="G341" s="1">
        <v>45360</v>
      </c>
      <c r="H341">
        <v>2024</v>
      </c>
      <c r="I341" t="s">
        <v>5035</v>
      </c>
      <c r="J341">
        <v>9</v>
      </c>
      <c r="K341">
        <v>2.8</v>
      </c>
      <c r="L341">
        <v>11</v>
      </c>
      <c r="M341">
        <v>13589.37</v>
      </c>
      <c r="N341">
        <v>1.6</v>
      </c>
      <c r="O341" t="s">
        <v>5050</v>
      </c>
    </row>
    <row r="342" spans="1:15" x14ac:dyDescent="0.3">
      <c r="A342" t="s">
        <v>965</v>
      </c>
      <c r="B342" t="s">
        <v>13</v>
      </c>
      <c r="C342" t="s">
        <v>5017</v>
      </c>
      <c r="D342" t="s">
        <v>14</v>
      </c>
      <c r="E342">
        <v>57</v>
      </c>
      <c r="F342" t="s">
        <v>5056</v>
      </c>
      <c r="G342" s="1">
        <v>43849</v>
      </c>
      <c r="H342">
        <v>2020</v>
      </c>
      <c r="I342" t="s">
        <v>5037</v>
      </c>
      <c r="J342">
        <v>19</v>
      </c>
      <c r="K342">
        <v>2.3199999999999998</v>
      </c>
      <c r="L342">
        <v>13</v>
      </c>
      <c r="M342">
        <v>13330.23</v>
      </c>
      <c r="N342">
        <v>5.8</v>
      </c>
      <c r="O342" t="s">
        <v>5049</v>
      </c>
    </row>
    <row r="343" spans="1:15" x14ac:dyDescent="0.3">
      <c r="A343" t="s">
        <v>966</v>
      </c>
      <c r="B343" t="s">
        <v>10</v>
      </c>
      <c r="C343" t="s">
        <v>5022</v>
      </c>
      <c r="D343" t="s">
        <v>14</v>
      </c>
      <c r="E343">
        <v>46</v>
      </c>
      <c r="F343" t="s">
        <v>5055</v>
      </c>
      <c r="G343" s="1">
        <v>44136</v>
      </c>
      <c r="H343">
        <v>2020</v>
      </c>
      <c r="I343" t="s">
        <v>5038</v>
      </c>
      <c r="J343">
        <v>1</v>
      </c>
      <c r="K343">
        <v>3.52</v>
      </c>
      <c r="L343">
        <v>4</v>
      </c>
      <c r="M343">
        <v>14351.43</v>
      </c>
      <c r="N343">
        <v>5</v>
      </c>
      <c r="O343" t="s">
        <v>5050</v>
      </c>
    </row>
    <row r="344" spans="1:15" x14ac:dyDescent="0.3">
      <c r="A344" t="s">
        <v>967</v>
      </c>
      <c r="B344" t="s">
        <v>24</v>
      </c>
      <c r="C344" t="s">
        <v>5019</v>
      </c>
      <c r="D344" t="s">
        <v>11</v>
      </c>
      <c r="E344">
        <v>59</v>
      </c>
      <c r="F344" t="s">
        <v>5056</v>
      </c>
      <c r="G344" s="1">
        <v>44276</v>
      </c>
      <c r="H344">
        <v>2021</v>
      </c>
      <c r="I344" t="s">
        <v>5035</v>
      </c>
      <c r="J344">
        <v>21</v>
      </c>
      <c r="K344">
        <v>4.0199999999999996</v>
      </c>
      <c r="L344">
        <v>7</v>
      </c>
      <c r="M344">
        <v>14456.44</v>
      </c>
      <c r="N344">
        <v>4.5999999999999996</v>
      </c>
      <c r="O344" t="s">
        <v>5050</v>
      </c>
    </row>
    <row r="345" spans="1:15" x14ac:dyDescent="0.3">
      <c r="A345" t="s">
        <v>968</v>
      </c>
      <c r="B345" t="s">
        <v>10</v>
      </c>
      <c r="C345" t="s">
        <v>5022</v>
      </c>
      <c r="D345" t="s">
        <v>14</v>
      </c>
      <c r="E345">
        <v>26</v>
      </c>
      <c r="F345" t="s">
        <v>5057</v>
      </c>
      <c r="G345" s="1">
        <v>45794</v>
      </c>
      <c r="H345">
        <v>2025</v>
      </c>
      <c r="I345" t="s">
        <v>5036</v>
      </c>
      <c r="J345">
        <v>17</v>
      </c>
      <c r="K345">
        <v>1.84</v>
      </c>
      <c r="L345">
        <v>10</v>
      </c>
      <c r="M345">
        <v>5436.32</v>
      </c>
      <c r="N345">
        <v>0.5</v>
      </c>
      <c r="O345" t="s">
        <v>5051</v>
      </c>
    </row>
    <row r="346" spans="1:15" x14ac:dyDescent="0.3">
      <c r="A346" t="s">
        <v>969</v>
      </c>
      <c r="B346" t="s">
        <v>24</v>
      </c>
      <c r="C346" t="s">
        <v>5019</v>
      </c>
      <c r="D346" t="s">
        <v>14</v>
      </c>
      <c r="E346">
        <v>36</v>
      </c>
      <c r="F346" t="s">
        <v>5055</v>
      </c>
      <c r="G346" s="1">
        <v>45632</v>
      </c>
      <c r="H346">
        <v>2024</v>
      </c>
      <c r="I346" t="s">
        <v>5041</v>
      </c>
      <c r="J346">
        <v>6</v>
      </c>
      <c r="K346">
        <v>4.54</v>
      </c>
      <c r="L346">
        <v>2</v>
      </c>
      <c r="M346">
        <v>10302.19</v>
      </c>
      <c r="N346">
        <v>0.9</v>
      </c>
      <c r="O346" t="s">
        <v>5051</v>
      </c>
    </row>
    <row r="347" spans="1:15" x14ac:dyDescent="0.3">
      <c r="A347" t="s">
        <v>970</v>
      </c>
      <c r="B347" t="s">
        <v>16</v>
      </c>
      <c r="C347" t="s">
        <v>5018</v>
      </c>
      <c r="D347" t="s">
        <v>14</v>
      </c>
      <c r="E347">
        <v>34</v>
      </c>
      <c r="F347" t="s">
        <v>5055</v>
      </c>
      <c r="G347" s="1">
        <v>44139</v>
      </c>
      <c r="H347">
        <v>2020</v>
      </c>
      <c r="I347" t="s">
        <v>5038</v>
      </c>
      <c r="J347">
        <v>4</v>
      </c>
      <c r="K347">
        <v>2.3199999999999998</v>
      </c>
      <c r="L347">
        <v>10</v>
      </c>
      <c r="M347">
        <v>14329.1</v>
      </c>
      <c r="N347">
        <v>5</v>
      </c>
      <c r="O347" t="s">
        <v>5050</v>
      </c>
    </row>
    <row r="348" spans="1:15" x14ac:dyDescent="0.3">
      <c r="A348" t="s">
        <v>972</v>
      </c>
      <c r="B348" t="s">
        <v>13</v>
      </c>
      <c r="C348" t="s">
        <v>5017</v>
      </c>
      <c r="D348" t="s">
        <v>11</v>
      </c>
      <c r="E348">
        <v>58</v>
      </c>
      <c r="F348" t="s">
        <v>5056</v>
      </c>
      <c r="G348" s="1">
        <v>45545</v>
      </c>
      <c r="H348">
        <v>2024</v>
      </c>
      <c r="I348" t="s">
        <v>5033</v>
      </c>
      <c r="J348">
        <v>10</v>
      </c>
      <c r="K348">
        <v>4.12</v>
      </c>
      <c r="L348">
        <v>14</v>
      </c>
      <c r="M348">
        <v>5225.2299999999996</v>
      </c>
      <c r="N348">
        <v>1.1000000000000001</v>
      </c>
      <c r="O348" t="s">
        <v>5050</v>
      </c>
    </row>
    <row r="349" spans="1:15" x14ac:dyDescent="0.3">
      <c r="A349" t="s">
        <v>974</v>
      </c>
      <c r="B349" t="s">
        <v>13</v>
      </c>
      <c r="C349" t="s">
        <v>5017</v>
      </c>
      <c r="D349" t="s">
        <v>11</v>
      </c>
      <c r="E349">
        <v>29</v>
      </c>
      <c r="F349" t="s">
        <v>5057</v>
      </c>
      <c r="G349" s="1">
        <v>45826</v>
      </c>
      <c r="H349">
        <v>2025</v>
      </c>
      <c r="I349" t="s">
        <v>5032</v>
      </c>
      <c r="J349">
        <v>18</v>
      </c>
      <c r="K349">
        <v>1.74</v>
      </c>
      <c r="L349">
        <v>11</v>
      </c>
      <c r="M349">
        <v>11452.81</v>
      </c>
      <c r="N349">
        <v>0.4</v>
      </c>
      <c r="O349" t="s">
        <v>5051</v>
      </c>
    </row>
    <row r="350" spans="1:15" x14ac:dyDescent="0.3">
      <c r="A350" t="s">
        <v>975</v>
      </c>
      <c r="B350" t="s">
        <v>10</v>
      </c>
      <c r="C350" t="s">
        <v>5022</v>
      </c>
      <c r="D350" t="s">
        <v>11</v>
      </c>
      <c r="E350">
        <v>54</v>
      </c>
      <c r="F350" t="s">
        <v>5056</v>
      </c>
      <c r="G350" s="1">
        <v>45625</v>
      </c>
      <c r="H350">
        <v>2024</v>
      </c>
      <c r="I350" t="s">
        <v>5038</v>
      </c>
      <c r="J350">
        <v>29</v>
      </c>
      <c r="K350">
        <v>2.67</v>
      </c>
      <c r="L350">
        <v>11</v>
      </c>
      <c r="M350">
        <v>3282.24</v>
      </c>
      <c r="N350">
        <v>0.9</v>
      </c>
      <c r="O350" t="s">
        <v>5051</v>
      </c>
    </row>
    <row r="351" spans="1:15" x14ac:dyDescent="0.3">
      <c r="A351" t="s">
        <v>979</v>
      </c>
      <c r="B351" t="s">
        <v>10</v>
      </c>
      <c r="C351" t="s">
        <v>5022</v>
      </c>
      <c r="D351" t="s">
        <v>11</v>
      </c>
      <c r="E351">
        <v>39</v>
      </c>
      <c r="F351" t="s">
        <v>5055</v>
      </c>
      <c r="G351" s="1">
        <v>44039</v>
      </c>
      <c r="H351">
        <v>2020</v>
      </c>
      <c r="I351" t="s">
        <v>5034</v>
      </c>
      <c r="J351">
        <v>27</v>
      </c>
      <c r="K351">
        <v>3.51</v>
      </c>
      <c r="L351">
        <v>8</v>
      </c>
      <c r="M351">
        <v>3005.11</v>
      </c>
      <c r="N351">
        <v>5.3</v>
      </c>
      <c r="O351" t="s">
        <v>5049</v>
      </c>
    </row>
    <row r="352" spans="1:15" x14ac:dyDescent="0.3">
      <c r="A352" t="s">
        <v>980</v>
      </c>
      <c r="B352" t="s">
        <v>24</v>
      </c>
      <c r="C352" t="s">
        <v>5019</v>
      </c>
      <c r="D352" t="s">
        <v>14</v>
      </c>
      <c r="E352">
        <v>22</v>
      </c>
      <c r="F352" t="s">
        <v>5057</v>
      </c>
      <c r="G352" s="1">
        <v>45305</v>
      </c>
      <c r="H352">
        <v>2024</v>
      </c>
      <c r="I352" t="s">
        <v>5037</v>
      </c>
      <c r="J352">
        <v>14</v>
      </c>
      <c r="K352">
        <v>4.91</v>
      </c>
      <c r="L352">
        <v>7</v>
      </c>
      <c r="M352">
        <v>8150.16</v>
      </c>
      <c r="N352">
        <v>1.8</v>
      </c>
      <c r="O352" t="s">
        <v>5050</v>
      </c>
    </row>
    <row r="353" spans="1:15" x14ac:dyDescent="0.3">
      <c r="A353" t="s">
        <v>981</v>
      </c>
      <c r="B353" t="s">
        <v>16</v>
      </c>
      <c r="C353" t="s">
        <v>5018</v>
      </c>
      <c r="D353" t="s">
        <v>14</v>
      </c>
      <c r="E353">
        <v>50</v>
      </c>
      <c r="F353" t="s">
        <v>5055</v>
      </c>
      <c r="G353" s="1">
        <v>45593</v>
      </c>
      <c r="H353">
        <v>2024</v>
      </c>
      <c r="I353" t="s">
        <v>5039</v>
      </c>
      <c r="J353">
        <v>28</v>
      </c>
      <c r="K353">
        <v>4.8</v>
      </c>
      <c r="L353">
        <v>0</v>
      </c>
      <c r="M353">
        <v>14813.76</v>
      </c>
      <c r="N353">
        <v>1</v>
      </c>
      <c r="O353" t="s">
        <v>5051</v>
      </c>
    </row>
    <row r="354" spans="1:15" x14ac:dyDescent="0.3">
      <c r="A354" t="s">
        <v>983</v>
      </c>
      <c r="B354" t="s">
        <v>34</v>
      </c>
      <c r="C354" t="s">
        <v>5020</v>
      </c>
      <c r="D354" t="s">
        <v>11</v>
      </c>
      <c r="E354">
        <v>37</v>
      </c>
      <c r="F354" t="s">
        <v>5055</v>
      </c>
      <c r="G354" s="1">
        <v>43899</v>
      </c>
      <c r="H354">
        <v>2020</v>
      </c>
      <c r="I354" t="s">
        <v>5035</v>
      </c>
      <c r="J354">
        <v>9</v>
      </c>
      <c r="K354">
        <v>4.22</v>
      </c>
      <c r="L354">
        <v>5</v>
      </c>
      <c r="M354">
        <v>13167.22</v>
      </c>
      <c r="N354">
        <v>5.7</v>
      </c>
      <c r="O354" t="s">
        <v>5049</v>
      </c>
    </row>
    <row r="355" spans="1:15" x14ac:dyDescent="0.3">
      <c r="A355" t="s">
        <v>986</v>
      </c>
      <c r="B355" t="s">
        <v>10</v>
      </c>
      <c r="C355" t="s">
        <v>5022</v>
      </c>
      <c r="D355" t="s">
        <v>14</v>
      </c>
      <c r="E355">
        <v>49</v>
      </c>
      <c r="F355" t="s">
        <v>5055</v>
      </c>
      <c r="G355" s="1">
        <v>44063</v>
      </c>
      <c r="H355">
        <v>2020</v>
      </c>
      <c r="I355" t="s">
        <v>5031</v>
      </c>
      <c r="J355">
        <v>20</v>
      </c>
      <c r="K355">
        <v>3.26</v>
      </c>
      <c r="L355">
        <v>6</v>
      </c>
      <c r="M355">
        <v>11210.06</v>
      </c>
      <c r="N355">
        <v>5.2</v>
      </c>
      <c r="O355" t="s">
        <v>5049</v>
      </c>
    </row>
    <row r="356" spans="1:15" x14ac:dyDescent="0.3">
      <c r="A356" t="s">
        <v>989</v>
      </c>
      <c r="B356" t="s">
        <v>24</v>
      </c>
      <c r="C356" t="s">
        <v>5019</v>
      </c>
      <c r="D356" t="s">
        <v>14</v>
      </c>
      <c r="E356">
        <v>23</v>
      </c>
      <c r="F356" t="s">
        <v>5057</v>
      </c>
      <c r="G356" s="1">
        <v>44332</v>
      </c>
      <c r="H356">
        <v>2021</v>
      </c>
      <c r="I356" t="s">
        <v>5036</v>
      </c>
      <c r="J356">
        <v>16</v>
      </c>
      <c r="K356">
        <v>4.03</v>
      </c>
      <c r="L356">
        <v>6</v>
      </c>
      <c r="M356">
        <v>12277.82</v>
      </c>
      <c r="N356">
        <v>4.5</v>
      </c>
      <c r="O356" t="s">
        <v>5050</v>
      </c>
    </row>
    <row r="357" spans="1:15" x14ac:dyDescent="0.3">
      <c r="A357" t="s">
        <v>991</v>
      </c>
      <c r="B357" t="s">
        <v>10</v>
      </c>
      <c r="C357" t="s">
        <v>5022</v>
      </c>
      <c r="D357" t="s">
        <v>11</v>
      </c>
      <c r="E357">
        <v>34</v>
      </c>
      <c r="F357" t="s">
        <v>5055</v>
      </c>
      <c r="G357" s="1">
        <v>44221</v>
      </c>
      <c r="H357">
        <v>2021</v>
      </c>
      <c r="I357" t="s">
        <v>5037</v>
      </c>
      <c r="J357">
        <v>25</v>
      </c>
      <c r="K357">
        <v>1.79</v>
      </c>
      <c r="L357">
        <v>8</v>
      </c>
      <c r="M357">
        <v>3267.29</v>
      </c>
      <c r="N357">
        <v>4.8</v>
      </c>
      <c r="O357" t="s">
        <v>5050</v>
      </c>
    </row>
    <row r="358" spans="1:15" x14ac:dyDescent="0.3">
      <c r="A358" t="s">
        <v>992</v>
      </c>
      <c r="B358" t="s">
        <v>13</v>
      </c>
      <c r="C358" t="s">
        <v>5017</v>
      </c>
      <c r="D358" t="s">
        <v>14</v>
      </c>
      <c r="E358">
        <v>35</v>
      </c>
      <c r="F358" t="s">
        <v>5055</v>
      </c>
      <c r="G358" s="1">
        <v>44070</v>
      </c>
      <c r="H358">
        <v>2020</v>
      </c>
      <c r="I358" t="s">
        <v>5031</v>
      </c>
      <c r="J358">
        <v>27</v>
      </c>
      <c r="K358">
        <v>3.3</v>
      </c>
      <c r="L358">
        <v>7</v>
      </c>
      <c r="M358">
        <v>5714.23</v>
      </c>
      <c r="N358">
        <v>5.2</v>
      </c>
      <c r="O358" t="s">
        <v>5049</v>
      </c>
    </row>
    <row r="359" spans="1:15" x14ac:dyDescent="0.3">
      <c r="A359" t="s">
        <v>995</v>
      </c>
      <c r="B359" t="s">
        <v>10</v>
      </c>
      <c r="C359" t="s">
        <v>5022</v>
      </c>
      <c r="D359" t="s">
        <v>14</v>
      </c>
      <c r="E359">
        <v>38</v>
      </c>
      <c r="F359" t="s">
        <v>5055</v>
      </c>
      <c r="G359" s="1">
        <v>45057</v>
      </c>
      <c r="H359">
        <v>2023</v>
      </c>
      <c r="I359" t="s">
        <v>5036</v>
      </c>
      <c r="J359">
        <v>11</v>
      </c>
      <c r="K359">
        <v>3.96</v>
      </c>
      <c r="L359">
        <v>7</v>
      </c>
      <c r="M359">
        <v>13613.85</v>
      </c>
      <c r="N359">
        <v>2.5</v>
      </c>
      <c r="O359" t="s">
        <v>5050</v>
      </c>
    </row>
    <row r="360" spans="1:15" x14ac:dyDescent="0.3">
      <c r="A360" t="s">
        <v>1001</v>
      </c>
      <c r="B360" t="s">
        <v>10</v>
      </c>
      <c r="C360" t="s">
        <v>5022</v>
      </c>
      <c r="D360" t="s">
        <v>11</v>
      </c>
      <c r="E360">
        <v>49</v>
      </c>
      <c r="F360" t="s">
        <v>5055</v>
      </c>
      <c r="G360" s="1">
        <v>45114</v>
      </c>
      <c r="H360">
        <v>2023</v>
      </c>
      <c r="I360" t="s">
        <v>5034</v>
      </c>
      <c r="J360">
        <v>7</v>
      </c>
      <c r="K360">
        <v>2.0699999999999998</v>
      </c>
      <c r="L360">
        <v>2</v>
      </c>
      <c r="M360">
        <v>3034.91</v>
      </c>
      <c r="N360">
        <v>2.2999999999999998</v>
      </c>
      <c r="O360" t="s">
        <v>5050</v>
      </c>
    </row>
    <row r="361" spans="1:15" x14ac:dyDescent="0.3">
      <c r="A361" t="s">
        <v>1003</v>
      </c>
      <c r="B361" t="s">
        <v>34</v>
      </c>
      <c r="C361" t="s">
        <v>5020</v>
      </c>
      <c r="D361" t="s">
        <v>14</v>
      </c>
      <c r="E361">
        <v>57</v>
      </c>
      <c r="F361" t="s">
        <v>5056</v>
      </c>
      <c r="G361" s="1">
        <v>45444</v>
      </c>
      <c r="H361">
        <v>2024</v>
      </c>
      <c r="I361" t="s">
        <v>5032</v>
      </c>
      <c r="J361">
        <v>1</v>
      </c>
      <c r="K361">
        <v>3.5</v>
      </c>
      <c r="L361">
        <v>0</v>
      </c>
      <c r="M361">
        <v>12234.87</v>
      </c>
      <c r="N361">
        <v>1.4</v>
      </c>
      <c r="O361" t="s">
        <v>5050</v>
      </c>
    </row>
    <row r="362" spans="1:15" x14ac:dyDescent="0.3">
      <c r="A362" t="s">
        <v>1004</v>
      </c>
      <c r="B362" t="s">
        <v>34</v>
      </c>
      <c r="C362" t="s">
        <v>5020</v>
      </c>
      <c r="D362" t="s">
        <v>14</v>
      </c>
      <c r="E362">
        <v>43</v>
      </c>
      <c r="F362" t="s">
        <v>5055</v>
      </c>
      <c r="G362" s="1">
        <v>45409</v>
      </c>
      <c r="H362">
        <v>2024</v>
      </c>
      <c r="I362" t="s">
        <v>5040</v>
      </c>
      <c r="J362">
        <v>27</v>
      </c>
      <c r="K362">
        <v>2.5499999999999998</v>
      </c>
      <c r="L362">
        <v>5</v>
      </c>
      <c r="M362">
        <v>14100.91</v>
      </c>
      <c r="N362">
        <v>1.5</v>
      </c>
      <c r="O362" t="s">
        <v>5050</v>
      </c>
    </row>
    <row r="363" spans="1:15" x14ac:dyDescent="0.3">
      <c r="A363" t="s">
        <v>1007</v>
      </c>
      <c r="B363" t="s">
        <v>10</v>
      </c>
      <c r="C363" t="s">
        <v>5022</v>
      </c>
      <c r="D363" t="s">
        <v>14</v>
      </c>
      <c r="E363">
        <v>25</v>
      </c>
      <c r="F363" t="s">
        <v>5057</v>
      </c>
      <c r="G363" s="1">
        <v>44660</v>
      </c>
      <c r="H363">
        <v>2022</v>
      </c>
      <c r="I363" t="s">
        <v>5040</v>
      </c>
      <c r="J363">
        <v>9</v>
      </c>
      <c r="K363">
        <v>3.77</v>
      </c>
      <c r="L363">
        <v>7</v>
      </c>
      <c r="M363">
        <v>8890.9599999999991</v>
      </c>
      <c r="N363">
        <v>3.6</v>
      </c>
      <c r="O363" t="s">
        <v>5050</v>
      </c>
    </row>
    <row r="364" spans="1:15" x14ac:dyDescent="0.3">
      <c r="A364" t="s">
        <v>1008</v>
      </c>
      <c r="B364" t="s">
        <v>24</v>
      </c>
      <c r="C364" t="s">
        <v>5019</v>
      </c>
      <c r="D364" t="s">
        <v>14</v>
      </c>
      <c r="E364">
        <v>53</v>
      </c>
      <c r="F364" t="s">
        <v>5056</v>
      </c>
      <c r="G364" s="1">
        <v>44758</v>
      </c>
      <c r="H364">
        <v>2022</v>
      </c>
      <c r="I364" t="s">
        <v>5034</v>
      </c>
      <c r="J364">
        <v>16</v>
      </c>
      <c r="K364">
        <v>3.38</v>
      </c>
      <c r="L364">
        <v>13</v>
      </c>
      <c r="M364">
        <v>12754.69</v>
      </c>
      <c r="N364">
        <v>3.3</v>
      </c>
      <c r="O364" t="s">
        <v>5050</v>
      </c>
    </row>
    <row r="365" spans="1:15" x14ac:dyDescent="0.3">
      <c r="A365" t="s">
        <v>1009</v>
      </c>
      <c r="B365" t="s">
        <v>24</v>
      </c>
      <c r="C365" t="s">
        <v>5019</v>
      </c>
      <c r="D365" t="s">
        <v>11</v>
      </c>
      <c r="E365">
        <v>49</v>
      </c>
      <c r="F365" t="s">
        <v>5055</v>
      </c>
      <c r="G365" s="1">
        <v>44823</v>
      </c>
      <c r="H365">
        <v>2022</v>
      </c>
      <c r="I365" t="s">
        <v>5033</v>
      </c>
      <c r="J365">
        <v>19</v>
      </c>
      <c r="K365">
        <v>3.3</v>
      </c>
      <c r="L365">
        <v>13</v>
      </c>
      <c r="M365">
        <v>3088.36</v>
      </c>
      <c r="N365">
        <v>3.1</v>
      </c>
      <c r="O365" t="s">
        <v>5050</v>
      </c>
    </row>
    <row r="366" spans="1:15" x14ac:dyDescent="0.3">
      <c r="A366" t="s">
        <v>1012</v>
      </c>
      <c r="B366" t="s">
        <v>34</v>
      </c>
      <c r="C366" t="s">
        <v>5020</v>
      </c>
      <c r="D366" t="s">
        <v>11</v>
      </c>
      <c r="E366">
        <v>50</v>
      </c>
      <c r="F366" t="s">
        <v>5055</v>
      </c>
      <c r="G366" s="1">
        <v>44956</v>
      </c>
      <c r="H366">
        <v>2023</v>
      </c>
      <c r="I366" t="s">
        <v>5037</v>
      </c>
      <c r="J366">
        <v>30</v>
      </c>
      <c r="K366">
        <v>2.72</v>
      </c>
      <c r="L366">
        <v>11</v>
      </c>
      <c r="M366">
        <v>9819.4500000000007</v>
      </c>
      <c r="N366">
        <v>2.8</v>
      </c>
      <c r="O366" t="s">
        <v>5050</v>
      </c>
    </row>
    <row r="367" spans="1:15" x14ac:dyDescent="0.3">
      <c r="A367" t="s">
        <v>1014</v>
      </c>
      <c r="B367" t="s">
        <v>13</v>
      </c>
      <c r="C367" t="s">
        <v>5017</v>
      </c>
      <c r="D367" t="s">
        <v>14</v>
      </c>
      <c r="E367">
        <v>56</v>
      </c>
      <c r="F367" t="s">
        <v>5056</v>
      </c>
      <c r="G367" s="1">
        <v>44075</v>
      </c>
      <c r="H367">
        <v>2020</v>
      </c>
      <c r="I367" t="s">
        <v>5033</v>
      </c>
      <c r="J367">
        <v>1</v>
      </c>
      <c r="K367">
        <v>2.2599999999999998</v>
      </c>
      <c r="L367">
        <v>14</v>
      </c>
      <c r="M367">
        <v>5462.45</v>
      </c>
      <c r="N367">
        <v>5.2</v>
      </c>
      <c r="O367" t="s">
        <v>5049</v>
      </c>
    </row>
    <row r="368" spans="1:15" x14ac:dyDescent="0.3">
      <c r="A368" t="s">
        <v>1015</v>
      </c>
      <c r="B368" t="s">
        <v>24</v>
      </c>
      <c r="C368" t="s">
        <v>5019</v>
      </c>
      <c r="D368" t="s">
        <v>14</v>
      </c>
      <c r="E368">
        <v>55</v>
      </c>
      <c r="F368" t="s">
        <v>5056</v>
      </c>
      <c r="G368" s="1">
        <v>45360</v>
      </c>
      <c r="H368">
        <v>2024</v>
      </c>
      <c r="I368" t="s">
        <v>5035</v>
      </c>
      <c r="J368">
        <v>9</v>
      </c>
      <c r="K368">
        <v>1.67</v>
      </c>
      <c r="L368">
        <v>12</v>
      </c>
      <c r="M368">
        <v>4135.55</v>
      </c>
      <c r="N368">
        <v>1.6</v>
      </c>
      <c r="O368" t="s">
        <v>5050</v>
      </c>
    </row>
    <row r="369" spans="1:15" x14ac:dyDescent="0.3">
      <c r="A369" t="s">
        <v>1018</v>
      </c>
      <c r="B369" t="s">
        <v>16</v>
      </c>
      <c r="C369" t="s">
        <v>5018</v>
      </c>
      <c r="D369" t="s">
        <v>14</v>
      </c>
      <c r="E369">
        <v>24</v>
      </c>
      <c r="F369" t="s">
        <v>5057</v>
      </c>
      <c r="G369" s="1">
        <v>45155</v>
      </c>
      <c r="H369">
        <v>2023</v>
      </c>
      <c r="I369" t="s">
        <v>5031</v>
      </c>
      <c r="J369">
        <v>17</v>
      </c>
      <c r="K369">
        <v>3.72</v>
      </c>
      <c r="L369">
        <v>9</v>
      </c>
      <c r="M369">
        <v>10648.67</v>
      </c>
      <c r="N369">
        <v>2.2000000000000002</v>
      </c>
      <c r="O369" t="s">
        <v>5050</v>
      </c>
    </row>
    <row r="370" spans="1:15" x14ac:dyDescent="0.3">
      <c r="A370" t="s">
        <v>1019</v>
      </c>
      <c r="B370" t="s">
        <v>24</v>
      </c>
      <c r="C370" t="s">
        <v>5019</v>
      </c>
      <c r="D370" t="s">
        <v>11</v>
      </c>
      <c r="E370">
        <v>24</v>
      </c>
      <c r="F370" t="s">
        <v>5057</v>
      </c>
      <c r="G370" s="1">
        <v>45855</v>
      </c>
      <c r="H370">
        <v>2025</v>
      </c>
      <c r="I370" t="s">
        <v>5034</v>
      </c>
      <c r="J370">
        <v>17</v>
      </c>
      <c r="K370">
        <v>2.78</v>
      </c>
      <c r="L370">
        <v>2</v>
      </c>
      <c r="M370">
        <v>13038.38</v>
      </c>
      <c r="N370">
        <v>0.3</v>
      </c>
      <c r="O370" t="s">
        <v>5051</v>
      </c>
    </row>
    <row r="371" spans="1:15" x14ac:dyDescent="0.3">
      <c r="A371" t="s">
        <v>1021</v>
      </c>
      <c r="B371" t="s">
        <v>16</v>
      </c>
      <c r="C371" t="s">
        <v>5018</v>
      </c>
      <c r="D371" t="s">
        <v>14</v>
      </c>
      <c r="E371">
        <v>31</v>
      </c>
      <c r="F371" t="s">
        <v>5057</v>
      </c>
      <c r="G371" s="1">
        <v>45474</v>
      </c>
      <c r="H371">
        <v>2024</v>
      </c>
      <c r="I371" t="s">
        <v>5034</v>
      </c>
      <c r="J371">
        <v>1</v>
      </c>
      <c r="K371">
        <v>3.41</v>
      </c>
      <c r="L371">
        <v>3</v>
      </c>
      <c r="M371">
        <v>12302.55</v>
      </c>
      <c r="N371">
        <v>1.3</v>
      </c>
      <c r="O371" t="s">
        <v>5050</v>
      </c>
    </row>
    <row r="372" spans="1:15" x14ac:dyDescent="0.3">
      <c r="A372" t="s">
        <v>1022</v>
      </c>
      <c r="B372" t="s">
        <v>34</v>
      </c>
      <c r="C372" t="s">
        <v>5020</v>
      </c>
      <c r="D372" t="s">
        <v>14</v>
      </c>
      <c r="E372">
        <v>37</v>
      </c>
      <c r="F372" t="s">
        <v>5055</v>
      </c>
      <c r="G372" s="1">
        <v>44659</v>
      </c>
      <c r="H372">
        <v>2022</v>
      </c>
      <c r="I372" t="s">
        <v>5040</v>
      </c>
      <c r="J372">
        <v>8</v>
      </c>
      <c r="K372">
        <v>2.73</v>
      </c>
      <c r="L372">
        <v>7</v>
      </c>
      <c r="M372">
        <v>13681.59</v>
      </c>
      <c r="N372">
        <v>3.6</v>
      </c>
      <c r="O372" t="s">
        <v>5050</v>
      </c>
    </row>
    <row r="373" spans="1:15" x14ac:dyDescent="0.3">
      <c r="A373" t="s">
        <v>1025</v>
      </c>
      <c r="B373" t="s">
        <v>34</v>
      </c>
      <c r="C373" t="s">
        <v>5020</v>
      </c>
      <c r="D373" t="s">
        <v>14</v>
      </c>
      <c r="E373">
        <v>60</v>
      </c>
      <c r="F373" t="s">
        <v>5056</v>
      </c>
      <c r="G373" s="1">
        <v>44903</v>
      </c>
      <c r="H373">
        <v>2022</v>
      </c>
      <c r="I373" t="s">
        <v>5041</v>
      </c>
      <c r="J373">
        <v>8</v>
      </c>
      <c r="K373">
        <v>4.46</v>
      </c>
      <c r="L373">
        <v>15</v>
      </c>
      <c r="M373">
        <v>12387.42</v>
      </c>
      <c r="N373">
        <v>2.9</v>
      </c>
      <c r="O373" t="s">
        <v>5050</v>
      </c>
    </row>
    <row r="374" spans="1:15" x14ac:dyDescent="0.3">
      <c r="A374" t="s">
        <v>1028</v>
      </c>
      <c r="B374" t="s">
        <v>10</v>
      </c>
      <c r="C374" t="s">
        <v>5022</v>
      </c>
      <c r="D374" t="s">
        <v>14</v>
      </c>
      <c r="E374">
        <v>46</v>
      </c>
      <c r="F374" t="s">
        <v>5055</v>
      </c>
      <c r="G374" s="1">
        <v>43934</v>
      </c>
      <c r="H374">
        <v>2020</v>
      </c>
      <c r="I374" t="s">
        <v>5040</v>
      </c>
      <c r="J374">
        <v>13</v>
      </c>
      <c r="K374">
        <v>3.62</v>
      </c>
      <c r="L374">
        <v>8</v>
      </c>
      <c r="M374">
        <v>7512.49</v>
      </c>
      <c r="N374">
        <v>5.6</v>
      </c>
      <c r="O374" t="s">
        <v>5049</v>
      </c>
    </row>
    <row r="375" spans="1:15" x14ac:dyDescent="0.3">
      <c r="A375" t="s">
        <v>1029</v>
      </c>
      <c r="B375" t="s">
        <v>34</v>
      </c>
      <c r="C375" t="s">
        <v>5020</v>
      </c>
      <c r="D375" t="s">
        <v>14</v>
      </c>
      <c r="E375">
        <v>44</v>
      </c>
      <c r="F375" t="s">
        <v>5055</v>
      </c>
      <c r="G375" s="1">
        <v>44688</v>
      </c>
      <c r="H375">
        <v>2022</v>
      </c>
      <c r="I375" t="s">
        <v>5036</v>
      </c>
      <c r="J375">
        <v>7</v>
      </c>
      <c r="K375">
        <v>2.31</v>
      </c>
      <c r="L375">
        <v>8</v>
      </c>
      <c r="M375">
        <v>7295.78</v>
      </c>
      <c r="N375">
        <v>3.5</v>
      </c>
      <c r="O375" t="s">
        <v>5050</v>
      </c>
    </row>
    <row r="376" spans="1:15" x14ac:dyDescent="0.3">
      <c r="A376" t="s">
        <v>1030</v>
      </c>
      <c r="B376" t="s">
        <v>24</v>
      </c>
      <c r="C376" t="s">
        <v>5019</v>
      </c>
      <c r="D376" t="s">
        <v>14</v>
      </c>
      <c r="E376">
        <v>26</v>
      </c>
      <c r="F376" t="s">
        <v>5057</v>
      </c>
      <c r="G376" s="1">
        <v>44661</v>
      </c>
      <c r="H376">
        <v>2022</v>
      </c>
      <c r="I376" t="s">
        <v>5040</v>
      </c>
      <c r="J376">
        <v>10</v>
      </c>
      <c r="K376">
        <v>4.47</v>
      </c>
      <c r="L376">
        <v>1</v>
      </c>
      <c r="M376">
        <v>3661.88</v>
      </c>
      <c r="N376">
        <v>3.6</v>
      </c>
      <c r="O376" t="s">
        <v>5050</v>
      </c>
    </row>
    <row r="377" spans="1:15" x14ac:dyDescent="0.3">
      <c r="A377" t="s">
        <v>1032</v>
      </c>
      <c r="B377" t="s">
        <v>34</v>
      </c>
      <c r="C377" t="s">
        <v>5020</v>
      </c>
      <c r="D377" t="s">
        <v>11</v>
      </c>
      <c r="E377">
        <v>47</v>
      </c>
      <c r="F377" t="s">
        <v>5055</v>
      </c>
      <c r="G377" s="1">
        <v>45518</v>
      </c>
      <c r="H377">
        <v>2024</v>
      </c>
      <c r="I377" t="s">
        <v>5031</v>
      </c>
      <c r="J377">
        <v>14</v>
      </c>
      <c r="K377">
        <v>3.78</v>
      </c>
      <c r="L377">
        <v>9</v>
      </c>
      <c r="M377">
        <v>3770.43</v>
      </c>
      <c r="N377">
        <v>1.2</v>
      </c>
      <c r="O377" t="s">
        <v>5050</v>
      </c>
    </row>
    <row r="378" spans="1:15" x14ac:dyDescent="0.3">
      <c r="A378" t="s">
        <v>1033</v>
      </c>
      <c r="B378" t="s">
        <v>13</v>
      </c>
      <c r="C378" t="s">
        <v>5017</v>
      </c>
      <c r="D378" t="s">
        <v>14</v>
      </c>
      <c r="E378">
        <v>48</v>
      </c>
      <c r="F378" t="s">
        <v>5055</v>
      </c>
      <c r="G378" s="1">
        <v>45625</v>
      </c>
      <c r="H378">
        <v>2024</v>
      </c>
      <c r="I378" t="s">
        <v>5038</v>
      </c>
      <c r="J378">
        <v>29</v>
      </c>
      <c r="K378">
        <v>3.11</v>
      </c>
      <c r="L378">
        <v>1</v>
      </c>
      <c r="M378">
        <v>5133.6400000000003</v>
      </c>
      <c r="N378">
        <v>0.9</v>
      </c>
      <c r="O378" t="s">
        <v>5051</v>
      </c>
    </row>
    <row r="379" spans="1:15" x14ac:dyDescent="0.3">
      <c r="A379" t="s">
        <v>1034</v>
      </c>
      <c r="B379" t="s">
        <v>16</v>
      </c>
      <c r="C379" t="s">
        <v>5018</v>
      </c>
      <c r="D379" t="s">
        <v>14</v>
      </c>
      <c r="E379">
        <v>46</v>
      </c>
      <c r="F379" t="s">
        <v>5055</v>
      </c>
      <c r="G379" s="1">
        <v>44974</v>
      </c>
      <c r="H379">
        <v>2023</v>
      </c>
      <c r="I379" t="s">
        <v>5042</v>
      </c>
      <c r="J379">
        <v>17</v>
      </c>
      <c r="K379">
        <v>4.5599999999999996</v>
      </c>
      <c r="L379">
        <v>4</v>
      </c>
      <c r="M379">
        <v>9744.07</v>
      </c>
      <c r="N379">
        <v>2.7</v>
      </c>
      <c r="O379" t="s">
        <v>5050</v>
      </c>
    </row>
    <row r="380" spans="1:15" x14ac:dyDescent="0.3">
      <c r="A380" t="s">
        <v>1035</v>
      </c>
      <c r="B380" t="s">
        <v>18</v>
      </c>
      <c r="C380" t="s">
        <v>5021</v>
      </c>
      <c r="D380" t="s">
        <v>14</v>
      </c>
      <c r="E380">
        <v>24</v>
      </c>
      <c r="F380" t="s">
        <v>5057</v>
      </c>
      <c r="G380" s="1">
        <v>45006</v>
      </c>
      <c r="H380">
        <v>2023</v>
      </c>
      <c r="I380" t="s">
        <v>5035</v>
      </c>
      <c r="J380">
        <v>21</v>
      </c>
      <c r="K380">
        <v>1.8</v>
      </c>
      <c r="L380">
        <v>15</v>
      </c>
      <c r="M380">
        <v>11440.44</v>
      </c>
      <c r="N380">
        <v>2.6</v>
      </c>
      <c r="O380" t="s">
        <v>5050</v>
      </c>
    </row>
    <row r="381" spans="1:15" x14ac:dyDescent="0.3">
      <c r="A381" t="s">
        <v>1039</v>
      </c>
      <c r="B381" t="s">
        <v>16</v>
      </c>
      <c r="C381" t="s">
        <v>5018</v>
      </c>
      <c r="D381" t="s">
        <v>14</v>
      </c>
      <c r="E381">
        <v>35</v>
      </c>
      <c r="F381" t="s">
        <v>5055</v>
      </c>
      <c r="G381" s="1">
        <v>45210</v>
      </c>
      <c r="H381">
        <v>2023</v>
      </c>
      <c r="I381" t="s">
        <v>5039</v>
      </c>
      <c r="J381">
        <v>11</v>
      </c>
      <c r="K381">
        <v>3.43</v>
      </c>
      <c r="L381">
        <v>14</v>
      </c>
      <c r="M381">
        <v>11489.26</v>
      </c>
      <c r="N381">
        <v>2.1</v>
      </c>
      <c r="O381" t="s">
        <v>5050</v>
      </c>
    </row>
    <row r="382" spans="1:15" x14ac:dyDescent="0.3">
      <c r="A382" t="s">
        <v>1041</v>
      </c>
      <c r="B382" t="s">
        <v>34</v>
      </c>
      <c r="C382" t="s">
        <v>5020</v>
      </c>
      <c r="D382" t="s">
        <v>14</v>
      </c>
      <c r="E382">
        <v>29</v>
      </c>
      <c r="F382" t="s">
        <v>5057</v>
      </c>
      <c r="G382" s="1">
        <v>44797</v>
      </c>
      <c r="H382">
        <v>2022</v>
      </c>
      <c r="I382" t="s">
        <v>5031</v>
      </c>
      <c r="J382">
        <v>24</v>
      </c>
      <c r="K382">
        <v>4.5599999999999996</v>
      </c>
      <c r="L382">
        <v>13</v>
      </c>
      <c r="M382">
        <v>14287.93</v>
      </c>
      <c r="N382">
        <v>3.2</v>
      </c>
      <c r="O382" t="s">
        <v>5050</v>
      </c>
    </row>
    <row r="383" spans="1:15" x14ac:dyDescent="0.3">
      <c r="A383" t="s">
        <v>1045</v>
      </c>
      <c r="B383" t="s">
        <v>13</v>
      </c>
      <c r="C383" t="s">
        <v>5017</v>
      </c>
      <c r="D383" t="s">
        <v>14</v>
      </c>
      <c r="E383">
        <v>30</v>
      </c>
      <c r="F383" t="s">
        <v>5057</v>
      </c>
      <c r="G383" s="1">
        <v>45517</v>
      </c>
      <c r="H383">
        <v>2024</v>
      </c>
      <c r="I383" t="s">
        <v>5031</v>
      </c>
      <c r="J383">
        <v>13</v>
      </c>
      <c r="K383">
        <v>1.93</v>
      </c>
      <c r="L383">
        <v>6</v>
      </c>
      <c r="M383">
        <v>8891.02</v>
      </c>
      <c r="N383">
        <v>1.2</v>
      </c>
      <c r="O383" t="s">
        <v>5050</v>
      </c>
    </row>
    <row r="384" spans="1:15" x14ac:dyDescent="0.3">
      <c r="A384" t="s">
        <v>1053</v>
      </c>
      <c r="B384" t="s">
        <v>34</v>
      </c>
      <c r="C384" t="s">
        <v>5020</v>
      </c>
      <c r="D384" t="s">
        <v>14</v>
      </c>
      <c r="E384">
        <v>57</v>
      </c>
      <c r="F384" t="s">
        <v>5056</v>
      </c>
      <c r="G384" s="1">
        <v>43911</v>
      </c>
      <c r="H384">
        <v>2020</v>
      </c>
      <c r="I384" t="s">
        <v>5035</v>
      </c>
      <c r="J384">
        <v>21</v>
      </c>
      <c r="K384">
        <v>2.2400000000000002</v>
      </c>
      <c r="L384">
        <v>1</v>
      </c>
      <c r="M384">
        <v>6873.5</v>
      </c>
      <c r="N384">
        <v>5.6</v>
      </c>
      <c r="O384" t="s">
        <v>5049</v>
      </c>
    </row>
    <row r="385" spans="1:15" x14ac:dyDescent="0.3">
      <c r="A385" t="s">
        <v>1057</v>
      </c>
      <c r="B385" t="s">
        <v>13</v>
      </c>
      <c r="C385" t="s">
        <v>5017</v>
      </c>
      <c r="D385" t="s">
        <v>14</v>
      </c>
      <c r="E385">
        <v>51</v>
      </c>
      <c r="F385" t="s">
        <v>5056</v>
      </c>
      <c r="G385" s="1">
        <v>44949</v>
      </c>
      <c r="H385">
        <v>2023</v>
      </c>
      <c r="I385" t="s">
        <v>5037</v>
      </c>
      <c r="J385">
        <v>23</v>
      </c>
      <c r="K385">
        <v>2.89</v>
      </c>
      <c r="L385">
        <v>2</v>
      </c>
      <c r="M385">
        <v>10824.83</v>
      </c>
      <c r="N385">
        <v>2.8</v>
      </c>
      <c r="O385" t="s">
        <v>5050</v>
      </c>
    </row>
    <row r="386" spans="1:15" x14ac:dyDescent="0.3">
      <c r="A386" t="s">
        <v>1060</v>
      </c>
      <c r="B386" t="s">
        <v>18</v>
      </c>
      <c r="C386" t="s">
        <v>5021</v>
      </c>
      <c r="D386" t="s">
        <v>11</v>
      </c>
      <c r="E386">
        <v>43</v>
      </c>
      <c r="F386" t="s">
        <v>5055</v>
      </c>
      <c r="G386" s="1">
        <v>45885</v>
      </c>
      <c r="H386">
        <v>2025</v>
      </c>
      <c r="I386" t="s">
        <v>5031</v>
      </c>
      <c r="J386">
        <v>16</v>
      </c>
      <c r="K386">
        <v>3.37</v>
      </c>
      <c r="L386">
        <v>13</v>
      </c>
      <c r="M386">
        <v>11581.33</v>
      </c>
      <c r="N386">
        <v>0.2</v>
      </c>
      <c r="O386" t="s">
        <v>5051</v>
      </c>
    </row>
    <row r="387" spans="1:15" x14ac:dyDescent="0.3">
      <c r="A387" t="s">
        <v>1062</v>
      </c>
      <c r="B387" t="s">
        <v>13</v>
      </c>
      <c r="C387" t="s">
        <v>5017</v>
      </c>
      <c r="D387" t="s">
        <v>14</v>
      </c>
      <c r="E387">
        <v>46</v>
      </c>
      <c r="F387" t="s">
        <v>5055</v>
      </c>
      <c r="G387" s="1">
        <v>44212</v>
      </c>
      <c r="H387">
        <v>2021</v>
      </c>
      <c r="I387" t="s">
        <v>5037</v>
      </c>
      <c r="J387">
        <v>16</v>
      </c>
      <c r="K387">
        <v>2.72</v>
      </c>
      <c r="L387">
        <v>5</v>
      </c>
      <c r="M387">
        <v>4290.38</v>
      </c>
      <c r="N387">
        <v>4.8</v>
      </c>
      <c r="O387" t="s">
        <v>5050</v>
      </c>
    </row>
    <row r="388" spans="1:15" x14ac:dyDescent="0.3">
      <c r="A388" t="s">
        <v>1065</v>
      </c>
      <c r="B388" t="s">
        <v>10</v>
      </c>
      <c r="C388" t="s">
        <v>5022</v>
      </c>
      <c r="D388" t="s">
        <v>11</v>
      </c>
      <c r="E388">
        <v>23</v>
      </c>
      <c r="F388" t="s">
        <v>5057</v>
      </c>
      <c r="G388" s="1">
        <v>44628</v>
      </c>
      <c r="H388">
        <v>2022</v>
      </c>
      <c r="I388" t="s">
        <v>5035</v>
      </c>
      <c r="J388">
        <v>8</v>
      </c>
      <c r="K388">
        <v>1.98</v>
      </c>
      <c r="L388">
        <v>5</v>
      </c>
      <c r="M388">
        <v>6616.3</v>
      </c>
      <c r="N388">
        <v>3.7</v>
      </c>
      <c r="O388" t="s">
        <v>5050</v>
      </c>
    </row>
    <row r="389" spans="1:15" x14ac:dyDescent="0.3">
      <c r="A389" t="s">
        <v>1066</v>
      </c>
      <c r="B389" t="s">
        <v>10</v>
      </c>
      <c r="C389" t="s">
        <v>5022</v>
      </c>
      <c r="D389" t="s">
        <v>11</v>
      </c>
      <c r="E389">
        <v>48</v>
      </c>
      <c r="F389" t="s">
        <v>5055</v>
      </c>
      <c r="G389" s="1">
        <v>45476</v>
      </c>
      <c r="H389">
        <v>2024</v>
      </c>
      <c r="I389" t="s">
        <v>5034</v>
      </c>
      <c r="J389">
        <v>3</v>
      </c>
      <c r="K389">
        <v>1.84</v>
      </c>
      <c r="L389">
        <v>15</v>
      </c>
      <c r="M389">
        <v>7534.03</v>
      </c>
      <c r="N389">
        <v>1.3</v>
      </c>
      <c r="O389" t="s">
        <v>5050</v>
      </c>
    </row>
    <row r="390" spans="1:15" x14ac:dyDescent="0.3">
      <c r="A390" t="s">
        <v>1069</v>
      </c>
      <c r="B390" t="s">
        <v>24</v>
      </c>
      <c r="C390" t="s">
        <v>5019</v>
      </c>
      <c r="D390" t="s">
        <v>11</v>
      </c>
      <c r="E390">
        <v>25</v>
      </c>
      <c r="F390" t="s">
        <v>5057</v>
      </c>
      <c r="G390" s="1">
        <v>45890</v>
      </c>
      <c r="H390">
        <v>2025</v>
      </c>
      <c r="I390" t="s">
        <v>5031</v>
      </c>
      <c r="J390">
        <v>21</v>
      </c>
      <c r="K390">
        <v>3.08</v>
      </c>
      <c r="L390">
        <v>10</v>
      </c>
      <c r="M390">
        <v>10245.209999999999</v>
      </c>
      <c r="N390">
        <v>0.2</v>
      </c>
      <c r="O390" t="s">
        <v>5051</v>
      </c>
    </row>
    <row r="391" spans="1:15" x14ac:dyDescent="0.3">
      <c r="A391" t="s">
        <v>1071</v>
      </c>
      <c r="B391" t="s">
        <v>18</v>
      </c>
      <c r="C391" t="s">
        <v>5021</v>
      </c>
      <c r="D391" t="s">
        <v>11</v>
      </c>
      <c r="E391">
        <v>44</v>
      </c>
      <c r="F391" t="s">
        <v>5055</v>
      </c>
      <c r="G391" s="1">
        <v>45664</v>
      </c>
      <c r="H391">
        <v>2025</v>
      </c>
      <c r="I391" t="s">
        <v>5037</v>
      </c>
      <c r="J391">
        <v>7</v>
      </c>
      <c r="K391">
        <v>4.24</v>
      </c>
      <c r="L391">
        <v>4</v>
      </c>
      <c r="M391">
        <v>3538.45</v>
      </c>
      <c r="N391">
        <v>0.8</v>
      </c>
      <c r="O391" t="s">
        <v>5051</v>
      </c>
    </row>
    <row r="392" spans="1:15" x14ac:dyDescent="0.3">
      <c r="A392" t="s">
        <v>1072</v>
      </c>
      <c r="B392" t="s">
        <v>34</v>
      </c>
      <c r="C392" t="s">
        <v>5020</v>
      </c>
      <c r="D392" t="s">
        <v>14</v>
      </c>
      <c r="E392">
        <v>35</v>
      </c>
      <c r="F392" t="s">
        <v>5055</v>
      </c>
      <c r="G392" s="1">
        <v>45857</v>
      </c>
      <c r="H392">
        <v>2025</v>
      </c>
      <c r="I392" t="s">
        <v>5034</v>
      </c>
      <c r="J392">
        <v>19</v>
      </c>
      <c r="K392">
        <v>2.75</v>
      </c>
      <c r="L392">
        <v>7</v>
      </c>
      <c r="M392">
        <v>10780.79</v>
      </c>
      <c r="N392">
        <v>0.3</v>
      </c>
      <c r="O392" t="s">
        <v>5051</v>
      </c>
    </row>
    <row r="393" spans="1:15" x14ac:dyDescent="0.3">
      <c r="A393" t="s">
        <v>1077</v>
      </c>
      <c r="B393" t="s">
        <v>24</v>
      </c>
      <c r="C393" t="s">
        <v>5019</v>
      </c>
      <c r="D393" t="s">
        <v>11</v>
      </c>
      <c r="E393">
        <v>25</v>
      </c>
      <c r="F393" t="s">
        <v>5057</v>
      </c>
      <c r="G393" s="1">
        <v>45188</v>
      </c>
      <c r="H393">
        <v>2023</v>
      </c>
      <c r="I393" t="s">
        <v>5033</v>
      </c>
      <c r="J393">
        <v>19</v>
      </c>
      <c r="K393">
        <v>4.67</v>
      </c>
      <c r="L393">
        <v>11</v>
      </c>
      <c r="M393">
        <v>8362.8799999999992</v>
      </c>
      <c r="N393">
        <v>2.1</v>
      </c>
      <c r="O393" t="s">
        <v>5050</v>
      </c>
    </row>
    <row r="394" spans="1:15" x14ac:dyDescent="0.3">
      <c r="A394" t="s">
        <v>1078</v>
      </c>
      <c r="B394" t="s">
        <v>24</v>
      </c>
      <c r="C394" t="s">
        <v>5019</v>
      </c>
      <c r="D394" t="s">
        <v>14</v>
      </c>
      <c r="E394">
        <v>24</v>
      </c>
      <c r="F394" t="s">
        <v>5057</v>
      </c>
      <c r="G394" s="1">
        <v>44381</v>
      </c>
      <c r="H394">
        <v>2021</v>
      </c>
      <c r="I394" t="s">
        <v>5034</v>
      </c>
      <c r="J394">
        <v>4</v>
      </c>
      <c r="K394">
        <v>1.55</v>
      </c>
      <c r="L394">
        <v>8</v>
      </c>
      <c r="M394">
        <v>5870.01</v>
      </c>
      <c r="N394">
        <v>4.3</v>
      </c>
      <c r="O394" t="s">
        <v>5050</v>
      </c>
    </row>
    <row r="395" spans="1:15" x14ac:dyDescent="0.3">
      <c r="A395" t="s">
        <v>1079</v>
      </c>
      <c r="B395" t="s">
        <v>13</v>
      </c>
      <c r="C395" t="s">
        <v>5017</v>
      </c>
      <c r="D395" t="s">
        <v>11</v>
      </c>
      <c r="E395">
        <v>39</v>
      </c>
      <c r="F395" t="s">
        <v>5055</v>
      </c>
      <c r="G395" s="1">
        <v>45592</v>
      </c>
      <c r="H395">
        <v>2024</v>
      </c>
      <c r="I395" t="s">
        <v>5039</v>
      </c>
      <c r="J395">
        <v>27</v>
      </c>
      <c r="K395">
        <v>1.7</v>
      </c>
      <c r="L395">
        <v>4</v>
      </c>
      <c r="M395">
        <v>13857.86</v>
      </c>
      <c r="N395">
        <v>1</v>
      </c>
      <c r="O395" t="s">
        <v>5051</v>
      </c>
    </row>
    <row r="396" spans="1:15" x14ac:dyDescent="0.3">
      <c r="A396" t="s">
        <v>1080</v>
      </c>
      <c r="B396" t="s">
        <v>34</v>
      </c>
      <c r="C396" t="s">
        <v>5020</v>
      </c>
      <c r="D396" t="s">
        <v>11</v>
      </c>
      <c r="E396">
        <v>25</v>
      </c>
      <c r="F396" t="s">
        <v>5057</v>
      </c>
      <c r="G396" s="1">
        <v>44120</v>
      </c>
      <c r="H396">
        <v>2020</v>
      </c>
      <c r="I396" t="s">
        <v>5039</v>
      </c>
      <c r="J396">
        <v>16</v>
      </c>
      <c r="K396">
        <v>4.38</v>
      </c>
      <c r="L396">
        <v>12</v>
      </c>
      <c r="M396">
        <v>5932.77</v>
      </c>
      <c r="N396">
        <v>5</v>
      </c>
      <c r="O396" t="s">
        <v>5050</v>
      </c>
    </row>
    <row r="397" spans="1:15" x14ac:dyDescent="0.3">
      <c r="A397" t="s">
        <v>1081</v>
      </c>
      <c r="B397" t="s">
        <v>16</v>
      </c>
      <c r="C397" t="s">
        <v>5018</v>
      </c>
      <c r="D397" t="s">
        <v>14</v>
      </c>
      <c r="E397">
        <v>28</v>
      </c>
      <c r="F397" t="s">
        <v>5057</v>
      </c>
      <c r="G397" s="1">
        <v>44581</v>
      </c>
      <c r="H397">
        <v>2022</v>
      </c>
      <c r="I397" t="s">
        <v>5037</v>
      </c>
      <c r="J397">
        <v>20</v>
      </c>
      <c r="K397">
        <v>2.4300000000000002</v>
      </c>
      <c r="L397">
        <v>9</v>
      </c>
      <c r="M397">
        <v>10296.1</v>
      </c>
      <c r="N397">
        <v>3.8</v>
      </c>
      <c r="O397" t="s">
        <v>5050</v>
      </c>
    </row>
    <row r="398" spans="1:15" x14ac:dyDescent="0.3">
      <c r="A398" t="s">
        <v>1083</v>
      </c>
      <c r="B398" t="s">
        <v>34</v>
      </c>
      <c r="C398" t="s">
        <v>5020</v>
      </c>
      <c r="D398" t="s">
        <v>11</v>
      </c>
      <c r="E398">
        <v>58</v>
      </c>
      <c r="F398" t="s">
        <v>5056</v>
      </c>
      <c r="G398" s="1">
        <v>45143</v>
      </c>
      <c r="H398">
        <v>2023</v>
      </c>
      <c r="I398" t="s">
        <v>5031</v>
      </c>
      <c r="J398">
        <v>5</v>
      </c>
      <c r="K398">
        <v>2.46</v>
      </c>
      <c r="L398">
        <v>8</v>
      </c>
      <c r="M398">
        <v>14056.07</v>
      </c>
      <c r="N398">
        <v>2.2000000000000002</v>
      </c>
      <c r="O398" t="s">
        <v>5050</v>
      </c>
    </row>
    <row r="399" spans="1:15" x14ac:dyDescent="0.3">
      <c r="A399" t="s">
        <v>1084</v>
      </c>
      <c r="B399" t="s">
        <v>16</v>
      </c>
      <c r="C399" t="s">
        <v>5018</v>
      </c>
      <c r="D399" t="s">
        <v>14</v>
      </c>
      <c r="E399">
        <v>48</v>
      </c>
      <c r="F399" t="s">
        <v>5055</v>
      </c>
      <c r="G399" s="1">
        <v>44048</v>
      </c>
      <c r="H399">
        <v>2020</v>
      </c>
      <c r="I399" t="s">
        <v>5031</v>
      </c>
      <c r="J399">
        <v>5</v>
      </c>
      <c r="K399">
        <v>4.5</v>
      </c>
      <c r="L399">
        <v>0</v>
      </c>
      <c r="M399">
        <v>11707.86</v>
      </c>
      <c r="N399">
        <v>5.2</v>
      </c>
      <c r="O399" t="s">
        <v>5049</v>
      </c>
    </row>
    <row r="400" spans="1:15" x14ac:dyDescent="0.3">
      <c r="A400" t="s">
        <v>1092</v>
      </c>
      <c r="B400" t="s">
        <v>10</v>
      </c>
      <c r="C400" t="s">
        <v>5022</v>
      </c>
      <c r="D400" t="s">
        <v>14</v>
      </c>
      <c r="E400">
        <v>36</v>
      </c>
      <c r="F400" t="s">
        <v>5055</v>
      </c>
      <c r="G400" s="1">
        <v>44184</v>
      </c>
      <c r="H400">
        <v>2020</v>
      </c>
      <c r="I400" t="s">
        <v>5041</v>
      </c>
      <c r="J400">
        <v>19</v>
      </c>
      <c r="K400">
        <v>3.56</v>
      </c>
      <c r="L400">
        <v>5</v>
      </c>
      <c r="M400">
        <v>13209.31</v>
      </c>
      <c r="N400">
        <v>4.9000000000000004</v>
      </c>
      <c r="O400" t="s">
        <v>5050</v>
      </c>
    </row>
    <row r="401" spans="1:15" x14ac:dyDescent="0.3">
      <c r="A401" t="s">
        <v>1097</v>
      </c>
      <c r="B401" t="s">
        <v>13</v>
      </c>
      <c r="C401" t="s">
        <v>5017</v>
      </c>
      <c r="D401" t="s">
        <v>14</v>
      </c>
      <c r="E401">
        <v>36</v>
      </c>
      <c r="F401" t="s">
        <v>5055</v>
      </c>
      <c r="G401" s="1">
        <v>45400</v>
      </c>
      <c r="H401">
        <v>2024</v>
      </c>
      <c r="I401" t="s">
        <v>5040</v>
      </c>
      <c r="J401">
        <v>18</v>
      </c>
      <c r="K401">
        <v>2.1800000000000002</v>
      </c>
      <c r="L401">
        <v>1</v>
      </c>
      <c r="M401">
        <v>10131.790000000001</v>
      </c>
      <c r="N401">
        <v>1.5</v>
      </c>
      <c r="O401" t="s">
        <v>5050</v>
      </c>
    </row>
    <row r="402" spans="1:15" x14ac:dyDescent="0.3">
      <c r="A402" t="s">
        <v>1098</v>
      </c>
      <c r="B402" t="s">
        <v>10</v>
      </c>
      <c r="C402" t="s">
        <v>5022</v>
      </c>
      <c r="D402" t="s">
        <v>14</v>
      </c>
      <c r="E402">
        <v>31</v>
      </c>
      <c r="F402" t="s">
        <v>5057</v>
      </c>
      <c r="G402" s="1">
        <v>45917</v>
      </c>
      <c r="H402">
        <v>2025</v>
      </c>
      <c r="I402" t="s">
        <v>5033</v>
      </c>
      <c r="J402">
        <v>17</v>
      </c>
      <c r="K402">
        <v>3.51</v>
      </c>
      <c r="L402">
        <v>6</v>
      </c>
      <c r="M402">
        <v>10125.15</v>
      </c>
      <c r="N402">
        <v>0.1</v>
      </c>
      <c r="O402" t="s">
        <v>5051</v>
      </c>
    </row>
    <row r="403" spans="1:15" x14ac:dyDescent="0.3">
      <c r="A403" t="s">
        <v>1101</v>
      </c>
      <c r="B403" t="s">
        <v>34</v>
      </c>
      <c r="C403" t="s">
        <v>5020</v>
      </c>
      <c r="D403" t="s">
        <v>11</v>
      </c>
      <c r="E403">
        <v>55</v>
      </c>
      <c r="F403" t="s">
        <v>5056</v>
      </c>
      <c r="G403" s="1">
        <v>44286</v>
      </c>
      <c r="H403">
        <v>2021</v>
      </c>
      <c r="I403" t="s">
        <v>5035</v>
      </c>
      <c r="J403">
        <v>31</v>
      </c>
      <c r="K403">
        <v>1.9</v>
      </c>
      <c r="L403">
        <v>8</v>
      </c>
      <c r="M403">
        <v>8730.08</v>
      </c>
      <c r="N403">
        <v>4.5999999999999996</v>
      </c>
      <c r="O403" t="s">
        <v>5050</v>
      </c>
    </row>
    <row r="404" spans="1:15" x14ac:dyDescent="0.3">
      <c r="A404" t="s">
        <v>1102</v>
      </c>
      <c r="B404" t="s">
        <v>18</v>
      </c>
      <c r="C404" t="s">
        <v>5021</v>
      </c>
      <c r="D404" t="s">
        <v>14</v>
      </c>
      <c r="E404">
        <v>60</v>
      </c>
      <c r="F404" t="s">
        <v>5056</v>
      </c>
      <c r="G404" s="1">
        <v>44536</v>
      </c>
      <c r="H404">
        <v>2021</v>
      </c>
      <c r="I404" t="s">
        <v>5041</v>
      </c>
      <c r="J404">
        <v>6</v>
      </c>
      <c r="K404">
        <v>3.07</v>
      </c>
      <c r="L404">
        <v>14</v>
      </c>
      <c r="M404">
        <v>7104.25</v>
      </c>
      <c r="N404">
        <v>3.9</v>
      </c>
      <c r="O404" t="s">
        <v>5050</v>
      </c>
    </row>
    <row r="405" spans="1:15" x14ac:dyDescent="0.3">
      <c r="A405" t="s">
        <v>1148</v>
      </c>
      <c r="B405" t="s">
        <v>13</v>
      </c>
      <c r="C405" t="s">
        <v>5017</v>
      </c>
      <c r="D405" t="s">
        <v>11</v>
      </c>
      <c r="E405">
        <v>49</v>
      </c>
      <c r="F405" t="s">
        <v>5055</v>
      </c>
      <c r="G405" s="1">
        <v>45638</v>
      </c>
      <c r="H405">
        <v>2024</v>
      </c>
      <c r="I405" t="s">
        <v>5041</v>
      </c>
      <c r="J405">
        <v>12</v>
      </c>
      <c r="K405">
        <v>4.22</v>
      </c>
      <c r="L405">
        <v>14</v>
      </c>
      <c r="M405">
        <v>9014.2900000000009</v>
      </c>
      <c r="N405">
        <v>0.9</v>
      </c>
      <c r="O405" t="s">
        <v>5051</v>
      </c>
    </row>
    <row r="406" spans="1:15" x14ac:dyDescent="0.3">
      <c r="A406" t="s">
        <v>1188</v>
      </c>
      <c r="B406" t="s">
        <v>13</v>
      </c>
      <c r="C406" t="s">
        <v>5017</v>
      </c>
      <c r="D406" t="s">
        <v>11</v>
      </c>
      <c r="E406">
        <v>41</v>
      </c>
      <c r="F406" t="s">
        <v>5055</v>
      </c>
      <c r="G406" s="1">
        <v>45521</v>
      </c>
      <c r="H406">
        <v>2024</v>
      </c>
      <c r="I406" t="s">
        <v>5031</v>
      </c>
      <c r="J406">
        <v>17</v>
      </c>
      <c r="K406">
        <v>4.99</v>
      </c>
      <c r="L406">
        <v>1</v>
      </c>
      <c r="M406">
        <v>14498.3</v>
      </c>
      <c r="N406">
        <v>1.2</v>
      </c>
      <c r="O406" t="s">
        <v>5050</v>
      </c>
    </row>
    <row r="407" spans="1:15" x14ac:dyDescent="0.3">
      <c r="A407" t="s">
        <v>1205</v>
      </c>
      <c r="B407" t="s">
        <v>13</v>
      </c>
      <c r="C407" t="s">
        <v>5017</v>
      </c>
      <c r="D407" t="s">
        <v>11</v>
      </c>
      <c r="E407">
        <v>55</v>
      </c>
      <c r="F407" t="s">
        <v>5056</v>
      </c>
      <c r="G407" s="1">
        <v>44571</v>
      </c>
      <c r="H407">
        <v>2022</v>
      </c>
      <c r="I407" t="s">
        <v>5037</v>
      </c>
      <c r="J407">
        <v>10</v>
      </c>
      <c r="K407">
        <v>3.5</v>
      </c>
      <c r="L407">
        <v>4</v>
      </c>
      <c r="M407">
        <v>6435.5</v>
      </c>
      <c r="N407">
        <v>3.8</v>
      </c>
      <c r="O407" t="s">
        <v>5050</v>
      </c>
    </row>
    <row r="408" spans="1:15" x14ac:dyDescent="0.3">
      <c r="A408" t="s">
        <v>1212</v>
      </c>
      <c r="B408" t="s">
        <v>18</v>
      </c>
      <c r="C408" t="s">
        <v>5021</v>
      </c>
      <c r="D408" t="s">
        <v>11</v>
      </c>
      <c r="E408">
        <v>23</v>
      </c>
      <c r="F408" t="s">
        <v>5057</v>
      </c>
      <c r="G408" s="1">
        <v>44221</v>
      </c>
      <c r="H408">
        <v>2021</v>
      </c>
      <c r="I408" t="s">
        <v>5037</v>
      </c>
      <c r="J408">
        <v>25</v>
      </c>
      <c r="K408">
        <v>2.83</v>
      </c>
      <c r="L408">
        <v>3</v>
      </c>
      <c r="M408">
        <v>3996.79</v>
      </c>
      <c r="N408">
        <v>4.8</v>
      </c>
      <c r="O408" t="s">
        <v>5050</v>
      </c>
    </row>
    <row r="409" spans="1:15" x14ac:dyDescent="0.3">
      <c r="A409" t="s">
        <v>1213</v>
      </c>
      <c r="B409" t="s">
        <v>10</v>
      </c>
      <c r="C409" t="s">
        <v>5022</v>
      </c>
      <c r="D409" t="s">
        <v>11</v>
      </c>
      <c r="E409">
        <v>22</v>
      </c>
      <c r="F409" t="s">
        <v>5057</v>
      </c>
      <c r="G409" s="1">
        <v>44156</v>
      </c>
      <c r="H409">
        <v>2020</v>
      </c>
      <c r="I409" t="s">
        <v>5038</v>
      </c>
      <c r="J409">
        <v>21</v>
      </c>
      <c r="K409">
        <v>3.3</v>
      </c>
      <c r="L409">
        <v>15</v>
      </c>
      <c r="M409">
        <v>13087.86</v>
      </c>
      <c r="N409">
        <v>4.9000000000000004</v>
      </c>
      <c r="O409" t="s">
        <v>5050</v>
      </c>
    </row>
    <row r="410" spans="1:15" x14ac:dyDescent="0.3">
      <c r="A410" t="s">
        <v>1233</v>
      </c>
      <c r="B410" t="s">
        <v>34</v>
      </c>
      <c r="C410" t="s">
        <v>5020</v>
      </c>
      <c r="D410" t="s">
        <v>14</v>
      </c>
      <c r="E410">
        <v>58</v>
      </c>
      <c r="F410" t="s">
        <v>5056</v>
      </c>
      <c r="G410" s="1">
        <v>45476</v>
      </c>
      <c r="H410">
        <v>2024</v>
      </c>
      <c r="I410" t="s">
        <v>5034</v>
      </c>
      <c r="J410">
        <v>3</v>
      </c>
      <c r="K410">
        <v>1.87</v>
      </c>
      <c r="L410">
        <v>4</v>
      </c>
      <c r="M410">
        <v>12008.86</v>
      </c>
      <c r="N410">
        <v>1.3</v>
      </c>
      <c r="O410" t="s">
        <v>5050</v>
      </c>
    </row>
    <row r="411" spans="1:15" x14ac:dyDescent="0.3">
      <c r="A411" t="s">
        <v>1239</v>
      </c>
      <c r="B411" t="s">
        <v>13</v>
      </c>
      <c r="C411" t="s">
        <v>5017</v>
      </c>
      <c r="D411" t="s">
        <v>11</v>
      </c>
      <c r="E411">
        <v>23</v>
      </c>
      <c r="F411" t="s">
        <v>5057</v>
      </c>
      <c r="G411" s="1">
        <v>44784</v>
      </c>
      <c r="H411">
        <v>2022</v>
      </c>
      <c r="I411" t="s">
        <v>5031</v>
      </c>
      <c r="J411">
        <v>11</v>
      </c>
      <c r="K411">
        <v>1.71</v>
      </c>
      <c r="L411">
        <v>6</v>
      </c>
      <c r="M411">
        <v>8879.3799999999992</v>
      </c>
      <c r="N411">
        <v>3.2</v>
      </c>
      <c r="O411" t="s">
        <v>5050</v>
      </c>
    </row>
    <row r="412" spans="1:15" x14ac:dyDescent="0.3">
      <c r="A412" t="s">
        <v>1244</v>
      </c>
      <c r="B412" t="s">
        <v>18</v>
      </c>
      <c r="C412" t="s">
        <v>5021</v>
      </c>
      <c r="D412" t="s">
        <v>14</v>
      </c>
      <c r="E412">
        <v>24</v>
      </c>
      <c r="F412" t="s">
        <v>5057</v>
      </c>
      <c r="G412" s="1">
        <v>44815</v>
      </c>
      <c r="H412">
        <v>2022</v>
      </c>
      <c r="I412" t="s">
        <v>5033</v>
      </c>
      <c r="J412">
        <v>11</v>
      </c>
      <c r="K412">
        <v>4.58</v>
      </c>
      <c r="L412">
        <v>1</v>
      </c>
      <c r="M412">
        <v>13410.29</v>
      </c>
      <c r="N412">
        <v>3.1</v>
      </c>
      <c r="O412" t="s">
        <v>5050</v>
      </c>
    </row>
    <row r="413" spans="1:15" x14ac:dyDescent="0.3">
      <c r="A413" t="s">
        <v>1252</v>
      </c>
      <c r="B413" t="s">
        <v>10</v>
      </c>
      <c r="C413" t="s">
        <v>5022</v>
      </c>
      <c r="D413" t="s">
        <v>14</v>
      </c>
      <c r="E413">
        <v>59</v>
      </c>
      <c r="F413" t="s">
        <v>5056</v>
      </c>
      <c r="G413" s="1">
        <v>44479</v>
      </c>
      <c r="H413">
        <v>2021</v>
      </c>
      <c r="I413" t="s">
        <v>5039</v>
      </c>
      <c r="J413">
        <v>10</v>
      </c>
      <c r="K413">
        <v>1.66</v>
      </c>
      <c r="L413">
        <v>6</v>
      </c>
      <c r="M413">
        <v>11467.41</v>
      </c>
      <c r="N413">
        <v>4.0999999999999996</v>
      </c>
      <c r="O413" t="s">
        <v>5050</v>
      </c>
    </row>
    <row r="414" spans="1:15" x14ac:dyDescent="0.3">
      <c r="A414" t="s">
        <v>1259</v>
      </c>
      <c r="B414" t="s">
        <v>16</v>
      </c>
      <c r="C414" t="s">
        <v>5018</v>
      </c>
      <c r="D414" t="s">
        <v>14</v>
      </c>
      <c r="E414">
        <v>31</v>
      </c>
      <c r="F414" t="s">
        <v>5057</v>
      </c>
      <c r="G414" s="1">
        <v>43980</v>
      </c>
      <c r="H414">
        <v>2020</v>
      </c>
      <c r="I414" t="s">
        <v>5036</v>
      </c>
      <c r="J414">
        <v>29</v>
      </c>
      <c r="K414">
        <v>4.4400000000000004</v>
      </c>
      <c r="L414">
        <v>11</v>
      </c>
      <c r="M414">
        <v>11320.47</v>
      </c>
      <c r="N414">
        <v>5.4</v>
      </c>
      <c r="O414" t="s">
        <v>5049</v>
      </c>
    </row>
    <row r="415" spans="1:15" x14ac:dyDescent="0.3">
      <c r="A415" t="s">
        <v>1261</v>
      </c>
      <c r="B415" t="s">
        <v>16</v>
      </c>
      <c r="C415" t="s">
        <v>5018</v>
      </c>
      <c r="D415" t="s">
        <v>11</v>
      </c>
      <c r="E415">
        <v>27</v>
      </c>
      <c r="F415" t="s">
        <v>5057</v>
      </c>
      <c r="G415" s="1">
        <v>45308</v>
      </c>
      <c r="H415">
        <v>2024</v>
      </c>
      <c r="I415" t="s">
        <v>5037</v>
      </c>
      <c r="J415">
        <v>17</v>
      </c>
      <c r="K415">
        <v>4.0999999999999996</v>
      </c>
      <c r="L415">
        <v>7</v>
      </c>
      <c r="M415">
        <v>5562.42</v>
      </c>
      <c r="N415">
        <v>1.8</v>
      </c>
      <c r="O415" t="s">
        <v>5050</v>
      </c>
    </row>
    <row r="416" spans="1:15" x14ac:dyDescent="0.3">
      <c r="A416" t="s">
        <v>1272</v>
      </c>
      <c r="B416" t="s">
        <v>16</v>
      </c>
      <c r="C416" t="s">
        <v>5018</v>
      </c>
      <c r="D416" t="s">
        <v>14</v>
      </c>
      <c r="E416">
        <v>41</v>
      </c>
      <c r="F416" t="s">
        <v>5055</v>
      </c>
      <c r="G416" s="1">
        <v>43869</v>
      </c>
      <c r="H416">
        <v>2020</v>
      </c>
      <c r="I416" t="s">
        <v>5042</v>
      </c>
      <c r="J416">
        <v>8</v>
      </c>
      <c r="K416">
        <v>2.1</v>
      </c>
      <c r="L416">
        <v>14</v>
      </c>
      <c r="M416">
        <v>4559.68</v>
      </c>
      <c r="N416">
        <v>5.7</v>
      </c>
      <c r="O416" t="s">
        <v>5049</v>
      </c>
    </row>
    <row r="417" spans="1:15" x14ac:dyDescent="0.3">
      <c r="A417" t="s">
        <v>1288</v>
      </c>
      <c r="B417" t="s">
        <v>10</v>
      </c>
      <c r="C417" t="s">
        <v>5022</v>
      </c>
      <c r="D417" t="s">
        <v>11</v>
      </c>
      <c r="E417">
        <v>37</v>
      </c>
      <c r="F417" t="s">
        <v>5055</v>
      </c>
      <c r="G417" s="1">
        <v>44558</v>
      </c>
      <c r="H417">
        <v>2021</v>
      </c>
      <c r="I417" t="s">
        <v>5041</v>
      </c>
      <c r="J417">
        <v>28</v>
      </c>
      <c r="K417">
        <v>3.21</v>
      </c>
      <c r="L417">
        <v>0</v>
      </c>
      <c r="M417">
        <v>8617.94</v>
      </c>
      <c r="N417">
        <v>3.8</v>
      </c>
      <c r="O417" t="s">
        <v>5050</v>
      </c>
    </row>
    <row r="418" spans="1:15" x14ac:dyDescent="0.3">
      <c r="A418" t="s">
        <v>1295</v>
      </c>
      <c r="B418" t="s">
        <v>10</v>
      </c>
      <c r="C418" t="s">
        <v>5022</v>
      </c>
      <c r="D418" t="s">
        <v>11</v>
      </c>
      <c r="E418">
        <v>53</v>
      </c>
      <c r="F418" t="s">
        <v>5056</v>
      </c>
      <c r="G418" s="1">
        <v>43961</v>
      </c>
      <c r="H418">
        <v>2020</v>
      </c>
      <c r="I418" t="s">
        <v>5036</v>
      </c>
      <c r="J418">
        <v>10</v>
      </c>
      <c r="K418">
        <v>3.56</v>
      </c>
      <c r="L418">
        <v>7</v>
      </c>
      <c r="M418">
        <v>5344.37</v>
      </c>
      <c r="N418">
        <v>5.5</v>
      </c>
      <c r="O418" t="s">
        <v>5049</v>
      </c>
    </row>
    <row r="419" spans="1:15" x14ac:dyDescent="0.3">
      <c r="A419" t="s">
        <v>1352</v>
      </c>
      <c r="B419" t="s">
        <v>24</v>
      </c>
      <c r="C419" t="s">
        <v>5019</v>
      </c>
      <c r="D419" t="s">
        <v>11</v>
      </c>
      <c r="E419">
        <v>56</v>
      </c>
      <c r="F419" t="s">
        <v>5056</v>
      </c>
      <c r="G419" s="1">
        <v>45595</v>
      </c>
      <c r="H419">
        <v>2024</v>
      </c>
      <c r="I419" t="s">
        <v>5039</v>
      </c>
      <c r="J419">
        <v>30</v>
      </c>
      <c r="K419">
        <v>2.82</v>
      </c>
      <c r="L419">
        <v>12</v>
      </c>
      <c r="M419">
        <v>3641.47</v>
      </c>
      <c r="N419">
        <v>1</v>
      </c>
      <c r="O419" t="s">
        <v>5051</v>
      </c>
    </row>
    <row r="420" spans="1:15" x14ac:dyDescent="0.3">
      <c r="A420" t="s">
        <v>1370</v>
      </c>
      <c r="B420" t="s">
        <v>18</v>
      </c>
      <c r="C420" t="s">
        <v>5021</v>
      </c>
      <c r="D420" t="s">
        <v>11</v>
      </c>
      <c r="E420">
        <v>28</v>
      </c>
      <c r="F420" t="s">
        <v>5057</v>
      </c>
      <c r="G420" s="1">
        <v>45150</v>
      </c>
      <c r="H420">
        <v>2023</v>
      </c>
      <c r="I420" t="s">
        <v>5031</v>
      </c>
      <c r="J420">
        <v>12</v>
      </c>
      <c r="K420">
        <v>3.15</v>
      </c>
      <c r="L420">
        <v>5</v>
      </c>
      <c r="M420">
        <v>10318.11</v>
      </c>
      <c r="N420">
        <v>2.2000000000000002</v>
      </c>
      <c r="O420" t="s">
        <v>5050</v>
      </c>
    </row>
    <row r="421" spans="1:15" x14ac:dyDescent="0.3">
      <c r="A421" t="s">
        <v>1387</v>
      </c>
      <c r="B421" t="s">
        <v>34</v>
      </c>
      <c r="C421" t="s">
        <v>5020</v>
      </c>
      <c r="D421" t="s">
        <v>11</v>
      </c>
      <c r="E421">
        <v>48</v>
      </c>
      <c r="F421" t="s">
        <v>5055</v>
      </c>
      <c r="G421" s="1">
        <v>44659</v>
      </c>
      <c r="H421">
        <v>2022</v>
      </c>
      <c r="I421" t="s">
        <v>5040</v>
      </c>
      <c r="J421">
        <v>8</v>
      </c>
      <c r="K421">
        <v>4.16</v>
      </c>
      <c r="L421">
        <v>13</v>
      </c>
      <c r="M421">
        <v>13428.08</v>
      </c>
      <c r="N421">
        <v>3.6</v>
      </c>
      <c r="O421" t="s">
        <v>5050</v>
      </c>
    </row>
    <row r="422" spans="1:15" x14ac:dyDescent="0.3">
      <c r="A422" t="s">
        <v>1408</v>
      </c>
      <c r="B422" t="s">
        <v>13</v>
      </c>
      <c r="C422" t="s">
        <v>5017</v>
      </c>
      <c r="D422" t="s">
        <v>14</v>
      </c>
      <c r="E422">
        <v>43</v>
      </c>
      <c r="F422" t="s">
        <v>5055</v>
      </c>
      <c r="G422" s="1">
        <v>44658</v>
      </c>
      <c r="H422">
        <v>2022</v>
      </c>
      <c r="I422" t="s">
        <v>5040</v>
      </c>
      <c r="J422">
        <v>7</v>
      </c>
      <c r="K422">
        <v>4.33</v>
      </c>
      <c r="L422">
        <v>4</v>
      </c>
      <c r="M422">
        <v>3360.9</v>
      </c>
      <c r="N422">
        <v>3.6</v>
      </c>
      <c r="O422" t="s">
        <v>5050</v>
      </c>
    </row>
    <row r="423" spans="1:15" x14ac:dyDescent="0.3">
      <c r="A423" t="s">
        <v>1418</v>
      </c>
      <c r="B423" t="s">
        <v>13</v>
      </c>
      <c r="C423" t="s">
        <v>5017</v>
      </c>
      <c r="D423" t="s">
        <v>11</v>
      </c>
      <c r="E423">
        <v>53</v>
      </c>
      <c r="F423" t="s">
        <v>5056</v>
      </c>
      <c r="G423" s="1">
        <v>44221</v>
      </c>
      <c r="H423">
        <v>2021</v>
      </c>
      <c r="I423" t="s">
        <v>5037</v>
      </c>
      <c r="J423">
        <v>25</v>
      </c>
      <c r="K423">
        <v>2.0099999999999998</v>
      </c>
      <c r="L423">
        <v>9</v>
      </c>
      <c r="M423">
        <v>6968.45</v>
      </c>
      <c r="N423">
        <v>4.8</v>
      </c>
      <c r="O423" t="s">
        <v>5050</v>
      </c>
    </row>
    <row r="424" spans="1:15" x14ac:dyDescent="0.3">
      <c r="A424" t="s">
        <v>1434</v>
      </c>
      <c r="B424" t="s">
        <v>16</v>
      </c>
      <c r="C424" t="s">
        <v>5018</v>
      </c>
      <c r="D424" t="s">
        <v>14</v>
      </c>
      <c r="E424">
        <v>58</v>
      </c>
      <c r="F424" t="s">
        <v>5056</v>
      </c>
      <c r="G424" s="1">
        <v>45454</v>
      </c>
      <c r="H424">
        <v>2024</v>
      </c>
      <c r="I424" t="s">
        <v>5032</v>
      </c>
      <c r="J424">
        <v>11</v>
      </c>
      <c r="K424">
        <v>3.67</v>
      </c>
      <c r="L424">
        <v>8</v>
      </c>
      <c r="M424">
        <v>4478.41</v>
      </c>
      <c r="N424">
        <v>1.4</v>
      </c>
      <c r="O424" t="s">
        <v>5050</v>
      </c>
    </row>
    <row r="425" spans="1:15" x14ac:dyDescent="0.3">
      <c r="A425" t="s">
        <v>1449</v>
      </c>
      <c r="B425" t="s">
        <v>13</v>
      </c>
      <c r="C425" t="s">
        <v>5017</v>
      </c>
      <c r="D425" t="s">
        <v>11</v>
      </c>
      <c r="E425">
        <v>43</v>
      </c>
      <c r="F425" t="s">
        <v>5055</v>
      </c>
      <c r="G425" s="1">
        <v>45948</v>
      </c>
      <c r="H425">
        <v>2025</v>
      </c>
      <c r="I425" t="s">
        <v>5039</v>
      </c>
      <c r="J425">
        <v>18</v>
      </c>
      <c r="K425">
        <v>1.56</v>
      </c>
      <c r="L425">
        <v>12</v>
      </c>
      <c r="M425">
        <v>14365.76</v>
      </c>
      <c r="N425">
        <v>0</v>
      </c>
      <c r="O425" t="s">
        <v>5051</v>
      </c>
    </row>
    <row r="426" spans="1:15" x14ac:dyDescent="0.3">
      <c r="A426" t="s">
        <v>1477</v>
      </c>
      <c r="B426" t="s">
        <v>16</v>
      </c>
      <c r="C426" t="s">
        <v>5018</v>
      </c>
      <c r="D426" t="s">
        <v>11</v>
      </c>
      <c r="E426">
        <v>26</v>
      </c>
      <c r="F426" t="s">
        <v>5057</v>
      </c>
      <c r="G426" s="1">
        <v>44748</v>
      </c>
      <c r="H426">
        <v>2022</v>
      </c>
      <c r="I426" t="s">
        <v>5034</v>
      </c>
      <c r="J426">
        <v>6</v>
      </c>
      <c r="K426">
        <v>2.4500000000000002</v>
      </c>
      <c r="L426">
        <v>6</v>
      </c>
      <c r="M426">
        <v>4276.25</v>
      </c>
      <c r="N426">
        <v>3.3</v>
      </c>
      <c r="O426" t="s">
        <v>5050</v>
      </c>
    </row>
    <row r="427" spans="1:15" x14ac:dyDescent="0.3">
      <c r="A427" t="s">
        <v>1492</v>
      </c>
      <c r="B427" t="s">
        <v>24</v>
      </c>
      <c r="C427" t="s">
        <v>5019</v>
      </c>
      <c r="D427" t="s">
        <v>14</v>
      </c>
      <c r="E427">
        <v>59</v>
      </c>
      <c r="F427" t="s">
        <v>5056</v>
      </c>
      <c r="G427" s="1">
        <v>44465</v>
      </c>
      <c r="H427">
        <v>2021</v>
      </c>
      <c r="I427" t="s">
        <v>5033</v>
      </c>
      <c r="J427">
        <v>26</v>
      </c>
      <c r="K427">
        <v>1.84</v>
      </c>
      <c r="L427">
        <v>15</v>
      </c>
      <c r="M427">
        <v>5591.66</v>
      </c>
      <c r="N427">
        <v>4.0999999999999996</v>
      </c>
      <c r="O427" t="s">
        <v>5050</v>
      </c>
    </row>
    <row r="428" spans="1:15" x14ac:dyDescent="0.3">
      <c r="A428" t="s">
        <v>1504</v>
      </c>
      <c r="B428" t="s">
        <v>18</v>
      </c>
      <c r="C428" t="s">
        <v>5021</v>
      </c>
      <c r="D428" t="s">
        <v>14</v>
      </c>
      <c r="E428">
        <v>39</v>
      </c>
      <c r="F428" t="s">
        <v>5055</v>
      </c>
      <c r="G428" s="1">
        <v>43885</v>
      </c>
      <c r="H428">
        <v>2020</v>
      </c>
      <c r="I428" t="s">
        <v>5042</v>
      </c>
      <c r="J428">
        <v>24</v>
      </c>
      <c r="K428">
        <v>3.72</v>
      </c>
      <c r="L428">
        <v>7</v>
      </c>
      <c r="M428">
        <v>10678.77</v>
      </c>
      <c r="N428">
        <v>5.7</v>
      </c>
      <c r="O428" t="s">
        <v>5049</v>
      </c>
    </row>
    <row r="429" spans="1:15" x14ac:dyDescent="0.3">
      <c r="A429" t="s">
        <v>1518</v>
      </c>
      <c r="B429" t="s">
        <v>10</v>
      </c>
      <c r="C429" t="s">
        <v>5022</v>
      </c>
      <c r="D429" t="s">
        <v>11</v>
      </c>
      <c r="E429">
        <v>56</v>
      </c>
      <c r="F429" t="s">
        <v>5056</v>
      </c>
      <c r="G429" s="1">
        <v>45912</v>
      </c>
      <c r="H429">
        <v>2025</v>
      </c>
      <c r="I429" t="s">
        <v>5033</v>
      </c>
      <c r="J429">
        <v>12</v>
      </c>
      <c r="K429">
        <v>4.97</v>
      </c>
      <c r="L429">
        <v>1</v>
      </c>
      <c r="M429">
        <v>4589.2</v>
      </c>
      <c r="N429">
        <v>0.1</v>
      </c>
      <c r="O429" t="s">
        <v>5051</v>
      </c>
    </row>
    <row r="430" spans="1:15" x14ac:dyDescent="0.3">
      <c r="A430" t="s">
        <v>1531</v>
      </c>
      <c r="B430" t="s">
        <v>13</v>
      </c>
      <c r="C430" t="s">
        <v>5017</v>
      </c>
      <c r="D430" t="s">
        <v>14</v>
      </c>
      <c r="E430">
        <v>45</v>
      </c>
      <c r="F430" t="s">
        <v>5055</v>
      </c>
      <c r="G430" s="1">
        <v>45517</v>
      </c>
      <c r="H430">
        <v>2024</v>
      </c>
      <c r="I430" t="s">
        <v>5031</v>
      </c>
      <c r="J430">
        <v>13</v>
      </c>
      <c r="K430">
        <v>1.91</v>
      </c>
      <c r="L430">
        <v>15</v>
      </c>
      <c r="M430">
        <v>12550.32</v>
      </c>
      <c r="N430">
        <v>1.2</v>
      </c>
      <c r="O430" t="s">
        <v>5050</v>
      </c>
    </row>
    <row r="431" spans="1:15" x14ac:dyDescent="0.3">
      <c r="A431" t="s">
        <v>1568</v>
      </c>
      <c r="B431" t="s">
        <v>16</v>
      </c>
      <c r="C431" t="s">
        <v>5018</v>
      </c>
      <c r="D431" t="s">
        <v>14</v>
      </c>
      <c r="E431">
        <v>49</v>
      </c>
      <c r="F431" t="s">
        <v>5055</v>
      </c>
      <c r="G431" s="1">
        <v>44540</v>
      </c>
      <c r="H431">
        <v>2021</v>
      </c>
      <c r="I431" t="s">
        <v>5041</v>
      </c>
      <c r="J431">
        <v>10</v>
      </c>
      <c r="K431">
        <v>2.48</v>
      </c>
      <c r="L431">
        <v>7</v>
      </c>
      <c r="M431">
        <v>3820.26</v>
      </c>
      <c r="N431">
        <v>3.9</v>
      </c>
      <c r="O431" t="s">
        <v>5050</v>
      </c>
    </row>
    <row r="432" spans="1:15" x14ac:dyDescent="0.3">
      <c r="A432" t="s">
        <v>1588</v>
      </c>
      <c r="B432" t="s">
        <v>16</v>
      </c>
      <c r="C432" t="s">
        <v>5018</v>
      </c>
      <c r="D432" t="s">
        <v>14</v>
      </c>
      <c r="E432">
        <v>57</v>
      </c>
      <c r="F432" t="s">
        <v>5056</v>
      </c>
      <c r="G432" s="1">
        <v>45411</v>
      </c>
      <c r="H432">
        <v>2024</v>
      </c>
      <c r="I432" t="s">
        <v>5040</v>
      </c>
      <c r="J432">
        <v>29</v>
      </c>
      <c r="K432">
        <v>4.54</v>
      </c>
      <c r="L432">
        <v>14</v>
      </c>
      <c r="M432">
        <v>9258.69</v>
      </c>
      <c r="N432">
        <v>1.5</v>
      </c>
      <c r="O432" t="s">
        <v>5050</v>
      </c>
    </row>
    <row r="433" spans="1:15" x14ac:dyDescent="0.3">
      <c r="A433" t="s">
        <v>1591</v>
      </c>
      <c r="B433" t="s">
        <v>13</v>
      </c>
      <c r="C433" t="s">
        <v>5017</v>
      </c>
      <c r="D433" t="s">
        <v>14</v>
      </c>
      <c r="E433">
        <v>36</v>
      </c>
      <c r="F433" t="s">
        <v>5055</v>
      </c>
      <c r="G433" s="1">
        <v>43965</v>
      </c>
      <c r="H433">
        <v>2020</v>
      </c>
      <c r="I433" t="s">
        <v>5036</v>
      </c>
      <c r="J433">
        <v>14</v>
      </c>
      <c r="K433">
        <v>2.2599999999999998</v>
      </c>
      <c r="L433">
        <v>10</v>
      </c>
      <c r="M433">
        <v>13414.72</v>
      </c>
      <c r="N433">
        <v>5.5</v>
      </c>
      <c r="O433" t="s">
        <v>5049</v>
      </c>
    </row>
    <row r="434" spans="1:15" x14ac:dyDescent="0.3">
      <c r="A434" t="s">
        <v>1607</v>
      </c>
      <c r="B434" t="s">
        <v>13</v>
      </c>
      <c r="C434" t="s">
        <v>5017</v>
      </c>
      <c r="D434" t="s">
        <v>14</v>
      </c>
      <c r="E434">
        <v>48</v>
      </c>
      <c r="F434" t="s">
        <v>5055</v>
      </c>
      <c r="G434" s="1">
        <v>45595</v>
      </c>
      <c r="H434">
        <v>2024</v>
      </c>
      <c r="I434" t="s">
        <v>5039</v>
      </c>
      <c r="J434">
        <v>30</v>
      </c>
      <c r="K434">
        <v>1.67</v>
      </c>
      <c r="L434">
        <v>7</v>
      </c>
      <c r="M434">
        <v>5895</v>
      </c>
      <c r="N434">
        <v>1</v>
      </c>
      <c r="O434" t="s">
        <v>5051</v>
      </c>
    </row>
    <row r="435" spans="1:15" x14ac:dyDescent="0.3">
      <c r="A435" t="s">
        <v>1632</v>
      </c>
      <c r="B435" t="s">
        <v>34</v>
      </c>
      <c r="C435" t="s">
        <v>5020</v>
      </c>
      <c r="D435" t="s">
        <v>11</v>
      </c>
      <c r="E435">
        <v>53</v>
      </c>
      <c r="F435" t="s">
        <v>5056</v>
      </c>
      <c r="G435" s="1">
        <v>43965</v>
      </c>
      <c r="H435">
        <v>2020</v>
      </c>
      <c r="I435" t="s">
        <v>5036</v>
      </c>
      <c r="J435">
        <v>14</v>
      </c>
      <c r="K435">
        <v>3.66</v>
      </c>
      <c r="L435">
        <v>3</v>
      </c>
      <c r="M435">
        <v>9147.9500000000007</v>
      </c>
      <c r="N435">
        <v>5.5</v>
      </c>
      <c r="O435" t="s">
        <v>5049</v>
      </c>
    </row>
    <row r="436" spans="1:15" x14ac:dyDescent="0.3">
      <c r="A436" t="s">
        <v>1681</v>
      </c>
      <c r="B436" t="s">
        <v>16</v>
      </c>
      <c r="C436" t="s">
        <v>5018</v>
      </c>
      <c r="D436" t="s">
        <v>14</v>
      </c>
      <c r="E436">
        <v>59</v>
      </c>
      <c r="F436" t="s">
        <v>5056</v>
      </c>
      <c r="G436" s="1">
        <v>44687</v>
      </c>
      <c r="H436">
        <v>2022</v>
      </c>
      <c r="I436" t="s">
        <v>5036</v>
      </c>
      <c r="J436">
        <v>6</v>
      </c>
      <c r="K436">
        <v>3.57</v>
      </c>
      <c r="L436">
        <v>8</v>
      </c>
      <c r="M436">
        <v>8694.42</v>
      </c>
      <c r="N436">
        <v>3.5</v>
      </c>
      <c r="O436" t="s">
        <v>5050</v>
      </c>
    </row>
    <row r="437" spans="1:15" x14ac:dyDescent="0.3">
      <c r="A437" t="s">
        <v>1685</v>
      </c>
      <c r="B437" t="s">
        <v>13</v>
      </c>
      <c r="C437" t="s">
        <v>5017</v>
      </c>
      <c r="D437" t="s">
        <v>11</v>
      </c>
      <c r="E437">
        <v>31</v>
      </c>
      <c r="F437" t="s">
        <v>5057</v>
      </c>
      <c r="G437" s="1">
        <v>44039</v>
      </c>
      <c r="H437">
        <v>2020</v>
      </c>
      <c r="I437" t="s">
        <v>5034</v>
      </c>
      <c r="J437">
        <v>27</v>
      </c>
      <c r="K437">
        <v>4.12</v>
      </c>
      <c r="L437">
        <v>10</v>
      </c>
      <c r="M437">
        <v>8922.85</v>
      </c>
      <c r="N437">
        <v>5.3</v>
      </c>
      <c r="O437" t="s">
        <v>5049</v>
      </c>
    </row>
    <row r="438" spans="1:15" x14ac:dyDescent="0.3">
      <c r="A438" t="s">
        <v>1689</v>
      </c>
      <c r="B438" t="s">
        <v>24</v>
      </c>
      <c r="C438" t="s">
        <v>5019</v>
      </c>
      <c r="D438" t="s">
        <v>14</v>
      </c>
      <c r="E438">
        <v>45</v>
      </c>
      <c r="F438" t="s">
        <v>5055</v>
      </c>
      <c r="G438" s="1">
        <v>45518</v>
      </c>
      <c r="H438">
        <v>2024</v>
      </c>
      <c r="I438" t="s">
        <v>5031</v>
      </c>
      <c r="J438">
        <v>14</v>
      </c>
      <c r="K438">
        <v>4.0599999999999996</v>
      </c>
      <c r="L438">
        <v>6</v>
      </c>
      <c r="M438">
        <v>9724.56</v>
      </c>
      <c r="N438">
        <v>1.2</v>
      </c>
      <c r="O438" t="s">
        <v>5050</v>
      </c>
    </row>
    <row r="439" spans="1:15" x14ac:dyDescent="0.3">
      <c r="A439" t="s">
        <v>1696</v>
      </c>
      <c r="B439" t="s">
        <v>18</v>
      </c>
      <c r="C439" t="s">
        <v>5021</v>
      </c>
      <c r="D439" t="s">
        <v>11</v>
      </c>
      <c r="E439">
        <v>35</v>
      </c>
      <c r="F439" t="s">
        <v>5055</v>
      </c>
      <c r="G439" s="1">
        <v>45014</v>
      </c>
      <c r="H439">
        <v>2023</v>
      </c>
      <c r="I439" t="s">
        <v>5035</v>
      </c>
      <c r="J439">
        <v>29</v>
      </c>
      <c r="K439">
        <v>3.25</v>
      </c>
      <c r="L439">
        <v>6</v>
      </c>
      <c r="M439">
        <v>8345.36</v>
      </c>
      <c r="N439">
        <v>2.6</v>
      </c>
      <c r="O439" t="s">
        <v>5050</v>
      </c>
    </row>
    <row r="440" spans="1:15" x14ac:dyDescent="0.3">
      <c r="A440" t="s">
        <v>1706</v>
      </c>
      <c r="B440" t="s">
        <v>18</v>
      </c>
      <c r="C440" t="s">
        <v>5021</v>
      </c>
      <c r="D440" t="s">
        <v>11</v>
      </c>
      <c r="E440">
        <v>27</v>
      </c>
      <c r="F440" t="s">
        <v>5057</v>
      </c>
      <c r="G440" s="1">
        <v>44806</v>
      </c>
      <c r="H440">
        <v>2022</v>
      </c>
      <c r="I440" t="s">
        <v>5033</v>
      </c>
      <c r="J440">
        <v>2</v>
      </c>
      <c r="K440">
        <v>4.03</v>
      </c>
      <c r="L440">
        <v>10</v>
      </c>
      <c r="M440">
        <v>8963.52</v>
      </c>
      <c r="N440">
        <v>3.2</v>
      </c>
      <c r="O440" t="s">
        <v>5050</v>
      </c>
    </row>
    <row r="441" spans="1:15" x14ac:dyDescent="0.3">
      <c r="A441" t="s">
        <v>1746</v>
      </c>
      <c r="B441" t="s">
        <v>10</v>
      </c>
      <c r="C441" t="s">
        <v>5022</v>
      </c>
      <c r="D441" t="s">
        <v>14</v>
      </c>
      <c r="E441">
        <v>24</v>
      </c>
      <c r="F441" t="s">
        <v>5057</v>
      </c>
      <c r="G441" s="1">
        <v>45038</v>
      </c>
      <c r="H441">
        <v>2023</v>
      </c>
      <c r="I441" t="s">
        <v>5040</v>
      </c>
      <c r="J441">
        <v>22</v>
      </c>
      <c r="K441">
        <v>1.83</v>
      </c>
      <c r="L441">
        <v>3</v>
      </c>
      <c r="M441">
        <v>6517.64</v>
      </c>
      <c r="N441">
        <v>2.5</v>
      </c>
      <c r="O441" t="s">
        <v>5050</v>
      </c>
    </row>
    <row r="442" spans="1:15" x14ac:dyDescent="0.3">
      <c r="A442" t="s">
        <v>1750</v>
      </c>
      <c r="B442" t="s">
        <v>24</v>
      </c>
      <c r="C442" t="s">
        <v>5019</v>
      </c>
      <c r="D442" t="s">
        <v>14</v>
      </c>
      <c r="E442">
        <v>40</v>
      </c>
      <c r="F442" t="s">
        <v>5055</v>
      </c>
      <c r="G442" s="1">
        <v>44723</v>
      </c>
      <c r="H442">
        <v>2022</v>
      </c>
      <c r="I442" t="s">
        <v>5032</v>
      </c>
      <c r="J442">
        <v>11</v>
      </c>
      <c r="K442">
        <v>4.08</v>
      </c>
      <c r="L442">
        <v>1</v>
      </c>
      <c r="M442">
        <v>11847.96</v>
      </c>
      <c r="N442">
        <v>3.4</v>
      </c>
      <c r="O442" t="s">
        <v>5050</v>
      </c>
    </row>
    <row r="443" spans="1:15" x14ac:dyDescent="0.3">
      <c r="A443" t="s">
        <v>1767</v>
      </c>
      <c r="B443" t="s">
        <v>18</v>
      </c>
      <c r="C443" t="s">
        <v>5021</v>
      </c>
      <c r="D443" t="s">
        <v>14</v>
      </c>
      <c r="E443">
        <v>49</v>
      </c>
      <c r="F443" t="s">
        <v>5055</v>
      </c>
      <c r="G443" s="1">
        <v>44790</v>
      </c>
      <c r="H443">
        <v>2022</v>
      </c>
      <c r="I443" t="s">
        <v>5031</v>
      </c>
      <c r="J443">
        <v>17</v>
      </c>
      <c r="K443">
        <v>4.59</v>
      </c>
      <c r="L443">
        <v>9</v>
      </c>
      <c r="M443">
        <v>8641.09</v>
      </c>
      <c r="N443">
        <v>3.2</v>
      </c>
      <c r="O443" t="s">
        <v>5050</v>
      </c>
    </row>
    <row r="444" spans="1:15" x14ac:dyDescent="0.3">
      <c r="A444" t="s">
        <v>1793</v>
      </c>
      <c r="B444" t="s">
        <v>13</v>
      </c>
      <c r="C444" t="s">
        <v>5017</v>
      </c>
      <c r="D444" t="s">
        <v>11</v>
      </c>
      <c r="E444">
        <v>22</v>
      </c>
      <c r="F444" t="s">
        <v>5057</v>
      </c>
      <c r="G444" s="1">
        <v>44772</v>
      </c>
      <c r="H444">
        <v>2022</v>
      </c>
      <c r="I444" t="s">
        <v>5034</v>
      </c>
      <c r="J444">
        <v>30</v>
      </c>
      <c r="K444">
        <v>2.15</v>
      </c>
      <c r="L444">
        <v>13</v>
      </c>
      <c r="M444">
        <v>14129.44</v>
      </c>
      <c r="N444">
        <v>3.3</v>
      </c>
      <c r="O444" t="s">
        <v>5050</v>
      </c>
    </row>
    <row r="445" spans="1:15" x14ac:dyDescent="0.3">
      <c r="A445" t="s">
        <v>1805</v>
      </c>
      <c r="B445" t="s">
        <v>10</v>
      </c>
      <c r="C445" t="s">
        <v>5022</v>
      </c>
      <c r="D445" t="s">
        <v>14</v>
      </c>
      <c r="E445">
        <v>58</v>
      </c>
      <c r="F445" t="s">
        <v>5056</v>
      </c>
      <c r="G445" s="1">
        <v>44286</v>
      </c>
      <c r="H445">
        <v>2021</v>
      </c>
      <c r="I445" t="s">
        <v>5035</v>
      </c>
      <c r="J445">
        <v>31</v>
      </c>
      <c r="K445">
        <v>4.2300000000000004</v>
      </c>
      <c r="L445">
        <v>15</v>
      </c>
      <c r="M445">
        <v>5127.7299999999996</v>
      </c>
      <c r="N445">
        <v>4.5999999999999996</v>
      </c>
      <c r="O445" t="s">
        <v>5050</v>
      </c>
    </row>
    <row r="446" spans="1:15" x14ac:dyDescent="0.3">
      <c r="A446" t="s">
        <v>1806</v>
      </c>
      <c r="B446" t="s">
        <v>34</v>
      </c>
      <c r="C446" t="s">
        <v>5020</v>
      </c>
      <c r="D446" t="s">
        <v>14</v>
      </c>
      <c r="E446">
        <v>47</v>
      </c>
      <c r="F446" t="s">
        <v>5055</v>
      </c>
      <c r="G446" s="1">
        <v>45703</v>
      </c>
      <c r="H446">
        <v>2025</v>
      </c>
      <c r="I446" t="s">
        <v>5042</v>
      </c>
      <c r="J446">
        <v>15</v>
      </c>
      <c r="K446">
        <v>4.13</v>
      </c>
      <c r="L446">
        <v>4</v>
      </c>
      <c r="M446">
        <v>4013.25</v>
      </c>
      <c r="N446">
        <v>0.7</v>
      </c>
      <c r="O446" t="s">
        <v>5051</v>
      </c>
    </row>
    <row r="447" spans="1:15" x14ac:dyDescent="0.3">
      <c r="A447" t="s">
        <v>1822</v>
      </c>
      <c r="B447" t="s">
        <v>24</v>
      </c>
      <c r="C447" t="s">
        <v>5019</v>
      </c>
      <c r="D447" t="s">
        <v>11</v>
      </c>
      <c r="E447">
        <v>49</v>
      </c>
      <c r="F447" t="s">
        <v>5055</v>
      </c>
      <c r="G447" s="1">
        <v>44103</v>
      </c>
      <c r="H447">
        <v>2020</v>
      </c>
      <c r="I447" t="s">
        <v>5033</v>
      </c>
      <c r="J447">
        <v>29</v>
      </c>
      <c r="K447">
        <v>2.71</v>
      </c>
      <c r="L447">
        <v>15</v>
      </c>
      <c r="M447">
        <v>4236.7700000000004</v>
      </c>
      <c r="N447">
        <v>5.0999999999999996</v>
      </c>
      <c r="O447" t="s">
        <v>5049</v>
      </c>
    </row>
    <row r="448" spans="1:15" x14ac:dyDescent="0.3">
      <c r="A448" t="s">
        <v>1843</v>
      </c>
      <c r="B448" t="s">
        <v>24</v>
      </c>
      <c r="C448" t="s">
        <v>5019</v>
      </c>
      <c r="D448" t="s">
        <v>14</v>
      </c>
      <c r="E448">
        <v>24</v>
      </c>
      <c r="F448" t="s">
        <v>5057</v>
      </c>
      <c r="G448" s="1">
        <v>44500</v>
      </c>
      <c r="H448">
        <v>2021</v>
      </c>
      <c r="I448" t="s">
        <v>5039</v>
      </c>
      <c r="J448">
        <v>31</v>
      </c>
      <c r="K448">
        <v>1.53</v>
      </c>
      <c r="L448">
        <v>10</v>
      </c>
      <c r="M448">
        <v>3649.24</v>
      </c>
      <c r="N448">
        <v>4</v>
      </c>
      <c r="O448" t="s">
        <v>5050</v>
      </c>
    </row>
    <row r="449" spans="1:15" x14ac:dyDescent="0.3">
      <c r="A449" t="s">
        <v>1868</v>
      </c>
      <c r="B449" t="s">
        <v>13</v>
      </c>
      <c r="C449" t="s">
        <v>5017</v>
      </c>
      <c r="D449" t="s">
        <v>11</v>
      </c>
      <c r="E449">
        <v>41</v>
      </c>
      <c r="F449" t="s">
        <v>5055</v>
      </c>
      <c r="G449" s="1">
        <v>44166</v>
      </c>
      <c r="H449">
        <v>2020</v>
      </c>
      <c r="I449" t="s">
        <v>5041</v>
      </c>
      <c r="J449">
        <v>1</v>
      </c>
      <c r="K449">
        <v>3.74</v>
      </c>
      <c r="L449">
        <v>0</v>
      </c>
      <c r="M449">
        <v>6692.22</v>
      </c>
      <c r="N449">
        <v>4.9000000000000004</v>
      </c>
      <c r="O449" t="s">
        <v>5050</v>
      </c>
    </row>
    <row r="450" spans="1:15" x14ac:dyDescent="0.3">
      <c r="A450" t="s">
        <v>1886</v>
      </c>
      <c r="B450" t="s">
        <v>24</v>
      </c>
      <c r="C450" t="s">
        <v>5019</v>
      </c>
      <c r="D450" t="s">
        <v>11</v>
      </c>
      <c r="E450">
        <v>47</v>
      </c>
      <c r="F450" t="s">
        <v>5055</v>
      </c>
      <c r="G450" s="1">
        <v>45638</v>
      </c>
      <c r="H450">
        <v>2024</v>
      </c>
      <c r="I450" t="s">
        <v>5041</v>
      </c>
      <c r="J450">
        <v>12</v>
      </c>
      <c r="K450">
        <v>2.95</v>
      </c>
      <c r="L450">
        <v>1</v>
      </c>
      <c r="M450">
        <v>14327.04</v>
      </c>
      <c r="N450">
        <v>0.9</v>
      </c>
      <c r="O450" t="s">
        <v>5051</v>
      </c>
    </row>
    <row r="451" spans="1:15" x14ac:dyDescent="0.3">
      <c r="A451" t="s">
        <v>1890</v>
      </c>
      <c r="B451" t="s">
        <v>10</v>
      </c>
      <c r="C451" t="s">
        <v>5022</v>
      </c>
      <c r="D451" t="s">
        <v>11</v>
      </c>
      <c r="E451">
        <v>37</v>
      </c>
      <c r="F451" t="s">
        <v>5055</v>
      </c>
      <c r="G451" s="1">
        <v>44500</v>
      </c>
      <c r="H451">
        <v>2021</v>
      </c>
      <c r="I451" t="s">
        <v>5039</v>
      </c>
      <c r="J451">
        <v>31</v>
      </c>
      <c r="K451">
        <v>4.8499999999999996</v>
      </c>
      <c r="L451">
        <v>11</v>
      </c>
      <c r="M451">
        <v>6376.64</v>
      </c>
      <c r="N451">
        <v>4</v>
      </c>
      <c r="O451" t="s">
        <v>5050</v>
      </c>
    </row>
    <row r="452" spans="1:15" x14ac:dyDescent="0.3">
      <c r="A452" t="s">
        <v>1891</v>
      </c>
      <c r="B452" t="s">
        <v>34</v>
      </c>
      <c r="C452" t="s">
        <v>5020</v>
      </c>
      <c r="D452" t="s">
        <v>14</v>
      </c>
      <c r="E452">
        <v>25</v>
      </c>
      <c r="F452" t="s">
        <v>5057</v>
      </c>
      <c r="G452" s="1">
        <v>45454</v>
      </c>
      <c r="H452">
        <v>2024</v>
      </c>
      <c r="I452" t="s">
        <v>5032</v>
      </c>
      <c r="J452">
        <v>11</v>
      </c>
      <c r="K452">
        <v>4.4800000000000004</v>
      </c>
      <c r="L452">
        <v>10</v>
      </c>
      <c r="M452">
        <v>10307.5</v>
      </c>
      <c r="N452">
        <v>1.4</v>
      </c>
      <c r="O452" t="s">
        <v>5050</v>
      </c>
    </row>
    <row r="453" spans="1:15" x14ac:dyDescent="0.3">
      <c r="A453" t="s">
        <v>1899</v>
      </c>
      <c r="B453" t="s">
        <v>10</v>
      </c>
      <c r="C453" t="s">
        <v>5022</v>
      </c>
      <c r="D453" t="s">
        <v>14</v>
      </c>
      <c r="E453">
        <v>39</v>
      </c>
      <c r="F453" t="s">
        <v>5055</v>
      </c>
      <c r="G453" s="1">
        <v>45890</v>
      </c>
      <c r="H453">
        <v>2025</v>
      </c>
      <c r="I453" t="s">
        <v>5031</v>
      </c>
      <c r="J453">
        <v>21</v>
      </c>
      <c r="K453">
        <v>2.8</v>
      </c>
      <c r="L453">
        <v>7</v>
      </c>
      <c r="M453">
        <v>9636.77</v>
      </c>
      <c r="N453">
        <v>0.2</v>
      </c>
      <c r="O453" t="s">
        <v>5051</v>
      </c>
    </row>
    <row r="454" spans="1:15" x14ac:dyDescent="0.3">
      <c r="A454" t="s">
        <v>1964</v>
      </c>
      <c r="B454" t="s">
        <v>24</v>
      </c>
      <c r="C454" t="s">
        <v>5019</v>
      </c>
      <c r="D454" t="s">
        <v>11</v>
      </c>
      <c r="E454">
        <v>39</v>
      </c>
      <c r="F454" t="s">
        <v>5055</v>
      </c>
      <c r="G454" s="1">
        <v>45917</v>
      </c>
      <c r="H454">
        <v>2025</v>
      </c>
      <c r="I454" t="s">
        <v>5033</v>
      </c>
      <c r="J454">
        <v>17</v>
      </c>
      <c r="K454">
        <v>2.91</v>
      </c>
      <c r="L454">
        <v>5</v>
      </c>
      <c r="M454">
        <v>14869.83</v>
      </c>
      <c r="N454">
        <v>0.1</v>
      </c>
      <c r="O454" t="s">
        <v>5051</v>
      </c>
    </row>
    <row r="455" spans="1:15" x14ac:dyDescent="0.3">
      <c r="A455" t="s">
        <v>1972</v>
      </c>
      <c r="B455" t="s">
        <v>18</v>
      </c>
      <c r="C455" t="s">
        <v>5021</v>
      </c>
      <c r="D455" t="s">
        <v>14</v>
      </c>
      <c r="E455">
        <v>31</v>
      </c>
      <c r="F455" t="s">
        <v>5057</v>
      </c>
      <c r="G455" s="1">
        <v>43943</v>
      </c>
      <c r="H455">
        <v>2020</v>
      </c>
      <c r="I455" t="s">
        <v>5040</v>
      </c>
      <c r="J455">
        <v>22</v>
      </c>
      <c r="K455">
        <v>3.69</v>
      </c>
      <c r="L455">
        <v>15</v>
      </c>
      <c r="M455">
        <v>10181.040000000001</v>
      </c>
      <c r="N455">
        <v>5.5</v>
      </c>
      <c r="O455" t="s">
        <v>5049</v>
      </c>
    </row>
    <row r="456" spans="1:15" x14ac:dyDescent="0.3">
      <c r="A456" t="s">
        <v>1981</v>
      </c>
      <c r="B456" t="s">
        <v>16</v>
      </c>
      <c r="C456" t="s">
        <v>5018</v>
      </c>
      <c r="D456" t="s">
        <v>11</v>
      </c>
      <c r="E456">
        <v>47</v>
      </c>
      <c r="F456" t="s">
        <v>5055</v>
      </c>
      <c r="G456" s="1">
        <v>44029</v>
      </c>
      <c r="H456">
        <v>2020</v>
      </c>
      <c r="I456" t="s">
        <v>5034</v>
      </c>
      <c r="J456">
        <v>17</v>
      </c>
      <c r="K456">
        <v>4.63</v>
      </c>
      <c r="L456">
        <v>14</v>
      </c>
      <c r="M456">
        <v>4556.0200000000004</v>
      </c>
      <c r="N456">
        <v>5.3</v>
      </c>
      <c r="O456" t="s">
        <v>5049</v>
      </c>
    </row>
    <row r="457" spans="1:15" x14ac:dyDescent="0.3">
      <c r="A457" t="s">
        <v>1987</v>
      </c>
      <c r="B457" t="s">
        <v>16</v>
      </c>
      <c r="C457" t="s">
        <v>5018</v>
      </c>
      <c r="D457" t="s">
        <v>11</v>
      </c>
      <c r="E457">
        <v>48</v>
      </c>
      <c r="F457" t="s">
        <v>5055</v>
      </c>
      <c r="G457" s="1">
        <v>45446</v>
      </c>
      <c r="H457">
        <v>2024</v>
      </c>
      <c r="I457" t="s">
        <v>5032</v>
      </c>
      <c r="J457">
        <v>3</v>
      </c>
      <c r="K457">
        <v>4.16</v>
      </c>
      <c r="L457">
        <v>11</v>
      </c>
      <c r="M457">
        <v>6269.71</v>
      </c>
      <c r="N457">
        <v>1.4</v>
      </c>
      <c r="O457" t="s">
        <v>5050</v>
      </c>
    </row>
    <row r="458" spans="1:15" x14ac:dyDescent="0.3">
      <c r="A458" t="s">
        <v>2006</v>
      </c>
      <c r="B458" t="s">
        <v>10</v>
      </c>
      <c r="C458" t="s">
        <v>5022</v>
      </c>
      <c r="D458" t="s">
        <v>11</v>
      </c>
      <c r="E458">
        <v>28</v>
      </c>
      <c r="F458" t="s">
        <v>5057</v>
      </c>
      <c r="G458" s="1">
        <v>44948</v>
      </c>
      <c r="H458">
        <v>2023</v>
      </c>
      <c r="I458" t="s">
        <v>5037</v>
      </c>
      <c r="J458">
        <v>22</v>
      </c>
      <c r="K458">
        <v>4.88</v>
      </c>
      <c r="L458">
        <v>1</v>
      </c>
      <c r="M458">
        <v>7880.45</v>
      </c>
      <c r="N458">
        <v>2.8</v>
      </c>
      <c r="O458" t="s">
        <v>5050</v>
      </c>
    </row>
    <row r="459" spans="1:15" x14ac:dyDescent="0.3">
      <c r="A459" t="s">
        <v>2024</v>
      </c>
      <c r="B459" t="s">
        <v>10</v>
      </c>
      <c r="C459" t="s">
        <v>5022</v>
      </c>
      <c r="D459" t="s">
        <v>14</v>
      </c>
      <c r="E459">
        <v>50</v>
      </c>
      <c r="F459" t="s">
        <v>5055</v>
      </c>
      <c r="G459" s="1">
        <v>45913</v>
      </c>
      <c r="H459">
        <v>2025</v>
      </c>
      <c r="I459" t="s">
        <v>5033</v>
      </c>
      <c r="J459">
        <v>13</v>
      </c>
      <c r="K459">
        <v>3.2</v>
      </c>
      <c r="L459">
        <v>11</v>
      </c>
      <c r="M459">
        <v>5890.93</v>
      </c>
      <c r="N459">
        <v>0.1</v>
      </c>
      <c r="O459" t="s">
        <v>5051</v>
      </c>
    </row>
    <row r="460" spans="1:15" x14ac:dyDescent="0.3">
      <c r="A460" t="s">
        <v>2028</v>
      </c>
      <c r="B460" t="s">
        <v>16</v>
      </c>
      <c r="C460" t="s">
        <v>5018</v>
      </c>
      <c r="D460" t="s">
        <v>11</v>
      </c>
      <c r="E460">
        <v>58</v>
      </c>
      <c r="F460" t="s">
        <v>5056</v>
      </c>
      <c r="G460" s="1">
        <v>45144</v>
      </c>
      <c r="H460">
        <v>2023</v>
      </c>
      <c r="I460" t="s">
        <v>5031</v>
      </c>
      <c r="J460">
        <v>6</v>
      </c>
      <c r="K460">
        <v>4.6100000000000003</v>
      </c>
      <c r="L460">
        <v>7</v>
      </c>
      <c r="M460">
        <v>9795.31</v>
      </c>
      <c r="N460">
        <v>2.2000000000000002</v>
      </c>
      <c r="O460" t="s">
        <v>5050</v>
      </c>
    </row>
    <row r="461" spans="1:15" x14ac:dyDescent="0.3">
      <c r="A461" t="s">
        <v>2031</v>
      </c>
      <c r="B461" t="s">
        <v>10</v>
      </c>
      <c r="C461" t="s">
        <v>5022</v>
      </c>
      <c r="D461" t="s">
        <v>11</v>
      </c>
      <c r="E461">
        <v>32</v>
      </c>
      <c r="F461" t="s">
        <v>5055</v>
      </c>
      <c r="G461" s="1">
        <v>44573</v>
      </c>
      <c r="H461">
        <v>2022</v>
      </c>
      <c r="I461" t="s">
        <v>5037</v>
      </c>
      <c r="J461">
        <v>12</v>
      </c>
      <c r="K461">
        <v>3.02</v>
      </c>
      <c r="L461">
        <v>2</v>
      </c>
      <c r="M461">
        <v>11271.14</v>
      </c>
      <c r="N461">
        <v>3.8</v>
      </c>
      <c r="O461" t="s">
        <v>5050</v>
      </c>
    </row>
    <row r="462" spans="1:15" x14ac:dyDescent="0.3">
      <c r="A462" t="s">
        <v>2070</v>
      </c>
      <c r="B462" t="s">
        <v>18</v>
      </c>
      <c r="C462" t="s">
        <v>5021</v>
      </c>
      <c r="D462" t="s">
        <v>11</v>
      </c>
      <c r="E462">
        <v>22</v>
      </c>
      <c r="F462" t="s">
        <v>5057</v>
      </c>
      <c r="G462" s="1">
        <v>44023</v>
      </c>
      <c r="H462">
        <v>2020</v>
      </c>
      <c r="I462" t="s">
        <v>5034</v>
      </c>
      <c r="J462">
        <v>11</v>
      </c>
      <c r="K462">
        <v>3.94</v>
      </c>
      <c r="L462">
        <v>10</v>
      </c>
      <c r="M462">
        <v>7704.8</v>
      </c>
      <c r="N462">
        <v>5.3</v>
      </c>
      <c r="O462" t="s">
        <v>5049</v>
      </c>
    </row>
    <row r="463" spans="1:15" x14ac:dyDescent="0.3">
      <c r="A463" t="s">
        <v>2117</v>
      </c>
      <c r="B463" t="s">
        <v>13</v>
      </c>
      <c r="C463" t="s">
        <v>5017</v>
      </c>
      <c r="D463" t="s">
        <v>14</v>
      </c>
      <c r="E463">
        <v>42</v>
      </c>
      <c r="F463" t="s">
        <v>5055</v>
      </c>
      <c r="G463" s="1">
        <v>44660</v>
      </c>
      <c r="H463">
        <v>2022</v>
      </c>
      <c r="I463" t="s">
        <v>5040</v>
      </c>
      <c r="J463">
        <v>9</v>
      </c>
      <c r="K463">
        <v>3.34</v>
      </c>
      <c r="L463">
        <v>8</v>
      </c>
      <c r="M463">
        <v>11324.62</v>
      </c>
      <c r="N463">
        <v>3.6</v>
      </c>
      <c r="O463" t="s">
        <v>5050</v>
      </c>
    </row>
    <row r="464" spans="1:15" x14ac:dyDescent="0.3">
      <c r="A464" t="s">
        <v>2157</v>
      </c>
      <c r="B464" t="s">
        <v>16</v>
      </c>
      <c r="C464" t="s">
        <v>5018</v>
      </c>
      <c r="D464" t="s">
        <v>11</v>
      </c>
      <c r="E464">
        <v>58</v>
      </c>
      <c r="F464" t="s">
        <v>5056</v>
      </c>
      <c r="G464" s="1">
        <v>45517</v>
      </c>
      <c r="H464">
        <v>2024</v>
      </c>
      <c r="I464" t="s">
        <v>5031</v>
      </c>
      <c r="J464">
        <v>13</v>
      </c>
      <c r="K464">
        <v>1.97</v>
      </c>
      <c r="L464">
        <v>15</v>
      </c>
      <c r="M464">
        <v>3329.47</v>
      </c>
      <c r="N464">
        <v>1.2</v>
      </c>
      <c r="O464" t="s">
        <v>5050</v>
      </c>
    </row>
    <row r="465" spans="1:15" x14ac:dyDescent="0.3">
      <c r="A465" t="s">
        <v>2159</v>
      </c>
      <c r="B465" t="s">
        <v>16</v>
      </c>
      <c r="C465" t="s">
        <v>5018</v>
      </c>
      <c r="D465" t="s">
        <v>11</v>
      </c>
      <c r="E465">
        <v>34</v>
      </c>
      <c r="F465" t="s">
        <v>5055</v>
      </c>
      <c r="G465" s="1">
        <v>44933</v>
      </c>
      <c r="H465">
        <v>2023</v>
      </c>
      <c r="I465" t="s">
        <v>5037</v>
      </c>
      <c r="J465">
        <v>7</v>
      </c>
      <c r="K465">
        <v>2</v>
      </c>
      <c r="L465">
        <v>2</v>
      </c>
      <c r="M465">
        <v>8209.15</v>
      </c>
      <c r="N465">
        <v>2.8</v>
      </c>
      <c r="O465" t="s">
        <v>5050</v>
      </c>
    </row>
    <row r="466" spans="1:15" x14ac:dyDescent="0.3">
      <c r="A466" t="s">
        <v>2171</v>
      </c>
      <c r="B466" t="s">
        <v>16</v>
      </c>
      <c r="C466" t="s">
        <v>5018</v>
      </c>
      <c r="D466" t="s">
        <v>14</v>
      </c>
      <c r="E466">
        <v>33</v>
      </c>
      <c r="F466" t="s">
        <v>5055</v>
      </c>
      <c r="G466" s="1">
        <v>45524</v>
      </c>
      <c r="H466">
        <v>2024</v>
      </c>
      <c r="I466" t="s">
        <v>5031</v>
      </c>
      <c r="J466">
        <v>20</v>
      </c>
      <c r="K466">
        <v>2.56</v>
      </c>
      <c r="L466">
        <v>12</v>
      </c>
      <c r="M466">
        <v>5530.71</v>
      </c>
      <c r="N466">
        <v>1.2</v>
      </c>
      <c r="O466" t="s">
        <v>5050</v>
      </c>
    </row>
    <row r="467" spans="1:15" x14ac:dyDescent="0.3">
      <c r="A467" t="s">
        <v>2202</v>
      </c>
      <c r="B467" t="s">
        <v>34</v>
      </c>
      <c r="C467" t="s">
        <v>5020</v>
      </c>
      <c r="D467" t="s">
        <v>11</v>
      </c>
      <c r="E467">
        <v>24</v>
      </c>
      <c r="F467" t="s">
        <v>5057</v>
      </c>
      <c r="G467" s="1">
        <v>44572</v>
      </c>
      <c r="H467">
        <v>2022</v>
      </c>
      <c r="I467" t="s">
        <v>5037</v>
      </c>
      <c r="J467">
        <v>11</v>
      </c>
      <c r="K467">
        <v>2.82</v>
      </c>
      <c r="L467">
        <v>6</v>
      </c>
      <c r="M467">
        <v>11226.19</v>
      </c>
      <c r="N467">
        <v>3.8</v>
      </c>
      <c r="O467" t="s">
        <v>5050</v>
      </c>
    </row>
    <row r="468" spans="1:15" x14ac:dyDescent="0.3">
      <c r="A468" t="s">
        <v>2224</v>
      </c>
      <c r="B468" t="s">
        <v>24</v>
      </c>
      <c r="C468" t="s">
        <v>5019</v>
      </c>
      <c r="D468" t="s">
        <v>14</v>
      </c>
      <c r="E468">
        <v>37</v>
      </c>
      <c r="F468" t="s">
        <v>5055</v>
      </c>
      <c r="G468" s="1">
        <v>43872</v>
      </c>
      <c r="H468">
        <v>2020</v>
      </c>
      <c r="I468" t="s">
        <v>5042</v>
      </c>
      <c r="J468">
        <v>11</v>
      </c>
      <c r="K468">
        <v>5</v>
      </c>
      <c r="L468">
        <v>5</v>
      </c>
      <c r="M468">
        <v>11330.32</v>
      </c>
      <c r="N468">
        <v>5.7</v>
      </c>
      <c r="O468" t="s">
        <v>5049</v>
      </c>
    </row>
    <row r="469" spans="1:15" x14ac:dyDescent="0.3">
      <c r="A469" t="s">
        <v>2233</v>
      </c>
      <c r="B469" t="s">
        <v>16</v>
      </c>
      <c r="C469" t="s">
        <v>5018</v>
      </c>
      <c r="D469" t="s">
        <v>14</v>
      </c>
      <c r="E469">
        <v>26</v>
      </c>
      <c r="F469" t="s">
        <v>5057</v>
      </c>
      <c r="G469" s="1">
        <v>43938</v>
      </c>
      <c r="H469">
        <v>2020</v>
      </c>
      <c r="I469" t="s">
        <v>5040</v>
      </c>
      <c r="J469">
        <v>17</v>
      </c>
      <c r="K469">
        <v>1.84</v>
      </c>
      <c r="L469">
        <v>3</v>
      </c>
      <c r="M469">
        <v>5550.49</v>
      </c>
      <c r="N469">
        <v>5.5</v>
      </c>
      <c r="O469" t="s">
        <v>5049</v>
      </c>
    </row>
    <row r="470" spans="1:15" x14ac:dyDescent="0.3">
      <c r="A470" t="s">
        <v>2248</v>
      </c>
      <c r="B470" t="s">
        <v>24</v>
      </c>
      <c r="C470" t="s">
        <v>5019</v>
      </c>
      <c r="D470" t="s">
        <v>11</v>
      </c>
      <c r="E470">
        <v>34</v>
      </c>
      <c r="F470" t="s">
        <v>5055</v>
      </c>
      <c r="G470" s="1">
        <v>44572</v>
      </c>
      <c r="H470">
        <v>2022</v>
      </c>
      <c r="I470" t="s">
        <v>5037</v>
      </c>
      <c r="J470">
        <v>11</v>
      </c>
      <c r="K470">
        <v>3.35</v>
      </c>
      <c r="L470">
        <v>11</v>
      </c>
      <c r="M470">
        <v>13924.24</v>
      </c>
      <c r="N470">
        <v>3.8</v>
      </c>
      <c r="O470" t="s">
        <v>5050</v>
      </c>
    </row>
    <row r="471" spans="1:15" x14ac:dyDescent="0.3">
      <c r="A471" t="s">
        <v>2258</v>
      </c>
      <c r="B471" t="s">
        <v>16</v>
      </c>
      <c r="C471" t="s">
        <v>5018</v>
      </c>
      <c r="D471" t="s">
        <v>14</v>
      </c>
      <c r="E471">
        <v>43</v>
      </c>
      <c r="F471" t="s">
        <v>5055</v>
      </c>
      <c r="G471" s="1">
        <v>44563</v>
      </c>
      <c r="H471">
        <v>2022</v>
      </c>
      <c r="I471" t="s">
        <v>5037</v>
      </c>
      <c r="J471">
        <v>2</v>
      </c>
      <c r="K471">
        <v>2.15</v>
      </c>
      <c r="L471">
        <v>14</v>
      </c>
      <c r="M471">
        <v>10467.030000000001</v>
      </c>
      <c r="N471">
        <v>3.8</v>
      </c>
      <c r="O471" t="s">
        <v>5050</v>
      </c>
    </row>
    <row r="472" spans="1:15" x14ac:dyDescent="0.3">
      <c r="A472" t="s">
        <v>2275</v>
      </c>
      <c r="B472" t="s">
        <v>34</v>
      </c>
      <c r="C472" t="s">
        <v>5020</v>
      </c>
      <c r="D472" t="s">
        <v>11</v>
      </c>
      <c r="E472">
        <v>31</v>
      </c>
      <c r="F472" t="s">
        <v>5057</v>
      </c>
      <c r="G472" s="1">
        <v>44286</v>
      </c>
      <c r="H472">
        <v>2021</v>
      </c>
      <c r="I472" t="s">
        <v>5035</v>
      </c>
      <c r="J472">
        <v>31</v>
      </c>
      <c r="K472">
        <v>1.57</v>
      </c>
      <c r="L472">
        <v>1</v>
      </c>
      <c r="M472">
        <v>8846.41</v>
      </c>
      <c r="N472">
        <v>4.5999999999999996</v>
      </c>
      <c r="O472" t="s">
        <v>5050</v>
      </c>
    </row>
    <row r="473" spans="1:15" x14ac:dyDescent="0.3">
      <c r="A473" t="s">
        <v>2279</v>
      </c>
      <c r="B473" t="s">
        <v>34</v>
      </c>
      <c r="C473" t="s">
        <v>5020</v>
      </c>
      <c r="D473" t="s">
        <v>11</v>
      </c>
      <c r="E473">
        <v>32</v>
      </c>
      <c r="F473" t="s">
        <v>5055</v>
      </c>
      <c r="G473" s="1">
        <v>45100</v>
      </c>
      <c r="H473">
        <v>2023</v>
      </c>
      <c r="I473" t="s">
        <v>5032</v>
      </c>
      <c r="J473">
        <v>23</v>
      </c>
      <c r="K473">
        <v>2.91</v>
      </c>
      <c r="L473">
        <v>11</v>
      </c>
      <c r="M473">
        <v>9189.0400000000009</v>
      </c>
      <c r="N473">
        <v>2.4</v>
      </c>
      <c r="O473" t="s">
        <v>5050</v>
      </c>
    </row>
    <row r="474" spans="1:15" x14ac:dyDescent="0.3">
      <c r="A474" t="s">
        <v>2311</v>
      </c>
      <c r="B474" t="s">
        <v>13</v>
      </c>
      <c r="C474" t="s">
        <v>5017</v>
      </c>
      <c r="D474" t="s">
        <v>11</v>
      </c>
      <c r="E474">
        <v>36</v>
      </c>
      <c r="F474" t="s">
        <v>5055</v>
      </c>
      <c r="G474" s="1">
        <v>45812</v>
      </c>
      <c r="H474">
        <v>2025</v>
      </c>
      <c r="I474" t="s">
        <v>5032</v>
      </c>
      <c r="J474">
        <v>4</v>
      </c>
      <c r="K474">
        <v>4.79</v>
      </c>
      <c r="L474">
        <v>5</v>
      </c>
      <c r="M474">
        <v>13034.09</v>
      </c>
      <c r="N474">
        <v>0.4</v>
      </c>
      <c r="O474" t="s">
        <v>5051</v>
      </c>
    </row>
    <row r="475" spans="1:15" x14ac:dyDescent="0.3">
      <c r="A475" t="s">
        <v>2314</v>
      </c>
      <c r="B475" t="s">
        <v>10</v>
      </c>
      <c r="C475" t="s">
        <v>5022</v>
      </c>
      <c r="D475" t="s">
        <v>11</v>
      </c>
      <c r="E475">
        <v>44</v>
      </c>
      <c r="F475" t="s">
        <v>5055</v>
      </c>
      <c r="G475" s="1">
        <v>45549</v>
      </c>
      <c r="H475">
        <v>2024</v>
      </c>
      <c r="I475" t="s">
        <v>5033</v>
      </c>
      <c r="J475">
        <v>14</v>
      </c>
      <c r="K475">
        <v>2.76</v>
      </c>
      <c r="L475">
        <v>7</v>
      </c>
      <c r="M475">
        <v>9848.68</v>
      </c>
      <c r="N475">
        <v>1.1000000000000001</v>
      </c>
      <c r="O475" t="s">
        <v>5050</v>
      </c>
    </row>
    <row r="476" spans="1:15" x14ac:dyDescent="0.3">
      <c r="A476" t="s">
        <v>2356</v>
      </c>
      <c r="B476" t="s">
        <v>34</v>
      </c>
      <c r="C476" t="s">
        <v>5020</v>
      </c>
      <c r="D476" t="s">
        <v>14</v>
      </c>
      <c r="E476">
        <v>53</v>
      </c>
      <c r="F476" t="s">
        <v>5056</v>
      </c>
      <c r="G476" s="1">
        <v>45830</v>
      </c>
      <c r="H476">
        <v>2025</v>
      </c>
      <c r="I476" t="s">
        <v>5032</v>
      </c>
      <c r="J476">
        <v>22</v>
      </c>
      <c r="K476">
        <v>1.8</v>
      </c>
      <c r="L476">
        <v>6</v>
      </c>
      <c r="M476">
        <v>4431.1899999999996</v>
      </c>
      <c r="N476">
        <v>0.4</v>
      </c>
      <c r="O476" t="s">
        <v>5051</v>
      </c>
    </row>
    <row r="477" spans="1:15" x14ac:dyDescent="0.3">
      <c r="A477" t="s">
        <v>2359</v>
      </c>
      <c r="B477" t="s">
        <v>34</v>
      </c>
      <c r="C477" t="s">
        <v>5020</v>
      </c>
      <c r="D477" t="s">
        <v>14</v>
      </c>
      <c r="E477">
        <v>40</v>
      </c>
      <c r="F477" t="s">
        <v>5055</v>
      </c>
      <c r="G477" s="1">
        <v>45216</v>
      </c>
      <c r="H477">
        <v>2023</v>
      </c>
      <c r="I477" t="s">
        <v>5039</v>
      </c>
      <c r="J477">
        <v>17</v>
      </c>
      <c r="K477">
        <v>4.8600000000000003</v>
      </c>
      <c r="L477">
        <v>4</v>
      </c>
      <c r="M477">
        <v>7059.4</v>
      </c>
      <c r="N477">
        <v>2</v>
      </c>
      <c r="O477" t="s">
        <v>5050</v>
      </c>
    </row>
    <row r="478" spans="1:15" x14ac:dyDescent="0.3">
      <c r="A478" t="s">
        <v>2383</v>
      </c>
      <c r="B478" t="s">
        <v>16</v>
      </c>
      <c r="C478" t="s">
        <v>5018</v>
      </c>
      <c r="D478" t="s">
        <v>11</v>
      </c>
      <c r="E478">
        <v>30</v>
      </c>
      <c r="F478" t="s">
        <v>5057</v>
      </c>
      <c r="G478" s="1">
        <v>45927</v>
      </c>
      <c r="H478">
        <v>2025</v>
      </c>
      <c r="I478" t="s">
        <v>5033</v>
      </c>
      <c r="J478">
        <v>27</v>
      </c>
      <c r="K478">
        <v>3.25</v>
      </c>
      <c r="L478">
        <v>3</v>
      </c>
      <c r="M478">
        <v>11229.45</v>
      </c>
      <c r="N478">
        <v>0.1</v>
      </c>
      <c r="O478" t="s">
        <v>5051</v>
      </c>
    </row>
    <row r="479" spans="1:15" x14ac:dyDescent="0.3">
      <c r="A479" t="s">
        <v>2415</v>
      </c>
      <c r="B479" t="s">
        <v>18</v>
      </c>
      <c r="C479" t="s">
        <v>5021</v>
      </c>
      <c r="D479" t="s">
        <v>11</v>
      </c>
      <c r="E479">
        <v>31</v>
      </c>
      <c r="F479" t="s">
        <v>5057</v>
      </c>
      <c r="G479" s="1">
        <v>44659</v>
      </c>
      <c r="H479">
        <v>2022</v>
      </c>
      <c r="I479" t="s">
        <v>5040</v>
      </c>
      <c r="J479">
        <v>8</v>
      </c>
      <c r="K479">
        <v>1.94</v>
      </c>
      <c r="L479">
        <v>2</v>
      </c>
      <c r="M479">
        <v>3314.6</v>
      </c>
      <c r="N479">
        <v>3.6</v>
      </c>
      <c r="O479" t="s">
        <v>5050</v>
      </c>
    </row>
    <row r="480" spans="1:15" x14ac:dyDescent="0.3">
      <c r="A480" t="s">
        <v>2417</v>
      </c>
      <c r="B480" t="s">
        <v>16</v>
      </c>
      <c r="C480" t="s">
        <v>5018</v>
      </c>
      <c r="D480" t="s">
        <v>11</v>
      </c>
      <c r="E480">
        <v>47</v>
      </c>
      <c r="F480" t="s">
        <v>5055</v>
      </c>
      <c r="G480" s="1">
        <v>45400</v>
      </c>
      <c r="H480">
        <v>2024</v>
      </c>
      <c r="I480" t="s">
        <v>5040</v>
      </c>
      <c r="J480">
        <v>18</v>
      </c>
      <c r="K480">
        <v>1.72</v>
      </c>
      <c r="L480">
        <v>5</v>
      </c>
      <c r="M480">
        <v>10888.05</v>
      </c>
      <c r="N480">
        <v>1.5</v>
      </c>
      <c r="O480" t="s">
        <v>5050</v>
      </c>
    </row>
    <row r="481" spans="1:15" x14ac:dyDescent="0.3">
      <c r="A481" t="s">
        <v>2424</v>
      </c>
      <c r="B481" t="s">
        <v>13</v>
      </c>
      <c r="C481" t="s">
        <v>5017</v>
      </c>
      <c r="D481" t="s">
        <v>11</v>
      </c>
      <c r="E481">
        <v>44</v>
      </c>
      <c r="F481" t="s">
        <v>5055</v>
      </c>
      <c r="G481" s="1">
        <v>45328</v>
      </c>
      <c r="H481">
        <v>2024</v>
      </c>
      <c r="I481" t="s">
        <v>5042</v>
      </c>
      <c r="J481">
        <v>6</v>
      </c>
      <c r="K481">
        <v>2.23</v>
      </c>
      <c r="L481">
        <v>6</v>
      </c>
      <c r="M481">
        <v>5388.61</v>
      </c>
      <c r="N481">
        <v>1.7</v>
      </c>
      <c r="O481" t="s">
        <v>5050</v>
      </c>
    </row>
    <row r="482" spans="1:15" x14ac:dyDescent="0.3">
      <c r="A482" t="s">
        <v>2449</v>
      </c>
      <c r="B482" t="s">
        <v>34</v>
      </c>
      <c r="C482" t="s">
        <v>5020</v>
      </c>
      <c r="D482" t="s">
        <v>11</v>
      </c>
      <c r="E482">
        <v>31</v>
      </c>
      <c r="F482" t="s">
        <v>5057</v>
      </c>
      <c r="G482" s="1">
        <v>45912</v>
      </c>
      <c r="H482">
        <v>2025</v>
      </c>
      <c r="I482" t="s">
        <v>5033</v>
      </c>
      <c r="J482">
        <v>12</v>
      </c>
      <c r="K482">
        <v>2.06</v>
      </c>
      <c r="L482">
        <v>3</v>
      </c>
      <c r="M482">
        <v>9720.24</v>
      </c>
      <c r="N482">
        <v>0.1</v>
      </c>
      <c r="O482" t="s">
        <v>5051</v>
      </c>
    </row>
    <row r="483" spans="1:15" x14ac:dyDescent="0.3">
      <c r="A483" t="s">
        <v>2455</v>
      </c>
      <c r="B483" t="s">
        <v>10</v>
      </c>
      <c r="C483" t="s">
        <v>5022</v>
      </c>
      <c r="D483" t="s">
        <v>11</v>
      </c>
      <c r="E483">
        <v>55</v>
      </c>
      <c r="F483" t="s">
        <v>5056</v>
      </c>
      <c r="G483" s="1">
        <v>43849</v>
      </c>
      <c r="H483">
        <v>2020</v>
      </c>
      <c r="I483" t="s">
        <v>5037</v>
      </c>
      <c r="J483">
        <v>19</v>
      </c>
      <c r="K483">
        <v>3.54</v>
      </c>
      <c r="L483">
        <v>13</v>
      </c>
      <c r="M483">
        <v>10990.58</v>
      </c>
      <c r="N483">
        <v>5.8</v>
      </c>
      <c r="O483" t="s">
        <v>5049</v>
      </c>
    </row>
    <row r="484" spans="1:15" x14ac:dyDescent="0.3">
      <c r="A484" t="s">
        <v>2481</v>
      </c>
      <c r="B484" t="s">
        <v>16</v>
      </c>
      <c r="C484" t="s">
        <v>5018</v>
      </c>
      <c r="D484" t="s">
        <v>14</v>
      </c>
      <c r="E484">
        <v>45</v>
      </c>
      <c r="F484" t="s">
        <v>5055</v>
      </c>
      <c r="G484" s="1">
        <v>44540</v>
      </c>
      <c r="H484">
        <v>2021</v>
      </c>
      <c r="I484" t="s">
        <v>5041</v>
      </c>
      <c r="J484">
        <v>10</v>
      </c>
      <c r="K484">
        <v>4.6100000000000003</v>
      </c>
      <c r="L484">
        <v>8</v>
      </c>
      <c r="M484">
        <v>5681.76</v>
      </c>
      <c r="N484">
        <v>3.9</v>
      </c>
      <c r="O484" t="s">
        <v>5050</v>
      </c>
    </row>
    <row r="485" spans="1:15" x14ac:dyDescent="0.3">
      <c r="A485" t="s">
        <v>2485</v>
      </c>
      <c r="B485" t="s">
        <v>10</v>
      </c>
      <c r="C485" t="s">
        <v>5022</v>
      </c>
      <c r="D485" t="s">
        <v>14</v>
      </c>
      <c r="E485">
        <v>50</v>
      </c>
      <c r="F485" t="s">
        <v>5055</v>
      </c>
      <c r="G485" s="1">
        <v>44558</v>
      </c>
      <c r="H485">
        <v>2021</v>
      </c>
      <c r="I485" t="s">
        <v>5041</v>
      </c>
      <c r="J485">
        <v>28</v>
      </c>
      <c r="K485">
        <v>2.2400000000000002</v>
      </c>
      <c r="L485">
        <v>13</v>
      </c>
      <c r="M485">
        <v>9383.58</v>
      </c>
      <c r="N485">
        <v>3.8</v>
      </c>
      <c r="O485" t="s">
        <v>5050</v>
      </c>
    </row>
    <row r="486" spans="1:15" x14ac:dyDescent="0.3">
      <c r="A486" t="s">
        <v>2498</v>
      </c>
      <c r="B486" t="s">
        <v>18</v>
      </c>
      <c r="C486" t="s">
        <v>5021</v>
      </c>
      <c r="D486" t="s">
        <v>14</v>
      </c>
      <c r="E486">
        <v>46</v>
      </c>
      <c r="F486" t="s">
        <v>5055</v>
      </c>
      <c r="G486" s="1">
        <v>45100</v>
      </c>
      <c r="H486">
        <v>2023</v>
      </c>
      <c r="I486" t="s">
        <v>5032</v>
      </c>
      <c r="J486">
        <v>23</v>
      </c>
      <c r="K486">
        <v>3.67</v>
      </c>
      <c r="L486">
        <v>7</v>
      </c>
      <c r="M486">
        <v>14180.64</v>
      </c>
      <c r="N486">
        <v>2.4</v>
      </c>
      <c r="O486" t="s">
        <v>5050</v>
      </c>
    </row>
    <row r="487" spans="1:15" x14ac:dyDescent="0.3">
      <c r="A487" t="s">
        <v>2522</v>
      </c>
      <c r="B487" t="s">
        <v>16</v>
      </c>
      <c r="C487" t="s">
        <v>5018</v>
      </c>
      <c r="D487" t="s">
        <v>14</v>
      </c>
      <c r="E487">
        <v>60</v>
      </c>
      <c r="F487" t="s">
        <v>5056</v>
      </c>
      <c r="G487" s="1">
        <v>45119</v>
      </c>
      <c r="H487">
        <v>2023</v>
      </c>
      <c r="I487" t="s">
        <v>5034</v>
      </c>
      <c r="J487">
        <v>12</v>
      </c>
      <c r="K487">
        <v>4.2699999999999996</v>
      </c>
      <c r="L487">
        <v>5</v>
      </c>
      <c r="M487">
        <v>11041.85</v>
      </c>
      <c r="N487">
        <v>2.2999999999999998</v>
      </c>
      <c r="O487" t="s">
        <v>5050</v>
      </c>
    </row>
    <row r="488" spans="1:15" x14ac:dyDescent="0.3">
      <c r="A488" t="s">
        <v>2525</v>
      </c>
      <c r="B488" t="s">
        <v>10</v>
      </c>
      <c r="C488" t="s">
        <v>5022</v>
      </c>
      <c r="D488" t="s">
        <v>11</v>
      </c>
      <c r="E488">
        <v>31</v>
      </c>
      <c r="F488" t="s">
        <v>5057</v>
      </c>
      <c r="G488" s="1">
        <v>45524</v>
      </c>
      <c r="H488">
        <v>2024</v>
      </c>
      <c r="I488" t="s">
        <v>5031</v>
      </c>
      <c r="J488">
        <v>20</v>
      </c>
      <c r="K488">
        <v>3.46</v>
      </c>
      <c r="L488">
        <v>5</v>
      </c>
      <c r="M488">
        <v>6907.05</v>
      </c>
      <c r="N488">
        <v>1.2</v>
      </c>
      <c r="O488" t="s">
        <v>5050</v>
      </c>
    </row>
    <row r="489" spans="1:15" x14ac:dyDescent="0.3">
      <c r="A489" t="s">
        <v>2550</v>
      </c>
      <c r="B489" t="s">
        <v>34</v>
      </c>
      <c r="C489" t="s">
        <v>5020</v>
      </c>
      <c r="D489" t="s">
        <v>11</v>
      </c>
      <c r="E489">
        <v>57</v>
      </c>
      <c r="F489" t="s">
        <v>5056</v>
      </c>
      <c r="G489" s="1">
        <v>44874</v>
      </c>
      <c r="H489">
        <v>2022</v>
      </c>
      <c r="I489" t="s">
        <v>5038</v>
      </c>
      <c r="J489">
        <v>9</v>
      </c>
      <c r="K489">
        <v>4.71</v>
      </c>
      <c r="L489">
        <v>4</v>
      </c>
      <c r="M489">
        <v>11537.44</v>
      </c>
      <c r="N489">
        <v>3</v>
      </c>
      <c r="O489" t="s">
        <v>5050</v>
      </c>
    </row>
    <row r="490" spans="1:15" x14ac:dyDescent="0.3">
      <c r="A490" t="s">
        <v>2556</v>
      </c>
      <c r="B490" t="s">
        <v>24</v>
      </c>
      <c r="C490" t="s">
        <v>5019</v>
      </c>
      <c r="D490" t="s">
        <v>14</v>
      </c>
      <c r="E490">
        <v>40</v>
      </c>
      <c r="F490" t="s">
        <v>5055</v>
      </c>
      <c r="G490" s="1">
        <v>45887</v>
      </c>
      <c r="H490">
        <v>2025</v>
      </c>
      <c r="I490" t="s">
        <v>5031</v>
      </c>
      <c r="J490">
        <v>18</v>
      </c>
      <c r="K490">
        <v>2.97</v>
      </c>
      <c r="L490">
        <v>5</v>
      </c>
      <c r="M490">
        <v>7421.5</v>
      </c>
      <c r="N490">
        <v>0.2</v>
      </c>
      <c r="O490" t="s">
        <v>5051</v>
      </c>
    </row>
    <row r="491" spans="1:15" x14ac:dyDescent="0.3">
      <c r="A491" t="s">
        <v>2578</v>
      </c>
      <c r="B491" t="s">
        <v>13</v>
      </c>
      <c r="C491" t="s">
        <v>5017</v>
      </c>
      <c r="D491" t="s">
        <v>14</v>
      </c>
      <c r="E491">
        <v>39</v>
      </c>
      <c r="F491" t="s">
        <v>5055</v>
      </c>
      <c r="G491" s="1">
        <v>43885</v>
      </c>
      <c r="H491">
        <v>2020</v>
      </c>
      <c r="I491" t="s">
        <v>5042</v>
      </c>
      <c r="J491">
        <v>24</v>
      </c>
      <c r="K491">
        <v>1.58</v>
      </c>
      <c r="L491">
        <v>12</v>
      </c>
      <c r="M491">
        <v>10212.56</v>
      </c>
      <c r="N491">
        <v>5.7</v>
      </c>
      <c r="O491" t="s">
        <v>5049</v>
      </c>
    </row>
    <row r="492" spans="1:15" x14ac:dyDescent="0.3">
      <c r="A492" t="s">
        <v>2592</v>
      </c>
      <c r="B492" t="s">
        <v>16</v>
      </c>
      <c r="C492" t="s">
        <v>5018</v>
      </c>
      <c r="D492" t="s">
        <v>11</v>
      </c>
      <c r="E492">
        <v>46</v>
      </c>
      <c r="F492" t="s">
        <v>5055</v>
      </c>
      <c r="G492" s="1">
        <v>45116</v>
      </c>
      <c r="H492">
        <v>2023</v>
      </c>
      <c r="I492" t="s">
        <v>5034</v>
      </c>
      <c r="J492">
        <v>9</v>
      </c>
      <c r="K492">
        <v>4.46</v>
      </c>
      <c r="L492">
        <v>13</v>
      </c>
      <c r="M492">
        <v>9706.0400000000009</v>
      </c>
      <c r="N492">
        <v>2.2999999999999998</v>
      </c>
      <c r="O492" t="s">
        <v>5050</v>
      </c>
    </row>
    <row r="493" spans="1:15" x14ac:dyDescent="0.3">
      <c r="A493" t="s">
        <v>2601</v>
      </c>
      <c r="B493" t="s">
        <v>24</v>
      </c>
      <c r="C493" t="s">
        <v>5019</v>
      </c>
      <c r="D493" t="s">
        <v>11</v>
      </c>
      <c r="E493">
        <v>26</v>
      </c>
      <c r="F493" t="s">
        <v>5057</v>
      </c>
      <c r="G493" s="1">
        <v>45545</v>
      </c>
      <c r="H493">
        <v>2024</v>
      </c>
      <c r="I493" t="s">
        <v>5033</v>
      </c>
      <c r="J493">
        <v>10</v>
      </c>
      <c r="K493">
        <v>4.03</v>
      </c>
      <c r="L493">
        <v>8</v>
      </c>
      <c r="M493">
        <v>3039.42</v>
      </c>
      <c r="N493">
        <v>1.1000000000000001</v>
      </c>
      <c r="O493" t="s">
        <v>5050</v>
      </c>
    </row>
    <row r="494" spans="1:15" x14ac:dyDescent="0.3">
      <c r="A494" t="s">
        <v>2630</v>
      </c>
      <c r="B494" t="s">
        <v>16</v>
      </c>
      <c r="C494" t="s">
        <v>5018</v>
      </c>
      <c r="D494" t="s">
        <v>14</v>
      </c>
      <c r="E494">
        <v>43</v>
      </c>
      <c r="F494" t="s">
        <v>5055</v>
      </c>
      <c r="G494" s="1">
        <v>45454</v>
      </c>
      <c r="H494">
        <v>2024</v>
      </c>
      <c r="I494" t="s">
        <v>5032</v>
      </c>
      <c r="J494">
        <v>11</v>
      </c>
      <c r="K494">
        <v>4.1100000000000003</v>
      </c>
      <c r="L494">
        <v>3</v>
      </c>
      <c r="M494">
        <v>14313.88</v>
      </c>
      <c r="N494">
        <v>1.4</v>
      </c>
      <c r="O494" t="s">
        <v>5050</v>
      </c>
    </row>
    <row r="495" spans="1:15" x14ac:dyDescent="0.3">
      <c r="A495" t="s">
        <v>2635</v>
      </c>
      <c r="B495" t="s">
        <v>18</v>
      </c>
      <c r="C495" t="s">
        <v>5021</v>
      </c>
      <c r="D495" t="s">
        <v>11</v>
      </c>
      <c r="E495">
        <v>59</v>
      </c>
      <c r="F495" t="s">
        <v>5056</v>
      </c>
      <c r="G495" s="1">
        <v>45927</v>
      </c>
      <c r="H495">
        <v>2025</v>
      </c>
      <c r="I495" t="s">
        <v>5033</v>
      </c>
      <c r="J495">
        <v>27</v>
      </c>
      <c r="K495">
        <v>2.85</v>
      </c>
      <c r="L495">
        <v>3</v>
      </c>
      <c r="M495">
        <v>7124.93</v>
      </c>
      <c r="N495">
        <v>0.1</v>
      </c>
      <c r="O495" t="s">
        <v>5051</v>
      </c>
    </row>
    <row r="496" spans="1:15" x14ac:dyDescent="0.3">
      <c r="A496" t="s">
        <v>2640</v>
      </c>
      <c r="B496" t="s">
        <v>13</v>
      </c>
      <c r="C496" t="s">
        <v>5017</v>
      </c>
      <c r="D496" t="s">
        <v>14</v>
      </c>
      <c r="E496">
        <v>47</v>
      </c>
      <c r="F496" t="s">
        <v>5055</v>
      </c>
      <c r="G496" s="1">
        <v>44221</v>
      </c>
      <c r="H496">
        <v>2021</v>
      </c>
      <c r="I496" t="s">
        <v>5037</v>
      </c>
      <c r="J496">
        <v>25</v>
      </c>
      <c r="K496">
        <v>3.89</v>
      </c>
      <c r="L496">
        <v>6</v>
      </c>
      <c r="M496">
        <v>5063.4799999999996</v>
      </c>
      <c r="N496">
        <v>4.8</v>
      </c>
      <c r="O496" t="s">
        <v>5050</v>
      </c>
    </row>
    <row r="497" spans="1:15" x14ac:dyDescent="0.3">
      <c r="A497" t="s">
        <v>2646</v>
      </c>
      <c r="B497" t="s">
        <v>13</v>
      </c>
      <c r="C497" t="s">
        <v>5017</v>
      </c>
      <c r="D497" t="s">
        <v>14</v>
      </c>
      <c r="E497">
        <v>25</v>
      </c>
      <c r="F497" t="s">
        <v>5057</v>
      </c>
      <c r="G497" s="1">
        <v>44715</v>
      </c>
      <c r="H497">
        <v>2022</v>
      </c>
      <c r="I497" t="s">
        <v>5032</v>
      </c>
      <c r="J497">
        <v>3</v>
      </c>
      <c r="K497">
        <v>2.97</v>
      </c>
      <c r="L497">
        <v>7</v>
      </c>
      <c r="M497">
        <v>12316.44</v>
      </c>
      <c r="N497">
        <v>3.4</v>
      </c>
      <c r="O497" t="s">
        <v>5050</v>
      </c>
    </row>
    <row r="498" spans="1:15" x14ac:dyDescent="0.3">
      <c r="A498" t="s">
        <v>2661</v>
      </c>
      <c r="B498" t="s">
        <v>10</v>
      </c>
      <c r="C498" t="s">
        <v>5022</v>
      </c>
      <c r="D498" t="s">
        <v>14</v>
      </c>
      <c r="E498">
        <v>28</v>
      </c>
      <c r="F498" t="s">
        <v>5057</v>
      </c>
      <c r="G498" s="1">
        <v>43840</v>
      </c>
      <c r="H498">
        <v>2020</v>
      </c>
      <c r="I498" t="s">
        <v>5037</v>
      </c>
      <c r="J498">
        <v>10</v>
      </c>
      <c r="K498">
        <v>4.09</v>
      </c>
      <c r="L498">
        <v>10</v>
      </c>
      <c r="M498">
        <v>12116.69</v>
      </c>
      <c r="N498">
        <v>5.8</v>
      </c>
      <c r="O498" t="s">
        <v>5049</v>
      </c>
    </row>
    <row r="499" spans="1:15" x14ac:dyDescent="0.3">
      <c r="A499" t="s">
        <v>2671</v>
      </c>
      <c r="B499" t="s">
        <v>24</v>
      </c>
      <c r="C499" t="s">
        <v>5019</v>
      </c>
      <c r="D499" t="s">
        <v>14</v>
      </c>
      <c r="E499">
        <v>41</v>
      </c>
      <c r="F499" t="s">
        <v>5055</v>
      </c>
      <c r="G499" s="1">
        <v>44614</v>
      </c>
      <c r="H499">
        <v>2022</v>
      </c>
      <c r="I499" t="s">
        <v>5042</v>
      </c>
      <c r="J499">
        <v>22</v>
      </c>
      <c r="K499">
        <v>1.86</v>
      </c>
      <c r="L499">
        <v>8</v>
      </c>
      <c r="M499">
        <v>7408.54</v>
      </c>
      <c r="N499">
        <v>3.7</v>
      </c>
      <c r="O499" t="s">
        <v>5050</v>
      </c>
    </row>
    <row r="500" spans="1:15" x14ac:dyDescent="0.3">
      <c r="A500" t="s">
        <v>2686</v>
      </c>
      <c r="B500" t="s">
        <v>16</v>
      </c>
      <c r="C500" t="s">
        <v>5018</v>
      </c>
      <c r="D500" t="s">
        <v>11</v>
      </c>
      <c r="E500">
        <v>58</v>
      </c>
      <c r="F500" t="s">
        <v>5056</v>
      </c>
      <c r="G500" s="1">
        <v>44066</v>
      </c>
      <c r="H500">
        <v>2020</v>
      </c>
      <c r="I500" t="s">
        <v>5031</v>
      </c>
      <c r="J500">
        <v>23</v>
      </c>
      <c r="K500">
        <v>2.23</v>
      </c>
      <c r="L500">
        <v>10</v>
      </c>
      <c r="M500">
        <v>14519.66</v>
      </c>
      <c r="N500">
        <v>5.2</v>
      </c>
      <c r="O500" t="s">
        <v>5049</v>
      </c>
    </row>
    <row r="501" spans="1:15" x14ac:dyDescent="0.3">
      <c r="A501" t="s">
        <v>2688</v>
      </c>
      <c r="B501" t="s">
        <v>34</v>
      </c>
      <c r="C501" t="s">
        <v>5020</v>
      </c>
      <c r="D501" t="s">
        <v>14</v>
      </c>
      <c r="E501">
        <v>60</v>
      </c>
      <c r="F501" t="s">
        <v>5056</v>
      </c>
      <c r="G501" s="1">
        <v>44991</v>
      </c>
      <c r="H501">
        <v>2023</v>
      </c>
      <c r="I501" t="s">
        <v>5035</v>
      </c>
      <c r="J501">
        <v>6</v>
      </c>
      <c r="K501">
        <v>3.84</v>
      </c>
      <c r="L501">
        <v>10</v>
      </c>
      <c r="M501">
        <v>8727.91</v>
      </c>
      <c r="N501">
        <v>2.7</v>
      </c>
      <c r="O501" t="s">
        <v>5050</v>
      </c>
    </row>
    <row r="502" spans="1:15" x14ac:dyDescent="0.3">
      <c r="A502" t="s">
        <v>2708</v>
      </c>
      <c r="B502" t="s">
        <v>10</v>
      </c>
      <c r="C502" t="s">
        <v>5022</v>
      </c>
      <c r="D502" t="s">
        <v>14</v>
      </c>
      <c r="E502">
        <v>60</v>
      </c>
      <c r="F502" t="s">
        <v>5056</v>
      </c>
      <c r="G502" s="1">
        <v>44027</v>
      </c>
      <c r="H502">
        <v>2020</v>
      </c>
      <c r="I502" t="s">
        <v>5034</v>
      </c>
      <c r="J502">
        <v>15</v>
      </c>
      <c r="K502">
        <v>2.8</v>
      </c>
      <c r="L502">
        <v>7</v>
      </c>
      <c r="M502">
        <v>13817.85</v>
      </c>
      <c r="N502">
        <v>5.3</v>
      </c>
      <c r="O502" t="s">
        <v>5049</v>
      </c>
    </row>
    <row r="503" spans="1:15" x14ac:dyDescent="0.3">
      <c r="A503" t="s">
        <v>2749</v>
      </c>
      <c r="B503" t="s">
        <v>24</v>
      </c>
      <c r="C503" t="s">
        <v>5019</v>
      </c>
      <c r="D503" t="s">
        <v>11</v>
      </c>
      <c r="E503">
        <v>30</v>
      </c>
      <c r="F503" t="s">
        <v>5057</v>
      </c>
      <c r="G503" s="1">
        <v>45890</v>
      </c>
      <c r="H503">
        <v>2025</v>
      </c>
      <c r="I503" t="s">
        <v>5031</v>
      </c>
      <c r="J503">
        <v>21</v>
      </c>
      <c r="K503">
        <v>2.72</v>
      </c>
      <c r="L503">
        <v>6</v>
      </c>
      <c r="M503">
        <v>9589.2800000000007</v>
      </c>
      <c r="N503">
        <v>0.2</v>
      </c>
      <c r="O503" t="s">
        <v>5051</v>
      </c>
    </row>
    <row r="504" spans="1:15" x14ac:dyDescent="0.3">
      <c r="A504" t="s">
        <v>2755</v>
      </c>
      <c r="B504" t="s">
        <v>13</v>
      </c>
      <c r="C504" t="s">
        <v>5017</v>
      </c>
      <c r="D504" t="s">
        <v>11</v>
      </c>
      <c r="E504">
        <v>51</v>
      </c>
      <c r="F504" t="s">
        <v>5056</v>
      </c>
      <c r="G504" s="1">
        <v>45485</v>
      </c>
      <c r="H504">
        <v>2024</v>
      </c>
      <c r="I504" t="s">
        <v>5034</v>
      </c>
      <c r="J504">
        <v>12</v>
      </c>
      <c r="K504">
        <v>2.4700000000000002</v>
      </c>
      <c r="L504">
        <v>6</v>
      </c>
      <c r="M504">
        <v>6094.25</v>
      </c>
      <c r="N504">
        <v>1.3</v>
      </c>
      <c r="O504" t="s">
        <v>5050</v>
      </c>
    </row>
    <row r="505" spans="1:15" x14ac:dyDescent="0.3">
      <c r="A505" t="s">
        <v>2764</v>
      </c>
      <c r="B505" t="s">
        <v>13</v>
      </c>
      <c r="C505" t="s">
        <v>5017</v>
      </c>
      <c r="D505" t="s">
        <v>11</v>
      </c>
      <c r="E505">
        <v>55</v>
      </c>
      <c r="F505" t="s">
        <v>5056</v>
      </c>
      <c r="G505" s="1">
        <v>44489</v>
      </c>
      <c r="H505">
        <v>2021</v>
      </c>
      <c r="I505" t="s">
        <v>5039</v>
      </c>
      <c r="J505">
        <v>20</v>
      </c>
      <c r="K505">
        <v>2.4300000000000002</v>
      </c>
      <c r="L505">
        <v>15</v>
      </c>
      <c r="M505">
        <v>11707.18</v>
      </c>
      <c r="N505">
        <v>4</v>
      </c>
      <c r="O505" t="s">
        <v>5050</v>
      </c>
    </row>
    <row r="506" spans="1:15" x14ac:dyDescent="0.3">
      <c r="A506" t="s">
        <v>2767</v>
      </c>
      <c r="B506" t="s">
        <v>24</v>
      </c>
      <c r="C506" t="s">
        <v>5019</v>
      </c>
      <c r="D506" t="s">
        <v>14</v>
      </c>
      <c r="E506">
        <v>47</v>
      </c>
      <c r="F506" t="s">
        <v>5055</v>
      </c>
      <c r="G506" s="1">
        <v>45326</v>
      </c>
      <c r="H506">
        <v>2024</v>
      </c>
      <c r="I506" t="s">
        <v>5042</v>
      </c>
      <c r="J506">
        <v>4</v>
      </c>
      <c r="K506">
        <v>2.17</v>
      </c>
      <c r="L506">
        <v>7</v>
      </c>
      <c r="M506">
        <v>4684.63</v>
      </c>
      <c r="N506">
        <v>1.7</v>
      </c>
      <c r="O506" t="s">
        <v>5050</v>
      </c>
    </row>
    <row r="507" spans="1:15" x14ac:dyDescent="0.3">
      <c r="A507" t="s">
        <v>2770</v>
      </c>
      <c r="B507" t="s">
        <v>34</v>
      </c>
      <c r="C507" t="s">
        <v>5020</v>
      </c>
      <c r="D507" t="s">
        <v>11</v>
      </c>
      <c r="E507">
        <v>22</v>
      </c>
      <c r="F507" t="s">
        <v>5057</v>
      </c>
      <c r="G507" s="1">
        <v>45648</v>
      </c>
      <c r="H507">
        <v>2024</v>
      </c>
      <c r="I507" t="s">
        <v>5041</v>
      </c>
      <c r="J507">
        <v>22</v>
      </c>
      <c r="K507">
        <v>4.1399999999999997</v>
      </c>
      <c r="L507">
        <v>7</v>
      </c>
      <c r="M507">
        <v>3019.83</v>
      </c>
      <c r="N507">
        <v>0.9</v>
      </c>
      <c r="O507" t="s">
        <v>5051</v>
      </c>
    </row>
    <row r="508" spans="1:15" x14ac:dyDescent="0.3">
      <c r="A508" t="s">
        <v>2773</v>
      </c>
      <c r="B508" t="s">
        <v>34</v>
      </c>
      <c r="C508" t="s">
        <v>5020</v>
      </c>
      <c r="D508" t="s">
        <v>14</v>
      </c>
      <c r="E508">
        <v>36</v>
      </c>
      <c r="F508" t="s">
        <v>5055</v>
      </c>
      <c r="G508" s="1">
        <v>45454</v>
      </c>
      <c r="H508">
        <v>2024</v>
      </c>
      <c r="I508" t="s">
        <v>5032</v>
      </c>
      <c r="J508">
        <v>11</v>
      </c>
      <c r="K508">
        <v>2.04</v>
      </c>
      <c r="L508">
        <v>1</v>
      </c>
      <c r="M508">
        <v>12321.54</v>
      </c>
      <c r="N508">
        <v>1.4</v>
      </c>
      <c r="O508" t="s">
        <v>5050</v>
      </c>
    </row>
    <row r="509" spans="1:15" x14ac:dyDescent="0.3">
      <c r="A509" t="s">
        <v>2802</v>
      </c>
      <c r="B509" t="s">
        <v>13</v>
      </c>
      <c r="C509" t="s">
        <v>5017</v>
      </c>
      <c r="D509" t="s">
        <v>14</v>
      </c>
      <c r="E509">
        <v>28</v>
      </c>
      <c r="F509" t="s">
        <v>5057</v>
      </c>
      <c r="G509" s="1">
        <v>44465</v>
      </c>
      <c r="H509">
        <v>2021</v>
      </c>
      <c r="I509" t="s">
        <v>5033</v>
      </c>
      <c r="J509">
        <v>26</v>
      </c>
      <c r="K509">
        <v>2.0699999999999998</v>
      </c>
      <c r="L509">
        <v>7</v>
      </c>
      <c r="M509">
        <v>12584.82</v>
      </c>
      <c r="N509">
        <v>4.0999999999999996</v>
      </c>
      <c r="O509" t="s">
        <v>5050</v>
      </c>
    </row>
    <row r="510" spans="1:15" x14ac:dyDescent="0.3">
      <c r="A510" t="s">
        <v>2815</v>
      </c>
      <c r="B510" t="s">
        <v>24</v>
      </c>
      <c r="C510" t="s">
        <v>5019</v>
      </c>
      <c r="D510" t="s">
        <v>14</v>
      </c>
      <c r="E510">
        <v>48</v>
      </c>
      <c r="F510" t="s">
        <v>5055</v>
      </c>
      <c r="G510" s="1">
        <v>44283</v>
      </c>
      <c r="H510">
        <v>2021</v>
      </c>
      <c r="I510" t="s">
        <v>5035</v>
      </c>
      <c r="J510">
        <v>28</v>
      </c>
      <c r="K510">
        <v>2.4300000000000002</v>
      </c>
      <c r="L510">
        <v>3</v>
      </c>
      <c r="M510">
        <v>3298.73</v>
      </c>
      <c r="N510">
        <v>4.5999999999999996</v>
      </c>
      <c r="O510" t="s">
        <v>5050</v>
      </c>
    </row>
    <row r="511" spans="1:15" x14ac:dyDescent="0.3">
      <c r="A511" t="s">
        <v>2821</v>
      </c>
      <c r="B511" t="s">
        <v>34</v>
      </c>
      <c r="C511" t="s">
        <v>5020</v>
      </c>
      <c r="D511" t="s">
        <v>14</v>
      </c>
      <c r="E511">
        <v>40</v>
      </c>
      <c r="F511" t="s">
        <v>5055</v>
      </c>
      <c r="G511" s="1">
        <v>44540</v>
      </c>
      <c r="H511">
        <v>2021</v>
      </c>
      <c r="I511" t="s">
        <v>5041</v>
      </c>
      <c r="J511">
        <v>10</v>
      </c>
      <c r="K511">
        <v>3.37</v>
      </c>
      <c r="L511">
        <v>8</v>
      </c>
      <c r="M511">
        <v>10077.450000000001</v>
      </c>
      <c r="N511">
        <v>3.9</v>
      </c>
      <c r="O511" t="s">
        <v>5050</v>
      </c>
    </row>
    <row r="512" spans="1:15" x14ac:dyDescent="0.3">
      <c r="A512" t="s">
        <v>2857</v>
      </c>
      <c r="B512" t="s">
        <v>10</v>
      </c>
      <c r="C512" t="s">
        <v>5022</v>
      </c>
      <c r="D512" t="s">
        <v>11</v>
      </c>
      <c r="E512">
        <v>32</v>
      </c>
      <c r="F512" t="s">
        <v>5055</v>
      </c>
      <c r="G512" s="1">
        <v>45826</v>
      </c>
      <c r="H512">
        <v>2025</v>
      </c>
      <c r="I512" t="s">
        <v>5032</v>
      </c>
      <c r="J512">
        <v>18</v>
      </c>
      <c r="K512">
        <v>1.87</v>
      </c>
      <c r="L512">
        <v>10</v>
      </c>
      <c r="M512">
        <v>3551.61</v>
      </c>
      <c r="N512">
        <v>0.4</v>
      </c>
      <c r="O512" t="s">
        <v>5051</v>
      </c>
    </row>
    <row r="513" spans="1:15" x14ac:dyDescent="0.3">
      <c r="A513" t="s">
        <v>2923</v>
      </c>
      <c r="B513" t="s">
        <v>16</v>
      </c>
      <c r="C513" t="s">
        <v>5018</v>
      </c>
      <c r="D513" t="s">
        <v>11</v>
      </c>
      <c r="E513">
        <v>29</v>
      </c>
      <c r="F513" t="s">
        <v>5057</v>
      </c>
      <c r="G513" s="1">
        <v>45316</v>
      </c>
      <c r="H513">
        <v>2024</v>
      </c>
      <c r="I513" t="s">
        <v>5037</v>
      </c>
      <c r="J513">
        <v>25</v>
      </c>
      <c r="K513">
        <v>3.79</v>
      </c>
      <c r="L513">
        <v>3</v>
      </c>
      <c r="M513">
        <v>14513.44</v>
      </c>
      <c r="N513">
        <v>1.8</v>
      </c>
      <c r="O513" t="s">
        <v>5050</v>
      </c>
    </row>
    <row r="514" spans="1:15" x14ac:dyDescent="0.3">
      <c r="A514" t="s">
        <v>2941</v>
      </c>
      <c r="B514" t="s">
        <v>16</v>
      </c>
      <c r="C514" t="s">
        <v>5018</v>
      </c>
      <c r="D514" t="s">
        <v>11</v>
      </c>
      <c r="E514">
        <v>22</v>
      </c>
      <c r="F514" t="s">
        <v>5057</v>
      </c>
      <c r="G514" s="1">
        <v>44618</v>
      </c>
      <c r="H514">
        <v>2022</v>
      </c>
      <c r="I514" t="s">
        <v>5042</v>
      </c>
      <c r="J514">
        <v>26</v>
      </c>
      <c r="K514">
        <v>4.4000000000000004</v>
      </c>
      <c r="L514">
        <v>14</v>
      </c>
      <c r="M514">
        <v>12938.03</v>
      </c>
      <c r="N514">
        <v>3.7</v>
      </c>
      <c r="O514" t="s">
        <v>5050</v>
      </c>
    </row>
    <row r="515" spans="1:15" x14ac:dyDescent="0.3">
      <c r="A515" t="s">
        <v>2942</v>
      </c>
      <c r="B515" t="s">
        <v>13</v>
      </c>
      <c r="C515" t="s">
        <v>5017</v>
      </c>
      <c r="D515" t="s">
        <v>14</v>
      </c>
      <c r="E515">
        <v>58</v>
      </c>
      <c r="F515" t="s">
        <v>5056</v>
      </c>
      <c r="G515" s="1">
        <v>45812</v>
      </c>
      <c r="H515">
        <v>2025</v>
      </c>
      <c r="I515" t="s">
        <v>5032</v>
      </c>
      <c r="J515">
        <v>4</v>
      </c>
      <c r="K515">
        <v>2.0299999999999998</v>
      </c>
      <c r="L515">
        <v>14</v>
      </c>
      <c r="M515">
        <v>11555.84</v>
      </c>
      <c r="N515">
        <v>0.4</v>
      </c>
      <c r="O515" t="s">
        <v>5051</v>
      </c>
    </row>
    <row r="516" spans="1:15" x14ac:dyDescent="0.3">
      <c r="A516" t="s">
        <v>2949</v>
      </c>
      <c r="B516" t="s">
        <v>18</v>
      </c>
      <c r="C516" t="s">
        <v>5021</v>
      </c>
      <c r="D516" t="s">
        <v>11</v>
      </c>
      <c r="E516">
        <v>38</v>
      </c>
      <c r="F516" t="s">
        <v>5055</v>
      </c>
      <c r="G516" s="1">
        <v>44197</v>
      </c>
      <c r="H516">
        <v>2021</v>
      </c>
      <c r="I516" t="s">
        <v>5037</v>
      </c>
      <c r="J516">
        <v>1</v>
      </c>
      <c r="K516">
        <v>3.21</v>
      </c>
      <c r="L516">
        <v>13</v>
      </c>
      <c r="M516">
        <v>14141.42</v>
      </c>
      <c r="N516">
        <v>4.8</v>
      </c>
      <c r="O516" t="s">
        <v>5050</v>
      </c>
    </row>
    <row r="517" spans="1:15" x14ac:dyDescent="0.3">
      <c r="A517" t="s">
        <v>2987</v>
      </c>
      <c r="B517" t="s">
        <v>10</v>
      </c>
      <c r="C517" t="s">
        <v>5022</v>
      </c>
      <c r="D517" t="s">
        <v>14</v>
      </c>
      <c r="E517">
        <v>47</v>
      </c>
      <c r="F517" t="s">
        <v>5055</v>
      </c>
      <c r="G517" s="1">
        <v>44772</v>
      </c>
      <c r="H517">
        <v>2022</v>
      </c>
      <c r="I517" t="s">
        <v>5034</v>
      </c>
      <c r="J517">
        <v>30</v>
      </c>
      <c r="K517">
        <v>3.28</v>
      </c>
      <c r="L517">
        <v>2</v>
      </c>
      <c r="M517">
        <v>11011.18</v>
      </c>
      <c r="N517">
        <v>3.3</v>
      </c>
      <c r="O517" t="s">
        <v>5050</v>
      </c>
    </row>
    <row r="518" spans="1:15" x14ac:dyDescent="0.3">
      <c r="A518" t="s">
        <v>2999</v>
      </c>
      <c r="B518" t="s">
        <v>16</v>
      </c>
      <c r="C518" t="s">
        <v>5018</v>
      </c>
      <c r="D518" t="s">
        <v>14</v>
      </c>
      <c r="E518">
        <v>37</v>
      </c>
      <c r="F518" t="s">
        <v>5055</v>
      </c>
      <c r="G518" s="1">
        <v>45598</v>
      </c>
      <c r="H518">
        <v>2024</v>
      </c>
      <c r="I518" t="s">
        <v>5038</v>
      </c>
      <c r="J518">
        <v>2</v>
      </c>
      <c r="K518">
        <v>2.79</v>
      </c>
      <c r="L518">
        <v>10</v>
      </c>
      <c r="M518">
        <v>6241</v>
      </c>
      <c r="N518">
        <v>1</v>
      </c>
      <c r="O518" t="s">
        <v>5051</v>
      </c>
    </row>
    <row r="519" spans="1:15" x14ac:dyDescent="0.3">
      <c r="A519" t="s">
        <v>3002</v>
      </c>
      <c r="B519" t="s">
        <v>24</v>
      </c>
      <c r="C519" t="s">
        <v>5019</v>
      </c>
      <c r="D519" t="s">
        <v>11</v>
      </c>
      <c r="E519">
        <v>54</v>
      </c>
      <c r="F519" t="s">
        <v>5056</v>
      </c>
      <c r="G519" s="1">
        <v>44790</v>
      </c>
      <c r="H519">
        <v>2022</v>
      </c>
      <c r="I519" t="s">
        <v>5031</v>
      </c>
      <c r="J519">
        <v>17</v>
      </c>
      <c r="K519">
        <v>2.33</v>
      </c>
      <c r="L519">
        <v>13</v>
      </c>
      <c r="M519">
        <v>6095.77</v>
      </c>
      <c r="N519">
        <v>3.2</v>
      </c>
      <c r="O519" t="s">
        <v>5050</v>
      </c>
    </row>
    <row r="520" spans="1:15" x14ac:dyDescent="0.3">
      <c r="A520" t="s">
        <v>3019</v>
      </c>
      <c r="B520" t="s">
        <v>24</v>
      </c>
      <c r="C520" t="s">
        <v>5019</v>
      </c>
      <c r="D520" t="s">
        <v>11</v>
      </c>
      <c r="E520">
        <v>44</v>
      </c>
      <c r="F520" t="s">
        <v>5055</v>
      </c>
      <c r="G520" s="1">
        <v>44015</v>
      </c>
      <c r="H520">
        <v>2020</v>
      </c>
      <c r="I520" t="s">
        <v>5034</v>
      </c>
      <c r="J520">
        <v>3</v>
      </c>
      <c r="K520">
        <v>4.8</v>
      </c>
      <c r="L520">
        <v>14</v>
      </c>
      <c r="M520">
        <v>12867.98</v>
      </c>
      <c r="N520">
        <v>5.3</v>
      </c>
      <c r="O520" t="s">
        <v>5049</v>
      </c>
    </row>
    <row r="521" spans="1:15" x14ac:dyDescent="0.3">
      <c r="A521" t="s">
        <v>3038</v>
      </c>
      <c r="B521" t="s">
        <v>13</v>
      </c>
      <c r="C521" t="s">
        <v>5017</v>
      </c>
      <c r="D521" t="s">
        <v>11</v>
      </c>
      <c r="E521">
        <v>40</v>
      </c>
      <c r="F521" t="s">
        <v>5055</v>
      </c>
      <c r="G521" s="1">
        <v>45547</v>
      </c>
      <c r="H521">
        <v>2024</v>
      </c>
      <c r="I521" t="s">
        <v>5033</v>
      </c>
      <c r="J521">
        <v>12</v>
      </c>
      <c r="K521">
        <v>2.72</v>
      </c>
      <c r="L521">
        <v>7</v>
      </c>
      <c r="M521">
        <v>6032.28</v>
      </c>
      <c r="N521">
        <v>1.1000000000000001</v>
      </c>
      <c r="O521" t="s">
        <v>5050</v>
      </c>
    </row>
    <row r="522" spans="1:15" x14ac:dyDescent="0.3">
      <c r="A522" t="s">
        <v>3043</v>
      </c>
      <c r="B522" t="s">
        <v>10</v>
      </c>
      <c r="C522" t="s">
        <v>5022</v>
      </c>
      <c r="D522" t="s">
        <v>11</v>
      </c>
      <c r="E522">
        <v>35</v>
      </c>
      <c r="F522" t="s">
        <v>5055</v>
      </c>
      <c r="G522" s="1">
        <v>44784</v>
      </c>
      <c r="H522">
        <v>2022</v>
      </c>
      <c r="I522" t="s">
        <v>5031</v>
      </c>
      <c r="J522">
        <v>11</v>
      </c>
      <c r="K522">
        <v>2.97</v>
      </c>
      <c r="L522">
        <v>0</v>
      </c>
      <c r="M522">
        <v>4430.54</v>
      </c>
      <c r="N522">
        <v>3.2</v>
      </c>
      <c r="O522" t="s">
        <v>5050</v>
      </c>
    </row>
    <row r="523" spans="1:15" x14ac:dyDescent="0.3">
      <c r="A523" t="s">
        <v>3062</v>
      </c>
      <c r="B523" t="s">
        <v>18</v>
      </c>
      <c r="C523" t="s">
        <v>5021</v>
      </c>
      <c r="D523" t="s">
        <v>14</v>
      </c>
      <c r="E523">
        <v>28</v>
      </c>
      <c r="F523" t="s">
        <v>5057</v>
      </c>
      <c r="G523" s="1">
        <v>45158</v>
      </c>
      <c r="H523">
        <v>2023</v>
      </c>
      <c r="I523" t="s">
        <v>5031</v>
      </c>
      <c r="J523">
        <v>20</v>
      </c>
      <c r="K523">
        <v>2.93</v>
      </c>
      <c r="L523">
        <v>3</v>
      </c>
      <c r="M523">
        <v>13692.3</v>
      </c>
      <c r="N523">
        <v>2.2000000000000002</v>
      </c>
      <c r="O523" t="s">
        <v>5050</v>
      </c>
    </row>
    <row r="524" spans="1:15" x14ac:dyDescent="0.3">
      <c r="A524" t="s">
        <v>3070</v>
      </c>
      <c r="B524" t="s">
        <v>24</v>
      </c>
      <c r="C524" t="s">
        <v>5019</v>
      </c>
      <c r="D524" t="s">
        <v>14</v>
      </c>
      <c r="E524">
        <v>60</v>
      </c>
      <c r="F524" t="s">
        <v>5056</v>
      </c>
      <c r="G524" s="1">
        <v>45890</v>
      </c>
      <c r="H524">
        <v>2025</v>
      </c>
      <c r="I524" t="s">
        <v>5031</v>
      </c>
      <c r="J524">
        <v>21</v>
      </c>
      <c r="K524">
        <v>2.06</v>
      </c>
      <c r="L524">
        <v>7</v>
      </c>
      <c r="M524">
        <v>13829.52</v>
      </c>
      <c r="N524">
        <v>0.2</v>
      </c>
      <c r="O524" t="s">
        <v>5051</v>
      </c>
    </row>
    <row r="525" spans="1:15" x14ac:dyDescent="0.3">
      <c r="A525" t="s">
        <v>3073</v>
      </c>
      <c r="B525" t="s">
        <v>13</v>
      </c>
      <c r="C525" t="s">
        <v>5017</v>
      </c>
      <c r="D525" t="s">
        <v>14</v>
      </c>
      <c r="E525">
        <v>47</v>
      </c>
      <c r="F525" t="s">
        <v>5055</v>
      </c>
      <c r="G525" s="1">
        <v>45138</v>
      </c>
      <c r="H525">
        <v>2023</v>
      </c>
      <c r="I525" t="s">
        <v>5034</v>
      </c>
      <c r="J525">
        <v>31</v>
      </c>
      <c r="K525">
        <v>2.25</v>
      </c>
      <c r="L525">
        <v>12</v>
      </c>
      <c r="M525">
        <v>7739.54</v>
      </c>
      <c r="N525">
        <v>2.2999999999999998</v>
      </c>
      <c r="O525" t="s">
        <v>5050</v>
      </c>
    </row>
    <row r="526" spans="1:15" x14ac:dyDescent="0.3">
      <c r="A526" t="s">
        <v>3077</v>
      </c>
      <c r="B526" t="s">
        <v>13</v>
      </c>
      <c r="C526" t="s">
        <v>5017</v>
      </c>
      <c r="D526" t="s">
        <v>14</v>
      </c>
      <c r="E526">
        <v>44</v>
      </c>
      <c r="F526" t="s">
        <v>5055</v>
      </c>
      <c r="G526" s="1">
        <v>44007</v>
      </c>
      <c r="H526">
        <v>2020</v>
      </c>
      <c r="I526" t="s">
        <v>5032</v>
      </c>
      <c r="J526">
        <v>25</v>
      </c>
      <c r="K526">
        <v>3.45</v>
      </c>
      <c r="L526">
        <v>1</v>
      </c>
      <c r="M526">
        <v>14997.15</v>
      </c>
      <c r="N526">
        <v>5.4</v>
      </c>
      <c r="O526" t="s">
        <v>5049</v>
      </c>
    </row>
    <row r="527" spans="1:15" x14ac:dyDescent="0.3">
      <c r="A527" t="s">
        <v>3087</v>
      </c>
      <c r="B527" t="s">
        <v>16</v>
      </c>
      <c r="C527" t="s">
        <v>5018</v>
      </c>
      <c r="D527" t="s">
        <v>14</v>
      </c>
      <c r="E527">
        <v>46</v>
      </c>
      <c r="F527" t="s">
        <v>5055</v>
      </c>
      <c r="G527" s="1">
        <v>44974</v>
      </c>
      <c r="H527">
        <v>2023</v>
      </c>
      <c r="I527" t="s">
        <v>5042</v>
      </c>
      <c r="J527">
        <v>17</v>
      </c>
      <c r="K527">
        <v>4.6399999999999997</v>
      </c>
      <c r="L527">
        <v>3</v>
      </c>
      <c r="M527">
        <v>11685.19</v>
      </c>
      <c r="N527">
        <v>2.7</v>
      </c>
      <c r="O527" t="s">
        <v>5050</v>
      </c>
    </row>
    <row r="528" spans="1:15" x14ac:dyDescent="0.3">
      <c r="A528" t="s">
        <v>3103</v>
      </c>
      <c r="B528" t="s">
        <v>34</v>
      </c>
      <c r="C528" t="s">
        <v>5020</v>
      </c>
      <c r="D528" t="s">
        <v>11</v>
      </c>
      <c r="E528">
        <v>25</v>
      </c>
      <c r="F528" t="s">
        <v>5057</v>
      </c>
      <c r="G528" s="1">
        <v>45181</v>
      </c>
      <c r="H528">
        <v>2023</v>
      </c>
      <c r="I528" t="s">
        <v>5033</v>
      </c>
      <c r="J528">
        <v>12</v>
      </c>
      <c r="K528">
        <v>2</v>
      </c>
      <c r="L528">
        <v>15</v>
      </c>
      <c r="M528">
        <v>6904.37</v>
      </c>
      <c r="N528">
        <v>2.1</v>
      </c>
      <c r="O528" t="s">
        <v>5050</v>
      </c>
    </row>
    <row r="529" spans="1:15" x14ac:dyDescent="0.3">
      <c r="A529" t="s">
        <v>3109</v>
      </c>
      <c r="B529" t="s">
        <v>10</v>
      </c>
      <c r="C529" t="s">
        <v>5022</v>
      </c>
      <c r="D529" t="s">
        <v>14</v>
      </c>
      <c r="E529">
        <v>42</v>
      </c>
      <c r="F529" t="s">
        <v>5055</v>
      </c>
      <c r="G529" s="1">
        <v>44414</v>
      </c>
      <c r="H529">
        <v>2021</v>
      </c>
      <c r="I529" t="s">
        <v>5031</v>
      </c>
      <c r="J529">
        <v>6</v>
      </c>
      <c r="K529">
        <v>4.76</v>
      </c>
      <c r="L529">
        <v>2</v>
      </c>
      <c r="M529">
        <v>12978.79</v>
      </c>
      <c r="N529">
        <v>4.2</v>
      </c>
      <c r="O529" t="s">
        <v>5050</v>
      </c>
    </row>
    <row r="530" spans="1:15" x14ac:dyDescent="0.3">
      <c r="A530" t="s">
        <v>3126</v>
      </c>
      <c r="B530" t="s">
        <v>16</v>
      </c>
      <c r="C530" t="s">
        <v>5018</v>
      </c>
      <c r="D530" t="s">
        <v>11</v>
      </c>
      <c r="E530">
        <v>49</v>
      </c>
      <c r="F530" t="s">
        <v>5055</v>
      </c>
      <c r="G530" s="1">
        <v>45606</v>
      </c>
      <c r="H530">
        <v>2024</v>
      </c>
      <c r="I530" t="s">
        <v>5038</v>
      </c>
      <c r="J530">
        <v>10</v>
      </c>
      <c r="K530">
        <v>4.8600000000000003</v>
      </c>
      <c r="L530">
        <v>5</v>
      </c>
      <c r="M530">
        <v>6265.43</v>
      </c>
      <c r="N530">
        <v>1</v>
      </c>
      <c r="O530" t="s">
        <v>5051</v>
      </c>
    </row>
    <row r="531" spans="1:15" x14ac:dyDescent="0.3">
      <c r="A531" t="s">
        <v>3129</v>
      </c>
      <c r="B531" t="s">
        <v>16</v>
      </c>
      <c r="C531" t="s">
        <v>5018</v>
      </c>
      <c r="D531" t="s">
        <v>14</v>
      </c>
      <c r="E531">
        <v>53</v>
      </c>
      <c r="F531" t="s">
        <v>5056</v>
      </c>
      <c r="G531" s="1">
        <v>44690</v>
      </c>
      <c r="H531">
        <v>2022</v>
      </c>
      <c r="I531" t="s">
        <v>5036</v>
      </c>
      <c r="J531">
        <v>9</v>
      </c>
      <c r="K531">
        <v>1.68</v>
      </c>
      <c r="L531">
        <v>2</v>
      </c>
      <c r="M531">
        <v>13132.39</v>
      </c>
      <c r="N531">
        <v>3.5</v>
      </c>
      <c r="O531" t="s">
        <v>5050</v>
      </c>
    </row>
    <row r="532" spans="1:15" x14ac:dyDescent="0.3">
      <c r="A532" t="s">
        <v>3138</v>
      </c>
      <c r="B532" t="s">
        <v>10</v>
      </c>
      <c r="C532" t="s">
        <v>5022</v>
      </c>
      <c r="D532" t="s">
        <v>14</v>
      </c>
      <c r="E532">
        <v>48</v>
      </c>
      <c r="F532" t="s">
        <v>5055</v>
      </c>
      <c r="G532" s="1">
        <v>44197</v>
      </c>
      <c r="H532">
        <v>2021</v>
      </c>
      <c r="I532" t="s">
        <v>5037</v>
      </c>
      <c r="J532">
        <v>1</v>
      </c>
      <c r="K532">
        <v>2.63</v>
      </c>
      <c r="L532">
        <v>9</v>
      </c>
      <c r="M532">
        <v>8213.7199999999993</v>
      </c>
      <c r="N532">
        <v>4.8</v>
      </c>
      <c r="O532" t="s">
        <v>5050</v>
      </c>
    </row>
    <row r="533" spans="1:15" x14ac:dyDescent="0.3">
      <c r="A533" t="s">
        <v>3150</v>
      </c>
      <c r="B533" t="s">
        <v>34</v>
      </c>
      <c r="C533" t="s">
        <v>5020</v>
      </c>
      <c r="D533" t="s">
        <v>11</v>
      </c>
      <c r="E533">
        <v>27</v>
      </c>
      <c r="F533" t="s">
        <v>5057</v>
      </c>
      <c r="G533" s="1">
        <v>44545</v>
      </c>
      <c r="H533">
        <v>2021</v>
      </c>
      <c r="I533" t="s">
        <v>5041</v>
      </c>
      <c r="J533">
        <v>15</v>
      </c>
      <c r="K533">
        <v>3.94</v>
      </c>
      <c r="L533">
        <v>10</v>
      </c>
      <c r="M533">
        <v>5619.28</v>
      </c>
      <c r="N533">
        <v>3.9</v>
      </c>
      <c r="O533" t="s">
        <v>5050</v>
      </c>
    </row>
    <row r="534" spans="1:15" x14ac:dyDescent="0.3">
      <c r="A534" t="s">
        <v>3152</v>
      </c>
      <c r="B534" t="s">
        <v>16</v>
      </c>
      <c r="C534" t="s">
        <v>5018</v>
      </c>
      <c r="D534" t="s">
        <v>11</v>
      </c>
      <c r="E534">
        <v>39</v>
      </c>
      <c r="F534" t="s">
        <v>5055</v>
      </c>
      <c r="G534" s="1">
        <v>45035</v>
      </c>
      <c r="H534">
        <v>2023</v>
      </c>
      <c r="I534" t="s">
        <v>5040</v>
      </c>
      <c r="J534">
        <v>19</v>
      </c>
      <c r="K534">
        <v>2.27</v>
      </c>
      <c r="L534">
        <v>0</v>
      </c>
      <c r="M534">
        <v>7985.9</v>
      </c>
      <c r="N534">
        <v>2.5</v>
      </c>
      <c r="O534" t="s">
        <v>5050</v>
      </c>
    </row>
    <row r="535" spans="1:15" x14ac:dyDescent="0.3">
      <c r="A535" t="s">
        <v>3155</v>
      </c>
      <c r="B535" t="s">
        <v>24</v>
      </c>
      <c r="C535" t="s">
        <v>5019</v>
      </c>
      <c r="D535" t="s">
        <v>14</v>
      </c>
      <c r="E535">
        <v>44</v>
      </c>
      <c r="F535" t="s">
        <v>5055</v>
      </c>
      <c r="G535" s="1">
        <v>45784</v>
      </c>
      <c r="H535">
        <v>2025</v>
      </c>
      <c r="I535" t="s">
        <v>5036</v>
      </c>
      <c r="J535">
        <v>7</v>
      </c>
      <c r="K535">
        <v>4.5599999999999996</v>
      </c>
      <c r="L535">
        <v>7</v>
      </c>
      <c r="M535">
        <v>4620.83</v>
      </c>
      <c r="N535">
        <v>0.5</v>
      </c>
      <c r="O535" t="s">
        <v>5051</v>
      </c>
    </row>
    <row r="536" spans="1:15" x14ac:dyDescent="0.3">
      <c r="A536" t="s">
        <v>3161</v>
      </c>
      <c r="B536" t="s">
        <v>10</v>
      </c>
      <c r="C536" t="s">
        <v>5022</v>
      </c>
      <c r="D536" t="s">
        <v>14</v>
      </c>
      <c r="E536">
        <v>52</v>
      </c>
      <c r="F536" t="s">
        <v>5056</v>
      </c>
      <c r="G536" s="1">
        <v>44240</v>
      </c>
      <c r="H536">
        <v>2021</v>
      </c>
      <c r="I536" t="s">
        <v>5042</v>
      </c>
      <c r="J536">
        <v>13</v>
      </c>
      <c r="K536">
        <v>2.58</v>
      </c>
      <c r="L536">
        <v>9</v>
      </c>
      <c r="M536">
        <v>6079.42</v>
      </c>
      <c r="N536">
        <v>4.7</v>
      </c>
      <c r="O536" t="s">
        <v>5050</v>
      </c>
    </row>
    <row r="537" spans="1:15" x14ac:dyDescent="0.3">
      <c r="A537" t="s">
        <v>3173</v>
      </c>
      <c r="B537" t="s">
        <v>18</v>
      </c>
      <c r="C537" t="s">
        <v>5021</v>
      </c>
      <c r="D537" t="s">
        <v>14</v>
      </c>
      <c r="E537">
        <v>56</v>
      </c>
      <c r="F537" t="s">
        <v>5056</v>
      </c>
      <c r="G537" s="1">
        <v>44688</v>
      </c>
      <c r="H537">
        <v>2022</v>
      </c>
      <c r="I537" t="s">
        <v>5036</v>
      </c>
      <c r="J537">
        <v>7</v>
      </c>
      <c r="K537">
        <v>2.5099999999999998</v>
      </c>
      <c r="L537">
        <v>3</v>
      </c>
      <c r="M537">
        <v>6297.2</v>
      </c>
      <c r="N537">
        <v>3.5</v>
      </c>
      <c r="O537" t="s">
        <v>5050</v>
      </c>
    </row>
    <row r="538" spans="1:15" x14ac:dyDescent="0.3">
      <c r="A538" t="s">
        <v>3189</v>
      </c>
      <c r="B538" t="s">
        <v>16</v>
      </c>
      <c r="C538" t="s">
        <v>5018</v>
      </c>
      <c r="D538" t="s">
        <v>11</v>
      </c>
      <c r="E538">
        <v>38</v>
      </c>
      <c r="F538" t="s">
        <v>5055</v>
      </c>
      <c r="G538" s="1">
        <v>45656</v>
      </c>
      <c r="H538">
        <v>2024</v>
      </c>
      <c r="I538" t="s">
        <v>5041</v>
      </c>
      <c r="J538">
        <v>30</v>
      </c>
      <c r="K538">
        <v>1.55</v>
      </c>
      <c r="L538">
        <v>5</v>
      </c>
      <c r="M538">
        <v>14714.41</v>
      </c>
      <c r="N538">
        <v>0.8</v>
      </c>
      <c r="O538" t="s">
        <v>5051</v>
      </c>
    </row>
    <row r="539" spans="1:15" x14ac:dyDescent="0.3">
      <c r="A539" t="s">
        <v>3209</v>
      </c>
      <c r="B539" t="s">
        <v>18</v>
      </c>
      <c r="C539" t="s">
        <v>5021</v>
      </c>
      <c r="D539" t="s">
        <v>14</v>
      </c>
      <c r="E539">
        <v>22</v>
      </c>
      <c r="F539" t="s">
        <v>5057</v>
      </c>
      <c r="G539" s="1">
        <v>43869</v>
      </c>
      <c r="H539">
        <v>2020</v>
      </c>
      <c r="I539" t="s">
        <v>5042</v>
      </c>
      <c r="J539">
        <v>8</v>
      </c>
      <c r="K539">
        <v>4.01</v>
      </c>
      <c r="L539">
        <v>4</v>
      </c>
      <c r="M539">
        <v>7636</v>
      </c>
      <c r="N539">
        <v>5.7</v>
      </c>
      <c r="O539" t="s">
        <v>5049</v>
      </c>
    </row>
    <row r="540" spans="1:15" x14ac:dyDescent="0.3">
      <c r="A540" t="s">
        <v>3215</v>
      </c>
      <c r="B540" t="s">
        <v>24</v>
      </c>
      <c r="C540" t="s">
        <v>5019</v>
      </c>
      <c r="D540" t="s">
        <v>11</v>
      </c>
      <c r="E540">
        <v>56</v>
      </c>
      <c r="F540" t="s">
        <v>5056</v>
      </c>
      <c r="G540" s="1">
        <v>45390</v>
      </c>
      <c r="H540">
        <v>2024</v>
      </c>
      <c r="I540" t="s">
        <v>5040</v>
      </c>
      <c r="J540">
        <v>8</v>
      </c>
      <c r="K540">
        <v>4</v>
      </c>
      <c r="L540">
        <v>10</v>
      </c>
      <c r="M540">
        <v>6749.34</v>
      </c>
      <c r="N540">
        <v>1.6</v>
      </c>
      <c r="O540" t="s">
        <v>5050</v>
      </c>
    </row>
    <row r="541" spans="1:15" x14ac:dyDescent="0.3">
      <c r="A541" t="s">
        <v>3232</v>
      </c>
      <c r="B541" t="s">
        <v>13</v>
      </c>
      <c r="C541" t="s">
        <v>5017</v>
      </c>
      <c r="D541" t="s">
        <v>11</v>
      </c>
      <c r="E541">
        <v>55</v>
      </c>
      <c r="F541" t="s">
        <v>5056</v>
      </c>
      <c r="G541" s="1">
        <v>45550</v>
      </c>
      <c r="H541">
        <v>2024</v>
      </c>
      <c r="I541" t="s">
        <v>5033</v>
      </c>
      <c r="J541">
        <v>15</v>
      </c>
      <c r="K541">
        <v>2.35</v>
      </c>
      <c r="L541">
        <v>15</v>
      </c>
      <c r="M541">
        <v>11071.95</v>
      </c>
      <c r="N541">
        <v>1.1000000000000001</v>
      </c>
      <c r="O541" t="s">
        <v>5050</v>
      </c>
    </row>
    <row r="542" spans="1:15" x14ac:dyDescent="0.3">
      <c r="A542" t="s">
        <v>3245</v>
      </c>
      <c r="B542" t="s">
        <v>10</v>
      </c>
      <c r="C542" t="s">
        <v>5022</v>
      </c>
      <c r="D542" t="s">
        <v>11</v>
      </c>
      <c r="E542">
        <v>60</v>
      </c>
      <c r="F542" t="s">
        <v>5056</v>
      </c>
      <c r="G542" s="1">
        <v>45861</v>
      </c>
      <c r="H542">
        <v>2025</v>
      </c>
      <c r="I542" t="s">
        <v>5034</v>
      </c>
      <c r="J542">
        <v>23</v>
      </c>
      <c r="K542">
        <v>3.21</v>
      </c>
      <c r="L542">
        <v>0</v>
      </c>
      <c r="M542">
        <v>14012.99</v>
      </c>
      <c r="N542">
        <v>0.3</v>
      </c>
      <c r="O542" t="s">
        <v>5051</v>
      </c>
    </row>
    <row r="543" spans="1:15" x14ac:dyDescent="0.3">
      <c r="A543" t="s">
        <v>3247</v>
      </c>
      <c r="B543" t="s">
        <v>18</v>
      </c>
      <c r="C543" t="s">
        <v>5021</v>
      </c>
      <c r="D543" t="s">
        <v>14</v>
      </c>
      <c r="E543">
        <v>56</v>
      </c>
      <c r="F543" t="s">
        <v>5056</v>
      </c>
      <c r="G543" s="1">
        <v>43943</v>
      </c>
      <c r="H543">
        <v>2020</v>
      </c>
      <c r="I543" t="s">
        <v>5040</v>
      </c>
      <c r="J543">
        <v>22</v>
      </c>
      <c r="K543">
        <v>4.3099999999999996</v>
      </c>
      <c r="L543">
        <v>15</v>
      </c>
      <c r="M543">
        <v>3170.8</v>
      </c>
      <c r="N543">
        <v>5.5</v>
      </c>
      <c r="O543" t="s">
        <v>5049</v>
      </c>
    </row>
    <row r="544" spans="1:15" x14ac:dyDescent="0.3">
      <c r="A544" t="s">
        <v>3264</v>
      </c>
      <c r="B544" t="s">
        <v>18</v>
      </c>
      <c r="C544" t="s">
        <v>5021</v>
      </c>
      <c r="D544" t="s">
        <v>14</v>
      </c>
      <c r="E544">
        <v>49</v>
      </c>
      <c r="F544" t="s">
        <v>5055</v>
      </c>
      <c r="G544" s="1">
        <v>45302</v>
      </c>
      <c r="H544">
        <v>2024</v>
      </c>
      <c r="I544" t="s">
        <v>5037</v>
      </c>
      <c r="J544">
        <v>11</v>
      </c>
      <c r="K544">
        <v>3.43</v>
      </c>
      <c r="L544">
        <v>9</v>
      </c>
      <c r="M544">
        <v>6699.23</v>
      </c>
      <c r="N544">
        <v>1.8</v>
      </c>
      <c r="O544" t="s">
        <v>5050</v>
      </c>
    </row>
    <row r="545" spans="1:15" x14ac:dyDescent="0.3">
      <c r="A545" t="s">
        <v>3265</v>
      </c>
      <c r="B545" t="s">
        <v>13</v>
      </c>
      <c r="C545" t="s">
        <v>5017</v>
      </c>
      <c r="D545" t="s">
        <v>14</v>
      </c>
      <c r="E545">
        <v>38</v>
      </c>
      <c r="F545" t="s">
        <v>5055</v>
      </c>
      <c r="G545" s="1">
        <v>45754</v>
      </c>
      <c r="H545">
        <v>2025</v>
      </c>
      <c r="I545" t="s">
        <v>5040</v>
      </c>
      <c r="J545">
        <v>7</v>
      </c>
      <c r="K545">
        <v>3.47</v>
      </c>
      <c r="L545">
        <v>7</v>
      </c>
      <c r="M545">
        <v>9439.77</v>
      </c>
      <c r="N545">
        <v>0.6</v>
      </c>
      <c r="O545" t="s">
        <v>5051</v>
      </c>
    </row>
    <row r="546" spans="1:15" x14ac:dyDescent="0.3">
      <c r="A546" t="s">
        <v>3275</v>
      </c>
      <c r="B546" t="s">
        <v>16</v>
      </c>
      <c r="C546" t="s">
        <v>5018</v>
      </c>
      <c r="D546" t="s">
        <v>14</v>
      </c>
      <c r="E546">
        <v>45</v>
      </c>
      <c r="F546" t="s">
        <v>5055</v>
      </c>
      <c r="G546" s="1">
        <v>44197</v>
      </c>
      <c r="H546">
        <v>2021</v>
      </c>
      <c r="I546" t="s">
        <v>5037</v>
      </c>
      <c r="J546">
        <v>1</v>
      </c>
      <c r="K546">
        <v>1.81</v>
      </c>
      <c r="L546">
        <v>15</v>
      </c>
      <c r="M546">
        <v>12974.78</v>
      </c>
      <c r="N546">
        <v>4.8</v>
      </c>
      <c r="O546" t="s">
        <v>5050</v>
      </c>
    </row>
    <row r="547" spans="1:15" x14ac:dyDescent="0.3">
      <c r="A547" t="s">
        <v>3281</v>
      </c>
      <c r="B547" t="s">
        <v>10</v>
      </c>
      <c r="C547" t="s">
        <v>5022</v>
      </c>
      <c r="D547" t="s">
        <v>14</v>
      </c>
      <c r="E547">
        <v>58</v>
      </c>
      <c r="F547" t="s">
        <v>5056</v>
      </c>
      <c r="G547" s="1">
        <v>44849</v>
      </c>
      <c r="H547">
        <v>2022</v>
      </c>
      <c r="I547" t="s">
        <v>5039</v>
      </c>
      <c r="J547">
        <v>15</v>
      </c>
      <c r="K547">
        <v>2.17</v>
      </c>
      <c r="L547">
        <v>1</v>
      </c>
      <c r="M547">
        <v>10070.35</v>
      </c>
      <c r="N547">
        <v>3</v>
      </c>
      <c r="O547" t="s">
        <v>5050</v>
      </c>
    </row>
    <row r="548" spans="1:15" x14ac:dyDescent="0.3">
      <c r="A548" t="s">
        <v>3300</v>
      </c>
      <c r="B548" t="s">
        <v>10</v>
      </c>
      <c r="C548" t="s">
        <v>5022</v>
      </c>
      <c r="D548" t="s">
        <v>14</v>
      </c>
      <c r="E548">
        <v>36</v>
      </c>
      <c r="F548" t="s">
        <v>5055</v>
      </c>
      <c r="G548" s="1">
        <v>45279</v>
      </c>
      <c r="H548">
        <v>2023</v>
      </c>
      <c r="I548" t="s">
        <v>5041</v>
      </c>
      <c r="J548">
        <v>19</v>
      </c>
      <c r="K548">
        <v>2.76</v>
      </c>
      <c r="L548">
        <v>14</v>
      </c>
      <c r="M548">
        <v>13221.98</v>
      </c>
      <c r="N548">
        <v>1.9</v>
      </c>
      <c r="O548" t="s">
        <v>5050</v>
      </c>
    </row>
    <row r="549" spans="1:15" x14ac:dyDescent="0.3">
      <c r="A549" t="s">
        <v>3302</v>
      </c>
      <c r="B549" t="s">
        <v>13</v>
      </c>
      <c r="C549" t="s">
        <v>5017</v>
      </c>
      <c r="D549" t="s">
        <v>14</v>
      </c>
      <c r="E549">
        <v>28</v>
      </c>
      <c r="F549" t="s">
        <v>5057</v>
      </c>
      <c r="G549" s="1">
        <v>44367</v>
      </c>
      <c r="H549">
        <v>2021</v>
      </c>
      <c r="I549" t="s">
        <v>5032</v>
      </c>
      <c r="J549">
        <v>20</v>
      </c>
      <c r="K549">
        <v>2.0299999999999998</v>
      </c>
      <c r="L549">
        <v>1</v>
      </c>
      <c r="M549">
        <v>3803.81</v>
      </c>
      <c r="N549">
        <v>4.4000000000000004</v>
      </c>
      <c r="O549" t="s">
        <v>5050</v>
      </c>
    </row>
    <row r="550" spans="1:15" x14ac:dyDescent="0.3">
      <c r="A550" t="s">
        <v>3325</v>
      </c>
      <c r="B550" t="s">
        <v>13</v>
      </c>
      <c r="C550" t="s">
        <v>5017</v>
      </c>
      <c r="D550" t="s">
        <v>11</v>
      </c>
      <c r="E550">
        <v>48</v>
      </c>
      <c r="F550" t="s">
        <v>5055</v>
      </c>
      <c r="G550" s="1">
        <v>45390</v>
      </c>
      <c r="H550">
        <v>2024</v>
      </c>
      <c r="I550" t="s">
        <v>5040</v>
      </c>
      <c r="J550">
        <v>8</v>
      </c>
      <c r="K550">
        <v>2.79</v>
      </c>
      <c r="L550">
        <v>3</v>
      </c>
      <c r="M550">
        <v>10339.790000000001</v>
      </c>
      <c r="N550">
        <v>1.6</v>
      </c>
      <c r="O550" t="s">
        <v>5050</v>
      </c>
    </row>
    <row r="551" spans="1:15" x14ac:dyDescent="0.3">
      <c r="A551" t="s">
        <v>3367</v>
      </c>
      <c r="B551" t="s">
        <v>18</v>
      </c>
      <c r="C551" t="s">
        <v>5021</v>
      </c>
      <c r="D551" t="s">
        <v>11</v>
      </c>
      <c r="E551">
        <v>34</v>
      </c>
      <c r="F551" t="s">
        <v>5055</v>
      </c>
      <c r="G551" s="1">
        <v>44563</v>
      </c>
      <c r="H551">
        <v>2022</v>
      </c>
      <c r="I551" t="s">
        <v>5037</v>
      </c>
      <c r="J551">
        <v>2</v>
      </c>
      <c r="K551">
        <v>3.04</v>
      </c>
      <c r="L551">
        <v>11</v>
      </c>
      <c r="M551">
        <v>8081.78</v>
      </c>
      <c r="N551">
        <v>3.8</v>
      </c>
      <c r="O551" t="s">
        <v>5050</v>
      </c>
    </row>
    <row r="552" spans="1:15" x14ac:dyDescent="0.3">
      <c r="A552" t="s">
        <v>3377</v>
      </c>
      <c r="B552" t="s">
        <v>16</v>
      </c>
      <c r="C552" t="s">
        <v>5018</v>
      </c>
      <c r="D552" t="s">
        <v>14</v>
      </c>
      <c r="E552">
        <v>26</v>
      </c>
      <c r="F552" t="s">
        <v>5057</v>
      </c>
      <c r="G552" s="1">
        <v>44924</v>
      </c>
      <c r="H552">
        <v>2022</v>
      </c>
      <c r="I552" t="s">
        <v>5041</v>
      </c>
      <c r="J552">
        <v>29</v>
      </c>
      <c r="K552">
        <v>4</v>
      </c>
      <c r="L552">
        <v>13</v>
      </c>
      <c r="M552">
        <v>11166.18</v>
      </c>
      <c r="N552">
        <v>2.8</v>
      </c>
      <c r="O552" t="s">
        <v>5050</v>
      </c>
    </row>
    <row r="553" spans="1:15" x14ac:dyDescent="0.3">
      <c r="A553" t="s">
        <v>3417</v>
      </c>
      <c r="B553" t="s">
        <v>18</v>
      </c>
      <c r="C553" t="s">
        <v>5021</v>
      </c>
      <c r="D553" t="s">
        <v>11</v>
      </c>
      <c r="E553">
        <v>28</v>
      </c>
      <c r="F553" t="s">
        <v>5057</v>
      </c>
      <c r="G553" s="1">
        <v>44190</v>
      </c>
      <c r="H553">
        <v>2020</v>
      </c>
      <c r="I553" t="s">
        <v>5041</v>
      </c>
      <c r="J553">
        <v>25</v>
      </c>
      <c r="K553">
        <v>1.75</v>
      </c>
      <c r="L553">
        <v>8</v>
      </c>
      <c r="M553">
        <v>5664.25</v>
      </c>
      <c r="N553">
        <v>4.9000000000000004</v>
      </c>
      <c r="O553" t="s">
        <v>5050</v>
      </c>
    </row>
    <row r="554" spans="1:15" x14ac:dyDescent="0.3">
      <c r="A554" t="s">
        <v>3423</v>
      </c>
      <c r="B554" t="s">
        <v>10</v>
      </c>
      <c r="C554" t="s">
        <v>5022</v>
      </c>
      <c r="D554" t="s">
        <v>11</v>
      </c>
      <c r="E554">
        <v>44</v>
      </c>
      <c r="F554" t="s">
        <v>5055</v>
      </c>
      <c r="G554" s="1">
        <v>44949</v>
      </c>
      <c r="H554">
        <v>2023</v>
      </c>
      <c r="I554" t="s">
        <v>5037</v>
      </c>
      <c r="J554">
        <v>23</v>
      </c>
      <c r="K554">
        <v>4.16</v>
      </c>
      <c r="L554">
        <v>2</v>
      </c>
      <c r="M554">
        <v>7947.31</v>
      </c>
      <c r="N554">
        <v>2.8</v>
      </c>
      <c r="O554" t="s">
        <v>5050</v>
      </c>
    </row>
    <row r="555" spans="1:15" x14ac:dyDescent="0.3">
      <c r="A555" t="s">
        <v>3439</v>
      </c>
      <c r="B555" t="s">
        <v>18</v>
      </c>
      <c r="C555" t="s">
        <v>5021</v>
      </c>
      <c r="D555" t="s">
        <v>14</v>
      </c>
      <c r="E555">
        <v>53</v>
      </c>
      <c r="F555" t="s">
        <v>5056</v>
      </c>
      <c r="G555" s="1">
        <v>43885</v>
      </c>
      <c r="H555">
        <v>2020</v>
      </c>
      <c r="I555" t="s">
        <v>5042</v>
      </c>
      <c r="J555">
        <v>24</v>
      </c>
      <c r="K555">
        <v>1.78</v>
      </c>
      <c r="L555">
        <v>7</v>
      </c>
      <c r="M555">
        <v>7420.55</v>
      </c>
      <c r="N555">
        <v>5.7</v>
      </c>
      <c r="O555" t="s">
        <v>5049</v>
      </c>
    </row>
    <row r="556" spans="1:15" x14ac:dyDescent="0.3">
      <c r="A556" t="s">
        <v>3443</v>
      </c>
      <c r="B556" t="s">
        <v>24</v>
      </c>
      <c r="C556" t="s">
        <v>5019</v>
      </c>
      <c r="D556" t="s">
        <v>14</v>
      </c>
      <c r="E556">
        <v>36</v>
      </c>
      <c r="F556" t="s">
        <v>5055</v>
      </c>
      <c r="G556" s="1">
        <v>44317</v>
      </c>
      <c r="H556">
        <v>2021</v>
      </c>
      <c r="I556" t="s">
        <v>5036</v>
      </c>
      <c r="J556">
        <v>1</v>
      </c>
      <c r="K556">
        <v>3.15</v>
      </c>
      <c r="L556">
        <v>4</v>
      </c>
      <c r="M556">
        <v>12134.8</v>
      </c>
      <c r="N556">
        <v>4.5</v>
      </c>
      <c r="O556" t="s">
        <v>5050</v>
      </c>
    </row>
    <row r="557" spans="1:15" x14ac:dyDescent="0.3">
      <c r="A557" t="s">
        <v>3462</v>
      </c>
      <c r="B557" t="s">
        <v>18</v>
      </c>
      <c r="C557" t="s">
        <v>5021</v>
      </c>
      <c r="D557" t="s">
        <v>14</v>
      </c>
      <c r="E557">
        <v>46</v>
      </c>
      <c r="F557" t="s">
        <v>5055</v>
      </c>
      <c r="G557" s="1">
        <v>44007</v>
      </c>
      <c r="H557">
        <v>2020</v>
      </c>
      <c r="I557" t="s">
        <v>5032</v>
      </c>
      <c r="J557">
        <v>25</v>
      </c>
      <c r="K557">
        <v>3.95</v>
      </c>
      <c r="L557">
        <v>10</v>
      </c>
      <c r="M557">
        <v>14118.25</v>
      </c>
      <c r="N557">
        <v>5.4</v>
      </c>
      <c r="O557" t="s">
        <v>5049</v>
      </c>
    </row>
    <row r="558" spans="1:15" x14ac:dyDescent="0.3">
      <c r="A558" t="s">
        <v>3479</v>
      </c>
      <c r="B558" t="s">
        <v>18</v>
      </c>
      <c r="C558" t="s">
        <v>5021</v>
      </c>
      <c r="D558" t="s">
        <v>11</v>
      </c>
      <c r="E558">
        <v>45</v>
      </c>
      <c r="F558" t="s">
        <v>5055</v>
      </c>
      <c r="G558" s="1">
        <v>43943</v>
      </c>
      <c r="H558">
        <v>2020</v>
      </c>
      <c r="I558" t="s">
        <v>5040</v>
      </c>
      <c r="J558">
        <v>22</v>
      </c>
      <c r="K558">
        <v>1.8</v>
      </c>
      <c r="L558">
        <v>4</v>
      </c>
      <c r="M558">
        <v>11743.77</v>
      </c>
      <c r="N558">
        <v>5.5</v>
      </c>
      <c r="O558" t="s">
        <v>5049</v>
      </c>
    </row>
    <row r="559" spans="1:15" x14ac:dyDescent="0.3">
      <c r="A559" t="s">
        <v>3485</v>
      </c>
      <c r="B559" t="s">
        <v>16</v>
      </c>
      <c r="C559" t="s">
        <v>5018</v>
      </c>
      <c r="D559" t="s">
        <v>14</v>
      </c>
      <c r="E559">
        <v>30</v>
      </c>
      <c r="F559" t="s">
        <v>5057</v>
      </c>
      <c r="G559" s="1">
        <v>44163</v>
      </c>
      <c r="H559">
        <v>2020</v>
      </c>
      <c r="I559" t="s">
        <v>5038</v>
      </c>
      <c r="J559">
        <v>28</v>
      </c>
      <c r="K559">
        <v>3.1</v>
      </c>
      <c r="L559">
        <v>13</v>
      </c>
      <c r="M559">
        <v>6747.71</v>
      </c>
      <c r="N559">
        <v>4.9000000000000004</v>
      </c>
      <c r="O559" t="s">
        <v>5050</v>
      </c>
    </row>
    <row r="560" spans="1:15" x14ac:dyDescent="0.3">
      <c r="A560" t="s">
        <v>3492</v>
      </c>
      <c r="B560" t="s">
        <v>13</v>
      </c>
      <c r="C560" t="s">
        <v>5017</v>
      </c>
      <c r="D560" t="s">
        <v>11</v>
      </c>
      <c r="E560">
        <v>30</v>
      </c>
      <c r="F560" t="s">
        <v>5057</v>
      </c>
      <c r="G560" s="1">
        <v>44283</v>
      </c>
      <c r="H560">
        <v>2021</v>
      </c>
      <c r="I560" t="s">
        <v>5035</v>
      </c>
      <c r="J560">
        <v>28</v>
      </c>
      <c r="K560">
        <v>3.95</v>
      </c>
      <c r="L560">
        <v>10</v>
      </c>
      <c r="M560">
        <v>3814.46</v>
      </c>
      <c r="N560">
        <v>4.5999999999999996</v>
      </c>
      <c r="O560" t="s">
        <v>5050</v>
      </c>
    </row>
    <row r="561" spans="1:15" x14ac:dyDescent="0.3">
      <c r="A561" t="s">
        <v>3519</v>
      </c>
      <c r="B561" t="s">
        <v>10</v>
      </c>
      <c r="C561" t="s">
        <v>5022</v>
      </c>
      <c r="D561" t="s">
        <v>11</v>
      </c>
      <c r="E561">
        <v>52</v>
      </c>
      <c r="F561" t="s">
        <v>5056</v>
      </c>
      <c r="G561" s="1">
        <v>45731</v>
      </c>
      <c r="H561">
        <v>2025</v>
      </c>
      <c r="I561" t="s">
        <v>5035</v>
      </c>
      <c r="J561">
        <v>15</v>
      </c>
      <c r="K561">
        <v>4.99</v>
      </c>
      <c r="L561">
        <v>4</v>
      </c>
      <c r="M561">
        <v>8142.15</v>
      </c>
      <c r="N561">
        <v>0.6</v>
      </c>
      <c r="O561" t="s">
        <v>5051</v>
      </c>
    </row>
    <row r="562" spans="1:15" x14ac:dyDescent="0.3">
      <c r="A562" t="s">
        <v>3530</v>
      </c>
      <c r="B562" t="s">
        <v>10</v>
      </c>
      <c r="C562" t="s">
        <v>5022</v>
      </c>
      <c r="D562" t="s">
        <v>11</v>
      </c>
      <c r="E562">
        <v>49</v>
      </c>
      <c r="F562" t="s">
        <v>5055</v>
      </c>
      <c r="G562" s="1">
        <v>45390</v>
      </c>
      <c r="H562">
        <v>2024</v>
      </c>
      <c r="I562" t="s">
        <v>5040</v>
      </c>
      <c r="J562">
        <v>8</v>
      </c>
      <c r="K562">
        <v>3.29</v>
      </c>
      <c r="L562">
        <v>6</v>
      </c>
      <c r="M562">
        <v>3083.88</v>
      </c>
      <c r="N562">
        <v>1.6</v>
      </c>
      <c r="O562" t="s">
        <v>5050</v>
      </c>
    </row>
    <row r="563" spans="1:15" x14ac:dyDescent="0.3">
      <c r="A563" t="s">
        <v>3535</v>
      </c>
      <c r="B563" t="s">
        <v>24</v>
      </c>
      <c r="C563" t="s">
        <v>5019</v>
      </c>
      <c r="D563" t="s">
        <v>11</v>
      </c>
      <c r="E563">
        <v>38</v>
      </c>
      <c r="F563" t="s">
        <v>5055</v>
      </c>
      <c r="G563" s="1">
        <v>45446</v>
      </c>
      <c r="H563">
        <v>2024</v>
      </c>
      <c r="I563" t="s">
        <v>5032</v>
      </c>
      <c r="J563">
        <v>3</v>
      </c>
      <c r="K563">
        <v>2.5</v>
      </c>
      <c r="L563">
        <v>9</v>
      </c>
      <c r="M563">
        <v>9531.08</v>
      </c>
      <c r="N563">
        <v>1.4</v>
      </c>
      <c r="O563" t="s">
        <v>5050</v>
      </c>
    </row>
    <row r="564" spans="1:15" x14ac:dyDescent="0.3">
      <c r="A564" t="s">
        <v>3538</v>
      </c>
      <c r="B564" t="s">
        <v>10</v>
      </c>
      <c r="C564" t="s">
        <v>5022</v>
      </c>
      <c r="D564" t="s">
        <v>11</v>
      </c>
      <c r="E564">
        <v>31</v>
      </c>
      <c r="F564" t="s">
        <v>5057</v>
      </c>
      <c r="G564" s="1">
        <v>44120</v>
      </c>
      <c r="H564">
        <v>2020</v>
      </c>
      <c r="I564" t="s">
        <v>5039</v>
      </c>
      <c r="J564">
        <v>16</v>
      </c>
      <c r="K564">
        <v>3.21</v>
      </c>
      <c r="L564">
        <v>5</v>
      </c>
      <c r="M564">
        <v>7290.92</v>
      </c>
      <c r="N564">
        <v>5</v>
      </c>
      <c r="O564" t="s">
        <v>5050</v>
      </c>
    </row>
    <row r="565" spans="1:15" x14ac:dyDescent="0.3">
      <c r="A565" t="s">
        <v>3576</v>
      </c>
      <c r="B565" t="s">
        <v>34</v>
      </c>
      <c r="C565" t="s">
        <v>5020</v>
      </c>
      <c r="D565" t="s">
        <v>14</v>
      </c>
      <c r="E565">
        <v>23</v>
      </c>
      <c r="F565" t="s">
        <v>5057</v>
      </c>
      <c r="G565" s="1">
        <v>43899</v>
      </c>
      <c r="H565">
        <v>2020</v>
      </c>
      <c r="I565" t="s">
        <v>5035</v>
      </c>
      <c r="J565">
        <v>9</v>
      </c>
      <c r="K565">
        <v>3.73</v>
      </c>
      <c r="L565">
        <v>15</v>
      </c>
      <c r="M565">
        <v>12757.02</v>
      </c>
      <c r="N565">
        <v>5.7</v>
      </c>
      <c r="O565" t="s">
        <v>5049</v>
      </c>
    </row>
    <row r="566" spans="1:15" x14ac:dyDescent="0.3">
      <c r="A566" t="s">
        <v>3580</v>
      </c>
      <c r="B566" t="s">
        <v>10</v>
      </c>
      <c r="C566" t="s">
        <v>5022</v>
      </c>
      <c r="D566" t="s">
        <v>11</v>
      </c>
      <c r="E566">
        <v>30</v>
      </c>
      <c r="F566" t="s">
        <v>5057</v>
      </c>
      <c r="G566" s="1">
        <v>44806</v>
      </c>
      <c r="H566">
        <v>2022</v>
      </c>
      <c r="I566" t="s">
        <v>5033</v>
      </c>
      <c r="J566">
        <v>2</v>
      </c>
      <c r="K566">
        <v>3.1</v>
      </c>
      <c r="L566">
        <v>3</v>
      </c>
      <c r="M566">
        <v>9860.06</v>
      </c>
      <c r="N566">
        <v>3.2</v>
      </c>
      <c r="O566" t="s">
        <v>5050</v>
      </c>
    </row>
    <row r="567" spans="1:15" x14ac:dyDescent="0.3">
      <c r="A567" t="s">
        <v>3609</v>
      </c>
      <c r="B567" t="s">
        <v>10</v>
      </c>
      <c r="C567" t="s">
        <v>5022</v>
      </c>
      <c r="D567" t="s">
        <v>14</v>
      </c>
      <c r="E567">
        <v>27</v>
      </c>
      <c r="F567" t="s">
        <v>5057</v>
      </c>
      <c r="G567" s="1">
        <v>44197</v>
      </c>
      <c r="H567">
        <v>2021</v>
      </c>
      <c r="I567" t="s">
        <v>5037</v>
      </c>
      <c r="J567">
        <v>1</v>
      </c>
      <c r="K567">
        <v>1.85</v>
      </c>
      <c r="L567">
        <v>8</v>
      </c>
      <c r="M567">
        <v>4221.32</v>
      </c>
      <c r="N567">
        <v>4.8</v>
      </c>
      <c r="O567" t="s">
        <v>5050</v>
      </c>
    </row>
    <row r="568" spans="1:15" x14ac:dyDescent="0.3">
      <c r="A568" t="s">
        <v>3647</v>
      </c>
      <c r="B568" t="s">
        <v>24</v>
      </c>
      <c r="C568" t="s">
        <v>5019</v>
      </c>
      <c r="D568" t="s">
        <v>14</v>
      </c>
      <c r="E568">
        <v>59</v>
      </c>
      <c r="F568" t="s">
        <v>5056</v>
      </c>
      <c r="G568" s="1">
        <v>45014</v>
      </c>
      <c r="H568">
        <v>2023</v>
      </c>
      <c r="I568" t="s">
        <v>5035</v>
      </c>
      <c r="J568">
        <v>29</v>
      </c>
      <c r="K568">
        <v>2.7</v>
      </c>
      <c r="L568">
        <v>4</v>
      </c>
      <c r="M568">
        <v>14667.06</v>
      </c>
      <c r="N568">
        <v>2.6</v>
      </c>
      <c r="O568" t="s">
        <v>5050</v>
      </c>
    </row>
    <row r="569" spans="1:15" x14ac:dyDescent="0.3">
      <c r="A569" t="s">
        <v>3674</v>
      </c>
      <c r="B569" t="s">
        <v>34</v>
      </c>
      <c r="C569" t="s">
        <v>5020</v>
      </c>
      <c r="D569" t="s">
        <v>11</v>
      </c>
      <c r="E569">
        <v>37</v>
      </c>
      <c r="F569" t="s">
        <v>5055</v>
      </c>
      <c r="G569" s="1">
        <v>45143</v>
      </c>
      <c r="H569">
        <v>2023</v>
      </c>
      <c r="I569" t="s">
        <v>5031</v>
      </c>
      <c r="J569">
        <v>5</v>
      </c>
      <c r="K569">
        <v>3.12</v>
      </c>
      <c r="L569">
        <v>10</v>
      </c>
      <c r="M569">
        <v>13577.8</v>
      </c>
      <c r="N569">
        <v>2.2000000000000002</v>
      </c>
      <c r="O569" t="s">
        <v>5050</v>
      </c>
    </row>
    <row r="570" spans="1:15" x14ac:dyDescent="0.3">
      <c r="A570" t="s">
        <v>3685</v>
      </c>
      <c r="B570" t="s">
        <v>34</v>
      </c>
      <c r="C570" t="s">
        <v>5020</v>
      </c>
      <c r="D570" t="s">
        <v>11</v>
      </c>
      <c r="E570">
        <v>45</v>
      </c>
      <c r="F570" t="s">
        <v>5055</v>
      </c>
      <c r="G570" s="1">
        <v>44147</v>
      </c>
      <c r="H570">
        <v>2020</v>
      </c>
      <c r="I570" t="s">
        <v>5038</v>
      </c>
      <c r="J570">
        <v>12</v>
      </c>
      <c r="K570">
        <v>3.35</v>
      </c>
      <c r="L570">
        <v>7</v>
      </c>
      <c r="M570">
        <v>5252.61</v>
      </c>
      <c r="N570">
        <v>5</v>
      </c>
      <c r="O570" t="s">
        <v>5050</v>
      </c>
    </row>
    <row r="571" spans="1:15" x14ac:dyDescent="0.3">
      <c r="A571" t="s">
        <v>3710</v>
      </c>
      <c r="B571" t="s">
        <v>18</v>
      </c>
      <c r="C571" t="s">
        <v>5021</v>
      </c>
      <c r="D571" t="s">
        <v>11</v>
      </c>
      <c r="E571">
        <v>40</v>
      </c>
      <c r="F571" t="s">
        <v>5055</v>
      </c>
      <c r="G571" s="1">
        <v>45422</v>
      </c>
      <c r="H571">
        <v>2024</v>
      </c>
      <c r="I571" t="s">
        <v>5036</v>
      </c>
      <c r="J571">
        <v>10</v>
      </c>
      <c r="K571">
        <v>3.83</v>
      </c>
      <c r="L571">
        <v>2</v>
      </c>
      <c r="M571">
        <v>5212.2299999999996</v>
      </c>
      <c r="N571">
        <v>1.5</v>
      </c>
      <c r="O571" t="s">
        <v>5050</v>
      </c>
    </row>
    <row r="572" spans="1:15" x14ac:dyDescent="0.3">
      <c r="A572" t="s">
        <v>3726</v>
      </c>
      <c r="B572" t="s">
        <v>34</v>
      </c>
      <c r="C572" t="s">
        <v>5020</v>
      </c>
      <c r="D572" t="s">
        <v>14</v>
      </c>
      <c r="E572">
        <v>26</v>
      </c>
      <c r="F572" t="s">
        <v>5057</v>
      </c>
      <c r="G572" s="1">
        <v>45308</v>
      </c>
      <c r="H572">
        <v>2024</v>
      </c>
      <c r="I572" t="s">
        <v>5037</v>
      </c>
      <c r="J572">
        <v>17</v>
      </c>
      <c r="K572">
        <v>4.9000000000000004</v>
      </c>
      <c r="L572">
        <v>9</v>
      </c>
      <c r="M572">
        <v>14346.96</v>
      </c>
      <c r="N572">
        <v>1.8</v>
      </c>
      <c r="O572" t="s">
        <v>5050</v>
      </c>
    </row>
    <row r="573" spans="1:15" x14ac:dyDescent="0.3">
      <c r="A573" t="s">
        <v>3773</v>
      </c>
      <c r="B573" t="s">
        <v>18</v>
      </c>
      <c r="C573" t="s">
        <v>5021</v>
      </c>
      <c r="D573" t="s">
        <v>11</v>
      </c>
      <c r="E573">
        <v>38</v>
      </c>
      <c r="F573" t="s">
        <v>5055</v>
      </c>
      <c r="G573" s="1">
        <v>45821</v>
      </c>
      <c r="H573">
        <v>2025</v>
      </c>
      <c r="I573" t="s">
        <v>5032</v>
      </c>
      <c r="J573">
        <v>13</v>
      </c>
      <c r="K573">
        <v>4.7699999999999996</v>
      </c>
      <c r="L573">
        <v>14</v>
      </c>
      <c r="M573">
        <v>14245.65</v>
      </c>
      <c r="N573">
        <v>0.4</v>
      </c>
      <c r="O573" t="s">
        <v>5051</v>
      </c>
    </row>
    <row r="574" spans="1:15" x14ac:dyDescent="0.3">
      <c r="A574" t="s">
        <v>3813</v>
      </c>
      <c r="B574" t="s">
        <v>13</v>
      </c>
      <c r="C574" t="s">
        <v>5017</v>
      </c>
      <c r="D574" t="s">
        <v>14</v>
      </c>
      <c r="E574">
        <v>51</v>
      </c>
      <c r="F574" t="s">
        <v>5056</v>
      </c>
      <c r="G574" s="1">
        <v>45592</v>
      </c>
      <c r="H574">
        <v>2024</v>
      </c>
      <c r="I574" t="s">
        <v>5039</v>
      </c>
      <c r="J574">
        <v>27</v>
      </c>
      <c r="K574">
        <v>4.8099999999999996</v>
      </c>
      <c r="L574">
        <v>9</v>
      </c>
      <c r="M574">
        <v>8229.5300000000007</v>
      </c>
      <c r="N574">
        <v>1</v>
      </c>
      <c r="O574" t="s">
        <v>5051</v>
      </c>
    </row>
    <row r="575" spans="1:15" x14ac:dyDescent="0.3">
      <c r="A575" t="s">
        <v>3839</v>
      </c>
      <c r="B575" t="s">
        <v>16</v>
      </c>
      <c r="C575" t="s">
        <v>5018</v>
      </c>
      <c r="D575" t="s">
        <v>11</v>
      </c>
      <c r="E575">
        <v>31</v>
      </c>
      <c r="F575" t="s">
        <v>5057</v>
      </c>
      <c r="G575" s="1">
        <v>44636</v>
      </c>
      <c r="H575">
        <v>2022</v>
      </c>
      <c r="I575" t="s">
        <v>5035</v>
      </c>
      <c r="J575">
        <v>16</v>
      </c>
      <c r="K575">
        <v>3.73</v>
      </c>
      <c r="L575">
        <v>6</v>
      </c>
      <c r="M575">
        <v>10318.52</v>
      </c>
      <c r="N575">
        <v>3.6</v>
      </c>
      <c r="O575" t="s">
        <v>5050</v>
      </c>
    </row>
    <row r="576" spans="1:15" x14ac:dyDescent="0.3">
      <c r="A576" t="s">
        <v>3843</v>
      </c>
      <c r="B576" t="s">
        <v>24</v>
      </c>
      <c r="C576" t="s">
        <v>5019</v>
      </c>
      <c r="D576" t="s">
        <v>11</v>
      </c>
      <c r="E576">
        <v>22</v>
      </c>
      <c r="F576" t="s">
        <v>5057</v>
      </c>
      <c r="G576" s="1">
        <v>45945</v>
      </c>
      <c r="H576">
        <v>2025</v>
      </c>
      <c r="I576" t="s">
        <v>5039</v>
      </c>
      <c r="J576">
        <v>15</v>
      </c>
      <c r="K576">
        <v>2.2999999999999998</v>
      </c>
      <c r="L576">
        <v>12</v>
      </c>
      <c r="M576">
        <v>6471.34</v>
      </c>
      <c r="N576">
        <v>0</v>
      </c>
      <c r="O576" t="s">
        <v>5051</v>
      </c>
    </row>
    <row r="577" spans="1:15" x14ac:dyDescent="0.3">
      <c r="A577" t="s">
        <v>3847</v>
      </c>
      <c r="B577" t="s">
        <v>13</v>
      </c>
      <c r="C577" t="s">
        <v>5017</v>
      </c>
      <c r="D577" t="s">
        <v>11</v>
      </c>
      <c r="E577">
        <v>27</v>
      </c>
      <c r="F577" t="s">
        <v>5057</v>
      </c>
      <c r="G577" s="1">
        <v>45114</v>
      </c>
      <c r="H577">
        <v>2023</v>
      </c>
      <c r="I577" t="s">
        <v>5034</v>
      </c>
      <c r="J577">
        <v>7</v>
      </c>
      <c r="K577">
        <v>2.5299999999999998</v>
      </c>
      <c r="L577">
        <v>5</v>
      </c>
      <c r="M577">
        <v>6261.51</v>
      </c>
      <c r="N577">
        <v>2.2999999999999998</v>
      </c>
      <c r="O577" t="s">
        <v>5050</v>
      </c>
    </row>
    <row r="578" spans="1:15" x14ac:dyDescent="0.3">
      <c r="A578" t="s">
        <v>3855</v>
      </c>
      <c r="B578" t="s">
        <v>24</v>
      </c>
      <c r="C578" t="s">
        <v>5019</v>
      </c>
      <c r="D578" t="s">
        <v>11</v>
      </c>
      <c r="E578">
        <v>31</v>
      </c>
      <c r="F578" t="s">
        <v>5057</v>
      </c>
      <c r="G578" s="1">
        <v>44924</v>
      </c>
      <c r="H578">
        <v>2022</v>
      </c>
      <c r="I578" t="s">
        <v>5041</v>
      </c>
      <c r="J578">
        <v>29</v>
      </c>
      <c r="K578">
        <v>3.13</v>
      </c>
      <c r="L578">
        <v>4</v>
      </c>
      <c r="M578">
        <v>6928.4</v>
      </c>
      <c r="N578">
        <v>2.8</v>
      </c>
      <c r="O578" t="s">
        <v>5050</v>
      </c>
    </row>
    <row r="579" spans="1:15" x14ac:dyDescent="0.3">
      <c r="A579" t="s">
        <v>3857</v>
      </c>
      <c r="B579" t="s">
        <v>24</v>
      </c>
      <c r="C579" t="s">
        <v>5019</v>
      </c>
      <c r="D579" t="s">
        <v>14</v>
      </c>
      <c r="E579">
        <v>28</v>
      </c>
      <c r="F579" t="s">
        <v>5057</v>
      </c>
      <c r="G579" s="1">
        <v>44636</v>
      </c>
      <c r="H579">
        <v>2022</v>
      </c>
      <c r="I579" t="s">
        <v>5035</v>
      </c>
      <c r="J579">
        <v>16</v>
      </c>
      <c r="K579">
        <v>2.2599999999999998</v>
      </c>
      <c r="L579">
        <v>4</v>
      </c>
      <c r="M579">
        <v>3788.53</v>
      </c>
      <c r="N579">
        <v>3.6</v>
      </c>
      <c r="O579" t="s">
        <v>5050</v>
      </c>
    </row>
    <row r="580" spans="1:15" x14ac:dyDescent="0.3">
      <c r="A580" t="s">
        <v>3862</v>
      </c>
      <c r="B580" t="s">
        <v>34</v>
      </c>
      <c r="C580" t="s">
        <v>5020</v>
      </c>
      <c r="D580" t="s">
        <v>11</v>
      </c>
      <c r="E580">
        <v>53</v>
      </c>
      <c r="F580" t="s">
        <v>5056</v>
      </c>
      <c r="G580" s="1">
        <v>44797</v>
      </c>
      <c r="H580">
        <v>2022</v>
      </c>
      <c r="I580" t="s">
        <v>5031</v>
      </c>
      <c r="J580">
        <v>24</v>
      </c>
      <c r="K580">
        <v>4.7</v>
      </c>
      <c r="L580">
        <v>13</v>
      </c>
      <c r="M580">
        <v>13525.93</v>
      </c>
      <c r="N580">
        <v>3.2</v>
      </c>
      <c r="O580" t="s">
        <v>5050</v>
      </c>
    </row>
    <row r="581" spans="1:15" x14ac:dyDescent="0.3">
      <c r="A581" t="s">
        <v>3872</v>
      </c>
      <c r="B581" t="s">
        <v>10</v>
      </c>
      <c r="C581" t="s">
        <v>5022</v>
      </c>
      <c r="D581" t="s">
        <v>11</v>
      </c>
      <c r="E581">
        <v>46</v>
      </c>
      <c r="F581" t="s">
        <v>5055</v>
      </c>
      <c r="G581" s="1">
        <v>45549</v>
      </c>
      <c r="H581">
        <v>2024</v>
      </c>
      <c r="I581" t="s">
        <v>5033</v>
      </c>
      <c r="J581">
        <v>14</v>
      </c>
      <c r="K581">
        <v>1.86</v>
      </c>
      <c r="L581">
        <v>9</v>
      </c>
      <c r="M581">
        <v>8303.92</v>
      </c>
      <c r="N581">
        <v>1.1000000000000001</v>
      </c>
      <c r="O581" t="s">
        <v>5050</v>
      </c>
    </row>
    <row r="582" spans="1:15" x14ac:dyDescent="0.3">
      <c r="A582" t="s">
        <v>3903</v>
      </c>
      <c r="B582" t="s">
        <v>34</v>
      </c>
      <c r="C582" t="s">
        <v>5020</v>
      </c>
      <c r="D582" t="s">
        <v>14</v>
      </c>
      <c r="E582">
        <v>45</v>
      </c>
      <c r="F582" t="s">
        <v>5055</v>
      </c>
      <c r="G582" s="1">
        <v>45113</v>
      </c>
      <c r="H582">
        <v>2023</v>
      </c>
      <c r="I582" t="s">
        <v>5034</v>
      </c>
      <c r="J582">
        <v>6</v>
      </c>
      <c r="K582">
        <v>1.98</v>
      </c>
      <c r="L582">
        <v>14</v>
      </c>
      <c r="M582">
        <v>14729.94</v>
      </c>
      <c r="N582">
        <v>2.2999999999999998</v>
      </c>
      <c r="O582" t="s">
        <v>5050</v>
      </c>
    </row>
    <row r="583" spans="1:15" x14ac:dyDescent="0.3">
      <c r="A583" t="s">
        <v>3904</v>
      </c>
      <c r="B583" t="s">
        <v>34</v>
      </c>
      <c r="C583" t="s">
        <v>5020</v>
      </c>
      <c r="D583" t="s">
        <v>11</v>
      </c>
      <c r="E583">
        <v>35</v>
      </c>
      <c r="F583" t="s">
        <v>5055</v>
      </c>
      <c r="G583" s="1">
        <v>44063</v>
      </c>
      <c r="H583">
        <v>2020</v>
      </c>
      <c r="I583" t="s">
        <v>5031</v>
      </c>
      <c r="J583">
        <v>20</v>
      </c>
      <c r="K583">
        <v>1.75</v>
      </c>
      <c r="L583">
        <v>7</v>
      </c>
      <c r="M583">
        <v>6021.85</v>
      </c>
      <c r="N583">
        <v>5.2</v>
      </c>
      <c r="O583" t="s">
        <v>5049</v>
      </c>
    </row>
    <row r="584" spans="1:15" x14ac:dyDescent="0.3">
      <c r="A584" t="s">
        <v>3916</v>
      </c>
      <c r="B584" t="s">
        <v>34</v>
      </c>
      <c r="C584" t="s">
        <v>5020</v>
      </c>
      <c r="D584" t="s">
        <v>11</v>
      </c>
      <c r="E584">
        <v>59</v>
      </c>
      <c r="F584" t="s">
        <v>5056</v>
      </c>
      <c r="G584" s="1">
        <v>44719</v>
      </c>
      <c r="H584">
        <v>2022</v>
      </c>
      <c r="I584" t="s">
        <v>5032</v>
      </c>
      <c r="J584">
        <v>7</v>
      </c>
      <c r="K584">
        <v>4.33</v>
      </c>
      <c r="L584">
        <v>6</v>
      </c>
      <c r="M584">
        <v>14982.56</v>
      </c>
      <c r="N584">
        <v>3.4</v>
      </c>
      <c r="O584" t="s">
        <v>5050</v>
      </c>
    </row>
    <row r="585" spans="1:15" x14ac:dyDescent="0.3">
      <c r="A585" t="s">
        <v>3950</v>
      </c>
      <c r="B585" t="s">
        <v>18</v>
      </c>
      <c r="C585" t="s">
        <v>5021</v>
      </c>
      <c r="D585" t="s">
        <v>14</v>
      </c>
      <c r="E585">
        <v>40</v>
      </c>
      <c r="F585" t="s">
        <v>5055</v>
      </c>
      <c r="G585" s="1">
        <v>44068</v>
      </c>
      <c r="H585">
        <v>2020</v>
      </c>
      <c r="I585" t="s">
        <v>5031</v>
      </c>
      <c r="J585">
        <v>25</v>
      </c>
      <c r="K585">
        <v>3.74</v>
      </c>
      <c r="L585">
        <v>4</v>
      </c>
      <c r="M585">
        <v>3767.42</v>
      </c>
      <c r="N585">
        <v>5.2</v>
      </c>
      <c r="O585" t="s">
        <v>5049</v>
      </c>
    </row>
    <row r="586" spans="1:15" x14ac:dyDescent="0.3">
      <c r="A586" t="s">
        <v>3953</v>
      </c>
      <c r="B586" t="s">
        <v>18</v>
      </c>
      <c r="C586" t="s">
        <v>5021</v>
      </c>
      <c r="D586" t="s">
        <v>11</v>
      </c>
      <c r="E586">
        <v>47</v>
      </c>
      <c r="F586" t="s">
        <v>5055</v>
      </c>
      <c r="G586" s="1">
        <v>44692</v>
      </c>
      <c r="H586">
        <v>2022</v>
      </c>
      <c r="I586" t="s">
        <v>5036</v>
      </c>
      <c r="J586">
        <v>11</v>
      </c>
      <c r="K586">
        <v>3</v>
      </c>
      <c r="L586">
        <v>8</v>
      </c>
      <c r="M586">
        <v>7111.15</v>
      </c>
      <c r="N586">
        <v>3.5</v>
      </c>
      <c r="O586" t="s">
        <v>5050</v>
      </c>
    </row>
    <row r="587" spans="1:15" x14ac:dyDescent="0.3">
      <c r="A587" t="s">
        <v>3964</v>
      </c>
      <c r="B587" t="s">
        <v>16</v>
      </c>
      <c r="C587" t="s">
        <v>5018</v>
      </c>
      <c r="D587" t="s">
        <v>14</v>
      </c>
      <c r="E587">
        <v>59</v>
      </c>
      <c r="F587" t="s">
        <v>5056</v>
      </c>
      <c r="G587" s="1">
        <v>43899</v>
      </c>
      <c r="H587">
        <v>2020</v>
      </c>
      <c r="I587" t="s">
        <v>5035</v>
      </c>
      <c r="J587">
        <v>9</v>
      </c>
      <c r="K587">
        <v>4.57</v>
      </c>
      <c r="L587">
        <v>12</v>
      </c>
      <c r="M587">
        <v>11020.4</v>
      </c>
      <c r="N587">
        <v>5.7</v>
      </c>
      <c r="O587" t="s">
        <v>5049</v>
      </c>
    </row>
    <row r="588" spans="1:15" x14ac:dyDescent="0.3">
      <c r="A588" t="s">
        <v>4025</v>
      </c>
      <c r="B588" t="s">
        <v>24</v>
      </c>
      <c r="C588" t="s">
        <v>5019</v>
      </c>
      <c r="D588" t="s">
        <v>14</v>
      </c>
      <c r="E588">
        <v>59</v>
      </c>
      <c r="F588" t="s">
        <v>5056</v>
      </c>
      <c r="G588" s="1">
        <v>44839</v>
      </c>
      <c r="H588">
        <v>2022</v>
      </c>
      <c r="I588" t="s">
        <v>5039</v>
      </c>
      <c r="J588">
        <v>5</v>
      </c>
      <c r="K588">
        <v>4.46</v>
      </c>
      <c r="L588">
        <v>15</v>
      </c>
      <c r="M588">
        <v>5946.73</v>
      </c>
      <c r="N588">
        <v>3.1</v>
      </c>
      <c r="O588" t="s">
        <v>5050</v>
      </c>
    </row>
    <row r="589" spans="1:15" x14ac:dyDescent="0.3">
      <c r="A589" t="s">
        <v>4044</v>
      </c>
      <c r="B589" t="s">
        <v>18</v>
      </c>
      <c r="C589" t="s">
        <v>5021</v>
      </c>
      <c r="D589" t="s">
        <v>14</v>
      </c>
      <c r="E589">
        <v>58</v>
      </c>
      <c r="F589" t="s">
        <v>5056</v>
      </c>
      <c r="G589" s="1">
        <v>44234</v>
      </c>
      <c r="H589">
        <v>2021</v>
      </c>
      <c r="I589" t="s">
        <v>5042</v>
      </c>
      <c r="J589">
        <v>7</v>
      </c>
      <c r="K589">
        <v>4.12</v>
      </c>
      <c r="L589">
        <v>5</v>
      </c>
      <c r="M589">
        <v>5823.65</v>
      </c>
      <c r="N589">
        <v>4.7</v>
      </c>
      <c r="O589" t="s">
        <v>5050</v>
      </c>
    </row>
    <row r="590" spans="1:15" x14ac:dyDescent="0.3">
      <c r="A590" t="s">
        <v>4068</v>
      </c>
      <c r="B590" t="s">
        <v>16</v>
      </c>
      <c r="C590" t="s">
        <v>5018</v>
      </c>
      <c r="D590" t="s">
        <v>11</v>
      </c>
      <c r="E590">
        <v>22</v>
      </c>
      <c r="F590" t="s">
        <v>5057</v>
      </c>
      <c r="G590" s="1">
        <v>45249</v>
      </c>
      <c r="H590">
        <v>2023</v>
      </c>
      <c r="I590" t="s">
        <v>5038</v>
      </c>
      <c r="J590">
        <v>19</v>
      </c>
      <c r="K590">
        <v>1.97</v>
      </c>
      <c r="L590">
        <v>12</v>
      </c>
      <c r="M590">
        <v>13066.78</v>
      </c>
      <c r="N590">
        <v>2</v>
      </c>
      <c r="O590" t="s">
        <v>5050</v>
      </c>
    </row>
    <row r="591" spans="1:15" x14ac:dyDescent="0.3">
      <c r="A591" t="s">
        <v>4101</v>
      </c>
      <c r="B591" t="s">
        <v>24</v>
      </c>
      <c r="C591" t="s">
        <v>5019</v>
      </c>
      <c r="D591" t="s">
        <v>14</v>
      </c>
      <c r="E591">
        <v>38</v>
      </c>
      <c r="F591" t="s">
        <v>5055</v>
      </c>
      <c r="G591" s="1">
        <v>45826</v>
      </c>
      <c r="H591">
        <v>2025</v>
      </c>
      <c r="I591" t="s">
        <v>5032</v>
      </c>
      <c r="J591">
        <v>18</v>
      </c>
      <c r="K591">
        <v>3.99</v>
      </c>
      <c r="L591">
        <v>6</v>
      </c>
      <c r="M591">
        <v>11653.84</v>
      </c>
      <c r="N591">
        <v>0.4</v>
      </c>
      <c r="O591" t="s">
        <v>5051</v>
      </c>
    </row>
    <row r="592" spans="1:15" x14ac:dyDescent="0.3">
      <c r="A592" t="s">
        <v>4121</v>
      </c>
      <c r="B592" t="s">
        <v>34</v>
      </c>
      <c r="C592" t="s">
        <v>5020</v>
      </c>
      <c r="D592" t="s">
        <v>14</v>
      </c>
      <c r="E592">
        <v>25</v>
      </c>
      <c r="F592" t="s">
        <v>5057</v>
      </c>
      <c r="G592" s="1">
        <v>44097</v>
      </c>
      <c r="H592">
        <v>2020</v>
      </c>
      <c r="I592" t="s">
        <v>5033</v>
      </c>
      <c r="J592">
        <v>23</v>
      </c>
      <c r="K592">
        <v>3.7</v>
      </c>
      <c r="L592">
        <v>3</v>
      </c>
      <c r="M592">
        <v>7238.36</v>
      </c>
      <c r="N592">
        <v>5.0999999999999996</v>
      </c>
      <c r="O592" t="s">
        <v>5049</v>
      </c>
    </row>
    <row r="593" spans="1:15" x14ac:dyDescent="0.3">
      <c r="A593" t="s">
        <v>4126</v>
      </c>
      <c r="B593" t="s">
        <v>10</v>
      </c>
      <c r="C593" t="s">
        <v>5022</v>
      </c>
      <c r="D593" t="s">
        <v>11</v>
      </c>
      <c r="E593">
        <v>29</v>
      </c>
      <c r="F593" t="s">
        <v>5057</v>
      </c>
      <c r="G593" s="1">
        <v>44449</v>
      </c>
      <c r="H593">
        <v>2021</v>
      </c>
      <c r="I593" t="s">
        <v>5033</v>
      </c>
      <c r="J593">
        <v>10</v>
      </c>
      <c r="K593">
        <v>4.29</v>
      </c>
      <c r="L593">
        <v>14</v>
      </c>
      <c r="M593">
        <v>10999.81</v>
      </c>
      <c r="N593">
        <v>4.0999999999999996</v>
      </c>
      <c r="O593" t="s">
        <v>5050</v>
      </c>
    </row>
    <row r="594" spans="1:15" x14ac:dyDescent="0.3">
      <c r="A594" t="s">
        <v>4140</v>
      </c>
      <c r="B594" t="s">
        <v>18</v>
      </c>
      <c r="C594" t="s">
        <v>5021</v>
      </c>
      <c r="D594" t="s">
        <v>14</v>
      </c>
      <c r="E594">
        <v>53</v>
      </c>
      <c r="F594" t="s">
        <v>5056</v>
      </c>
      <c r="G594" s="1">
        <v>45202</v>
      </c>
      <c r="H594">
        <v>2023</v>
      </c>
      <c r="I594" t="s">
        <v>5039</v>
      </c>
      <c r="J594">
        <v>3</v>
      </c>
      <c r="K594">
        <v>3.32</v>
      </c>
      <c r="L594">
        <v>1</v>
      </c>
      <c r="M594">
        <v>10139.91</v>
      </c>
      <c r="N594">
        <v>2.1</v>
      </c>
      <c r="O594" t="s">
        <v>5050</v>
      </c>
    </row>
    <row r="595" spans="1:15" x14ac:dyDescent="0.3">
      <c r="A595" t="s">
        <v>4176</v>
      </c>
      <c r="B595" t="s">
        <v>16</v>
      </c>
      <c r="C595" t="s">
        <v>5018</v>
      </c>
      <c r="D595" t="s">
        <v>11</v>
      </c>
      <c r="E595">
        <v>47</v>
      </c>
      <c r="F595" t="s">
        <v>5055</v>
      </c>
      <c r="G595" s="1">
        <v>44991</v>
      </c>
      <c r="H595">
        <v>2023</v>
      </c>
      <c r="I595" t="s">
        <v>5035</v>
      </c>
      <c r="J595">
        <v>6</v>
      </c>
      <c r="K595">
        <v>4.91</v>
      </c>
      <c r="L595">
        <v>0</v>
      </c>
      <c r="M595">
        <v>7864.94</v>
      </c>
      <c r="N595">
        <v>2.7</v>
      </c>
      <c r="O595" t="s">
        <v>5050</v>
      </c>
    </row>
    <row r="596" spans="1:15" x14ac:dyDescent="0.3">
      <c r="A596" t="s">
        <v>4209</v>
      </c>
      <c r="B596" t="s">
        <v>16</v>
      </c>
      <c r="C596" t="s">
        <v>5018</v>
      </c>
      <c r="D596" t="s">
        <v>11</v>
      </c>
      <c r="E596">
        <v>45</v>
      </c>
      <c r="F596" t="s">
        <v>5055</v>
      </c>
      <c r="G596" s="1">
        <v>44068</v>
      </c>
      <c r="H596">
        <v>2020</v>
      </c>
      <c r="I596" t="s">
        <v>5031</v>
      </c>
      <c r="J596">
        <v>25</v>
      </c>
      <c r="K596">
        <v>3.8</v>
      </c>
      <c r="L596">
        <v>5</v>
      </c>
      <c r="M596">
        <v>13957.28</v>
      </c>
      <c r="N596">
        <v>5.2</v>
      </c>
      <c r="O596" t="s">
        <v>5049</v>
      </c>
    </row>
    <row r="597" spans="1:15" x14ac:dyDescent="0.3">
      <c r="A597" t="s">
        <v>4214</v>
      </c>
      <c r="B597" t="s">
        <v>18</v>
      </c>
      <c r="C597" t="s">
        <v>5021</v>
      </c>
      <c r="D597" t="s">
        <v>11</v>
      </c>
      <c r="E597">
        <v>50</v>
      </c>
      <c r="F597" t="s">
        <v>5055</v>
      </c>
      <c r="G597" s="1">
        <v>44815</v>
      </c>
      <c r="H597">
        <v>2022</v>
      </c>
      <c r="I597" t="s">
        <v>5033</v>
      </c>
      <c r="J597">
        <v>11</v>
      </c>
      <c r="K597">
        <v>3.23</v>
      </c>
      <c r="L597">
        <v>13</v>
      </c>
      <c r="M597">
        <v>14324.22</v>
      </c>
      <c r="N597">
        <v>3.1</v>
      </c>
      <c r="O597" t="s">
        <v>5050</v>
      </c>
    </row>
    <row r="598" spans="1:15" x14ac:dyDescent="0.3">
      <c r="A598" t="s">
        <v>4246</v>
      </c>
      <c r="B598" t="s">
        <v>18</v>
      </c>
      <c r="C598" t="s">
        <v>5021</v>
      </c>
      <c r="D598" t="s">
        <v>14</v>
      </c>
      <c r="E598">
        <v>37</v>
      </c>
      <c r="F598" t="s">
        <v>5055</v>
      </c>
      <c r="G598" s="1">
        <v>44718</v>
      </c>
      <c r="H598">
        <v>2022</v>
      </c>
      <c r="I598" t="s">
        <v>5032</v>
      </c>
      <c r="J598">
        <v>6</v>
      </c>
      <c r="K598">
        <v>3.39</v>
      </c>
      <c r="L598">
        <v>12</v>
      </c>
      <c r="M598">
        <v>14519.66</v>
      </c>
      <c r="N598">
        <v>3.4</v>
      </c>
      <c r="O598" t="s">
        <v>5050</v>
      </c>
    </row>
    <row r="599" spans="1:15" x14ac:dyDescent="0.3">
      <c r="A599" t="s">
        <v>4280</v>
      </c>
      <c r="B599" t="s">
        <v>10</v>
      </c>
      <c r="C599" t="s">
        <v>5022</v>
      </c>
      <c r="D599" t="s">
        <v>14</v>
      </c>
      <c r="E599">
        <v>25</v>
      </c>
      <c r="F599" t="s">
        <v>5057</v>
      </c>
      <c r="G599" s="1">
        <v>45779</v>
      </c>
      <c r="H599">
        <v>2025</v>
      </c>
      <c r="I599" t="s">
        <v>5036</v>
      </c>
      <c r="J599">
        <v>2</v>
      </c>
      <c r="K599">
        <v>4.1100000000000003</v>
      </c>
      <c r="L599">
        <v>10</v>
      </c>
      <c r="M599">
        <v>10979.59</v>
      </c>
      <c r="N599">
        <v>0.5</v>
      </c>
      <c r="O599" t="s">
        <v>5051</v>
      </c>
    </row>
    <row r="600" spans="1:15" x14ac:dyDescent="0.3">
      <c r="A600" t="s">
        <v>4318</v>
      </c>
      <c r="B600" t="s">
        <v>16</v>
      </c>
      <c r="C600" t="s">
        <v>5018</v>
      </c>
      <c r="D600" t="s">
        <v>11</v>
      </c>
      <c r="E600">
        <v>44</v>
      </c>
      <c r="F600" t="s">
        <v>5055</v>
      </c>
      <c r="G600" s="1">
        <v>45864</v>
      </c>
      <c r="H600">
        <v>2025</v>
      </c>
      <c r="I600" t="s">
        <v>5034</v>
      </c>
      <c r="J600">
        <v>26</v>
      </c>
      <c r="K600">
        <v>2.57</v>
      </c>
      <c r="L600">
        <v>0</v>
      </c>
      <c r="M600">
        <v>7052.11</v>
      </c>
      <c r="N600">
        <v>0.3</v>
      </c>
      <c r="O600" t="s">
        <v>5051</v>
      </c>
    </row>
    <row r="601" spans="1:15" x14ac:dyDescent="0.3">
      <c r="A601" t="s">
        <v>4332</v>
      </c>
      <c r="B601" t="s">
        <v>24</v>
      </c>
      <c r="C601" t="s">
        <v>5019</v>
      </c>
      <c r="D601" t="s">
        <v>11</v>
      </c>
      <c r="E601">
        <v>40</v>
      </c>
      <c r="F601" t="s">
        <v>5055</v>
      </c>
      <c r="G601" s="1">
        <v>44284</v>
      </c>
      <c r="H601">
        <v>2021</v>
      </c>
      <c r="I601" t="s">
        <v>5035</v>
      </c>
      <c r="J601">
        <v>29</v>
      </c>
      <c r="K601">
        <v>1.81</v>
      </c>
      <c r="L601">
        <v>14</v>
      </c>
      <c r="M601">
        <v>14347.46</v>
      </c>
      <c r="N601">
        <v>4.5999999999999996</v>
      </c>
      <c r="O601" t="s">
        <v>5050</v>
      </c>
    </row>
    <row r="602" spans="1:15" x14ac:dyDescent="0.3">
      <c r="A602" t="s">
        <v>4351</v>
      </c>
      <c r="B602" t="s">
        <v>34</v>
      </c>
      <c r="C602" t="s">
        <v>5020</v>
      </c>
      <c r="D602" t="s">
        <v>14</v>
      </c>
      <c r="E602">
        <v>50</v>
      </c>
      <c r="F602" t="s">
        <v>5055</v>
      </c>
      <c r="G602" s="1">
        <v>45754</v>
      </c>
      <c r="H602">
        <v>2025</v>
      </c>
      <c r="I602" t="s">
        <v>5040</v>
      </c>
      <c r="J602">
        <v>7</v>
      </c>
      <c r="K602">
        <v>2.59</v>
      </c>
      <c r="L602">
        <v>4</v>
      </c>
      <c r="M602">
        <v>11950.94</v>
      </c>
      <c r="N602">
        <v>0.6</v>
      </c>
      <c r="O602" t="s">
        <v>5051</v>
      </c>
    </row>
    <row r="603" spans="1:15" x14ac:dyDescent="0.3">
      <c r="A603" t="s">
        <v>4370</v>
      </c>
      <c r="B603" t="s">
        <v>24</v>
      </c>
      <c r="C603" t="s">
        <v>5019</v>
      </c>
      <c r="D603" t="s">
        <v>14</v>
      </c>
      <c r="E603">
        <v>35</v>
      </c>
      <c r="F603" t="s">
        <v>5055</v>
      </c>
      <c r="G603" s="1">
        <v>44354</v>
      </c>
      <c r="H603">
        <v>2021</v>
      </c>
      <c r="I603" t="s">
        <v>5032</v>
      </c>
      <c r="J603">
        <v>7</v>
      </c>
      <c r="K603">
        <v>3.58</v>
      </c>
      <c r="L603">
        <v>11</v>
      </c>
      <c r="M603">
        <v>13252.17</v>
      </c>
      <c r="N603">
        <v>4.4000000000000004</v>
      </c>
      <c r="O603" t="s">
        <v>5050</v>
      </c>
    </row>
    <row r="604" spans="1:15" x14ac:dyDescent="0.3">
      <c r="A604" t="s">
        <v>4390</v>
      </c>
      <c r="B604" t="s">
        <v>16</v>
      </c>
      <c r="C604" t="s">
        <v>5018</v>
      </c>
      <c r="D604" t="s">
        <v>11</v>
      </c>
      <c r="E604">
        <v>26</v>
      </c>
      <c r="F604" t="s">
        <v>5057</v>
      </c>
      <c r="G604" s="1">
        <v>45275</v>
      </c>
      <c r="H604">
        <v>2023</v>
      </c>
      <c r="I604" t="s">
        <v>5041</v>
      </c>
      <c r="J604">
        <v>15</v>
      </c>
      <c r="K604">
        <v>4.96</v>
      </c>
      <c r="L604">
        <v>6</v>
      </c>
      <c r="M604">
        <v>13587.24</v>
      </c>
      <c r="N604">
        <v>1.9</v>
      </c>
      <c r="O604" t="s">
        <v>5050</v>
      </c>
    </row>
    <row r="605" spans="1:15" x14ac:dyDescent="0.3">
      <c r="A605" t="s">
        <v>4394</v>
      </c>
      <c r="B605" t="s">
        <v>10</v>
      </c>
      <c r="C605" t="s">
        <v>5022</v>
      </c>
      <c r="D605" t="s">
        <v>11</v>
      </c>
      <c r="E605">
        <v>57</v>
      </c>
      <c r="F605" t="s">
        <v>5056</v>
      </c>
      <c r="G605" s="1">
        <v>44874</v>
      </c>
      <c r="H605">
        <v>2022</v>
      </c>
      <c r="I605" t="s">
        <v>5038</v>
      </c>
      <c r="J605">
        <v>9</v>
      </c>
      <c r="K605">
        <v>4.16</v>
      </c>
      <c r="L605">
        <v>11</v>
      </c>
      <c r="M605">
        <v>13978.46</v>
      </c>
      <c r="N605">
        <v>3</v>
      </c>
      <c r="O605" t="s">
        <v>5050</v>
      </c>
    </row>
    <row r="606" spans="1:15" x14ac:dyDescent="0.3">
      <c r="A606" t="s">
        <v>4429</v>
      </c>
      <c r="B606" t="s">
        <v>16</v>
      </c>
      <c r="C606" t="s">
        <v>5018</v>
      </c>
      <c r="D606" t="s">
        <v>14</v>
      </c>
      <c r="E606">
        <v>28</v>
      </c>
      <c r="F606" t="s">
        <v>5057</v>
      </c>
      <c r="G606" s="1">
        <v>44784</v>
      </c>
      <c r="H606">
        <v>2022</v>
      </c>
      <c r="I606" t="s">
        <v>5031</v>
      </c>
      <c r="J606">
        <v>11</v>
      </c>
      <c r="K606">
        <v>3.61</v>
      </c>
      <c r="L606">
        <v>6</v>
      </c>
      <c r="M606">
        <v>6780.74</v>
      </c>
      <c r="N606">
        <v>3.2</v>
      </c>
      <c r="O606" t="s">
        <v>5050</v>
      </c>
    </row>
    <row r="607" spans="1:15" x14ac:dyDescent="0.3">
      <c r="A607" t="s">
        <v>4456</v>
      </c>
      <c r="B607" t="s">
        <v>16</v>
      </c>
      <c r="C607" t="s">
        <v>5018</v>
      </c>
      <c r="D607" t="s">
        <v>11</v>
      </c>
      <c r="E607">
        <v>55</v>
      </c>
      <c r="F607" t="s">
        <v>5056</v>
      </c>
      <c r="G607" s="1">
        <v>44023</v>
      </c>
      <c r="H607">
        <v>2020</v>
      </c>
      <c r="I607" t="s">
        <v>5034</v>
      </c>
      <c r="J607">
        <v>11</v>
      </c>
      <c r="K607">
        <v>3.26</v>
      </c>
      <c r="L607">
        <v>9</v>
      </c>
      <c r="M607">
        <v>6310.72</v>
      </c>
      <c r="N607">
        <v>5.3</v>
      </c>
      <c r="O607" t="s">
        <v>5049</v>
      </c>
    </row>
    <row r="608" spans="1:15" x14ac:dyDescent="0.3">
      <c r="A608" t="s">
        <v>4477</v>
      </c>
      <c r="B608" t="s">
        <v>16</v>
      </c>
      <c r="C608" t="s">
        <v>5018</v>
      </c>
      <c r="D608" t="s">
        <v>14</v>
      </c>
      <c r="E608">
        <v>32</v>
      </c>
      <c r="F608" t="s">
        <v>5055</v>
      </c>
      <c r="G608" s="1">
        <v>44198</v>
      </c>
      <c r="H608">
        <v>2021</v>
      </c>
      <c r="I608" t="s">
        <v>5037</v>
      </c>
      <c r="J608">
        <v>2</v>
      </c>
      <c r="K608">
        <v>4.92</v>
      </c>
      <c r="L608">
        <v>7</v>
      </c>
      <c r="M608">
        <v>14465.84</v>
      </c>
      <c r="N608">
        <v>4.8</v>
      </c>
      <c r="O608" t="s">
        <v>5050</v>
      </c>
    </row>
    <row r="609" spans="1:15" x14ac:dyDescent="0.3">
      <c r="A609" t="s">
        <v>4503</v>
      </c>
      <c r="B609" t="s">
        <v>24</v>
      </c>
      <c r="C609" t="s">
        <v>5019</v>
      </c>
      <c r="D609" t="s">
        <v>11</v>
      </c>
      <c r="E609">
        <v>42</v>
      </c>
      <c r="F609" t="s">
        <v>5055</v>
      </c>
      <c r="G609" s="1">
        <v>43888</v>
      </c>
      <c r="H609">
        <v>2020</v>
      </c>
      <c r="I609" t="s">
        <v>5042</v>
      </c>
      <c r="J609">
        <v>27</v>
      </c>
      <c r="K609">
        <v>3.26</v>
      </c>
      <c r="L609">
        <v>8</v>
      </c>
      <c r="M609">
        <v>14932.02</v>
      </c>
      <c r="N609">
        <v>5.7</v>
      </c>
      <c r="O609" t="s">
        <v>5049</v>
      </c>
    </row>
    <row r="610" spans="1:15" x14ac:dyDescent="0.3">
      <c r="A610" t="s">
        <v>4505</v>
      </c>
      <c r="B610" t="s">
        <v>16</v>
      </c>
      <c r="C610" t="s">
        <v>5018</v>
      </c>
      <c r="D610" t="s">
        <v>14</v>
      </c>
      <c r="E610">
        <v>55</v>
      </c>
      <c r="F610" t="s">
        <v>5056</v>
      </c>
      <c r="G610" s="1">
        <v>44269</v>
      </c>
      <c r="H610">
        <v>2021</v>
      </c>
      <c r="I610" t="s">
        <v>5035</v>
      </c>
      <c r="J610">
        <v>14</v>
      </c>
      <c r="K610">
        <v>4.67</v>
      </c>
      <c r="L610">
        <v>7</v>
      </c>
      <c r="M610">
        <v>11180.04</v>
      </c>
      <c r="N610">
        <v>4.5999999999999996</v>
      </c>
      <c r="O610" t="s">
        <v>5050</v>
      </c>
    </row>
    <row r="611" spans="1:15" x14ac:dyDescent="0.3">
      <c r="A611" t="s">
        <v>4524</v>
      </c>
      <c r="B611" t="s">
        <v>24</v>
      </c>
      <c r="C611" t="s">
        <v>5019</v>
      </c>
      <c r="D611" t="s">
        <v>11</v>
      </c>
      <c r="E611">
        <v>57</v>
      </c>
      <c r="F611" t="s">
        <v>5056</v>
      </c>
      <c r="G611" s="1">
        <v>44614</v>
      </c>
      <c r="H611">
        <v>2022</v>
      </c>
      <c r="I611" t="s">
        <v>5042</v>
      </c>
      <c r="J611">
        <v>22</v>
      </c>
      <c r="K611">
        <v>2.71</v>
      </c>
      <c r="L611">
        <v>14</v>
      </c>
      <c r="M611">
        <v>10182.1</v>
      </c>
      <c r="N611">
        <v>3.7</v>
      </c>
      <c r="O611" t="s">
        <v>5050</v>
      </c>
    </row>
    <row r="612" spans="1:15" x14ac:dyDescent="0.3">
      <c r="A612" t="s">
        <v>4536</v>
      </c>
      <c r="B612" t="s">
        <v>18</v>
      </c>
      <c r="C612" t="s">
        <v>5021</v>
      </c>
      <c r="D612" t="s">
        <v>11</v>
      </c>
      <c r="E612">
        <v>53</v>
      </c>
      <c r="F612" t="s">
        <v>5056</v>
      </c>
      <c r="G612" s="1">
        <v>44810</v>
      </c>
      <c r="H612">
        <v>2022</v>
      </c>
      <c r="I612" t="s">
        <v>5033</v>
      </c>
      <c r="J612">
        <v>6</v>
      </c>
      <c r="K612">
        <v>1.97</v>
      </c>
      <c r="L612">
        <v>15</v>
      </c>
      <c r="M612">
        <v>14479.52</v>
      </c>
      <c r="N612">
        <v>3.2</v>
      </c>
      <c r="O612" t="s">
        <v>5050</v>
      </c>
    </row>
    <row r="613" spans="1:15" x14ac:dyDescent="0.3">
      <c r="A613" t="s">
        <v>4553</v>
      </c>
      <c r="B613" t="s">
        <v>10</v>
      </c>
      <c r="C613" t="s">
        <v>5022</v>
      </c>
      <c r="D613" t="s">
        <v>14</v>
      </c>
      <c r="E613">
        <v>57</v>
      </c>
      <c r="F613" t="s">
        <v>5056</v>
      </c>
      <c r="G613" s="1">
        <v>44804</v>
      </c>
      <c r="H613">
        <v>2022</v>
      </c>
      <c r="I613" t="s">
        <v>5031</v>
      </c>
      <c r="J613">
        <v>31</v>
      </c>
      <c r="K613">
        <v>4.71</v>
      </c>
      <c r="L613">
        <v>10</v>
      </c>
      <c r="M613">
        <v>10852.93</v>
      </c>
      <c r="N613">
        <v>3.2</v>
      </c>
      <c r="O613" t="s">
        <v>5050</v>
      </c>
    </row>
    <row r="614" spans="1:15" x14ac:dyDescent="0.3">
      <c r="A614" t="s">
        <v>4570</v>
      </c>
      <c r="B614" t="s">
        <v>24</v>
      </c>
      <c r="C614" t="s">
        <v>5019</v>
      </c>
      <c r="D614" t="s">
        <v>11</v>
      </c>
      <c r="E614">
        <v>46</v>
      </c>
      <c r="F614" t="s">
        <v>5055</v>
      </c>
      <c r="G614" s="1">
        <v>44132</v>
      </c>
      <c r="H614">
        <v>2020</v>
      </c>
      <c r="I614" t="s">
        <v>5039</v>
      </c>
      <c r="J614">
        <v>28</v>
      </c>
      <c r="K614">
        <v>3.46</v>
      </c>
      <c r="L614">
        <v>12</v>
      </c>
      <c r="M614">
        <v>12802.77</v>
      </c>
      <c r="N614">
        <v>5</v>
      </c>
      <c r="O614" t="s">
        <v>5050</v>
      </c>
    </row>
    <row r="615" spans="1:15" x14ac:dyDescent="0.3">
      <c r="A615" t="s">
        <v>4571</v>
      </c>
      <c r="B615" t="s">
        <v>34</v>
      </c>
      <c r="C615" t="s">
        <v>5020</v>
      </c>
      <c r="D615" t="s">
        <v>11</v>
      </c>
      <c r="E615">
        <v>41</v>
      </c>
      <c r="F615" t="s">
        <v>5055</v>
      </c>
      <c r="G615" s="1">
        <v>45602</v>
      </c>
      <c r="H615">
        <v>2024</v>
      </c>
      <c r="I615" t="s">
        <v>5038</v>
      </c>
      <c r="J615">
        <v>6</v>
      </c>
      <c r="K615">
        <v>2.77</v>
      </c>
      <c r="L615">
        <v>7</v>
      </c>
      <c r="M615">
        <v>3554.96</v>
      </c>
      <c r="N615">
        <v>1</v>
      </c>
      <c r="O615" t="s">
        <v>5051</v>
      </c>
    </row>
    <row r="616" spans="1:15" x14ac:dyDescent="0.3">
      <c r="A616" t="s">
        <v>4604</v>
      </c>
      <c r="B616" t="s">
        <v>34</v>
      </c>
      <c r="C616" t="s">
        <v>5020</v>
      </c>
      <c r="D616" t="s">
        <v>11</v>
      </c>
      <c r="E616">
        <v>58</v>
      </c>
      <c r="F616" t="s">
        <v>5056</v>
      </c>
      <c r="G616" s="1">
        <v>45422</v>
      </c>
      <c r="H616">
        <v>2024</v>
      </c>
      <c r="I616" t="s">
        <v>5036</v>
      </c>
      <c r="J616">
        <v>10</v>
      </c>
      <c r="K616">
        <v>4.16</v>
      </c>
      <c r="L616">
        <v>15</v>
      </c>
      <c r="M616">
        <v>9764.11</v>
      </c>
      <c r="N616">
        <v>1.5</v>
      </c>
      <c r="O616" t="s">
        <v>5050</v>
      </c>
    </row>
    <row r="617" spans="1:15" x14ac:dyDescent="0.3">
      <c r="A617" t="s">
        <v>4606</v>
      </c>
      <c r="B617" t="s">
        <v>34</v>
      </c>
      <c r="C617" t="s">
        <v>5020</v>
      </c>
      <c r="D617" t="s">
        <v>14</v>
      </c>
      <c r="E617">
        <v>57</v>
      </c>
      <c r="F617" t="s">
        <v>5056</v>
      </c>
      <c r="G617" s="1">
        <v>44163</v>
      </c>
      <c r="H617">
        <v>2020</v>
      </c>
      <c r="I617" t="s">
        <v>5038</v>
      </c>
      <c r="J617">
        <v>28</v>
      </c>
      <c r="K617">
        <v>2.73</v>
      </c>
      <c r="L617">
        <v>11</v>
      </c>
      <c r="M617">
        <v>4813.46</v>
      </c>
      <c r="N617">
        <v>4.9000000000000004</v>
      </c>
      <c r="O617" t="s">
        <v>5050</v>
      </c>
    </row>
    <row r="618" spans="1:15" x14ac:dyDescent="0.3">
      <c r="A618" t="s">
        <v>4609</v>
      </c>
      <c r="B618" t="s">
        <v>18</v>
      </c>
      <c r="C618" t="s">
        <v>5021</v>
      </c>
      <c r="D618" t="s">
        <v>11</v>
      </c>
      <c r="E618">
        <v>33</v>
      </c>
      <c r="F618" t="s">
        <v>5055</v>
      </c>
      <c r="G618" s="1">
        <v>43891</v>
      </c>
      <c r="H618">
        <v>2020</v>
      </c>
      <c r="I618" t="s">
        <v>5035</v>
      </c>
      <c r="J618">
        <v>1</v>
      </c>
      <c r="K618">
        <v>3.17</v>
      </c>
      <c r="L618">
        <v>13</v>
      </c>
      <c r="M618">
        <v>7222.77</v>
      </c>
      <c r="N618">
        <v>5.7</v>
      </c>
      <c r="O618" t="s">
        <v>5049</v>
      </c>
    </row>
    <row r="619" spans="1:15" x14ac:dyDescent="0.3">
      <c r="A619" t="s">
        <v>4619</v>
      </c>
      <c r="B619" t="s">
        <v>24</v>
      </c>
      <c r="C619" t="s">
        <v>5019</v>
      </c>
      <c r="D619" t="s">
        <v>14</v>
      </c>
      <c r="E619">
        <v>33</v>
      </c>
      <c r="F619" t="s">
        <v>5055</v>
      </c>
      <c r="G619" s="1">
        <v>45716</v>
      </c>
      <c r="H619">
        <v>2025</v>
      </c>
      <c r="I619" t="s">
        <v>5042</v>
      </c>
      <c r="J619">
        <v>28</v>
      </c>
      <c r="K619">
        <v>1.67</v>
      </c>
      <c r="L619">
        <v>9</v>
      </c>
      <c r="M619">
        <v>11281.59</v>
      </c>
      <c r="N619">
        <v>0.7</v>
      </c>
      <c r="O619" t="s">
        <v>5051</v>
      </c>
    </row>
    <row r="620" spans="1:15" x14ac:dyDescent="0.3">
      <c r="A620" t="s">
        <v>4634</v>
      </c>
      <c r="B620" t="s">
        <v>13</v>
      </c>
      <c r="C620" t="s">
        <v>5017</v>
      </c>
      <c r="D620" t="s">
        <v>14</v>
      </c>
      <c r="E620">
        <v>55</v>
      </c>
      <c r="F620" t="s">
        <v>5056</v>
      </c>
      <c r="G620" s="1">
        <v>44956</v>
      </c>
      <c r="H620">
        <v>2023</v>
      </c>
      <c r="I620" t="s">
        <v>5037</v>
      </c>
      <c r="J620">
        <v>30</v>
      </c>
      <c r="K620">
        <v>3.29</v>
      </c>
      <c r="L620">
        <v>2</v>
      </c>
      <c r="M620">
        <v>5961.76</v>
      </c>
      <c r="N620">
        <v>2.8</v>
      </c>
      <c r="O620" t="s">
        <v>5050</v>
      </c>
    </row>
    <row r="621" spans="1:15" x14ac:dyDescent="0.3">
      <c r="A621" t="s">
        <v>4638</v>
      </c>
      <c r="B621" t="s">
        <v>34</v>
      </c>
      <c r="C621" t="s">
        <v>5020</v>
      </c>
      <c r="D621" t="s">
        <v>14</v>
      </c>
      <c r="E621">
        <v>31</v>
      </c>
      <c r="F621" t="s">
        <v>5057</v>
      </c>
      <c r="G621" s="1">
        <v>44319</v>
      </c>
      <c r="H621">
        <v>2021</v>
      </c>
      <c r="I621" t="s">
        <v>5036</v>
      </c>
      <c r="J621">
        <v>3</v>
      </c>
      <c r="K621">
        <v>4.45</v>
      </c>
      <c r="L621">
        <v>11</v>
      </c>
      <c r="M621">
        <v>5230.04</v>
      </c>
      <c r="N621">
        <v>4.5</v>
      </c>
      <c r="O621" t="s">
        <v>5050</v>
      </c>
    </row>
    <row r="622" spans="1:15" x14ac:dyDescent="0.3">
      <c r="A622" t="s">
        <v>4646</v>
      </c>
      <c r="B622" t="s">
        <v>24</v>
      </c>
      <c r="C622" t="s">
        <v>5019</v>
      </c>
      <c r="D622" t="s">
        <v>14</v>
      </c>
      <c r="E622">
        <v>34</v>
      </c>
      <c r="F622" t="s">
        <v>5055</v>
      </c>
      <c r="G622" s="1">
        <v>45731</v>
      </c>
      <c r="H622">
        <v>2025</v>
      </c>
      <c r="I622" t="s">
        <v>5035</v>
      </c>
      <c r="J622">
        <v>15</v>
      </c>
      <c r="K622">
        <v>1.8</v>
      </c>
      <c r="L622">
        <v>0</v>
      </c>
      <c r="M622">
        <v>8566.2999999999993</v>
      </c>
      <c r="N622">
        <v>0.6</v>
      </c>
      <c r="O622" t="s">
        <v>5051</v>
      </c>
    </row>
    <row r="623" spans="1:15" x14ac:dyDescent="0.3">
      <c r="A623" t="s">
        <v>4648</v>
      </c>
      <c r="B623" t="s">
        <v>10</v>
      </c>
      <c r="C623" t="s">
        <v>5022</v>
      </c>
      <c r="D623" t="s">
        <v>11</v>
      </c>
      <c r="E623">
        <v>27</v>
      </c>
      <c r="F623" t="s">
        <v>5057</v>
      </c>
      <c r="G623" s="1">
        <v>44572</v>
      </c>
      <c r="H623">
        <v>2022</v>
      </c>
      <c r="I623" t="s">
        <v>5037</v>
      </c>
      <c r="J623">
        <v>11</v>
      </c>
      <c r="K623">
        <v>2.5</v>
      </c>
      <c r="L623">
        <v>9</v>
      </c>
      <c r="M623">
        <v>12978.33</v>
      </c>
      <c r="N623">
        <v>3.8</v>
      </c>
      <c r="O623" t="s">
        <v>5050</v>
      </c>
    </row>
    <row r="624" spans="1:15" x14ac:dyDescent="0.3">
      <c r="A624" t="s">
        <v>4655</v>
      </c>
      <c r="B624" t="s">
        <v>16</v>
      </c>
      <c r="C624" t="s">
        <v>5018</v>
      </c>
      <c r="D624" t="s">
        <v>14</v>
      </c>
      <c r="E624">
        <v>42</v>
      </c>
      <c r="F624" t="s">
        <v>5055</v>
      </c>
      <c r="G624" s="1">
        <v>45035</v>
      </c>
      <c r="H624">
        <v>2023</v>
      </c>
      <c r="I624" t="s">
        <v>5040</v>
      </c>
      <c r="J624">
        <v>19</v>
      </c>
      <c r="K624">
        <v>1.67</v>
      </c>
      <c r="L624">
        <v>10</v>
      </c>
      <c r="M624">
        <v>14669.47</v>
      </c>
      <c r="N624">
        <v>2.5</v>
      </c>
      <c r="O624" t="s">
        <v>5050</v>
      </c>
    </row>
    <row r="625" spans="1:15" x14ac:dyDescent="0.3">
      <c r="A625" t="s">
        <v>4665</v>
      </c>
      <c r="B625" t="s">
        <v>10</v>
      </c>
      <c r="C625" t="s">
        <v>5022</v>
      </c>
      <c r="D625" t="s">
        <v>14</v>
      </c>
      <c r="E625">
        <v>48</v>
      </c>
      <c r="F625" t="s">
        <v>5055</v>
      </c>
      <c r="G625" s="1">
        <v>44071</v>
      </c>
      <c r="H625">
        <v>2020</v>
      </c>
      <c r="I625" t="s">
        <v>5031</v>
      </c>
      <c r="J625">
        <v>28</v>
      </c>
      <c r="K625">
        <v>3.2</v>
      </c>
      <c r="L625">
        <v>1</v>
      </c>
      <c r="M625">
        <v>3301.35</v>
      </c>
      <c r="N625">
        <v>5.2</v>
      </c>
      <c r="O625" t="s">
        <v>5049</v>
      </c>
    </row>
    <row r="626" spans="1:15" x14ac:dyDescent="0.3">
      <c r="A626" t="s">
        <v>4677</v>
      </c>
      <c r="B626" t="s">
        <v>34</v>
      </c>
      <c r="C626" t="s">
        <v>5020</v>
      </c>
      <c r="D626" t="s">
        <v>14</v>
      </c>
      <c r="E626">
        <v>59</v>
      </c>
      <c r="F626" t="s">
        <v>5056</v>
      </c>
      <c r="G626" s="1">
        <v>44449</v>
      </c>
      <c r="H626">
        <v>2021</v>
      </c>
      <c r="I626" t="s">
        <v>5033</v>
      </c>
      <c r="J626">
        <v>10</v>
      </c>
      <c r="K626">
        <v>4.91</v>
      </c>
      <c r="L626">
        <v>8</v>
      </c>
      <c r="M626">
        <v>5628.37</v>
      </c>
      <c r="N626">
        <v>4.0999999999999996</v>
      </c>
      <c r="O626" t="s">
        <v>5050</v>
      </c>
    </row>
    <row r="627" spans="1:15" x14ac:dyDescent="0.3">
      <c r="A627" t="s">
        <v>4719</v>
      </c>
      <c r="B627" t="s">
        <v>16</v>
      </c>
      <c r="C627" t="s">
        <v>5018</v>
      </c>
      <c r="D627" t="s">
        <v>14</v>
      </c>
      <c r="E627">
        <v>34</v>
      </c>
      <c r="F627" t="s">
        <v>5055</v>
      </c>
      <c r="G627" s="1">
        <v>43938</v>
      </c>
      <c r="H627">
        <v>2020</v>
      </c>
      <c r="I627" t="s">
        <v>5040</v>
      </c>
      <c r="J627">
        <v>17</v>
      </c>
      <c r="K627">
        <v>2.31</v>
      </c>
      <c r="L627">
        <v>4</v>
      </c>
      <c r="M627">
        <v>11073</v>
      </c>
      <c r="N627">
        <v>5.5</v>
      </c>
      <c r="O627" t="s">
        <v>5049</v>
      </c>
    </row>
    <row r="628" spans="1:15" x14ac:dyDescent="0.3">
      <c r="A628" t="s">
        <v>4750</v>
      </c>
      <c r="B628" t="s">
        <v>10</v>
      </c>
      <c r="C628" t="s">
        <v>5022</v>
      </c>
      <c r="D628" t="s">
        <v>14</v>
      </c>
      <c r="E628">
        <v>58</v>
      </c>
      <c r="F628" t="s">
        <v>5056</v>
      </c>
      <c r="G628" s="1">
        <v>44692</v>
      </c>
      <c r="H628">
        <v>2022</v>
      </c>
      <c r="I628" t="s">
        <v>5036</v>
      </c>
      <c r="J628">
        <v>11</v>
      </c>
      <c r="K628">
        <v>3.08</v>
      </c>
      <c r="L628">
        <v>12</v>
      </c>
      <c r="M628">
        <v>13654.52</v>
      </c>
      <c r="N628">
        <v>3.5</v>
      </c>
      <c r="O628" t="s">
        <v>5050</v>
      </c>
    </row>
    <row r="629" spans="1:15" x14ac:dyDescent="0.3">
      <c r="A629" t="s">
        <v>4770</v>
      </c>
      <c r="B629" t="s">
        <v>13</v>
      </c>
      <c r="C629" t="s">
        <v>5017</v>
      </c>
      <c r="D629" t="s">
        <v>11</v>
      </c>
      <c r="E629">
        <v>55</v>
      </c>
      <c r="F629" t="s">
        <v>5056</v>
      </c>
      <c r="G629" s="1">
        <v>45210</v>
      </c>
      <c r="H629">
        <v>2023</v>
      </c>
      <c r="I629" t="s">
        <v>5039</v>
      </c>
      <c r="J629">
        <v>11</v>
      </c>
      <c r="K629">
        <v>1.74</v>
      </c>
      <c r="L629">
        <v>1</v>
      </c>
      <c r="M629">
        <v>8974.1</v>
      </c>
      <c r="N629">
        <v>2.1</v>
      </c>
      <c r="O629" t="s">
        <v>5050</v>
      </c>
    </row>
    <row r="630" spans="1:15" x14ac:dyDescent="0.3">
      <c r="A630" t="s">
        <v>4773</v>
      </c>
      <c r="B630" t="s">
        <v>34</v>
      </c>
      <c r="C630" t="s">
        <v>5020</v>
      </c>
      <c r="D630" t="s">
        <v>11</v>
      </c>
      <c r="E630">
        <v>28</v>
      </c>
      <c r="F630" t="s">
        <v>5057</v>
      </c>
      <c r="G630" s="1">
        <v>45181</v>
      </c>
      <c r="H630">
        <v>2023</v>
      </c>
      <c r="I630" t="s">
        <v>5033</v>
      </c>
      <c r="J630">
        <v>12</v>
      </c>
      <c r="K630">
        <v>2.81</v>
      </c>
      <c r="L630">
        <v>10</v>
      </c>
      <c r="M630">
        <v>4383.5200000000004</v>
      </c>
      <c r="N630">
        <v>2.1</v>
      </c>
      <c r="O630" t="s">
        <v>5050</v>
      </c>
    </row>
    <row r="631" spans="1:15" x14ac:dyDescent="0.3">
      <c r="A631" t="s">
        <v>4830</v>
      </c>
      <c r="B631" t="s">
        <v>18</v>
      </c>
      <c r="C631" t="s">
        <v>5021</v>
      </c>
      <c r="D631" t="s">
        <v>11</v>
      </c>
      <c r="E631">
        <v>32</v>
      </c>
      <c r="F631" t="s">
        <v>5055</v>
      </c>
      <c r="G631" s="1">
        <v>44212</v>
      </c>
      <c r="H631">
        <v>2021</v>
      </c>
      <c r="I631" t="s">
        <v>5037</v>
      </c>
      <c r="J631">
        <v>16</v>
      </c>
      <c r="K631">
        <v>4.72</v>
      </c>
      <c r="L631">
        <v>2</v>
      </c>
      <c r="M631">
        <v>12525.93</v>
      </c>
      <c r="N631">
        <v>4.8</v>
      </c>
      <c r="O631" t="s">
        <v>5050</v>
      </c>
    </row>
    <row r="632" spans="1:15" x14ac:dyDescent="0.3">
      <c r="A632" t="s">
        <v>4848</v>
      </c>
      <c r="B632" t="s">
        <v>16</v>
      </c>
      <c r="C632" t="s">
        <v>5018</v>
      </c>
      <c r="D632" t="s">
        <v>11</v>
      </c>
      <c r="E632">
        <v>47</v>
      </c>
      <c r="F632" t="s">
        <v>5055</v>
      </c>
      <c r="G632" s="1">
        <v>43881</v>
      </c>
      <c r="H632">
        <v>2020</v>
      </c>
      <c r="I632" t="s">
        <v>5042</v>
      </c>
      <c r="J632">
        <v>20</v>
      </c>
      <c r="K632">
        <v>4.1900000000000004</v>
      </c>
      <c r="L632">
        <v>8</v>
      </c>
      <c r="M632">
        <v>14607.07</v>
      </c>
      <c r="N632">
        <v>5.7</v>
      </c>
      <c r="O632" t="s">
        <v>5049</v>
      </c>
    </row>
    <row r="633" spans="1:15" x14ac:dyDescent="0.3">
      <c r="A633" t="s">
        <v>4850</v>
      </c>
      <c r="B633" t="s">
        <v>34</v>
      </c>
      <c r="C633" t="s">
        <v>5020</v>
      </c>
      <c r="D633" t="s">
        <v>14</v>
      </c>
      <c r="E633">
        <v>26</v>
      </c>
      <c r="F633" t="s">
        <v>5057</v>
      </c>
      <c r="G633" s="1">
        <v>45794</v>
      </c>
      <c r="H633">
        <v>2025</v>
      </c>
      <c r="I633" t="s">
        <v>5036</v>
      </c>
      <c r="J633">
        <v>17</v>
      </c>
      <c r="K633">
        <v>4.1100000000000003</v>
      </c>
      <c r="L633">
        <v>9</v>
      </c>
      <c r="M633">
        <v>9274.4699999999993</v>
      </c>
      <c r="N633">
        <v>0.5</v>
      </c>
      <c r="O633" t="s">
        <v>5051</v>
      </c>
    </row>
    <row r="634" spans="1:15" x14ac:dyDescent="0.3">
      <c r="A634" t="s">
        <v>4852</v>
      </c>
      <c r="B634" t="s">
        <v>10</v>
      </c>
      <c r="C634" t="s">
        <v>5022</v>
      </c>
      <c r="D634" t="s">
        <v>14</v>
      </c>
      <c r="E634">
        <v>31</v>
      </c>
      <c r="F634" t="s">
        <v>5057</v>
      </c>
      <c r="G634" s="1">
        <v>44723</v>
      </c>
      <c r="H634">
        <v>2022</v>
      </c>
      <c r="I634" t="s">
        <v>5032</v>
      </c>
      <c r="J634">
        <v>11</v>
      </c>
      <c r="K634">
        <v>1.78</v>
      </c>
      <c r="L634">
        <v>12</v>
      </c>
      <c r="M634">
        <v>9946.8799999999992</v>
      </c>
      <c r="N634">
        <v>3.4</v>
      </c>
      <c r="O634" t="s">
        <v>5050</v>
      </c>
    </row>
    <row r="635" spans="1:15" x14ac:dyDescent="0.3">
      <c r="A635" t="s">
        <v>4886</v>
      </c>
      <c r="B635" t="s">
        <v>24</v>
      </c>
      <c r="C635" t="s">
        <v>5019</v>
      </c>
      <c r="D635" t="s">
        <v>14</v>
      </c>
      <c r="E635">
        <v>60</v>
      </c>
      <c r="F635" t="s">
        <v>5056</v>
      </c>
      <c r="G635" s="1">
        <v>45390</v>
      </c>
      <c r="H635">
        <v>2024</v>
      </c>
      <c r="I635" t="s">
        <v>5040</v>
      </c>
      <c r="J635">
        <v>8</v>
      </c>
      <c r="K635">
        <v>1.98</v>
      </c>
      <c r="L635">
        <v>11</v>
      </c>
      <c r="M635">
        <v>6951.85</v>
      </c>
      <c r="N635">
        <v>1.6</v>
      </c>
      <c r="O635" t="s">
        <v>5050</v>
      </c>
    </row>
    <row r="636" spans="1:15" x14ac:dyDescent="0.3">
      <c r="A636" t="s">
        <v>4901</v>
      </c>
      <c r="B636" t="s">
        <v>18</v>
      </c>
      <c r="C636" t="s">
        <v>5021</v>
      </c>
      <c r="D636" t="s">
        <v>11</v>
      </c>
      <c r="E636">
        <v>33</v>
      </c>
      <c r="F636" t="s">
        <v>5055</v>
      </c>
      <c r="G636" s="1">
        <v>44261</v>
      </c>
      <c r="H636">
        <v>2021</v>
      </c>
      <c r="I636" t="s">
        <v>5035</v>
      </c>
      <c r="J636">
        <v>6</v>
      </c>
      <c r="K636">
        <v>2.56</v>
      </c>
      <c r="L636">
        <v>2</v>
      </c>
      <c r="M636">
        <v>10882.55</v>
      </c>
      <c r="N636">
        <v>4.7</v>
      </c>
      <c r="O636" t="s">
        <v>5050</v>
      </c>
    </row>
    <row r="637" spans="1:15" x14ac:dyDescent="0.3">
      <c r="A637" t="s">
        <v>4909</v>
      </c>
      <c r="B637" t="s">
        <v>13</v>
      </c>
      <c r="C637" t="s">
        <v>5017</v>
      </c>
      <c r="D637" t="s">
        <v>11</v>
      </c>
      <c r="E637">
        <v>26</v>
      </c>
      <c r="F637" t="s">
        <v>5057</v>
      </c>
      <c r="G637" s="1">
        <v>44336</v>
      </c>
      <c r="H637">
        <v>2021</v>
      </c>
      <c r="I637" t="s">
        <v>5036</v>
      </c>
      <c r="J637">
        <v>20</v>
      </c>
      <c r="K637">
        <v>2.58</v>
      </c>
      <c r="L637">
        <v>9</v>
      </c>
      <c r="M637">
        <v>5057.05</v>
      </c>
      <c r="N637">
        <v>4.5</v>
      </c>
      <c r="O637" t="s">
        <v>5050</v>
      </c>
    </row>
    <row r="638" spans="1:15" x14ac:dyDescent="0.3">
      <c r="A638" t="s">
        <v>4917</v>
      </c>
      <c r="B638" t="s">
        <v>13</v>
      </c>
      <c r="C638" t="s">
        <v>5017</v>
      </c>
      <c r="D638" t="s">
        <v>11</v>
      </c>
      <c r="E638">
        <v>52</v>
      </c>
      <c r="F638" t="s">
        <v>5056</v>
      </c>
      <c r="G638" s="1">
        <v>44015</v>
      </c>
      <c r="H638">
        <v>2020</v>
      </c>
      <c r="I638" t="s">
        <v>5034</v>
      </c>
      <c r="J638">
        <v>3</v>
      </c>
      <c r="K638">
        <v>3.09</v>
      </c>
      <c r="L638">
        <v>5</v>
      </c>
      <c r="M638">
        <v>14332.62</v>
      </c>
      <c r="N638">
        <v>5.3</v>
      </c>
      <c r="O638" t="s">
        <v>5049</v>
      </c>
    </row>
    <row r="639" spans="1:15" x14ac:dyDescent="0.3">
      <c r="A639" t="s">
        <v>4924</v>
      </c>
      <c r="B639" t="s">
        <v>16</v>
      </c>
      <c r="C639" t="s">
        <v>5018</v>
      </c>
      <c r="D639" t="s">
        <v>11</v>
      </c>
      <c r="E639">
        <v>28</v>
      </c>
      <c r="F639" t="s">
        <v>5057</v>
      </c>
      <c r="G639" s="1">
        <v>44420</v>
      </c>
      <c r="H639">
        <v>2021</v>
      </c>
      <c r="I639" t="s">
        <v>5031</v>
      </c>
      <c r="J639">
        <v>12</v>
      </c>
      <c r="K639">
        <v>4.4800000000000004</v>
      </c>
      <c r="L639">
        <v>11</v>
      </c>
      <c r="M639">
        <v>7860.06</v>
      </c>
      <c r="N639">
        <v>4.2</v>
      </c>
      <c r="O639" t="s">
        <v>5050</v>
      </c>
    </row>
    <row r="640" spans="1:15" x14ac:dyDescent="0.3">
      <c r="A640" t="s">
        <v>4932</v>
      </c>
      <c r="B640" t="s">
        <v>10</v>
      </c>
      <c r="C640" t="s">
        <v>5022</v>
      </c>
      <c r="D640" t="s">
        <v>14</v>
      </c>
      <c r="E640">
        <v>54</v>
      </c>
      <c r="F640" t="s">
        <v>5056</v>
      </c>
      <c r="G640" s="1">
        <v>44688</v>
      </c>
      <c r="H640">
        <v>2022</v>
      </c>
      <c r="I640" t="s">
        <v>5036</v>
      </c>
      <c r="J640">
        <v>7</v>
      </c>
      <c r="K640">
        <v>2.31</v>
      </c>
      <c r="L640">
        <v>13</v>
      </c>
      <c r="M640">
        <v>14528.91</v>
      </c>
      <c r="N640">
        <v>3.5</v>
      </c>
      <c r="O640" t="s">
        <v>5050</v>
      </c>
    </row>
    <row r="641" spans="1:15" x14ac:dyDescent="0.3">
      <c r="A641" t="s">
        <v>4940</v>
      </c>
      <c r="B641" t="s">
        <v>24</v>
      </c>
      <c r="C641" t="s">
        <v>5019</v>
      </c>
      <c r="D641" t="s">
        <v>11</v>
      </c>
      <c r="E641">
        <v>51</v>
      </c>
      <c r="F641" t="s">
        <v>5056</v>
      </c>
      <c r="G641" s="1">
        <v>44986</v>
      </c>
      <c r="H641">
        <v>2023</v>
      </c>
      <c r="I641" t="s">
        <v>5035</v>
      </c>
      <c r="J641">
        <v>1</v>
      </c>
      <c r="K641">
        <v>4.8499999999999996</v>
      </c>
      <c r="L641">
        <v>9</v>
      </c>
      <c r="M641">
        <v>12185.93</v>
      </c>
      <c r="N641">
        <v>2.7</v>
      </c>
      <c r="O641" t="s">
        <v>5050</v>
      </c>
    </row>
    <row r="642" spans="1:15" x14ac:dyDescent="0.3">
      <c r="A642" t="s">
        <v>4944</v>
      </c>
      <c r="B642" t="s">
        <v>10</v>
      </c>
      <c r="C642" t="s">
        <v>5022</v>
      </c>
      <c r="D642" t="s">
        <v>11</v>
      </c>
      <c r="E642">
        <v>56</v>
      </c>
      <c r="F642" t="s">
        <v>5056</v>
      </c>
      <c r="G642" s="1">
        <v>45249</v>
      </c>
      <c r="H642">
        <v>2023</v>
      </c>
      <c r="I642" t="s">
        <v>5038</v>
      </c>
      <c r="J642">
        <v>19</v>
      </c>
      <c r="K642">
        <v>2.27</v>
      </c>
      <c r="L642">
        <v>13</v>
      </c>
      <c r="M642">
        <v>8328.61</v>
      </c>
      <c r="N642">
        <v>2</v>
      </c>
      <c r="O642" t="s">
        <v>5050</v>
      </c>
    </row>
    <row r="643" spans="1:15" x14ac:dyDescent="0.3">
      <c r="A643" t="s">
        <v>4959</v>
      </c>
      <c r="B643" t="s">
        <v>10</v>
      </c>
      <c r="C643" t="s">
        <v>5022</v>
      </c>
      <c r="D643" t="s">
        <v>11</v>
      </c>
      <c r="E643">
        <v>43</v>
      </c>
      <c r="F643" t="s">
        <v>5055</v>
      </c>
      <c r="G643" s="1">
        <v>45611</v>
      </c>
      <c r="H643">
        <v>2024</v>
      </c>
      <c r="I643" t="s">
        <v>5038</v>
      </c>
      <c r="J643">
        <v>15</v>
      </c>
      <c r="K643">
        <v>1.91</v>
      </c>
      <c r="L643">
        <v>13</v>
      </c>
      <c r="M643">
        <v>14224.3</v>
      </c>
      <c r="N643">
        <v>1</v>
      </c>
      <c r="O643" t="s">
        <v>5051</v>
      </c>
    </row>
    <row r="644" spans="1:15" x14ac:dyDescent="0.3">
      <c r="A644" t="s">
        <v>4961</v>
      </c>
      <c r="B644" t="s">
        <v>34</v>
      </c>
      <c r="C644" t="s">
        <v>5020</v>
      </c>
      <c r="D644" t="s">
        <v>11</v>
      </c>
      <c r="E644">
        <v>32</v>
      </c>
      <c r="F644" t="s">
        <v>5055</v>
      </c>
      <c r="G644" s="1">
        <v>45658</v>
      </c>
      <c r="H644">
        <v>2025</v>
      </c>
      <c r="I644" t="s">
        <v>5037</v>
      </c>
      <c r="J644">
        <v>1</v>
      </c>
      <c r="K644">
        <v>2.8</v>
      </c>
      <c r="L644">
        <v>14</v>
      </c>
      <c r="M644">
        <v>3469.43</v>
      </c>
      <c r="N644">
        <v>0.8</v>
      </c>
      <c r="O644" t="s">
        <v>5051</v>
      </c>
    </row>
    <row r="645" spans="1:15" x14ac:dyDescent="0.3">
      <c r="A645" t="s">
        <v>4967</v>
      </c>
      <c r="B645" t="s">
        <v>34</v>
      </c>
      <c r="C645" t="s">
        <v>5020</v>
      </c>
      <c r="D645" t="s">
        <v>11</v>
      </c>
      <c r="E645">
        <v>34</v>
      </c>
      <c r="F645" t="s">
        <v>5055</v>
      </c>
      <c r="G645" s="1">
        <v>45409</v>
      </c>
      <c r="H645">
        <v>2024</v>
      </c>
      <c r="I645" t="s">
        <v>5040</v>
      </c>
      <c r="J645">
        <v>27</v>
      </c>
      <c r="K645">
        <v>3.72</v>
      </c>
      <c r="L645">
        <v>2</v>
      </c>
      <c r="M645">
        <v>3126.13</v>
      </c>
      <c r="N645">
        <v>1.5</v>
      </c>
      <c r="O645" t="s">
        <v>5050</v>
      </c>
    </row>
    <row r="646" spans="1:15" x14ac:dyDescent="0.3">
      <c r="A646" t="s">
        <v>4985</v>
      </c>
      <c r="B646" t="s">
        <v>10</v>
      </c>
      <c r="C646" t="s">
        <v>5022</v>
      </c>
      <c r="D646" t="s">
        <v>11</v>
      </c>
      <c r="E646">
        <v>45</v>
      </c>
      <c r="F646" t="s">
        <v>5055</v>
      </c>
      <c r="G646" s="1">
        <v>45058</v>
      </c>
      <c r="H646">
        <v>2023</v>
      </c>
      <c r="I646" t="s">
        <v>5036</v>
      </c>
      <c r="J646">
        <v>12</v>
      </c>
      <c r="K646">
        <v>4.08</v>
      </c>
      <c r="L646">
        <v>5</v>
      </c>
      <c r="M646">
        <v>10368.31</v>
      </c>
      <c r="N646">
        <v>2.5</v>
      </c>
      <c r="O646" t="s">
        <v>5050</v>
      </c>
    </row>
    <row r="647" spans="1:15" x14ac:dyDescent="0.3">
      <c r="A647" t="s">
        <v>4995</v>
      </c>
      <c r="B647" t="s">
        <v>24</v>
      </c>
      <c r="C647" t="s">
        <v>5019</v>
      </c>
      <c r="D647" t="s">
        <v>11</v>
      </c>
      <c r="E647">
        <v>40</v>
      </c>
      <c r="F647" t="s">
        <v>5055</v>
      </c>
      <c r="G647" s="1">
        <v>44359</v>
      </c>
      <c r="H647">
        <v>2021</v>
      </c>
      <c r="I647" t="s">
        <v>5032</v>
      </c>
      <c r="J647">
        <v>12</v>
      </c>
      <c r="K647">
        <v>5</v>
      </c>
      <c r="L647">
        <v>3</v>
      </c>
      <c r="M647">
        <v>8389.69</v>
      </c>
      <c r="N647">
        <v>4.4000000000000004</v>
      </c>
      <c r="O647" t="s">
        <v>5050</v>
      </c>
    </row>
    <row r="648" spans="1:15" x14ac:dyDescent="0.3">
      <c r="A648" t="s">
        <v>4996</v>
      </c>
      <c r="B648" t="s">
        <v>10</v>
      </c>
      <c r="C648" t="s">
        <v>5022</v>
      </c>
      <c r="D648" t="s">
        <v>14</v>
      </c>
      <c r="E648">
        <v>35</v>
      </c>
      <c r="F648" t="s">
        <v>5055</v>
      </c>
      <c r="G648" s="1">
        <v>43918</v>
      </c>
      <c r="H648">
        <v>2020</v>
      </c>
      <c r="I648" t="s">
        <v>5035</v>
      </c>
      <c r="J648">
        <v>28</v>
      </c>
      <c r="K648">
        <v>4.09</v>
      </c>
      <c r="L648">
        <v>13</v>
      </c>
      <c r="M648">
        <v>12696.44</v>
      </c>
      <c r="N648">
        <v>5.6</v>
      </c>
      <c r="O648" t="s">
        <v>5049</v>
      </c>
    </row>
    <row r="649" spans="1:15" x14ac:dyDescent="0.3">
      <c r="A649" t="s">
        <v>5004</v>
      </c>
      <c r="B649" t="s">
        <v>13</v>
      </c>
      <c r="C649" t="s">
        <v>5017</v>
      </c>
      <c r="D649" t="s">
        <v>14</v>
      </c>
      <c r="E649">
        <v>27</v>
      </c>
      <c r="F649" t="s">
        <v>5057</v>
      </c>
      <c r="G649" s="1">
        <v>43840</v>
      </c>
      <c r="H649">
        <v>2020</v>
      </c>
      <c r="I649" t="s">
        <v>5037</v>
      </c>
      <c r="J649">
        <v>10</v>
      </c>
      <c r="K649">
        <v>3.19</v>
      </c>
      <c r="L649">
        <v>9</v>
      </c>
      <c r="M649">
        <v>10912.38</v>
      </c>
      <c r="N649">
        <v>5.8</v>
      </c>
      <c r="O649" t="s">
        <v>5049</v>
      </c>
    </row>
    <row r="650" spans="1:15" x14ac:dyDescent="0.3">
      <c r="A650" t="s">
        <v>5015</v>
      </c>
      <c r="B650" t="s">
        <v>10</v>
      </c>
      <c r="C650" t="s">
        <v>5022</v>
      </c>
      <c r="D650" t="s">
        <v>11</v>
      </c>
      <c r="E650">
        <v>43</v>
      </c>
      <c r="F650" t="s">
        <v>5055</v>
      </c>
      <c r="G650" s="1">
        <v>43965</v>
      </c>
      <c r="H650">
        <v>2020</v>
      </c>
      <c r="I650" t="s">
        <v>5036</v>
      </c>
      <c r="J650">
        <v>14</v>
      </c>
      <c r="K650">
        <v>3.26</v>
      </c>
      <c r="L650">
        <v>6</v>
      </c>
      <c r="M650">
        <v>5480.13</v>
      </c>
      <c r="N650">
        <v>5.5</v>
      </c>
      <c r="O650" t="s">
        <v>5049</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269C-A09C-4E5F-836F-1FCD5A5DFC74}">
  <dimension ref="A1:S125"/>
  <sheetViews>
    <sheetView workbookViewId="0">
      <selection activeCell="T12" sqref="T12"/>
    </sheetView>
  </sheetViews>
  <sheetFormatPr defaultRowHeight="14.4" x14ac:dyDescent="0.3"/>
  <cols>
    <col min="1" max="1" width="7" bestFit="1" customWidth="1"/>
    <col min="2" max="2" width="11.6640625" bestFit="1" customWidth="1"/>
    <col min="3" max="3" width="12.33203125" bestFit="1" customWidth="1"/>
    <col min="4" max="4" width="7" customWidth="1"/>
    <col min="5" max="5" width="11.6640625" customWidth="1"/>
    <col min="6" max="6" width="15.88671875" hidden="1" customWidth="1"/>
    <col min="7" max="7" width="9" customWidth="1"/>
    <col min="8" max="8" width="10.33203125" customWidth="1"/>
    <col min="9" max="9" width="9.77734375" customWidth="1"/>
    <col min="10" max="10" width="5.88671875" customWidth="1"/>
    <col min="11" max="11" width="16.6640625" customWidth="1"/>
    <col min="12" max="12" width="8.88671875" hidden="1" customWidth="1"/>
    <col min="13" max="13" width="9" hidden="1" customWidth="1"/>
    <col min="14" max="14" width="10.5546875" hidden="1" customWidth="1"/>
    <col min="15" max="15" width="16.88671875" hidden="1" customWidth="1"/>
    <col min="16" max="17" width="0" hidden="1" customWidth="1"/>
    <col min="18" max="18" width="12.109375" hidden="1" customWidth="1"/>
    <col min="19" max="19" width="16.88671875" bestFit="1" customWidth="1"/>
  </cols>
  <sheetData>
    <row r="1" spans="1:19" x14ac:dyDescent="0.3">
      <c r="A1" s="38" t="s">
        <v>5064</v>
      </c>
      <c r="B1" s="39"/>
      <c r="C1" s="39"/>
      <c r="D1" s="39"/>
      <c r="E1" s="39"/>
      <c r="F1" s="39"/>
      <c r="G1" s="39"/>
      <c r="H1" s="39"/>
      <c r="I1" s="39"/>
      <c r="J1" s="39"/>
      <c r="K1" s="39"/>
      <c r="L1" s="39"/>
      <c r="M1" s="39"/>
      <c r="N1" s="39"/>
      <c r="O1" s="39"/>
      <c r="P1" s="39"/>
      <c r="Q1" s="39"/>
      <c r="R1" s="39"/>
      <c r="S1" s="40"/>
    </row>
    <row r="2" spans="1:19" ht="15" thickBot="1" x14ac:dyDescent="0.35">
      <c r="A2" s="41"/>
      <c r="B2" s="42"/>
      <c r="C2" s="42"/>
      <c r="D2" s="42"/>
      <c r="E2" s="42"/>
      <c r="F2" s="42"/>
      <c r="G2" s="42"/>
      <c r="H2" s="42"/>
      <c r="I2" s="42"/>
      <c r="J2" s="42"/>
      <c r="K2" s="42"/>
      <c r="L2" s="42"/>
      <c r="M2" s="42"/>
      <c r="N2" s="42"/>
      <c r="O2" s="42"/>
      <c r="P2" s="42"/>
      <c r="Q2" s="42"/>
      <c r="R2" s="42"/>
      <c r="S2" s="43"/>
    </row>
    <row r="3" spans="1:19" x14ac:dyDescent="0.3">
      <c r="B3" s="22" t="s">
        <v>5065</v>
      </c>
      <c r="C3" s="23" t="s">
        <v>5022</v>
      </c>
      <c r="H3" s="1"/>
      <c r="S3" s="3"/>
    </row>
    <row r="4" spans="1:19" x14ac:dyDescent="0.3">
      <c r="B4" s="10" t="s">
        <v>5063</v>
      </c>
      <c r="C4" s="11" t="s">
        <v>170</v>
      </c>
      <c r="H4" s="1"/>
      <c r="S4" s="3"/>
    </row>
    <row r="5" spans="1:19" x14ac:dyDescent="0.3">
      <c r="H5" s="1"/>
      <c r="S5" s="3"/>
    </row>
    <row r="6" spans="1:19" ht="15" thickBot="1" x14ac:dyDescent="0.35">
      <c r="H6" s="1"/>
      <c r="S6" s="3"/>
    </row>
    <row r="7" spans="1:19" ht="15" thickBot="1" x14ac:dyDescent="0.35">
      <c r="B7" t="s">
        <v>5067</v>
      </c>
      <c r="C7" s="8" t="str">
        <f>_xlfn.XLOOKUP($C$4, Worksheet[Employee_ID], Worksheet[Employee_ID])</f>
        <v>E-2153</v>
      </c>
      <c r="E7" s="29" t="s">
        <v>5080</v>
      </c>
      <c r="F7" s="30" t="s">
        <v>5054</v>
      </c>
      <c r="G7" s="30" t="s">
        <v>1</v>
      </c>
      <c r="H7" s="30" t="s">
        <v>2</v>
      </c>
      <c r="I7" s="30" t="s">
        <v>3</v>
      </c>
      <c r="J7" s="30" t="s">
        <v>5029</v>
      </c>
      <c r="K7" s="31" t="s">
        <v>4</v>
      </c>
      <c r="L7" s="30" t="s">
        <v>5043</v>
      </c>
      <c r="M7" s="30" t="s">
        <v>5044</v>
      </c>
      <c r="N7" s="30" t="s">
        <v>5045</v>
      </c>
      <c r="O7" s="30" t="s">
        <v>5058</v>
      </c>
      <c r="P7" s="30" t="s">
        <v>5059</v>
      </c>
      <c r="Q7" s="30" t="s">
        <v>5060</v>
      </c>
      <c r="R7" s="30" t="s">
        <v>5061</v>
      </c>
      <c r="S7" s="32" t="s">
        <v>5062</v>
      </c>
    </row>
    <row r="8" spans="1:19" x14ac:dyDescent="0.3">
      <c r="B8" t="s">
        <v>5068</v>
      </c>
      <c r="C8" s="3" t="str">
        <f>_xlfn.XLOOKUP($C$4, Worksheet[Employee_ID], Worksheet[Gender])</f>
        <v>Female</v>
      </c>
      <c r="E8" s="24" t="str" cm="1">
        <f t="array" ref="E8:S125">_xlfn._xlws.FILTER(Worksheet[], Worksheet[Department] = Select_Dept, "No employees in this department")</f>
        <v>E-2009</v>
      </c>
      <c r="F8" s="25" t="str">
        <v>FI-01</v>
      </c>
      <c r="G8" s="25" t="str">
        <v>Finance</v>
      </c>
      <c r="H8" s="25" t="str">
        <v>Female</v>
      </c>
      <c r="I8" s="26">
        <v>27</v>
      </c>
      <c r="J8" s="25" t="str">
        <v>Young (20-31)</v>
      </c>
      <c r="K8" s="27">
        <v>44284</v>
      </c>
      <c r="L8" s="25">
        <v>2021</v>
      </c>
      <c r="M8" s="25" t="str">
        <v>March</v>
      </c>
      <c r="N8" s="25">
        <v>29</v>
      </c>
      <c r="O8" s="25">
        <v>2.68</v>
      </c>
      <c r="P8" s="25">
        <v>3</v>
      </c>
      <c r="Q8" s="25">
        <v>7679.81</v>
      </c>
      <c r="R8" s="25">
        <v>4.5999999999999996</v>
      </c>
      <c r="S8" s="28" t="str">
        <v>Early Career (2-5 yr)</v>
      </c>
    </row>
    <row r="9" spans="1:19" x14ac:dyDescent="0.3">
      <c r="B9" t="s">
        <v>5069</v>
      </c>
      <c r="C9" s="9">
        <f>_xlfn.XLOOKUP($C$4, Worksheet[Employee_ID], Worksheet[Salary_USD])</f>
        <v>10739.72</v>
      </c>
      <c r="E9" s="15" t="str">
        <v>E-2014</v>
      </c>
      <c r="F9" s="12" t="str">
        <v>FI-01</v>
      </c>
      <c r="G9" s="12" t="str">
        <v>Finance</v>
      </c>
      <c r="H9" s="12" t="str">
        <v>Female</v>
      </c>
      <c r="I9" s="14">
        <v>42</v>
      </c>
      <c r="J9" s="12" t="str">
        <v>Middle Age (32-50)</v>
      </c>
      <c r="K9" s="13">
        <v>45111</v>
      </c>
      <c r="L9" s="12">
        <v>2023</v>
      </c>
      <c r="M9" s="12" t="str">
        <v>July</v>
      </c>
      <c r="N9" s="12">
        <v>4</v>
      </c>
      <c r="O9" s="12">
        <v>2.94</v>
      </c>
      <c r="P9" s="12">
        <v>3</v>
      </c>
      <c r="Q9" s="12">
        <v>9556.83</v>
      </c>
      <c r="R9" s="12">
        <v>2.2999999999999998</v>
      </c>
      <c r="S9" s="16" t="str">
        <v>Early Career (2-5 yr)</v>
      </c>
    </row>
    <row r="10" spans="1:19" x14ac:dyDescent="0.3">
      <c r="B10" t="s">
        <v>5070</v>
      </c>
      <c r="C10" s="7">
        <f>_xlfn.XLOOKUP($C$4, Worksheet[Employee_ID], Worksheet[Performance_Score])</f>
        <v>3.05</v>
      </c>
      <c r="E10" s="15" t="str">
        <v>E-2065</v>
      </c>
      <c r="F10" s="12" t="str">
        <v>FI-01</v>
      </c>
      <c r="G10" s="12" t="str">
        <v>Finance</v>
      </c>
      <c r="H10" s="12" t="str">
        <v>Female</v>
      </c>
      <c r="I10" s="14">
        <v>38</v>
      </c>
      <c r="J10" s="12" t="str">
        <v>Middle Age (32-50)</v>
      </c>
      <c r="K10" s="13">
        <v>45602</v>
      </c>
      <c r="L10" s="12">
        <v>2024</v>
      </c>
      <c r="M10" s="12" t="str">
        <v>November</v>
      </c>
      <c r="N10" s="12">
        <v>6</v>
      </c>
      <c r="O10" s="12">
        <v>4.24</v>
      </c>
      <c r="P10" s="12">
        <v>5</v>
      </c>
      <c r="Q10" s="12">
        <v>10789.2</v>
      </c>
      <c r="R10" s="12">
        <v>1</v>
      </c>
      <c r="S10" s="16" t="str">
        <v>New (0–1 yr)</v>
      </c>
    </row>
    <row r="11" spans="1:19" x14ac:dyDescent="0.3">
      <c r="B11" t="s">
        <v>5071</v>
      </c>
      <c r="C11" s="3">
        <f>_xlfn.XLOOKUP($C$4, Worksheet[Employee_ID], Worksheet[Absences_per_Month])</f>
        <v>8</v>
      </c>
      <c r="E11" s="15" t="str">
        <v>E-2068</v>
      </c>
      <c r="F11" s="12" t="str">
        <v>FI-01</v>
      </c>
      <c r="G11" s="12" t="str">
        <v>Finance</v>
      </c>
      <c r="H11" s="12" t="str">
        <v>Female</v>
      </c>
      <c r="I11" s="14">
        <v>36</v>
      </c>
      <c r="J11" s="12" t="str">
        <v>Middle Age (32-50)</v>
      </c>
      <c r="K11" s="13">
        <v>45338</v>
      </c>
      <c r="L11" s="12">
        <v>2024</v>
      </c>
      <c r="M11" s="12" t="str">
        <v>February</v>
      </c>
      <c r="N11" s="12">
        <v>16</v>
      </c>
      <c r="O11" s="12">
        <v>3.24</v>
      </c>
      <c r="P11" s="12">
        <v>2</v>
      </c>
      <c r="Q11" s="12">
        <v>3328.06</v>
      </c>
      <c r="R11" s="12">
        <v>1.7</v>
      </c>
      <c r="S11" s="16" t="str">
        <v>Early Career (2-5 yr)</v>
      </c>
    </row>
    <row r="12" spans="1:19" x14ac:dyDescent="0.3">
      <c r="B12" t="s">
        <v>5072</v>
      </c>
      <c r="C12" s="3">
        <f>_xlfn.XLOOKUP($C$4, Worksheet[Employee_ID], Worksheet[Tenure_Years])</f>
        <v>0.3</v>
      </c>
      <c r="E12" s="15" t="str">
        <v>E-2094</v>
      </c>
      <c r="F12" s="12" t="str">
        <v>FI-01</v>
      </c>
      <c r="G12" s="12" t="str">
        <v>Finance</v>
      </c>
      <c r="H12" s="12" t="str">
        <v>Male</v>
      </c>
      <c r="I12" s="14">
        <v>23</v>
      </c>
      <c r="J12" s="12" t="str">
        <v>Young (20-31)</v>
      </c>
      <c r="K12" s="13">
        <v>45067</v>
      </c>
      <c r="L12" s="12">
        <v>2023</v>
      </c>
      <c r="M12" s="12" t="str">
        <v>May</v>
      </c>
      <c r="N12" s="12">
        <v>21</v>
      </c>
      <c r="O12" s="12">
        <v>4.6100000000000003</v>
      </c>
      <c r="P12" s="12">
        <v>11</v>
      </c>
      <c r="Q12" s="12">
        <v>6759.8</v>
      </c>
      <c r="R12" s="12">
        <v>2.5</v>
      </c>
      <c r="S12" s="16" t="str">
        <v>Early Career (2-5 yr)</v>
      </c>
    </row>
    <row r="13" spans="1:19" x14ac:dyDescent="0.3">
      <c r="E13" s="15" t="str">
        <v>E-2095</v>
      </c>
      <c r="F13" s="12" t="str">
        <v>FI-01</v>
      </c>
      <c r="G13" s="12" t="str">
        <v>Finance</v>
      </c>
      <c r="H13" s="12" t="str">
        <v>Male</v>
      </c>
      <c r="I13" s="14">
        <v>52</v>
      </c>
      <c r="J13" s="12" t="str">
        <v>Old (51-65)</v>
      </c>
      <c r="K13" s="13">
        <v>43961</v>
      </c>
      <c r="L13" s="12">
        <v>2020</v>
      </c>
      <c r="M13" s="12" t="str">
        <v>May</v>
      </c>
      <c r="N13" s="12">
        <v>10</v>
      </c>
      <c r="O13" s="12">
        <v>2.08</v>
      </c>
      <c r="P13" s="12">
        <v>3</v>
      </c>
      <c r="Q13" s="12">
        <v>9404.36</v>
      </c>
      <c r="R13" s="12">
        <v>5.5</v>
      </c>
      <c r="S13" s="16" t="str">
        <v>Mid Career (6–10 yr)</v>
      </c>
    </row>
    <row r="14" spans="1:19" x14ac:dyDescent="0.3">
      <c r="E14" s="15" t="str">
        <v>E-2101</v>
      </c>
      <c r="F14" s="12" t="str">
        <v>FI-01</v>
      </c>
      <c r="G14" s="12" t="str">
        <v>Finance</v>
      </c>
      <c r="H14" s="12" t="str">
        <v>Male</v>
      </c>
      <c r="I14" s="14">
        <v>57</v>
      </c>
      <c r="J14" s="12" t="str">
        <v>Old (51-65)</v>
      </c>
      <c r="K14" s="13">
        <v>45942</v>
      </c>
      <c r="L14" s="12">
        <v>2025</v>
      </c>
      <c r="M14" s="12" t="str">
        <v>October</v>
      </c>
      <c r="N14" s="12">
        <v>12</v>
      </c>
      <c r="O14" s="12">
        <v>3.62</v>
      </c>
      <c r="P14" s="12">
        <v>2</v>
      </c>
      <c r="Q14" s="12">
        <v>5361.07</v>
      </c>
      <c r="R14" s="12">
        <v>0.1</v>
      </c>
      <c r="S14" s="16" t="str">
        <v>New (0–1 yr)</v>
      </c>
    </row>
    <row r="15" spans="1:19" x14ac:dyDescent="0.3">
      <c r="E15" s="15" t="str">
        <v>E-2108</v>
      </c>
      <c r="F15" s="12" t="str">
        <v>FI-01</v>
      </c>
      <c r="G15" s="12" t="str">
        <v>Finance</v>
      </c>
      <c r="H15" s="12" t="str">
        <v>Female</v>
      </c>
      <c r="I15" s="14">
        <v>54</v>
      </c>
      <c r="J15" s="12" t="str">
        <v>Old (51-65)</v>
      </c>
      <c r="K15" s="13">
        <v>45540</v>
      </c>
      <c r="L15" s="12">
        <v>2024</v>
      </c>
      <c r="M15" s="12" t="str">
        <v>September</v>
      </c>
      <c r="N15" s="12">
        <v>5</v>
      </c>
      <c r="O15" s="12">
        <v>4.91</v>
      </c>
      <c r="P15" s="12">
        <v>5</v>
      </c>
      <c r="Q15" s="12">
        <v>11529.9</v>
      </c>
      <c r="R15" s="12">
        <v>1.2</v>
      </c>
      <c r="S15" s="16" t="str">
        <v>Early Career (2-5 yr)</v>
      </c>
    </row>
    <row r="16" spans="1:19" x14ac:dyDescent="0.3">
      <c r="E16" s="15" t="str">
        <v>E-2121</v>
      </c>
      <c r="F16" s="12" t="str">
        <v>FI-01</v>
      </c>
      <c r="G16" s="12" t="str">
        <v>Finance</v>
      </c>
      <c r="H16" s="12" t="str">
        <v>Female</v>
      </c>
      <c r="I16" s="14">
        <v>30</v>
      </c>
      <c r="J16" s="12" t="str">
        <v>Young (20-31)</v>
      </c>
      <c r="K16" s="13">
        <v>44838</v>
      </c>
      <c r="L16" s="12">
        <v>2022</v>
      </c>
      <c r="M16" s="12" t="str">
        <v>October</v>
      </c>
      <c r="N16" s="12">
        <v>4</v>
      </c>
      <c r="O16" s="12">
        <v>3.81</v>
      </c>
      <c r="P16" s="12">
        <v>15</v>
      </c>
      <c r="Q16" s="12">
        <v>4413.45</v>
      </c>
      <c r="R16" s="12">
        <v>3.1</v>
      </c>
      <c r="S16" s="16" t="str">
        <v>Early Career (2-5 yr)</v>
      </c>
    </row>
    <row r="17" spans="5:19" x14ac:dyDescent="0.3">
      <c r="E17" s="15" t="str">
        <v>E-2143</v>
      </c>
      <c r="F17" s="12" t="str">
        <v>FI-01</v>
      </c>
      <c r="G17" s="12" t="str">
        <v>Finance</v>
      </c>
      <c r="H17" s="12" t="str">
        <v>Female</v>
      </c>
      <c r="I17" s="14">
        <v>47</v>
      </c>
      <c r="J17" s="12" t="str">
        <v>Middle Age (32-50)</v>
      </c>
      <c r="K17" s="13">
        <v>44394</v>
      </c>
      <c r="L17" s="12">
        <v>2021</v>
      </c>
      <c r="M17" s="12" t="str">
        <v>July</v>
      </c>
      <c r="N17" s="12">
        <v>17</v>
      </c>
      <c r="O17" s="12">
        <v>3.42</v>
      </c>
      <c r="P17" s="12">
        <v>3</v>
      </c>
      <c r="Q17" s="12">
        <v>6800.55</v>
      </c>
      <c r="R17" s="12">
        <v>4.3</v>
      </c>
      <c r="S17" s="16" t="str">
        <v>Early Career (2-5 yr)</v>
      </c>
    </row>
    <row r="18" spans="5:19" x14ac:dyDescent="0.3">
      <c r="E18" s="15" t="str">
        <v>E-2169</v>
      </c>
      <c r="F18" s="12" t="str">
        <v>FI-01</v>
      </c>
      <c r="G18" s="12" t="str">
        <v>Finance</v>
      </c>
      <c r="H18" s="12" t="str">
        <v>Female</v>
      </c>
      <c r="I18" s="14">
        <v>34</v>
      </c>
      <c r="J18" s="12" t="str">
        <v>Middle Age (32-50)</v>
      </c>
      <c r="K18" s="13">
        <v>44240</v>
      </c>
      <c r="L18" s="12">
        <v>2021</v>
      </c>
      <c r="M18" s="12" t="str">
        <v>February</v>
      </c>
      <c r="N18" s="12">
        <v>13</v>
      </c>
      <c r="O18" s="12">
        <v>4.26</v>
      </c>
      <c r="P18" s="12">
        <v>8</v>
      </c>
      <c r="Q18" s="12">
        <v>9751.27</v>
      </c>
      <c r="R18" s="12">
        <v>4.7</v>
      </c>
      <c r="S18" s="16" t="str">
        <v>Early Career (2-5 yr)</v>
      </c>
    </row>
    <row r="19" spans="5:19" x14ac:dyDescent="0.3">
      <c r="E19" s="15" t="str">
        <v>E-2180</v>
      </c>
      <c r="F19" s="12" t="str">
        <v>FI-01</v>
      </c>
      <c r="G19" s="12" t="str">
        <v>Finance</v>
      </c>
      <c r="H19" s="12" t="str">
        <v>Female</v>
      </c>
      <c r="I19" s="14">
        <v>24</v>
      </c>
      <c r="J19" s="12" t="str">
        <v>Young (20-31)</v>
      </c>
      <c r="K19" s="13">
        <v>45703</v>
      </c>
      <c r="L19" s="12">
        <v>2025</v>
      </c>
      <c r="M19" s="12" t="str">
        <v>February</v>
      </c>
      <c r="N19" s="12">
        <v>15</v>
      </c>
      <c r="O19" s="12">
        <v>3.96</v>
      </c>
      <c r="P19" s="12">
        <v>8</v>
      </c>
      <c r="Q19" s="12">
        <v>13198.99</v>
      </c>
      <c r="R19" s="12">
        <v>0.7</v>
      </c>
      <c r="S19" s="16" t="str">
        <v>New (0–1 yr)</v>
      </c>
    </row>
    <row r="20" spans="5:19" x14ac:dyDescent="0.3">
      <c r="E20" s="15" t="str">
        <v>E-2181</v>
      </c>
      <c r="F20" s="12" t="str">
        <v>FI-01</v>
      </c>
      <c r="G20" s="12" t="str">
        <v>Finance</v>
      </c>
      <c r="H20" s="12" t="str">
        <v>Female</v>
      </c>
      <c r="I20" s="14">
        <v>55</v>
      </c>
      <c r="J20" s="12" t="str">
        <v>Old (51-65)</v>
      </c>
      <c r="K20" s="13">
        <v>43992</v>
      </c>
      <c r="L20" s="12">
        <v>2020</v>
      </c>
      <c r="M20" s="12" t="str">
        <v>June</v>
      </c>
      <c r="N20" s="12">
        <v>10</v>
      </c>
      <c r="O20" s="12">
        <v>4.76</v>
      </c>
      <c r="P20" s="12">
        <v>8</v>
      </c>
      <c r="Q20" s="12">
        <v>4318.88</v>
      </c>
      <c r="R20" s="12">
        <v>5.4</v>
      </c>
      <c r="S20" s="16" t="str">
        <v>Mid Career (6–10 yr)</v>
      </c>
    </row>
    <row r="21" spans="5:19" x14ac:dyDescent="0.3">
      <c r="E21" s="15" t="str">
        <v>E-2197</v>
      </c>
      <c r="F21" s="12" t="str">
        <v>FI-01</v>
      </c>
      <c r="G21" s="12" t="str">
        <v>Finance</v>
      </c>
      <c r="H21" s="12" t="str">
        <v>Male</v>
      </c>
      <c r="I21" s="14">
        <v>25</v>
      </c>
      <c r="J21" s="12" t="str">
        <v>Young (20-31)</v>
      </c>
      <c r="K21" s="13">
        <v>45088</v>
      </c>
      <c r="L21" s="12">
        <v>2023</v>
      </c>
      <c r="M21" s="12" t="str">
        <v>June</v>
      </c>
      <c r="N21" s="12">
        <v>11</v>
      </c>
      <c r="O21" s="12">
        <v>3.11</v>
      </c>
      <c r="P21" s="12">
        <v>14</v>
      </c>
      <c r="Q21" s="12">
        <v>10690.68</v>
      </c>
      <c r="R21" s="12">
        <v>2.4</v>
      </c>
      <c r="S21" s="16" t="str">
        <v>Early Career (2-5 yr)</v>
      </c>
    </row>
    <row r="22" spans="5:19" x14ac:dyDescent="0.3">
      <c r="E22" s="15" t="str">
        <v>E-2200</v>
      </c>
      <c r="F22" s="12" t="str">
        <v>FI-01</v>
      </c>
      <c r="G22" s="12" t="str">
        <v>Finance</v>
      </c>
      <c r="H22" s="12" t="str">
        <v>Male</v>
      </c>
      <c r="I22" s="14">
        <v>26</v>
      </c>
      <c r="J22" s="12" t="str">
        <v>Young (20-31)</v>
      </c>
      <c r="K22" s="13">
        <v>44798</v>
      </c>
      <c r="L22" s="12">
        <v>2022</v>
      </c>
      <c r="M22" s="12" t="str">
        <v>August</v>
      </c>
      <c r="N22" s="12">
        <v>25</v>
      </c>
      <c r="O22" s="12">
        <v>1.54</v>
      </c>
      <c r="P22" s="12">
        <v>9</v>
      </c>
      <c r="Q22" s="12">
        <v>13551.38</v>
      </c>
      <c r="R22" s="12">
        <v>3.2</v>
      </c>
      <c r="S22" s="16" t="str">
        <v>Early Career (2-5 yr)</v>
      </c>
    </row>
    <row r="23" spans="5:19" x14ac:dyDescent="0.3">
      <c r="E23" s="15" t="str">
        <v>E-2204</v>
      </c>
      <c r="F23" s="12" t="str">
        <v>FI-01</v>
      </c>
      <c r="G23" s="12" t="str">
        <v>Finance</v>
      </c>
      <c r="H23" s="12" t="str">
        <v>Female</v>
      </c>
      <c r="I23" s="14">
        <v>55</v>
      </c>
      <c r="J23" s="12" t="str">
        <v>Old (51-65)</v>
      </c>
      <c r="K23" s="13">
        <v>44007</v>
      </c>
      <c r="L23" s="12">
        <v>2020</v>
      </c>
      <c r="M23" s="12" t="str">
        <v>June</v>
      </c>
      <c r="N23" s="12">
        <v>25</v>
      </c>
      <c r="O23" s="12">
        <v>2.23</v>
      </c>
      <c r="P23" s="12">
        <v>3</v>
      </c>
      <c r="Q23" s="12">
        <v>14019.76</v>
      </c>
      <c r="R23" s="12">
        <v>5.4</v>
      </c>
      <c r="S23" s="16" t="str">
        <v>Mid Career (6–10 yr)</v>
      </c>
    </row>
    <row r="24" spans="5:19" x14ac:dyDescent="0.3">
      <c r="E24" s="15" t="str">
        <v>E-2214</v>
      </c>
      <c r="F24" s="12" t="str">
        <v>FI-01</v>
      </c>
      <c r="G24" s="12" t="str">
        <v>Finance</v>
      </c>
      <c r="H24" s="12" t="str">
        <v>Male</v>
      </c>
      <c r="I24" s="14">
        <v>46</v>
      </c>
      <c r="J24" s="12" t="str">
        <v>Middle Age (32-50)</v>
      </c>
      <c r="K24" s="13">
        <v>45716</v>
      </c>
      <c r="L24" s="12">
        <v>2025</v>
      </c>
      <c r="M24" s="12" t="str">
        <v>February</v>
      </c>
      <c r="N24" s="12">
        <v>28</v>
      </c>
      <c r="O24" s="12">
        <v>3.38</v>
      </c>
      <c r="P24" s="12">
        <v>0</v>
      </c>
      <c r="Q24" s="12">
        <v>3248.14</v>
      </c>
      <c r="R24" s="12">
        <v>0.7</v>
      </c>
      <c r="S24" s="16" t="str">
        <v>New (0–1 yr)</v>
      </c>
    </row>
    <row r="25" spans="5:19" x14ac:dyDescent="0.3">
      <c r="E25" s="15" t="str">
        <v>E-2242</v>
      </c>
      <c r="F25" s="12" t="str">
        <v>FI-01</v>
      </c>
      <c r="G25" s="12" t="str">
        <v>Finance</v>
      </c>
      <c r="H25" s="12" t="str">
        <v>Female</v>
      </c>
      <c r="I25" s="14">
        <v>27</v>
      </c>
      <c r="J25" s="12" t="str">
        <v>Young (20-31)</v>
      </c>
      <c r="K25" s="13">
        <v>44558</v>
      </c>
      <c r="L25" s="12">
        <v>2021</v>
      </c>
      <c r="M25" s="12" t="str">
        <v>December</v>
      </c>
      <c r="N25" s="12">
        <v>28</v>
      </c>
      <c r="O25" s="12">
        <v>1.75</v>
      </c>
      <c r="P25" s="12">
        <v>0</v>
      </c>
      <c r="Q25" s="12">
        <v>3417.34</v>
      </c>
      <c r="R25" s="12">
        <v>3.8</v>
      </c>
      <c r="S25" s="16" t="str">
        <v>Early Career (2-5 yr)</v>
      </c>
    </row>
    <row r="26" spans="5:19" x14ac:dyDescent="0.3">
      <c r="E26" s="15" t="str">
        <v>E-2272</v>
      </c>
      <c r="F26" s="12" t="str">
        <v>FI-01</v>
      </c>
      <c r="G26" s="12" t="str">
        <v>Finance</v>
      </c>
      <c r="H26" s="12" t="str">
        <v>Male</v>
      </c>
      <c r="I26" s="14">
        <v>26</v>
      </c>
      <c r="J26" s="12" t="str">
        <v>Young (20-31)</v>
      </c>
      <c r="K26" s="13">
        <v>45032</v>
      </c>
      <c r="L26" s="12">
        <v>2023</v>
      </c>
      <c r="M26" s="12" t="str">
        <v>April</v>
      </c>
      <c r="N26" s="12">
        <v>16</v>
      </c>
      <c r="O26" s="12">
        <v>1.53</v>
      </c>
      <c r="P26" s="12">
        <v>3</v>
      </c>
      <c r="Q26" s="12">
        <v>13573.33</v>
      </c>
      <c r="R26" s="12">
        <v>2.5</v>
      </c>
      <c r="S26" s="16" t="str">
        <v>Early Career (2-5 yr)</v>
      </c>
    </row>
    <row r="27" spans="5:19" x14ac:dyDescent="0.3">
      <c r="E27" s="15" t="str">
        <v>E-2276</v>
      </c>
      <c r="F27" s="12" t="str">
        <v>FI-01</v>
      </c>
      <c r="G27" s="12" t="str">
        <v>Finance</v>
      </c>
      <c r="H27" s="12" t="str">
        <v>Female</v>
      </c>
      <c r="I27" s="14">
        <v>60</v>
      </c>
      <c r="J27" s="12" t="str">
        <v>Old (51-65)</v>
      </c>
      <c r="K27" s="13">
        <v>44581</v>
      </c>
      <c r="L27" s="12">
        <v>2022</v>
      </c>
      <c r="M27" s="12" t="str">
        <v>January</v>
      </c>
      <c r="N27" s="12">
        <v>20</v>
      </c>
      <c r="O27" s="12">
        <v>4.46</v>
      </c>
      <c r="P27" s="12">
        <v>14</v>
      </c>
      <c r="Q27" s="12">
        <v>7670.34</v>
      </c>
      <c r="R27" s="12">
        <v>3.8</v>
      </c>
      <c r="S27" s="16" t="str">
        <v>Early Career (2-5 yr)</v>
      </c>
    </row>
    <row r="28" spans="5:19" x14ac:dyDescent="0.3">
      <c r="E28" s="15" t="str">
        <v>E-2286</v>
      </c>
      <c r="F28" s="12" t="str">
        <v>FI-01</v>
      </c>
      <c r="G28" s="12" t="str">
        <v>Finance</v>
      </c>
      <c r="H28" s="12" t="str">
        <v>Female</v>
      </c>
      <c r="I28" s="14">
        <v>40</v>
      </c>
      <c r="J28" s="12" t="str">
        <v>Middle Age (32-50)</v>
      </c>
      <c r="K28" s="13">
        <v>45035</v>
      </c>
      <c r="L28" s="12">
        <v>2023</v>
      </c>
      <c r="M28" s="12" t="str">
        <v>April</v>
      </c>
      <c r="N28" s="12">
        <v>19</v>
      </c>
      <c r="O28" s="12">
        <v>3.38</v>
      </c>
      <c r="P28" s="12">
        <v>13</v>
      </c>
      <c r="Q28" s="12">
        <v>10429.34</v>
      </c>
      <c r="R28" s="12">
        <v>2.5</v>
      </c>
      <c r="S28" s="16" t="str">
        <v>Early Career (2-5 yr)</v>
      </c>
    </row>
    <row r="29" spans="5:19" x14ac:dyDescent="0.3">
      <c r="E29" s="15" t="str">
        <v>E-2341</v>
      </c>
      <c r="F29" s="12" t="str">
        <v>FI-01</v>
      </c>
      <c r="G29" s="12" t="str">
        <v>Finance</v>
      </c>
      <c r="H29" s="12" t="str">
        <v>Male</v>
      </c>
      <c r="I29" s="14">
        <v>37</v>
      </c>
      <c r="J29" s="12" t="str">
        <v>Middle Age (32-50)</v>
      </c>
      <c r="K29" s="13">
        <v>45113</v>
      </c>
      <c r="L29" s="12">
        <v>2023</v>
      </c>
      <c r="M29" s="12" t="str">
        <v>July</v>
      </c>
      <c r="N29" s="12">
        <v>6</v>
      </c>
      <c r="O29" s="12">
        <v>4.2300000000000004</v>
      </c>
      <c r="P29" s="12">
        <v>8</v>
      </c>
      <c r="Q29" s="12">
        <v>12192.46</v>
      </c>
      <c r="R29" s="12">
        <v>2.2999999999999998</v>
      </c>
      <c r="S29" s="16" t="str">
        <v>Early Career (2-5 yr)</v>
      </c>
    </row>
    <row r="30" spans="5:19" x14ac:dyDescent="0.3">
      <c r="E30" s="15" t="str">
        <v>E-2388</v>
      </c>
      <c r="F30" s="12" t="str">
        <v>FI-01</v>
      </c>
      <c r="G30" s="12" t="str">
        <v>Finance</v>
      </c>
      <c r="H30" s="12" t="str">
        <v>Female</v>
      </c>
      <c r="I30" s="14">
        <v>51</v>
      </c>
      <c r="J30" s="12" t="str">
        <v>Old (51-65)</v>
      </c>
      <c r="K30" s="13">
        <v>44723</v>
      </c>
      <c r="L30" s="12">
        <v>2022</v>
      </c>
      <c r="M30" s="12" t="str">
        <v>June</v>
      </c>
      <c r="N30" s="12">
        <v>11</v>
      </c>
      <c r="O30" s="12">
        <v>4.4000000000000004</v>
      </c>
      <c r="P30" s="12">
        <v>5</v>
      </c>
      <c r="Q30" s="12">
        <v>9767.85</v>
      </c>
      <c r="R30" s="12">
        <v>3.4</v>
      </c>
      <c r="S30" s="16" t="str">
        <v>Early Career (2-5 yr)</v>
      </c>
    </row>
    <row r="31" spans="5:19" x14ac:dyDescent="0.3">
      <c r="E31" s="15" t="str">
        <v>E-2398</v>
      </c>
      <c r="F31" s="12" t="str">
        <v>FI-01</v>
      </c>
      <c r="G31" s="12" t="str">
        <v>Finance</v>
      </c>
      <c r="H31" s="12" t="str">
        <v>Female</v>
      </c>
      <c r="I31" s="14">
        <v>26</v>
      </c>
      <c r="J31" s="12" t="str">
        <v>Young (20-31)</v>
      </c>
      <c r="K31" s="13">
        <v>45784</v>
      </c>
      <c r="L31" s="12">
        <v>2025</v>
      </c>
      <c r="M31" s="12" t="str">
        <v>May</v>
      </c>
      <c r="N31" s="12">
        <v>7</v>
      </c>
      <c r="O31" s="12">
        <v>4.18</v>
      </c>
      <c r="P31" s="12">
        <v>14</v>
      </c>
      <c r="Q31" s="12">
        <v>8344.8799999999992</v>
      </c>
      <c r="R31" s="12">
        <v>0.5</v>
      </c>
      <c r="S31" s="16" t="str">
        <v>New (0–1 yr)</v>
      </c>
    </row>
    <row r="32" spans="5:19" x14ac:dyDescent="0.3">
      <c r="E32" s="15" t="str">
        <v>E-2418</v>
      </c>
      <c r="F32" s="12" t="str">
        <v>FI-01</v>
      </c>
      <c r="G32" s="12" t="str">
        <v>Finance</v>
      </c>
      <c r="H32" s="12" t="str">
        <v>Female</v>
      </c>
      <c r="I32" s="14">
        <v>39</v>
      </c>
      <c r="J32" s="12" t="str">
        <v>Middle Age (32-50)</v>
      </c>
      <c r="K32" s="13">
        <v>45058</v>
      </c>
      <c r="L32" s="12">
        <v>2023</v>
      </c>
      <c r="M32" s="12" t="str">
        <v>May</v>
      </c>
      <c r="N32" s="12">
        <v>12</v>
      </c>
      <c r="O32" s="12">
        <v>3.55</v>
      </c>
      <c r="P32" s="12">
        <v>4</v>
      </c>
      <c r="Q32" s="12">
        <v>8562.5300000000007</v>
      </c>
      <c r="R32" s="12">
        <v>2.5</v>
      </c>
      <c r="S32" s="16" t="str">
        <v>Early Career (2-5 yr)</v>
      </c>
    </row>
    <row r="33" spans="5:19" x14ac:dyDescent="0.3">
      <c r="E33" s="15" t="str">
        <v>E-2438</v>
      </c>
      <c r="F33" s="12" t="str">
        <v>FI-01</v>
      </c>
      <c r="G33" s="12" t="str">
        <v>Finance</v>
      </c>
      <c r="H33" s="12" t="str">
        <v>Female</v>
      </c>
      <c r="I33" s="14">
        <v>52</v>
      </c>
      <c r="J33" s="12" t="str">
        <v>Old (51-65)</v>
      </c>
      <c r="K33" s="13">
        <v>43958</v>
      </c>
      <c r="L33" s="12">
        <v>2020</v>
      </c>
      <c r="M33" s="12" t="str">
        <v>May</v>
      </c>
      <c r="N33" s="12">
        <v>7</v>
      </c>
      <c r="O33" s="12">
        <v>1.74</v>
      </c>
      <c r="P33" s="12">
        <v>3</v>
      </c>
      <c r="Q33" s="12">
        <v>5769.38</v>
      </c>
      <c r="R33" s="12">
        <v>5.5</v>
      </c>
      <c r="S33" s="16" t="str">
        <v>Mid Career (6–10 yr)</v>
      </c>
    </row>
    <row r="34" spans="5:19" x14ac:dyDescent="0.3">
      <c r="E34" s="15" t="str">
        <v>E-2445</v>
      </c>
      <c r="F34" s="12" t="str">
        <v>FI-01</v>
      </c>
      <c r="G34" s="12" t="str">
        <v>Finance</v>
      </c>
      <c r="H34" s="12" t="str">
        <v>Male</v>
      </c>
      <c r="I34" s="14">
        <v>56</v>
      </c>
      <c r="J34" s="12" t="str">
        <v>Old (51-65)</v>
      </c>
      <c r="K34" s="13">
        <v>44894</v>
      </c>
      <c r="L34" s="12">
        <v>2022</v>
      </c>
      <c r="M34" s="12" t="str">
        <v>November</v>
      </c>
      <c r="N34" s="12">
        <v>29</v>
      </c>
      <c r="O34" s="12">
        <v>2.81</v>
      </c>
      <c r="P34" s="12">
        <v>1</v>
      </c>
      <c r="Q34" s="12">
        <v>9872.42</v>
      </c>
      <c r="R34" s="12">
        <v>2.9</v>
      </c>
      <c r="S34" s="16" t="str">
        <v>Early Career (2-5 yr)</v>
      </c>
    </row>
    <row r="35" spans="5:19" x14ac:dyDescent="0.3">
      <c r="E35" s="15" t="str">
        <v>E-2451</v>
      </c>
      <c r="F35" s="12" t="str">
        <v>FI-01</v>
      </c>
      <c r="G35" s="12" t="str">
        <v>Finance</v>
      </c>
      <c r="H35" s="12" t="str">
        <v>Male</v>
      </c>
      <c r="I35" s="14">
        <v>45</v>
      </c>
      <c r="J35" s="12" t="str">
        <v>Middle Age (32-50)</v>
      </c>
      <c r="K35" s="13">
        <v>43886</v>
      </c>
      <c r="L35" s="12">
        <v>2020</v>
      </c>
      <c r="M35" s="12" t="str">
        <v>February</v>
      </c>
      <c r="N35" s="12">
        <v>25</v>
      </c>
      <c r="O35" s="12">
        <v>3.66</v>
      </c>
      <c r="P35" s="12">
        <v>3</v>
      </c>
      <c r="Q35" s="12">
        <v>12667.79</v>
      </c>
      <c r="R35" s="12">
        <v>5.7</v>
      </c>
      <c r="S35" s="16" t="str">
        <v>Mid Career (6–10 yr)</v>
      </c>
    </row>
    <row r="36" spans="5:19" x14ac:dyDescent="0.3">
      <c r="E36" s="15" t="str">
        <v>E-2464</v>
      </c>
      <c r="F36" s="12" t="str">
        <v>FI-01</v>
      </c>
      <c r="G36" s="12" t="str">
        <v>Finance</v>
      </c>
      <c r="H36" s="12" t="str">
        <v>Male</v>
      </c>
      <c r="I36" s="14">
        <v>52</v>
      </c>
      <c r="J36" s="12" t="str">
        <v>Old (51-65)</v>
      </c>
      <c r="K36" s="13">
        <v>44103</v>
      </c>
      <c r="L36" s="12">
        <v>2020</v>
      </c>
      <c r="M36" s="12" t="str">
        <v>September</v>
      </c>
      <c r="N36" s="12">
        <v>29</v>
      </c>
      <c r="O36" s="12">
        <v>3.09</v>
      </c>
      <c r="P36" s="12">
        <v>13</v>
      </c>
      <c r="Q36" s="12">
        <v>12005.09</v>
      </c>
      <c r="R36" s="12">
        <v>5.0999999999999996</v>
      </c>
      <c r="S36" s="16" t="str">
        <v>Mid Career (6–10 yr)</v>
      </c>
    </row>
    <row r="37" spans="5:19" x14ac:dyDescent="0.3">
      <c r="E37" s="15" t="str">
        <v>E-2505</v>
      </c>
      <c r="F37" s="12" t="str">
        <v>FI-01</v>
      </c>
      <c r="G37" s="12" t="str">
        <v>Finance</v>
      </c>
      <c r="H37" s="12" t="str">
        <v>Female</v>
      </c>
      <c r="I37" s="14">
        <v>42</v>
      </c>
      <c r="J37" s="12" t="str">
        <v>Middle Age (32-50)</v>
      </c>
      <c r="K37" s="13">
        <v>45595</v>
      </c>
      <c r="L37" s="12">
        <v>2024</v>
      </c>
      <c r="M37" s="12" t="str">
        <v>October</v>
      </c>
      <c r="N37" s="12">
        <v>30</v>
      </c>
      <c r="O37" s="12">
        <v>2.71</v>
      </c>
      <c r="P37" s="12">
        <v>2</v>
      </c>
      <c r="Q37" s="12">
        <v>11328.79</v>
      </c>
      <c r="R37" s="12">
        <v>1</v>
      </c>
      <c r="S37" s="16" t="str">
        <v>New (0–1 yr)</v>
      </c>
    </row>
    <row r="38" spans="5:19" x14ac:dyDescent="0.3">
      <c r="E38" s="15" t="str">
        <v>E-2521</v>
      </c>
      <c r="F38" s="12" t="str">
        <v>FI-01</v>
      </c>
      <c r="G38" s="12" t="str">
        <v>Finance</v>
      </c>
      <c r="H38" s="12" t="str">
        <v>Female</v>
      </c>
      <c r="I38" s="14">
        <v>60</v>
      </c>
      <c r="J38" s="12" t="str">
        <v>Old (51-65)</v>
      </c>
      <c r="K38" s="13">
        <v>45390</v>
      </c>
      <c r="L38" s="12">
        <v>2024</v>
      </c>
      <c r="M38" s="12" t="str">
        <v>April</v>
      </c>
      <c r="N38" s="12">
        <v>8</v>
      </c>
      <c r="O38" s="12">
        <v>2.25</v>
      </c>
      <c r="P38" s="12">
        <v>3</v>
      </c>
      <c r="Q38" s="12">
        <v>13860.19</v>
      </c>
      <c r="R38" s="12">
        <v>1.6</v>
      </c>
      <c r="S38" s="16" t="str">
        <v>Early Career (2-5 yr)</v>
      </c>
    </row>
    <row r="39" spans="5:19" x14ac:dyDescent="0.3">
      <c r="E39" s="15" t="str">
        <v>E-2527</v>
      </c>
      <c r="F39" s="12" t="str">
        <v>FI-01</v>
      </c>
      <c r="G39" s="12" t="str">
        <v>Finance</v>
      </c>
      <c r="H39" s="12" t="str">
        <v>Male</v>
      </c>
      <c r="I39" s="14">
        <v>46</v>
      </c>
      <c r="J39" s="12" t="str">
        <v>Middle Age (32-50)</v>
      </c>
      <c r="K39" s="13">
        <v>44721</v>
      </c>
      <c r="L39" s="12">
        <v>2022</v>
      </c>
      <c r="M39" s="12" t="str">
        <v>June</v>
      </c>
      <c r="N39" s="12">
        <v>9</v>
      </c>
      <c r="O39" s="12">
        <v>4.67</v>
      </c>
      <c r="P39" s="12">
        <v>15</v>
      </c>
      <c r="Q39" s="12">
        <v>8648.01</v>
      </c>
      <c r="R39" s="12">
        <v>3.4</v>
      </c>
      <c r="S39" s="16" t="str">
        <v>Early Career (2-5 yr)</v>
      </c>
    </row>
    <row r="40" spans="5:19" x14ac:dyDescent="0.3">
      <c r="E40" s="15" t="str">
        <v>E-2548</v>
      </c>
      <c r="F40" s="12" t="str">
        <v>FI-01</v>
      </c>
      <c r="G40" s="12" t="str">
        <v>Finance</v>
      </c>
      <c r="H40" s="12" t="str">
        <v>Male</v>
      </c>
      <c r="I40" s="14">
        <v>52</v>
      </c>
      <c r="J40" s="12" t="str">
        <v>Old (51-65)</v>
      </c>
      <c r="K40" s="13">
        <v>45839</v>
      </c>
      <c r="L40" s="12">
        <v>2025</v>
      </c>
      <c r="M40" s="12" t="str">
        <v>July</v>
      </c>
      <c r="N40" s="12">
        <v>1</v>
      </c>
      <c r="O40" s="12">
        <v>3.04</v>
      </c>
      <c r="P40" s="12">
        <v>8</v>
      </c>
      <c r="Q40" s="12">
        <v>7207.39</v>
      </c>
      <c r="R40" s="12">
        <v>0.3</v>
      </c>
      <c r="S40" s="16" t="str">
        <v>New (0–1 yr)</v>
      </c>
    </row>
    <row r="41" spans="5:19" x14ac:dyDescent="0.3">
      <c r="E41" s="15" t="str">
        <v>E-2586</v>
      </c>
      <c r="F41" s="12" t="str">
        <v>FI-01</v>
      </c>
      <c r="G41" s="12" t="str">
        <v>Finance</v>
      </c>
      <c r="H41" s="12" t="str">
        <v>Male</v>
      </c>
      <c r="I41" s="14">
        <v>26</v>
      </c>
      <c r="J41" s="12" t="str">
        <v>Young (20-31)</v>
      </c>
      <c r="K41" s="13">
        <v>44070</v>
      </c>
      <c r="L41" s="12">
        <v>2020</v>
      </c>
      <c r="M41" s="12" t="str">
        <v>August</v>
      </c>
      <c r="N41" s="12">
        <v>27</v>
      </c>
      <c r="O41" s="12">
        <v>3.59</v>
      </c>
      <c r="P41" s="12">
        <v>11</v>
      </c>
      <c r="Q41" s="12">
        <v>4228.6499999999996</v>
      </c>
      <c r="R41" s="12">
        <v>5.2</v>
      </c>
      <c r="S41" s="16" t="str">
        <v>Mid Career (6–10 yr)</v>
      </c>
    </row>
    <row r="42" spans="5:19" x14ac:dyDescent="0.3">
      <c r="E42" s="15" t="str">
        <v>E-2594</v>
      </c>
      <c r="F42" s="12" t="str">
        <v>FI-01</v>
      </c>
      <c r="G42" s="12" t="str">
        <v>Finance</v>
      </c>
      <c r="H42" s="12" t="str">
        <v>Female</v>
      </c>
      <c r="I42" s="14">
        <v>51</v>
      </c>
      <c r="J42" s="12" t="str">
        <v>Old (51-65)</v>
      </c>
      <c r="K42" s="13">
        <v>44336</v>
      </c>
      <c r="L42" s="12">
        <v>2021</v>
      </c>
      <c r="M42" s="12" t="str">
        <v>May</v>
      </c>
      <c r="N42" s="12">
        <v>20</v>
      </c>
      <c r="O42" s="12">
        <v>4.08</v>
      </c>
      <c r="P42" s="12">
        <v>12</v>
      </c>
      <c r="Q42" s="12">
        <v>14591.95</v>
      </c>
      <c r="R42" s="12">
        <v>4.5</v>
      </c>
      <c r="S42" s="16" t="str">
        <v>Early Career (2-5 yr)</v>
      </c>
    </row>
    <row r="43" spans="5:19" x14ac:dyDescent="0.3">
      <c r="E43" s="15" t="str">
        <v>E-2636</v>
      </c>
      <c r="F43" s="12" t="str">
        <v>FI-01</v>
      </c>
      <c r="G43" s="12" t="str">
        <v>Finance</v>
      </c>
      <c r="H43" s="12" t="str">
        <v>Female</v>
      </c>
      <c r="I43" s="14">
        <v>31</v>
      </c>
      <c r="J43" s="12" t="str">
        <v>Young (20-31)</v>
      </c>
      <c r="K43" s="13">
        <v>44359</v>
      </c>
      <c r="L43" s="12">
        <v>2021</v>
      </c>
      <c r="M43" s="12" t="str">
        <v>June</v>
      </c>
      <c r="N43" s="12">
        <v>12</v>
      </c>
      <c r="O43" s="12">
        <v>4.78</v>
      </c>
      <c r="P43" s="12">
        <v>11</v>
      </c>
      <c r="Q43" s="12">
        <v>5123.8500000000004</v>
      </c>
      <c r="R43" s="12">
        <v>4.4000000000000004</v>
      </c>
      <c r="S43" s="16" t="str">
        <v>Early Career (2-5 yr)</v>
      </c>
    </row>
    <row r="44" spans="5:19" x14ac:dyDescent="0.3">
      <c r="E44" s="15" t="str">
        <v>E-2642</v>
      </c>
      <c r="F44" s="12" t="str">
        <v>FI-01</v>
      </c>
      <c r="G44" s="12" t="str">
        <v>Finance</v>
      </c>
      <c r="H44" s="12" t="str">
        <v>Female</v>
      </c>
      <c r="I44" s="14">
        <v>32</v>
      </c>
      <c r="J44" s="12" t="str">
        <v>Middle Age (32-50)</v>
      </c>
      <c r="K44" s="13">
        <v>43900</v>
      </c>
      <c r="L44" s="12">
        <v>2020</v>
      </c>
      <c r="M44" s="12" t="str">
        <v>March</v>
      </c>
      <c r="N44" s="12">
        <v>10</v>
      </c>
      <c r="O44" s="12">
        <v>3.76</v>
      </c>
      <c r="P44" s="12">
        <v>4</v>
      </c>
      <c r="Q44" s="12">
        <v>5879.01</v>
      </c>
      <c r="R44" s="12">
        <v>5.6</v>
      </c>
      <c r="S44" s="16" t="str">
        <v>Mid Career (6–10 yr)</v>
      </c>
    </row>
    <row r="45" spans="5:19" x14ac:dyDescent="0.3">
      <c r="E45" s="15" t="str">
        <v>E-2679</v>
      </c>
      <c r="F45" s="12" t="str">
        <v>FI-01</v>
      </c>
      <c r="G45" s="12" t="str">
        <v>Finance</v>
      </c>
      <c r="H45" s="12" t="str">
        <v>Male</v>
      </c>
      <c r="I45" s="14">
        <v>39</v>
      </c>
      <c r="J45" s="12" t="str">
        <v>Middle Age (32-50)</v>
      </c>
      <c r="K45" s="13">
        <v>44926</v>
      </c>
      <c r="L45" s="12">
        <v>2022</v>
      </c>
      <c r="M45" s="12" t="str">
        <v>December</v>
      </c>
      <c r="N45" s="12">
        <v>31</v>
      </c>
      <c r="O45" s="12">
        <v>1.57</v>
      </c>
      <c r="P45" s="12">
        <v>13</v>
      </c>
      <c r="Q45" s="12">
        <v>9667.5400000000009</v>
      </c>
      <c r="R45" s="12">
        <v>2.8</v>
      </c>
      <c r="S45" s="16" t="str">
        <v>Early Career (2-5 yr)</v>
      </c>
    </row>
    <row r="46" spans="5:19" x14ac:dyDescent="0.3">
      <c r="E46" s="15" t="str">
        <v>E-2685</v>
      </c>
      <c r="F46" s="12" t="str">
        <v>FI-01</v>
      </c>
      <c r="G46" s="12" t="str">
        <v>Finance</v>
      </c>
      <c r="H46" s="12" t="str">
        <v>Female</v>
      </c>
      <c r="I46" s="14">
        <v>55</v>
      </c>
      <c r="J46" s="12" t="str">
        <v>Old (51-65)</v>
      </c>
      <c r="K46" s="13">
        <v>44373</v>
      </c>
      <c r="L46" s="12">
        <v>2021</v>
      </c>
      <c r="M46" s="12" t="str">
        <v>June</v>
      </c>
      <c r="N46" s="12">
        <v>26</v>
      </c>
      <c r="O46" s="12">
        <v>4.68</v>
      </c>
      <c r="P46" s="12">
        <v>4</v>
      </c>
      <c r="Q46" s="12">
        <v>12063.61</v>
      </c>
      <c r="R46" s="12">
        <v>4.4000000000000004</v>
      </c>
      <c r="S46" s="16" t="str">
        <v>Early Career (2-5 yr)</v>
      </c>
    </row>
    <row r="47" spans="5:19" x14ac:dyDescent="0.3">
      <c r="E47" s="15" t="str">
        <v>E-2694</v>
      </c>
      <c r="F47" s="12" t="str">
        <v>FI-01</v>
      </c>
      <c r="G47" s="12" t="str">
        <v>Finance</v>
      </c>
      <c r="H47" s="12" t="str">
        <v>Male</v>
      </c>
      <c r="I47" s="14">
        <v>38</v>
      </c>
      <c r="J47" s="12" t="str">
        <v>Middle Age (32-50)</v>
      </c>
      <c r="K47" s="13">
        <v>45302</v>
      </c>
      <c r="L47" s="12">
        <v>2024</v>
      </c>
      <c r="M47" s="12" t="str">
        <v>January</v>
      </c>
      <c r="N47" s="12">
        <v>11</v>
      </c>
      <c r="O47" s="12">
        <v>3.31</v>
      </c>
      <c r="P47" s="12">
        <v>13</v>
      </c>
      <c r="Q47" s="12">
        <v>3720.69</v>
      </c>
      <c r="R47" s="12">
        <v>1.8</v>
      </c>
      <c r="S47" s="16" t="str">
        <v>Early Career (2-5 yr)</v>
      </c>
    </row>
    <row r="48" spans="5:19" x14ac:dyDescent="0.3">
      <c r="E48" s="15" t="str">
        <v>E-2724</v>
      </c>
      <c r="F48" s="12" t="str">
        <v>FI-01</v>
      </c>
      <c r="G48" s="12" t="str">
        <v>Finance</v>
      </c>
      <c r="H48" s="12" t="str">
        <v>Female</v>
      </c>
      <c r="I48" s="14">
        <v>39</v>
      </c>
      <c r="J48" s="12" t="str">
        <v>Middle Age (32-50)</v>
      </c>
      <c r="K48" s="13">
        <v>43918</v>
      </c>
      <c r="L48" s="12">
        <v>2020</v>
      </c>
      <c r="M48" s="12" t="str">
        <v>March</v>
      </c>
      <c r="N48" s="12">
        <v>28</v>
      </c>
      <c r="O48" s="12">
        <v>4.46</v>
      </c>
      <c r="P48" s="12">
        <v>13</v>
      </c>
      <c r="Q48" s="12">
        <v>6660.39</v>
      </c>
      <c r="R48" s="12">
        <v>5.6</v>
      </c>
      <c r="S48" s="16" t="str">
        <v>Mid Career (6–10 yr)</v>
      </c>
    </row>
    <row r="49" spans="5:19" x14ac:dyDescent="0.3">
      <c r="E49" s="15" t="str">
        <v>E-2730</v>
      </c>
      <c r="F49" s="12" t="str">
        <v>FI-01</v>
      </c>
      <c r="G49" s="12" t="str">
        <v>Finance</v>
      </c>
      <c r="H49" s="12" t="str">
        <v>Female</v>
      </c>
      <c r="I49" s="14">
        <v>25</v>
      </c>
      <c r="J49" s="12" t="str">
        <v>Young (20-31)</v>
      </c>
      <c r="K49" s="13">
        <v>44410</v>
      </c>
      <c r="L49" s="12">
        <v>2021</v>
      </c>
      <c r="M49" s="12" t="str">
        <v>August</v>
      </c>
      <c r="N49" s="12">
        <v>2</v>
      </c>
      <c r="O49" s="12">
        <v>4.37</v>
      </c>
      <c r="P49" s="12">
        <v>4</v>
      </c>
      <c r="Q49" s="12">
        <v>10887.11</v>
      </c>
      <c r="R49" s="12">
        <v>4.3</v>
      </c>
      <c r="S49" s="16" t="str">
        <v>Early Career (2-5 yr)</v>
      </c>
    </row>
    <row r="50" spans="5:19" x14ac:dyDescent="0.3">
      <c r="E50" s="15" t="str">
        <v>E-2733</v>
      </c>
      <c r="F50" s="12" t="str">
        <v>FI-01</v>
      </c>
      <c r="G50" s="12" t="str">
        <v>Finance</v>
      </c>
      <c r="H50" s="12" t="str">
        <v>Female</v>
      </c>
      <c r="I50" s="14">
        <v>31</v>
      </c>
      <c r="J50" s="12" t="str">
        <v>Young (20-31)</v>
      </c>
      <c r="K50" s="13">
        <v>43892</v>
      </c>
      <c r="L50" s="12">
        <v>2020</v>
      </c>
      <c r="M50" s="12" t="str">
        <v>March</v>
      </c>
      <c r="N50" s="12">
        <v>2</v>
      </c>
      <c r="O50" s="12">
        <v>4.04</v>
      </c>
      <c r="P50" s="12">
        <v>11</v>
      </c>
      <c r="Q50" s="12">
        <v>8334.41</v>
      </c>
      <c r="R50" s="12">
        <v>5.7</v>
      </c>
      <c r="S50" s="16" t="str">
        <v>Mid Career (6–10 yr)</v>
      </c>
    </row>
    <row r="51" spans="5:19" x14ac:dyDescent="0.3">
      <c r="E51" s="15" t="str">
        <v>E-2737</v>
      </c>
      <c r="F51" s="12" t="str">
        <v>FI-01</v>
      </c>
      <c r="G51" s="12" t="str">
        <v>Finance</v>
      </c>
      <c r="H51" s="12" t="str">
        <v>Male</v>
      </c>
      <c r="I51" s="14">
        <v>37</v>
      </c>
      <c r="J51" s="12" t="str">
        <v>Middle Age (32-50)</v>
      </c>
      <c r="K51" s="13">
        <v>45406</v>
      </c>
      <c r="L51" s="12">
        <v>2024</v>
      </c>
      <c r="M51" s="12" t="str">
        <v>April</v>
      </c>
      <c r="N51" s="12">
        <v>24</v>
      </c>
      <c r="O51" s="12">
        <v>4.24</v>
      </c>
      <c r="P51" s="12">
        <v>2</v>
      </c>
      <c r="Q51" s="12">
        <v>14437.4</v>
      </c>
      <c r="R51" s="12">
        <v>1.5</v>
      </c>
      <c r="S51" s="16" t="str">
        <v>Early Career (2-5 yr)</v>
      </c>
    </row>
    <row r="52" spans="5:19" x14ac:dyDescent="0.3">
      <c r="E52" s="15" t="str">
        <v>E-2740</v>
      </c>
      <c r="F52" s="12" t="str">
        <v>FI-01</v>
      </c>
      <c r="G52" s="12" t="str">
        <v>Finance</v>
      </c>
      <c r="H52" s="12" t="str">
        <v>Male</v>
      </c>
      <c r="I52" s="14">
        <v>48</v>
      </c>
      <c r="J52" s="12" t="str">
        <v>Middle Age (32-50)</v>
      </c>
      <c r="K52" s="13">
        <v>44506</v>
      </c>
      <c r="L52" s="12">
        <v>2021</v>
      </c>
      <c r="M52" s="12" t="str">
        <v>November</v>
      </c>
      <c r="N52" s="12">
        <v>6</v>
      </c>
      <c r="O52" s="12">
        <v>1.55</v>
      </c>
      <c r="P52" s="12">
        <v>6</v>
      </c>
      <c r="Q52" s="12">
        <v>14176.28</v>
      </c>
      <c r="R52" s="12">
        <v>4</v>
      </c>
      <c r="S52" s="16" t="str">
        <v>Early Career (2-5 yr)</v>
      </c>
    </row>
    <row r="53" spans="5:19" x14ac:dyDescent="0.3">
      <c r="E53" s="15" t="str">
        <v>E-2742</v>
      </c>
      <c r="F53" s="12" t="str">
        <v>FI-01</v>
      </c>
      <c r="G53" s="12" t="str">
        <v>Finance</v>
      </c>
      <c r="H53" s="12" t="str">
        <v>Female</v>
      </c>
      <c r="I53" s="14">
        <v>38</v>
      </c>
      <c r="J53" s="12" t="str">
        <v>Middle Age (32-50)</v>
      </c>
      <c r="K53" s="13">
        <v>44784</v>
      </c>
      <c r="L53" s="12">
        <v>2022</v>
      </c>
      <c r="M53" s="12" t="str">
        <v>August</v>
      </c>
      <c r="N53" s="12">
        <v>11</v>
      </c>
      <c r="O53" s="12">
        <v>2.79</v>
      </c>
      <c r="P53" s="12">
        <v>10</v>
      </c>
      <c r="Q53" s="12">
        <v>10613.92</v>
      </c>
      <c r="R53" s="12">
        <v>3.2</v>
      </c>
      <c r="S53" s="16" t="str">
        <v>Early Career (2-5 yr)</v>
      </c>
    </row>
    <row r="54" spans="5:19" x14ac:dyDescent="0.3">
      <c r="E54" s="15" t="str">
        <v>E-2777</v>
      </c>
      <c r="F54" s="12" t="str">
        <v>FI-01</v>
      </c>
      <c r="G54" s="12" t="str">
        <v>Finance</v>
      </c>
      <c r="H54" s="12" t="str">
        <v>Male</v>
      </c>
      <c r="I54" s="14">
        <v>47</v>
      </c>
      <c r="J54" s="12" t="str">
        <v>Middle Age (32-50)</v>
      </c>
      <c r="K54" s="13">
        <v>44775</v>
      </c>
      <c r="L54" s="12">
        <v>2022</v>
      </c>
      <c r="M54" s="12" t="str">
        <v>August</v>
      </c>
      <c r="N54" s="12">
        <v>2</v>
      </c>
      <c r="O54" s="12">
        <v>2.48</v>
      </c>
      <c r="P54" s="12">
        <v>8</v>
      </c>
      <c r="Q54" s="12">
        <v>4403.33</v>
      </c>
      <c r="R54" s="12">
        <v>3.3</v>
      </c>
      <c r="S54" s="16" t="str">
        <v>Early Career (2-5 yr)</v>
      </c>
    </row>
    <row r="55" spans="5:19" x14ac:dyDescent="0.3">
      <c r="E55" s="15" t="str">
        <v>E-2780</v>
      </c>
      <c r="F55" s="12" t="str">
        <v>FI-01</v>
      </c>
      <c r="G55" s="12" t="str">
        <v>Finance</v>
      </c>
      <c r="H55" s="12" t="str">
        <v>Male</v>
      </c>
      <c r="I55" s="14">
        <v>54</v>
      </c>
      <c r="J55" s="12" t="str">
        <v>Old (51-65)</v>
      </c>
      <c r="K55" s="13">
        <v>44082</v>
      </c>
      <c r="L55" s="12">
        <v>2020</v>
      </c>
      <c r="M55" s="12" t="str">
        <v>September</v>
      </c>
      <c r="N55" s="12">
        <v>8</v>
      </c>
      <c r="O55" s="12">
        <v>3.09</v>
      </c>
      <c r="P55" s="12">
        <v>2</v>
      </c>
      <c r="Q55" s="12">
        <v>9748.98</v>
      </c>
      <c r="R55" s="12">
        <v>5.2</v>
      </c>
      <c r="S55" s="16" t="str">
        <v>Mid Career (6–10 yr)</v>
      </c>
    </row>
    <row r="56" spans="5:19" x14ac:dyDescent="0.3">
      <c r="E56" s="15" t="str">
        <v>E-2788</v>
      </c>
      <c r="F56" s="12" t="str">
        <v>FI-01</v>
      </c>
      <c r="G56" s="12" t="str">
        <v>Finance</v>
      </c>
      <c r="H56" s="12" t="str">
        <v>Male</v>
      </c>
      <c r="I56" s="14">
        <v>30</v>
      </c>
      <c r="J56" s="12" t="str">
        <v>Young (20-31)</v>
      </c>
      <c r="K56" s="13">
        <v>44849</v>
      </c>
      <c r="L56" s="12">
        <v>2022</v>
      </c>
      <c r="M56" s="12" t="str">
        <v>October</v>
      </c>
      <c r="N56" s="12">
        <v>15</v>
      </c>
      <c r="O56" s="12">
        <v>1.87</v>
      </c>
      <c r="P56" s="12">
        <v>13</v>
      </c>
      <c r="Q56" s="12">
        <v>12397.64</v>
      </c>
      <c r="R56" s="12">
        <v>3</v>
      </c>
      <c r="S56" s="16" t="str">
        <v>Early Career (2-5 yr)</v>
      </c>
    </row>
    <row r="57" spans="5:19" x14ac:dyDescent="0.3">
      <c r="E57" s="15" t="str">
        <v>E-2815</v>
      </c>
      <c r="F57" s="12" t="str">
        <v>FI-01</v>
      </c>
      <c r="G57" s="12" t="str">
        <v>Finance</v>
      </c>
      <c r="H57" s="12" t="str">
        <v>Male</v>
      </c>
      <c r="I57" s="14">
        <v>34</v>
      </c>
      <c r="J57" s="12" t="str">
        <v>Middle Age (32-50)</v>
      </c>
      <c r="K57" s="13">
        <v>44156</v>
      </c>
      <c r="L57" s="12">
        <v>2020</v>
      </c>
      <c r="M57" s="12" t="str">
        <v>November</v>
      </c>
      <c r="N57" s="12">
        <v>21</v>
      </c>
      <c r="O57" s="12">
        <v>1.67</v>
      </c>
      <c r="P57" s="12">
        <v>11</v>
      </c>
      <c r="Q57" s="12">
        <v>13473.52</v>
      </c>
      <c r="R57" s="12">
        <v>4.9000000000000004</v>
      </c>
      <c r="S57" s="16" t="str">
        <v>Early Career (2-5 yr)</v>
      </c>
    </row>
    <row r="58" spans="5:19" x14ac:dyDescent="0.3">
      <c r="E58" s="15" t="str">
        <v>E-2818</v>
      </c>
      <c r="F58" s="12" t="str">
        <v>FI-01</v>
      </c>
      <c r="G58" s="12" t="str">
        <v>Finance</v>
      </c>
      <c r="H58" s="12" t="str">
        <v>Female</v>
      </c>
      <c r="I58" s="14">
        <v>56</v>
      </c>
      <c r="J58" s="12" t="str">
        <v>Old (51-65)</v>
      </c>
      <c r="K58" s="13">
        <v>43872</v>
      </c>
      <c r="L58" s="12">
        <v>2020</v>
      </c>
      <c r="M58" s="12" t="str">
        <v>February</v>
      </c>
      <c r="N58" s="12">
        <v>11</v>
      </c>
      <c r="O58" s="12">
        <v>2.11</v>
      </c>
      <c r="P58" s="12">
        <v>0</v>
      </c>
      <c r="Q58" s="12">
        <v>5868.16</v>
      </c>
      <c r="R58" s="12">
        <v>5.7</v>
      </c>
      <c r="S58" s="16" t="str">
        <v>Mid Career (6–10 yr)</v>
      </c>
    </row>
    <row r="59" spans="5:19" x14ac:dyDescent="0.3">
      <c r="E59" s="15" t="str">
        <v>E-2890</v>
      </c>
      <c r="F59" s="12" t="str">
        <v>FI-01</v>
      </c>
      <c r="G59" s="12" t="str">
        <v>Finance</v>
      </c>
      <c r="H59" s="12" t="str">
        <v>Male</v>
      </c>
      <c r="I59" s="14">
        <v>34</v>
      </c>
      <c r="J59" s="12" t="str">
        <v>Middle Age (32-50)</v>
      </c>
      <c r="K59" s="13">
        <v>44874</v>
      </c>
      <c r="L59" s="12">
        <v>2022</v>
      </c>
      <c r="M59" s="12" t="str">
        <v>November</v>
      </c>
      <c r="N59" s="12">
        <v>9</v>
      </c>
      <c r="O59" s="12">
        <v>2.75</v>
      </c>
      <c r="P59" s="12">
        <v>13</v>
      </c>
      <c r="Q59" s="12">
        <v>14437.55</v>
      </c>
      <c r="R59" s="12">
        <v>3</v>
      </c>
      <c r="S59" s="16" t="str">
        <v>Early Career (2-5 yr)</v>
      </c>
    </row>
    <row r="60" spans="5:19" x14ac:dyDescent="0.3">
      <c r="E60" s="15" t="str">
        <v>E-2893</v>
      </c>
      <c r="F60" s="12" t="str">
        <v>FI-01</v>
      </c>
      <c r="G60" s="12" t="str">
        <v>Finance</v>
      </c>
      <c r="H60" s="12" t="str">
        <v>Male</v>
      </c>
      <c r="I60" s="14">
        <v>59</v>
      </c>
      <c r="J60" s="12" t="str">
        <v>Old (51-65)</v>
      </c>
      <c r="K60" s="13">
        <v>43943</v>
      </c>
      <c r="L60" s="12">
        <v>2020</v>
      </c>
      <c r="M60" s="12" t="str">
        <v>April</v>
      </c>
      <c r="N60" s="12">
        <v>22</v>
      </c>
      <c r="O60" s="12">
        <v>1.73</v>
      </c>
      <c r="P60" s="12">
        <v>4</v>
      </c>
      <c r="Q60" s="12">
        <v>5294.77</v>
      </c>
      <c r="R60" s="12">
        <v>5.5</v>
      </c>
      <c r="S60" s="16" t="str">
        <v>Mid Career (6–10 yr)</v>
      </c>
    </row>
    <row r="61" spans="5:19" x14ac:dyDescent="0.3">
      <c r="E61" s="15" t="str">
        <v>E-2899</v>
      </c>
      <c r="F61" s="12" t="str">
        <v>FI-01</v>
      </c>
      <c r="G61" s="12" t="str">
        <v>Finance</v>
      </c>
      <c r="H61" s="12" t="str">
        <v>Male</v>
      </c>
      <c r="I61" s="14">
        <v>40</v>
      </c>
      <c r="J61" s="12" t="str">
        <v>Middle Age (32-50)</v>
      </c>
      <c r="K61" s="13">
        <v>45638</v>
      </c>
      <c r="L61" s="12">
        <v>2024</v>
      </c>
      <c r="M61" s="12" t="str">
        <v>December</v>
      </c>
      <c r="N61" s="12">
        <v>12</v>
      </c>
      <c r="O61" s="12">
        <v>4.37</v>
      </c>
      <c r="P61" s="12">
        <v>5</v>
      </c>
      <c r="Q61" s="12">
        <v>9401.58</v>
      </c>
      <c r="R61" s="12">
        <v>0.9</v>
      </c>
      <c r="S61" s="16" t="str">
        <v>New (0–1 yr)</v>
      </c>
    </row>
    <row r="62" spans="5:19" x14ac:dyDescent="0.3">
      <c r="E62" s="15" t="str">
        <v>E-2918</v>
      </c>
      <c r="F62" s="12" t="str">
        <v>FI-01</v>
      </c>
      <c r="G62" s="12" t="str">
        <v>Finance</v>
      </c>
      <c r="H62" s="12" t="str">
        <v>Female</v>
      </c>
      <c r="I62" s="14">
        <v>22</v>
      </c>
      <c r="J62" s="12" t="str">
        <v>Young (20-31)</v>
      </c>
      <c r="K62" s="13">
        <v>45578</v>
      </c>
      <c r="L62" s="12">
        <v>2024</v>
      </c>
      <c r="M62" s="12" t="str">
        <v>October</v>
      </c>
      <c r="N62" s="12">
        <v>13</v>
      </c>
      <c r="O62" s="12">
        <v>4.12</v>
      </c>
      <c r="P62" s="12">
        <v>5</v>
      </c>
      <c r="Q62" s="12">
        <v>12669.51</v>
      </c>
      <c r="R62" s="12">
        <v>1.1000000000000001</v>
      </c>
      <c r="S62" s="16" t="str">
        <v>Early Career (2-5 yr)</v>
      </c>
    </row>
    <row r="63" spans="5:19" x14ac:dyDescent="0.3">
      <c r="E63" s="15" t="str">
        <v>E-2940</v>
      </c>
      <c r="F63" s="12" t="str">
        <v>FI-01</v>
      </c>
      <c r="G63" s="12" t="str">
        <v>Finance</v>
      </c>
      <c r="H63" s="12" t="str">
        <v>Male</v>
      </c>
      <c r="I63" s="14">
        <v>26</v>
      </c>
      <c r="J63" s="12" t="str">
        <v>Young (20-31)</v>
      </c>
      <c r="K63" s="13">
        <v>45406</v>
      </c>
      <c r="L63" s="12">
        <v>2024</v>
      </c>
      <c r="M63" s="12" t="str">
        <v>April</v>
      </c>
      <c r="N63" s="12">
        <v>24</v>
      </c>
      <c r="O63" s="12">
        <v>4.33</v>
      </c>
      <c r="P63" s="12">
        <v>9</v>
      </c>
      <c r="Q63" s="12">
        <v>3854.37</v>
      </c>
      <c r="R63" s="12">
        <v>1.5</v>
      </c>
      <c r="S63" s="16" t="str">
        <v>Early Career (2-5 yr)</v>
      </c>
    </row>
    <row r="64" spans="5:19" x14ac:dyDescent="0.3">
      <c r="E64" s="15" t="str">
        <v>E-2949</v>
      </c>
      <c r="F64" s="12" t="str">
        <v>FI-01</v>
      </c>
      <c r="G64" s="12" t="str">
        <v>Finance</v>
      </c>
      <c r="H64" s="12" t="str">
        <v>Female</v>
      </c>
      <c r="I64" s="14">
        <v>46</v>
      </c>
      <c r="J64" s="12" t="str">
        <v>Middle Age (32-50)</v>
      </c>
      <c r="K64" s="13">
        <v>44136</v>
      </c>
      <c r="L64" s="12">
        <v>2020</v>
      </c>
      <c r="M64" s="12" t="str">
        <v>November</v>
      </c>
      <c r="N64" s="12">
        <v>1</v>
      </c>
      <c r="O64" s="12">
        <v>3.52</v>
      </c>
      <c r="P64" s="12">
        <v>4</v>
      </c>
      <c r="Q64" s="12">
        <v>14351.43</v>
      </c>
      <c r="R64" s="12">
        <v>5</v>
      </c>
      <c r="S64" s="16" t="str">
        <v>Early Career (2-5 yr)</v>
      </c>
    </row>
    <row r="65" spans="5:19" x14ac:dyDescent="0.3">
      <c r="E65" s="15" t="str">
        <v>E-2951</v>
      </c>
      <c r="F65" s="12" t="str">
        <v>FI-01</v>
      </c>
      <c r="G65" s="12" t="str">
        <v>Finance</v>
      </c>
      <c r="H65" s="12" t="str">
        <v>Female</v>
      </c>
      <c r="I65" s="14">
        <v>26</v>
      </c>
      <c r="J65" s="12" t="str">
        <v>Young (20-31)</v>
      </c>
      <c r="K65" s="13">
        <v>45794</v>
      </c>
      <c r="L65" s="12">
        <v>2025</v>
      </c>
      <c r="M65" s="12" t="str">
        <v>May</v>
      </c>
      <c r="N65" s="12">
        <v>17</v>
      </c>
      <c r="O65" s="12">
        <v>1.84</v>
      </c>
      <c r="P65" s="12">
        <v>10</v>
      </c>
      <c r="Q65" s="12">
        <v>5436.32</v>
      </c>
      <c r="R65" s="12">
        <v>0.5</v>
      </c>
      <c r="S65" s="16" t="str">
        <v>New (0–1 yr)</v>
      </c>
    </row>
    <row r="66" spans="5:19" x14ac:dyDescent="0.3">
      <c r="E66" s="15" t="str">
        <v>E-2958</v>
      </c>
      <c r="F66" s="12" t="str">
        <v>FI-01</v>
      </c>
      <c r="G66" s="12" t="str">
        <v>Finance</v>
      </c>
      <c r="H66" s="12" t="str">
        <v>Male</v>
      </c>
      <c r="I66" s="14">
        <v>54</v>
      </c>
      <c r="J66" s="12" t="str">
        <v>Old (51-65)</v>
      </c>
      <c r="K66" s="13">
        <v>45625</v>
      </c>
      <c r="L66" s="12">
        <v>2024</v>
      </c>
      <c r="M66" s="12" t="str">
        <v>November</v>
      </c>
      <c r="N66" s="12">
        <v>29</v>
      </c>
      <c r="O66" s="12">
        <v>2.67</v>
      </c>
      <c r="P66" s="12">
        <v>11</v>
      </c>
      <c r="Q66" s="12">
        <v>3282.24</v>
      </c>
      <c r="R66" s="12">
        <v>0.9</v>
      </c>
      <c r="S66" s="16" t="str">
        <v>New (0–1 yr)</v>
      </c>
    </row>
    <row r="67" spans="5:19" x14ac:dyDescent="0.3">
      <c r="E67" s="15" t="str">
        <v>E-2962</v>
      </c>
      <c r="F67" s="12" t="str">
        <v>FI-01</v>
      </c>
      <c r="G67" s="12" t="str">
        <v>Finance</v>
      </c>
      <c r="H67" s="12" t="str">
        <v>Male</v>
      </c>
      <c r="I67" s="14">
        <v>39</v>
      </c>
      <c r="J67" s="12" t="str">
        <v>Middle Age (32-50)</v>
      </c>
      <c r="K67" s="13">
        <v>44039</v>
      </c>
      <c r="L67" s="12">
        <v>2020</v>
      </c>
      <c r="M67" s="12" t="str">
        <v>July</v>
      </c>
      <c r="N67" s="12">
        <v>27</v>
      </c>
      <c r="O67" s="12">
        <v>3.51</v>
      </c>
      <c r="P67" s="12">
        <v>8</v>
      </c>
      <c r="Q67" s="12">
        <v>3005.11</v>
      </c>
      <c r="R67" s="12">
        <v>5.3</v>
      </c>
      <c r="S67" s="16" t="str">
        <v>Mid Career (6–10 yr)</v>
      </c>
    </row>
    <row r="68" spans="5:19" x14ac:dyDescent="0.3">
      <c r="E68" s="15" t="str">
        <v>E-2969</v>
      </c>
      <c r="F68" s="12" t="str">
        <v>FI-01</v>
      </c>
      <c r="G68" s="12" t="str">
        <v>Finance</v>
      </c>
      <c r="H68" s="12" t="str">
        <v>Female</v>
      </c>
      <c r="I68" s="14">
        <v>49</v>
      </c>
      <c r="J68" s="12" t="str">
        <v>Middle Age (32-50)</v>
      </c>
      <c r="K68" s="13">
        <v>44063</v>
      </c>
      <c r="L68" s="12">
        <v>2020</v>
      </c>
      <c r="M68" s="12" t="str">
        <v>August</v>
      </c>
      <c r="N68" s="12">
        <v>20</v>
      </c>
      <c r="O68" s="12">
        <v>3.26</v>
      </c>
      <c r="P68" s="12">
        <v>6</v>
      </c>
      <c r="Q68" s="12">
        <v>11210.06</v>
      </c>
      <c r="R68" s="12">
        <v>5.2</v>
      </c>
      <c r="S68" s="16" t="str">
        <v>Mid Career (6–10 yr)</v>
      </c>
    </row>
    <row r="69" spans="5:19" x14ac:dyDescent="0.3">
      <c r="E69" s="15" t="str">
        <v>E-2974</v>
      </c>
      <c r="F69" s="12" t="str">
        <v>FI-01</v>
      </c>
      <c r="G69" s="12" t="str">
        <v>Finance</v>
      </c>
      <c r="H69" s="12" t="str">
        <v>Male</v>
      </c>
      <c r="I69" s="14">
        <v>34</v>
      </c>
      <c r="J69" s="12" t="str">
        <v>Middle Age (32-50)</v>
      </c>
      <c r="K69" s="13">
        <v>44221</v>
      </c>
      <c r="L69" s="12">
        <v>2021</v>
      </c>
      <c r="M69" s="12" t="str">
        <v>January</v>
      </c>
      <c r="N69" s="12">
        <v>25</v>
      </c>
      <c r="O69" s="12">
        <v>1.79</v>
      </c>
      <c r="P69" s="12">
        <v>8</v>
      </c>
      <c r="Q69" s="12">
        <v>3267.29</v>
      </c>
      <c r="R69" s="12">
        <v>4.8</v>
      </c>
      <c r="S69" s="16" t="str">
        <v>Early Career (2-5 yr)</v>
      </c>
    </row>
    <row r="70" spans="5:19" x14ac:dyDescent="0.3">
      <c r="E70" s="15" t="str">
        <v>E-2978</v>
      </c>
      <c r="F70" s="12" t="str">
        <v>FI-01</v>
      </c>
      <c r="G70" s="12" t="str">
        <v>Finance</v>
      </c>
      <c r="H70" s="12" t="str">
        <v>Female</v>
      </c>
      <c r="I70" s="14">
        <v>38</v>
      </c>
      <c r="J70" s="12" t="str">
        <v>Middle Age (32-50)</v>
      </c>
      <c r="K70" s="13">
        <v>45057</v>
      </c>
      <c r="L70" s="12">
        <v>2023</v>
      </c>
      <c r="M70" s="12" t="str">
        <v>May</v>
      </c>
      <c r="N70" s="12">
        <v>11</v>
      </c>
      <c r="O70" s="12">
        <v>3.96</v>
      </c>
      <c r="P70" s="12">
        <v>7</v>
      </c>
      <c r="Q70" s="12">
        <v>13613.85</v>
      </c>
      <c r="R70" s="12">
        <v>2.5</v>
      </c>
      <c r="S70" s="16" t="str">
        <v>Early Career (2-5 yr)</v>
      </c>
    </row>
    <row r="71" spans="5:19" x14ac:dyDescent="0.3">
      <c r="E71" s="15" t="str">
        <v>E-2984</v>
      </c>
      <c r="F71" s="12" t="str">
        <v>FI-01</v>
      </c>
      <c r="G71" s="12" t="str">
        <v>Finance</v>
      </c>
      <c r="H71" s="12" t="str">
        <v>Male</v>
      </c>
      <c r="I71" s="14">
        <v>49</v>
      </c>
      <c r="J71" s="12" t="str">
        <v>Middle Age (32-50)</v>
      </c>
      <c r="K71" s="13">
        <v>45114</v>
      </c>
      <c r="L71" s="12">
        <v>2023</v>
      </c>
      <c r="M71" s="12" t="str">
        <v>July</v>
      </c>
      <c r="N71" s="12">
        <v>7</v>
      </c>
      <c r="O71" s="12">
        <v>2.0699999999999998</v>
      </c>
      <c r="P71" s="12">
        <v>2</v>
      </c>
      <c r="Q71" s="12">
        <v>3034.91</v>
      </c>
      <c r="R71" s="12">
        <v>2.2999999999999998</v>
      </c>
      <c r="S71" s="16" t="str">
        <v>Early Career (2-5 yr)</v>
      </c>
    </row>
    <row r="72" spans="5:19" x14ac:dyDescent="0.3">
      <c r="E72" s="15" t="str">
        <v>E-2990</v>
      </c>
      <c r="F72" s="12" t="str">
        <v>FI-01</v>
      </c>
      <c r="G72" s="12" t="str">
        <v>Finance</v>
      </c>
      <c r="H72" s="12" t="str">
        <v>Female</v>
      </c>
      <c r="I72" s="14">
        <v>25</v>
      </c>
      <c r="J72" s="12" t="str">
        <v>Young (20-31)</v>
      </c>
      <c r="K72" s="13">
        <v>44660</v>
      </c>
      <c r="L72" s="12">
        <v>2022</v>
      </c>
      <c r="M72" s="12" t="str">
        <v>April</v>
      </c>
      <c r="N72" s="12">
        <v>9</v>
      </c>
      <c r="O72" s="12">
        <v>3.77</v>
      </c>
      <c r="P72" s="12">
        <v>7</v>
      </c>
      <c r="Q72" s="12">
        <v>8890.9599999999991</v>
      </c>
      <c r="R72" s="12">
        <v>3.6</v>
      </c>
      <c r="S72" s="16" t="str">
        <v>Early Career (2-5 yr)</v>
      </c>
    </row>
    <row r="73" spans="5:19" x14ac:dyDescent="0.3">
      <c r="E73" s="15" t="str">
        <v>E-3011</v>
      </c>
      <c r="F73" s="12" t="str">
        <v>FI-01</v>
      </c>
      <c r="G73" s="12" t="str">
        <v>Finance</v>
      </c>
      <c r="H73" s="12" t="str">
        <v>Female</v>
      </c>
      <c r="I73" s="14">
        <v>46</v>
      </c>
      <c r="J73" s="12" t="str">
        <v>Middle Age (32-50)</v>
      </c>
      <c r="K73" s="13">
        <v>43934</v>
      </c>
      <c r="L73" s="12">
        <v>2020</v>
      </c>
      <c r="M73" s="12" t="str">
        <v>April</v>
      </c>
      <c r="N73" s="12">
        <v>13</v>
      </c>
      <c r="O73" s="12">
        <v>3.62</v>
      </c>
      <c r="P73" s="12">
        <v>8</v>
      </c>
      <c r="Q73" s="12">
        <v>7512.49</v>
      </c>
      <c r="R73" s="12">
        <v>5.6</v>
      </c>
      <c r="S73" s="16" t="str">
        <v>Mid Career (6–10 yr)</v>
      </c>
    </row>
    <row r="74" spans="5:19" x14ac:dyDescent="0.3">
      <c r="E74" s="15" t="str">
        <v>E-3048</v>
      </c>
      <c r="F74" s="12" t="str">
        <v>FI-01</v>
      </c>
      <c r="G74" s="12" t="str">
        <v>Finance</v>
      </c>
      <c r="H74" s="12" t="str">
        <v>Male</v>
      </c>
      <c r="I74" s="14">
        <v>23</v>
      </c>
      <c r="J74" s="12" t="str">
        <v>Young (20-31)</v>
      </c>
      <c r="K74" s="13">
        <v>44628</v>
      </c>
      <c r="L74" s="12">
        <v>2022</v>
      </c>
      <c r="M74" s="12" t="str">
        <v>March</v>
      </c>
      <c r="N74" s="12">
        <v>8</v>
      </c>
      <c r="O74" s="12">
        <v>1.98</v>
      </c>
      <c r="P74" s="12">
        <v>5</v>
      </c>
      <c r="Q74" s="12">
        <v>6616.3</v>
      </c>
      <c r="R74" s="12">
        <v>3.7</v>
      </c>
      <c r="S74" s="16" t="str">
        <v>Early Career (2-5 yr)</v>
      </c>
    </row>
    <row r="75" spans="5:19" x14ac:dyDescent="0.3">
      <c r="E75" s="15" t="str">
        <v>E-3049</v>
      </c>
      <c r="F75" s="12" t="str">
        <v>FI-01</v>
      </c>
      <c r="G75" s="12" t="str">
        <v>Finance</v>
      </c>
      <c r="H75" s="12" t="str">
        <v>Male</v>
      </c>
      <c r="I75" s="14">
        <v>48</v>
      </c>
      <c r="J75" s="12" t="str">
        <v>Middle Age (32-50)</v>
      </c>
      <c r="K75" s="13">
        <v>45476</v>
      </c>
      <c r="L75" s="12">
        <v>2024</v>
      </c>
      <c r="M75" s="12" t="str">
        <v>July</v>
      </c>
      <c r="N75" s="12">
        <v>3</v>
      </c>
      <c r="O75" s="12">
        <v>1.84</v>
      </c>
      <c r="P75" s="12">
        <v>15</v>
      </c>
      <c r="Q75" s="12">
        <v>7534.03</v>
      </c>
      <c r="R75" s="12">
        <v>1.3</v>
      </c>
      <c r="S75" s="16" t="str">
        <v>Early Career (2-5 yr)</v>
      </c>
    </row>
    <row r="76" spans="5:19" x14ac:dyDescent="0.3">
      <c r="E76" s="15" t="str">
        <v>E-3075</v>
      </c>
      <c r="F76" s="12" t="str">
        <v>FI-01</v>
      </c>
      <c r="G76" s="12" t="str">
        <v>Finance</v>
      </c>
      <c r="H76" s="12" t="str">
        <v>Female</v>
      </c>
      <c r="I76" s="14">
        <v>36</v>
      </c>
      <c r="J76" s="12" t="str">
        <v>Middle Age (32-50)</v>
      </c>
      <c r="K76" s="13">
        <v>44184</v>
      </c>
      <c r="L76" s="12">
        <v>2020</v>
      </c>
      <c r="M76" s="12" t="str">
        <v>December</v>
      </c>
      <c r="N76" s="12">
        <v>19</v>
      </c>
      <c r="O76" s="12">
        <v>3.56</v>
      </c>
      <c r="P76" s="12">
        <v>5</v>
      </c>
      <c r="Q76" s="12">
        <v>13209.31</v>
      </c>
      <c r="R76" s="12">
        <v>4.9000000000000004</v>
      </c>
      <c r="S76" s="16" t="str">
        <v>Early Career (2-5 yr)</v>
      </c>
    </row>
    <row r="77" spans="5:19" x14ac:dyDescent="0.3">
      <c r="E77" s="15" t="str">
        <v>E-3081</v>
      </c>
      <c r="F77" s="12" t="str">
        <v>FI-01</v>
      </c>
      <c r="G77" s="12" t="str">
        <v>Finance</v>
      </c>
      <c r="H77" s="12" t="str">
        <v>Female</v>
      </c>
      <c r="I77" s="14">
        <v>31</v>
      </c>
      <c r="J77" s="12" t="str">
        <v>Young (20-31)</v>
      </c>
      <c r="K77" s="13">
        <v>45917</v>
      </c>
      <c r="L77" s="12">
        <v>2025</v>
      </c>
      <c r="M77" s="12" t="str">
        <v>September</v>
      </c>
      <c r="N77" s="12">
        <v>17</v>
      </c>
      <c r="O77" s="12">
        <v>3.51</v>
      </c>
      <c r="P77" s="12">
        <v>6</v>
      </c>
      <c r="Q77" s="12">
        <v>10125.15</v>
      </c>
      <c r="R77" s="12">
        <v>0.1</v>
      </c>
      <c r="S77" s="16" t="str">
        <v>New (0–1 yr)</v>
      </c>
    </row>
    <row r="78" spans="5:19" x14ac:dyDescent="0.3">
      <c r="E78" s="15" t="str">
        <v>E-3196</v>
      </c>
      <c r="F78" s="12" t="str">
        <v>FI-01</v>
      </c>
      <c r="G78" s="12" t="str">
        <v>Finance</v>
      </c>
      <c r="H78" s="12" t="str">
        <v>Male</v>
      </c>
      <c r="I78" s="14">
        <v>22</v>
      </c>
      <c r="J78" s="12" t="str">
        <v>Young (20-31)</v>
      </c>
      <c r="K78" s="13">
        <v>44156</v>
      </c>
      <c r="L78" s="12">
        <v>2020</v>
      </c>
      <c r="M78" s="12" t="str">
        <v>November</v>
      </c>
      <c r="N78" s="12">
        <v>21</v>
      </c>
      <c r="O78" s="12">
        <v>3.3</v>
      </c>
      <c r="P78" s="12">
        <v>15</v>
      </c>
      <c r="Q78" s="12">
        <v>13087.86</v>
      </c>
      <c r="R78" s="12">
        <v>4.9000000000000004</v>
      </c>
      <c r="S78" s="16" t="str">
        <v>Early Career (2-5 yr)</v>
      </c>
    </row>
    <row r="79" spans="5:19" x14ac:dyDescent="0.3">
      <c r="E79" s="15" t="str">
        <v>E-3235</v>
      </c>
      <c r="F79" s="12" t="str">
        <v>FI-01</v>
      </c>
      <c r="G79" s="12" t="str">
        <v>Finance</v>
      </c>
      <c r="H79" s="12" t="str">
        <v>Female</v>
      </c>
      <c r="I79" s="14">
        <v>59</v>
      </c>
      <c r="J79" s="12" t="str">
        <v>Old (51-65)</v>
      </c>
      <c r="K79" s="13">
        <v>44479</v>
      </c>
      <c r="L79" s="12">
        <v>2021</v>
      </c>
      <c r="M79" s="12" t="str">
        <v>October</v>
      </c>
      <c r="N79" s="12">
        <v>10</v>
      </c>
      <c r="O79" s="12">
        <v>1.66</v>
      </c>
      <c r="P79" s="12">
        <v>6</v>
      </c>
      <c r="Q79" s="12">
        <v>11467.41</v>
      </c>
      <c r="R79" s="12">
        <v>4.0999999999999996</v>
      </c>
      <c r="S79" s="16" t="str">
        <v>Early Career (2-5 yr)</v>
      </c>
    </row>
    <row r="80" spans="5:19" x14ac:dyDescent="0.3">
      <c r="E80" s="15" t="str">
        <v>E-3271</v>
      </c>
      <c r="F80" s="12" t="str">
        <v>FI-01</v>
      </c>
      <c r="G80" s="12" t="str">
        <v>Finance</v>
      </c>
      <c r="H80" s="12" t="str">
        <v>Male</v>
      </c>
      <c r="I80" s="14">
        <v>37</v>
      </c>
      <c r="J80" s="12" t="str">
        <v>Middle Age (32-50)</v>
      </c>
      <c r="K80" s="13">
        <v>44558</v>
      </c>
      <c r="L80" s="12">
        <v>2021</v>
      </c>
      <c r="M80" s="12" t="str">
        <v>December</v>
      </c>
      <c r="N80" s="12">
        <v>28</v>
      </c>
      <c r="O80" s="12">
        <v>3.21</v>
      </c>
      <c r="P80" s="12">
        <v>0</v>
      </c>
      <c r="Q80" s="12">
        <v>8617.94</v>
      </c>
      <c r="R80" s="12">
        <v>3.8</v>
      </c>
      <c r="S80" s="16" t="str">
        <v>Early Career (2-5 yr)</v>
      </c>
    </row>
    <row r="81" spans="5:19" x14ac:dyDescent="0.3">
      <c r="E81" s="15" t="str">
        <v>E-3278</v>
      </c>
      <c r="F81" s="12" t="str">
        <v>FI-01</v>
      </c>
      <c r="G81" s="12" t="str">
        <v>Finance</v>
      </c>
      <c r="H81" s="12" t="str">
        <v>Male</v>
      </c>
      <c r="I81" s="14">
        <v>53</v>
      </c>
      <c r="J81" s="12" t="str">
        <v>Old (51-65)</v>
      </c>
      <c r="K81" s="13">
        <v>43961</v>
      </c>
      <c r="L81" s="12">
        <v>2020</v>
      </c>
      <c r="M81" s="12" t="str">
        <v>May</v>
      </c>
      <c r="N81" s="12">
        <v>10</v>
      </c>
      <c r="O81" s="12">
        <v>3.56</v>
      </c>
      <c r="P81" s="12">
        <v>7</v>
      </c>
      <c r="Q81" s="12">
        <v>5344.37</v>
      </c>
      <c r="R81" s="12">
        <v>5.5</v>
      </c>
      <c r="S81" s="16" t="str">
        <v>Mid Career (6–10 yr)</v>
      </c>
    </row>
    <row r="82" spans="5:19" x14ac:dyDescent="0.3">
      <c r="E82" s="15" t="str">
        <v>E-3501</v>
      </c>
      <c r="F82" s="12" t="str">
        <v>FI-01</v>
      </c>
      <c r="G82" s="12" t="str">
        <v>Finance</v>
      </c>
      <c r="H82" s="12" t="str">
        <v>Male</v>
      </c>
      <c r="I82" s="14">
        <v>56</v>
      </c>
      <c r="J82" s="12" t="str">
        <v>Old (51-65)</v>
      </c>
      <c r="K82" s="13">
        <v>45912</v>
      </c>
      <c r="L82" s="12">
        <v>2025</v>
      </c>
      <c r="M82" s="12" t="str">
        <v>September</v>
      </c>
      <c r="N82" s="12">
        <v>12</v>
      </c>
      <c r="O82" s="12">
        <v>4.97</v>
      </c>
      <c r="P82" s="12">
        <v>1</v>
      </c>
      <c r="Q82" s="12">
        <v>4589.2</v>
      </c>
      <c r="R82" s="12">
        <v>0.1</v>
      </c>
      <c r="S82" s="16" t="str">
        <v>New (0–1 yr)</v>
      </c>
    </row>
    <row r="83" spans="5:19" x14ac:dyDescent="0.3">
      <c r="E83" s="15" t="str">
        <v>E-3729</v>
      </c>
      <c r="F83" s="12" t="str">
        <v>FI-01</v>
      </c>
      <c r="G83" s="12" t="str">
        <v>Finance</v>
      </c>
      <c r="H83" s="12" t="str">
        <v>Female</v>
      </c>
      <c r="I83" s="14">
        <v>24</v>
      </c>
      <c r="J83" s="12" t="str">
        <v>Young (20-31)</v>
      </c>
      <c r="K83" s="13">
        <v>45038</v>
      </c>
      <c r="L83" s="12">
        <v>2023</v>
      </c>
      <c r="M83" s="12" t="str">
        <v>April</v>
      </c>
      <c r="N83" s="12">
        <v>22</v>
      </c>
      <c r="O83" s="12">
        <v>1.83</v>
      </c>
      <c r="P83" s="12">
        <v>3</v>
      </c>
      <c r="Q83" s="12">
        <v>6517.64</v>
      </c>
      <c r="R83" s="12">
        <v>2.5</v>
      </c>
      <c r="S83" s="16" t="str">
        <v>Early Career (2-5 yr)</v>
      </c>
    </row>
    <row r="84" spans="5:19" x14ac:dyDescent="0.3">
      <c r="E84" s="15" t="str">
        <v>E-3788</v>
      </c>
      <c r="F84" s="12" t="str">
        <v>FI-01</v>
      </c>
      <c r="G84" s="12" t="str">
        <v>Finance</v>
      </c>
      <c r="H84" s="12" t="str">
        <v>Female</v>
      </c>
      <c r="I84" s="14">
        <v>58</v>
      </c>
      <c r="J84" s="12" t="str">
        <v>Old (51-65)</v>
      </c>
      <c r="K84" s="13">
        <v>44286</v>
      </c>
      <c r="L84" s="12">
        <v>2021</v>
      </c>
      <c r="M84" s="12" t="str">
        <v>March</v>
      </c>
      <c r="N84" s="12">
        <v>31</v>
      </c>
      <c r="O84" s="12">
        <v>4.2300000000000004</v>
      </c>
      <c r="P84" s="12">
        <v>15</v>
      </c>
      <c r="Q84" s="12">
        <v>5127.7299999999996</v>
      </c>
      <c r="R84" s="12">
        <v>4.5999999999999996</v>
      </c>
      <c r="S84" s="16" t="str">
        <v>Early Career (2-5 yr)</v>
      </c>
    </row>
    <row r="85" spans="5:19" x14ac:dyDescent="0.3">
      <c r="E85" s="15" t="str">
        <v>E-3873</v>
      </c>
      <c r="F85" s="12" t="str">
        <v>FI-01</v>
      </c>
      <c r="G85" s="12" t="str">
        <v>Finance</v>
      </c>
      <c r="H85" s="12" t="str">
        <v>Male</v>
      </c>
      <c r="I85" s="14">
        <v>37</v>
      </c>
      <c r="J85" s="12" t="str">
        <v>Middle Age (32-50)</v>
      </c>
      <c r="K85" s="13">
        <v>44500</v>
      </c>
      <c r="L85" s="12">
        <v>2021</v>
      </c>
      <c r="M85" s="12" t="str">
        <v>October</v>
      </c>
      <c r="N85" s="12">
        <v>31</v>
      </c>
      <c r="O85" s="12">
        <v>4.8499999999999996</v>
      </c>
      <c r="P85" s="12">
        <v>11</v>
      </c>
      <c r="Q85" s="12">
        <v>6376.64</v>
      </c>
      <c r="R85" s="12">
        <v>4</v>
      </c>
      <c r="S85" s="16" t="str">
        <v>Early Career (2-5 yr)</v>
      </c>
    </row>
    <row r="86" spans="5:19" x14ac:dyDescent="0.3">
      <c r="E86" s="15" t="str">
        <v>E-3882</v>
      </c>
      <c r="F86" s="12" t="str">
        <v>FI-01</v>
      </c>
      <c r="G86" s="12" t="str">
        <v>Finance</v>
      </c>
      <c r="H86" s="12" t="str">
        <v>Female</v>
      </c>
      <c r="I86" s="14">
        <v>39</v>
      </c>
      <c r="J86" s="12" t="str">
        <v>Middle Age (32-50)</v>
      </c>
      <c r="K86" s="13">
        <v>45890</v>
      </c>
      <c r="L86" s="12">
        <v>2025</v>
      </c>
      <c r="M86" s="12" t="str">
        <v>August</v>
      </c>
      <c r="N86" s="12">
        <v>21</v>
      </c>
      <c r="O86" s="12">
        <v>2.8</v>
      </c>
      <c r="P86" s="12">
        <v>7</v>
      </c>
      <c r="Q86" s="12">
        <v>9636.77</v>
      </c>
      <c r="R86" s="12">
        <v>0.2</v>
      </c>
      <c r="S86" s="16" t="str">
        <v>New (0–1 yr)</v>
      </c>
    </row>
    <row r="87" spans="5:19" x14ac:dyDescent="0.3">
      <c r="E87" s="15" t="str">
        <v>E-3989</v>
      </c>
      <c r="F87" s="12" t="str">
        <v>FI-01</v>
      </c>
      <c r="G87" s="12" t="str">
        <v>Finance</v>
      </c>
      <c r="H87" s="12" t="str">
        <v>Male</v>
      </c>
      <c r="I87" s="14">
        <v>28</v>
      </c>
      <c r="J87" s="12" t="str">
        <v>Young (20-31)</v>
      </c>
      <c r="K87" s="13">
        <v>44948</v>
      </c>
      <c r="L87" s="12">
        <v>2023</v>
      </c>
      <c r="M87" s="12" t="str">
        <v>January</v>
      </c>
      <c r="N87" s="12">
        <v>22</v>
      </c>
      <c r="O87" s="12">
        <v>4.88</v>
      </c>
      <c r="P87" s="12">
        <v>1</v>
      </c>
      <c r="Q87" s="12">
        <v>7880.45</v>
      </c>
      <c r="R87" s="12">
        <v>2.8</v>
      </c>
      <c r="S87" s="16" t="str">
        <v>Early Career (2-5 yr)</v>
      </c>
    </row>
    <row r="88" spans="5:19" x14ac:dyDescent="0.3">
      <c r="E88" s="15" t="str">
        <v>E-4007</v>
      </c>
      <c r="F88" s="12" t="str">
        <v>FI-01</v>
      </c>
      <c r="G88" s="12" t="str">
        <v>Finance</v>
      </c>
      <c r="H88" s="12" t="str">
        <v>Female</v>
      </c>
      <c r="I88" s="14">
        <v>50</v>
      </c>
      <c r="J88" s="12" t="str">
        <v>Middle Age (32-50)</v>
      </c>
      <c r="K88" s="13">
        <v>45913</v>
      </c>
      <c r="L88" s="12">
        <v>2025</v>
      </c>
      <c r="M88" s="12" t="str">
        <v>September</v>
      </c>
      <c r="N88" s="12">
        <v>13</v>
      </c>
      <c r="O88" s="12">
        <v>3.2</v>
      </c>
      <c r="P88" s="12">
        <v>11</v>
      </c>
      <c r="Q88" s="12">
        <v>5890.93</v>
      </c>
      <c r="R88" s="12">
        <v>0.1</v>
      </c>
      <c r="S88" s="16" t="str">
        <v>New (0–1 yr)</v>
      </c>
    </row>
    <row r="89" spans="5:19" x14ac:dyDescent="0.3">
      <c r="E89" s="15" t="str">
        <v>E-4014</v>
      </c>
      <c r="F89" s="12" t="str">
        <v>FI-01</v>
      </c>
      <c r="G89" s="12" t="str">
        <v>Finance</v>
      </c>
      <c r="H89" s="12" t="str">
        <v>Male</v>
      </c>
      <c r="I89" s="14">
        <v>32</v>
      </c>
      <c r="J89" s="12" t="str">
        <v>Middle Age (32-50)</v>
      </c>
      <c r="K89" s="13">
        <v>44573</v>
      </c>
      <c r="L89" s="12">
        <v>2022</v>
      </c>
      <c r="M89" s="12" t="str">
        <v>January</v>
      </c>
      <c r="N89" s="12">
        <v>12</v>
      </c>
      <c r="O89" s="12">
        <v>3.02</v>
      </c>
      <c r="P89" s="12">
        <v>2</v>
      </c>
      <c r="Q89" s="12">
        <v>11271.14</v>
      </c>
      <c r="R89" s="12">
        <v>3.8</v>
      </c>
      <c r="S89" s="16" t="str">
        <v>Early Career (2-5 yr)</v>
      </c>
    </row>
    <row r="90" spans="5:19" x14ac:dyDescent="0.3">
      <c r="E90" s="15" t="str">
        <v>E-4297</v>
      </c>
      <c r="F90" s="12" t="str">
        <v>FI-01</v>
      </c>
      <c r="G90" s="12" t="str">
        <v>Finance</v>
      </c>
      <c r="H90" s="12" t="str">
        <v>Male</v>
      </c>
      <c r="I90" s="14">
        <v>44</v>
      </c>
      <c r="J90" s="12" t="str">
        <v>Middle Age (32-50)</v>
      </c>
      <c r="K90" s="13">
        <v>45549</v>
      </c>
      <c r="L90" s="12">
        <v>2024</v>
      </c>
      <c r="M90" s="12" t="str">
        <v>September</v>
      </c>
      <c r="N90" s="12">
        <v>14</v>
      </c>
      <c r="O90" s="12">
        <v>2.76</v>
      </c>
      <c r="P90" s="12">
        <v>7</v>
      </c>
      <c r="Q90" s="12">
        <v>9848.68</v>
      </c>
      <c r="R90" s="12">
        <v>1.1000000000000001</v>
      </c>
      <c r="S90" s="16" t="str">
        <v>Early Career (2-5 yr)</v>
      </c>
    </row>
    <row r="91" spans="5:19" x14ac:dyDescent="0.3">
      <c r="E91" s="15" t="str">
        <v>E-4438</v>
      </c>
      <c r="F91" s="12" t="str">
        <v>FI-01</v>
      </c>
      <c r="G91" s="12" t="str">
        <v>Finance</v>
      </c>
      <c r="H91" s="12" t="str">
        <v>Male</v>
      </c>
      <c r="I91" s="14">
        <v>55</v>
      </c>
      <c r="J91" s="12" t="str">
        <v>Old (51-65)</v>
      </c>
      <c r="K91" s="13">
        <v>43849</v>
      </c>
      <c r="L91" s="12">
        <v>2020</v>
      </c>
      <c r="M91" s="12" t="str">
        <v>January</v>
      </c>
      <c r="N91" s="12">
        <v>19</v>
      </c>
      <c r="O91" s="12">
        <v>3.54</v>
      </c>
      <c r="P91" s="12">
        <v>13</v>
      </c>
      <c r="Q91" s="12">
        <v>10990.58</v>
      </c>
      <c r="R91" s="12">
        <v>5.8</v>
      </c>
      <c r="S91" s="16" t="str">
        <v>Mid Career (6–10 yr)</v>
      </c>
    </row>
    <row r="92" spans="5:19" x14ac:dyDescent="0.3">
      <c r="E92" s="15" t="str">
        <v>E-4468</v>
      </c>
      <c r="F92" s="12" t="str">
        <v>FI-01</v>
      </c>
      <c r="G92" s="12" t="str">
        <v>Finance</v>
      </c>
      <c r="H92" s="12" t="str">
        <v>Female</v>
      </c>
      <c r="I92" s="14">
        <v>50</v>
      </c>
      <c r="J92" s="12" t="str">
        <v>Middle Age (32-50)</v>
      </c>
      <c r="K92" s="13">
        <v>44558</v>
      </c>
      <c r="L92" s="12">
        <v>2021</v>
      </c>
      <c r="M92" s="12" t="str">
        <v>December</v>
      </c>
      <c r="N92" s="12">
        <v>28</v>
      </c>
      <c r="O92" s="12">
        <v>2.2400000000000002</v>
      </c>
      <c r="P92" s="12">
        <v>13</v>
      </c>
      <c r="Q92" s="12">
        <v>9383.58</v>
      </c>
      <c r="R92" s="12">
        <v>3.8</v>
      </c>
      <c r="S92" s="16" t="str">
        <v>Early Career (2-5 yr)</v>
      </c>
    </row>
    <row r="93" spans="5:19" x14ac:dyDescent="0.3">
      <c r="E93" s="15" t="str">
        <v>E-4508</v>
      </c>
      <c r="F93" s="12" t="str">
        <v>FI-01</v>
      </c>
      <c r="G93" s="12" t="str">
        <v>Finance</v>
      </c>
      <c r="H93" s="12" t="str">
        <v>Male</v>
      </c>
      <c r="I93" s="14">
        <v>31</v>
      </c>
      <c r="J93" s="12" t="str">
        <v>Young (20-31)</v>
      </c>
      <c r="K93" s="13">
        <v>45524</v>
      </c>
      <c r="L93" s="12">
        <v>2024</v>
      </c>
      <c r="M93" s="12" t="str">
        <v>August</v>
      </c>
      <c r="N93" s="12">
        <v>20</v>
      </c>
      <c r="O93" s="12">
        <v>3.46</v>
      </c>
      <c r="P93" s="12">
        <v>5</v>
      </c>
      <c r="Q93" s="12">
        <v>6907.05</v>
      </c>
      <c r="R93" s="12">
        <v>1.2</v>
      </c>
      <c r="S93" s="16" t="str">
        <v>Early Career (2-5 yr)</v>
      </c>
    </row>
    <row r="94" spans="5:19" x14ac:dyDescent="0.3">
      <c r="E94" s="15" t="str">
        <v>E-4644</v>
      </c>
      <c r="F94" s="12" t="str">
        <v>FI-01</v>
      </c>
      <c r="G94" s="12" t="str">
        <v>Finance</v>
      </c>
      <c r="H94" s="12" t="str">
        <v>Female</v>
      </c>
      <c r="I94" s="14">
        <v>28</v>
      </c>
      <c r="J94" s="12" t="str">
        <v>Young (20-31)</v>
      </c>
      <c r="K94" s="13">
        <v>43840</v>
      </c>
      <c r="L94" s="12">
        <v>2020</v>
      </c>
      <c r="M94" s="12" t="str">
        <v>January</v>
      </c>
      <c r="N94" s="12">
        <v>10</v>
      </c>
      <c r="O94" s="12">
        <v>4.09</v>
      </c>
      <c r="P94" s="12">
        <v>10</v>
      </c>
      <c r="Q94" s="12">
        <v>12116.69</v>
      </c>
      <c r="R94" s="12">
        <v>5.8</v>
      </c>
      <c r="S94" s="16" t="str">
        <v>Mid Career (6–10 yr)</v>
      </c>
    </row>
    <row r="95" spans="5:19" x14ac:dyDescent="0.3">
      <c r="E95" s="15" t="str">
        <v>E-4691</v>
      </c>
      <c r="F95" s="12" t="str">
        <v>FI-01</v>
      </c>
      <c r="G95" s="12" t="str">
        <v>Finance</v>
      </c>
      <c r="H95" s="12" t="str">
        <v>Female</v>
      </c>
      <c r="I95" s="14">
        <v>60</v>
      </c>
      <c r="J95" s="12" t="str">
        <v>Old (51-65)</v>
      </c>
      <c r="K95" s="13">
        <v>44027</v>
      </c>
      <c r="L95" s="12">
        <v>2020</v>
      </c>
      <c r="M95" s="12" t="str">
        <v>July</v>
      </c>
      <c r="N95" s="12">
        <v>15</v>
      </c>
      <c r="O95" s="12">
        <v>2.8</v>
      </c>
      <c r="P95" s="12">
        <v>7</v>
      </c>
      <c r="Q95" s="12">
        <v>13817.85</v>
      </c>
      <c r="R95" s="12">
        <v>5.3</v>
      </c>
      <c r="S95" s="16" t="str">
        <v>Mid Career (6–10 yr)</v>
      </c>
    </row>
    <row r="96" spans="5:19" x14ac:dyDescent="0.3">
      <c r="E96" s="15" t="str">
        <v>E-4840</v>
      </c>
      <c r="F96" s="12" t="str">
        <v>FI-01</v>
      </c>
      <c r="G96" s="12" t="str">
        <v>Finance</v>
      </c>
      <c r="H96" s="12" t="str">
        <v>Male</v>
      </c>
      <c r="I96" s="14">
        <v>32</v>
      </c>
      <c r="J96" s="12" t="str">
        <v>Middle Age (32-50)</v>
      </c>
      <c r="K96" s="13">
        <v>45826</v>
      </c>
      <c r="L96" s="12">
        <v>2025</v>
      </c>
      <c r="M96" s="12" t="str">
        <v>June</v>
      </c>
      <c r="N96" s="12">
        <v>18</v>
      </c>
      <c r="O96" s="12">
        <v>1.87</v>
      </c>
      <c r="P96" s="12">
        <v>10</v>
      </c>
      <c r="Q96" s="12">
        <v>3551.61</v>
      </c>
      <c r="R96" s="12">
        <v>0.4</v>
      </c>
      <c r="S96" s="16" t="str">
        <v>New (0–1 yr)</v>
      </c>
    </row>
    <row r="97" spans="5:19" x14ac:dyDescent="0.3">
      <c r="E97" s="15" t="str">
        <v>E-4970</v>
      </c>
      <c r="F97" s="12" t="str">
        <v>FI-01</v>
      </c>
      <c r="G97" s="12" t="str">
        <v>Finance</v>
      </c>
      <c r="H97" s="12" t="str">
        <v>Female</v>
      </c>
      <c r="I97" s="14">
        <v>47</v>
      </c>
      <c r="J97" s="12" t="str">
        <v>Middle Age (32-50)</v>
      </c>
      <c r="K97" s="13">
        <v>44772</v>
      </c>
      <c r="L97" s="12">
        <v>2022</v>
      </c>
      <c r="M97" s="12" t="str">
        <v>July</v>
      </c>
      <c r="N97" s="12">
        <v>30</v>
      </c>
      <c r="O97" s="12">
        <v>3.28</v>
      </c>
      <c r="P97" s="12">
        <v>2</v>
      </c>
      <c r="Q97" s="12">
        <v>11011.18</v>
      </c>
      <c r="R97" s="12">
        <v>3.3</v>
      </c>
      <c r="S97" s="16" t="str">
        <v>Early Career (2-5 yr)</v>
      </c>
    </row>
    <row r="98" spans="5:19" x14ac:dyDescent="0.3">
      <c r="E98" s="15" t="str">
        <v>E-5026</v>
      </c>
      <c r="F98" s="12" t="str">
        <v>FI-01</v>
      </c>
      <c r="G98" s="12" t="str">
        <v>Finance</v>
      </c>
      <c r="H98" s="12" t="str">
        <v>Male</v>
      </c>
      <c r="I98" s="14">
        <v>35</v>
      </c>
      <c r="J98" s="12" t="str">
        <v>Middle Age (32-50)</v>
      </c>
      <c r="K98" s="13">
        <v>44784</v>
      </c>
      <c r="L98" s="12">
        <v>2022</v>
      </c>
      <c r="M98" s="12" t="str">
        <v>August</v>
      </c>
      <c r="N98" s="12">
        <v>11</v>
      </c>
      <c r="O98" s="12">
        <v>2.97</v>
      </c>
      <c r="P98" s="12">
        <v>0</v>
      </c>
      <c r="Q98" s="12">
        <v>4430.54</v>
      </c>
      <c r="R98" s="12">
        <v>3.2</v>
      </c>
      <c r="S98" s="16" t="str">
        <v>Early Career (2-5 yr)</v>
      </c>
    </row>
    <row r="99" spans="5:19" x14ac:dyDescent="0.3">
      <c r="E99" s="15" t="str">
        <v>E-5092</v>
      </c>
      <c r="F99" s="12" t="str">
        <v>FI-01</v>
      </c>
      <c r="G99" s="12" t="str">
        <v>Finance</v>
      </c>
      <c r="H99" s="12" t="str">
        <v>Female</v>
      </c>
      <c r="I99" s="14">
        <v>42</v>
      </c>
      <c r="J99" s="12" t="str">
        <v>Middle Age (32-50)</v>
      </c>
      <c r="K99" s="13">
        <v>44414</v>
      </c>
      <c r="L99" s="12">
        <v>2021</v>
      </c>
      <c r="M99" s="12" t="str">
        <v>August</v>
      </c>
      <c r="N99" s="12">
        <v>6</v>
      </c>
      <c r="O99" s="12">
        <v>4.76</v>
      </c>
      <c r="P99" s="12">
        <v>2</v>
      </c>
      <c r="Q99" s="12">
        <v>12978.79</v>
      </c>
      <c r="R99" s="12">
        <v>4.2</v>
      </c>
      <c r="S99" s="16" t="str">
        <v>Early Career (2-5 yr)</v>
      </c>
    </row>
    <row r="100" spans="5:19" x14ac:dyDescent="0.3">
      <c r="E100" s="15" t="str">
        <v>E-5121</v>
      </c>
      <c r="F100" s="12" t="str">
        <v>FI-01</v>
      </c>
      <c r="G100" s="12" t="str">
        <v>Finance</v>
      </c>
      <c r="H100" s="12" t="str">
        <v>Female</v>
      </c>
      <c r="I100" s="14">
        <v>48</v>
      </c>
      <c r="J100" s="12" t="str">
        <v>Middle Age (32-50)</v>
      </c>
      <c r="K100" s="13">
        <v>44197</v>
      </c>
      <c r="L100" s="12">
        <v>2021</v>
      </c>
      <c r="M100" s="12" t="str">
        <v>January</v>
      </c>
      <c r="N100" s="12">
        <v>1</v>
      </c>
      <c r="O100" s="12">
        <v>2.63</v>
      </c>
      <c r="P100" s="12">
        <v>9</v>
      </c>
      <c r="Q100" s="12">
        <v>8213.7199999999993</v>
      </c>
      <c r="R100" s="12">
        <v>4.8</v>
      </c>
      <c r="S100" s="16" t="str">
        <v>Early Career (2-5 yr)</v>
      </c>
    </row>
    <row r="101" spans="5:19" x14ac:dyDescent="0.3">
      <c r="E101" s="15" t="str">
        <v>E-5144</v>
      </c>
      <c r="F101" s="12" t="str">
        <v>FI-01</v>
      </c>
      <c r="G101" s="12" t="str">
        <v>Finance</v>
      </c>
      <c r="H101" s="12" t="str">
        <v>Female</v>
      </c>
      <c r="I101" s="14">
        <v>52</v>
      </c>
      <c r="J101" s="12" t="str">
        <v>Old (51-65)</v>
      </c>
      <c r="K101" s="13">
        <v>44240</v>
      </c>
      <c r="L101" s="12">
        <v>2021</v>
      </c>
      <c r="M101" s="12" t="str">
        <v>February</v>
      </c>
      <c r="N101" s="12">
        <v>13</v>
      </c>
      <c r="O101" s="12">
        <v>2.58</v>
      </c>
      <c r="P101" s="12">
        <v>9</v>
      </c>
      <c r="Q101" s="12">
        <v>6079.42</v>
      </c>
      <c r="R101" s="12">
        <v>4.7</v>
      </c>
      <c r="S101" s="16" t="str">
        <v>Early Career (2-5 yr)</v>
      </c>
    </row>
    <row r="102" spans="5:19" x14ac:dyDescent="0.3">
      <c r="E102" s="15" t="str">
        <v>E-5228</v>
      </c>
      <c r="F102" s="12" t="str">
        <v>FI-01</v>
      </c>
      <c r="G102" s="12" t="str">
        <v>Finance</v>
      </c>
      <c r="H102" s="12" t="str">
        <v>Male</v>
      </c>
      <c r="I102" s="14">
        <v>60</v>
      </c>
      <c r="J102" s="12" t="str">
        <v>Old (51-65)</v>
      </c>
      <c r="K102" s="13">
        <v>45861</v>
      </c>
      <c r="L102" s="12">
        <v>2025</v>
      </c>
      <c r="M102" s="12" t="str">
        <v>July</v>
      </c>
      <c r="N102" s="12">
        <v>23</v>
      </c>
      <c r="O102" s="12">
        <v>3.21</v>
      </c>
      <c r="P102" s="12">
        <v>0</v>
      </c>
      <c r="Q102" s="12">
        <v>14012.99</v>
      </c>
      <c r="R102" s="12">
        <v>0.3</v>
      </c>
      <c r="S102" s="16" t="str">
        <v>New (0–1 yr)</v>
      </c>
    </row>
    <row r="103" spans="5:19" ht="15" thickBot="1" x14ac:dyDescent="0.35">
      <c r="E103" s="17" t="str">
        <v>E-5264</v>
      </c>
      <c r="F103" s="18" t="str">
        <v>FI-01</v>
      </c>
      <c r="G103" s="18" t="str">
        <v>Finance</v>
      </c>
      <c r="H103" s="18" t="str">
        <v>Female</v>
      </c>
      <c r="I103" s="19">
        <v>58</v>
      </c>
      <c r="J103" s="18" t="str">
        <v>Old (51-65)</v>
      </c>
      <c r="K103" s="20">
        <v>44849</v>
      </c>
      <c r="L103" s="18">
        <v>2022</v>
      </c>
      <c r="M103" s="18" t="str">
        <v>October</v>
      </c>
      <c r="N103" s="18">
        <v>15</v>
      </c>
      <c r="O103" s="18">
        <v>2.17</v>
      </c>
      <c r="P103" s="18">
        <v>1</v>
      </c>
      <c r="Q103" s="18">
        <v>10070.35</v>
      </c>
      <c r="R103" s="18">
        <v>3</v>
      </c>
      <c r="S103" s="21" t="str">
        <v>Early Career (2-5 yr)</v>
      </c>
    </row>
    <row r="104" spans="5:19" x14ac:dyDescent="0.3">
      <c r="E104" t="str">
        <v>E-5283</v>
      </c>
      <c r="F104" t="str">
        <v>FI-01</v>
      </c>
      <c r="G104" t="str">
        <v>Finance</v>
      </c>
      <c r="H104" t="str">
        <v>Female</v>
      </c>
      <c r="I104" s="3">
        <v>36</v>
      </c>
      <c r="J104" t="str">
        <v>Middle Age (32-50)</v>
      </c>
      <c r="K104" s="1">
        <v>45279</v>
      </c>
      <c r="L104">
        <v>2023</v>
      </c>
      <c r="M104" t="str">
        <v>December</v>
      </c>
      <c r="N104">
        <v>19</v>
      </c>
      <c r="O104">
        <v>2.76</v>
      </c>
      <c r="P104">
        <v>14</v>
      </c>
      <c r="Q104">
        <v>13221.98</v>
      </c>
      <c r="R104">
        <v>1.9</v>
      </c>
      <c r="S104" s="3" t="str">
        <v>Early Career (2-5 yr)</v>
      </c>
    </row>
    <row r="105" spans="5:19" x14ac:dyDescent="0.3">
      <c r="E105" t="str">
        <v>E-5406</v>
      </c>
      <c r="F105" t="str">
        <v>FI-01</v>
      </c>
      <c r="G105" t="str">
        <v>Finance</v>
      </c>
      <c r="H105" t="str">
        <v>Male</v>
      </c>
      <c r="I105" s="3">
        <v>44</v>
      </c>
      <c r="J105" t="str">
        <v>Middle Age (32-50)</v>
      </c>
      <c r="K105" s="1">
        <v>44949</v>
      </c>
      <c r="L105">
        <v>2023</v>
      </c>
      <c r="M105" t="str">
        <v>January</v>
      </c>
      <c r="N105">
        <v>23</v>
      </c>
      <c r="O105">
        <v>4.16</v>
      </c>
      <c r="P105">
        <v>2</v>
      </c>
      <c r="Q105">
        <v>7947.31</v>
      </c>
      <c r="R105">
        <v>2.8</v>
      </c>
      <c r="S105" s="3" t="str">
        <v>Early Career (2-5 yr)</v>
      </c>
    </row>
    <row r="106" spans="5:19" x14ac:dyDescent="0.3">
      <c r="E106" t="str">
        <v>E-5502</v>
      </c>
      <c r="F106" t="str">
        <v>FI-01</v>
      </c>
      <c r="G106" t="str">
        <v>Finance</v>
      </c>
      <c r="H106" t="str">
        <v>Male</v>
      </c>
      <c r="I106" s="3">
        <v>52</v>
      </c>
      <c r="J106" t="str">
        <v>Old (51-65)</v>
      </c>
      <c r="K106" s="1">
        <v>45731</v>
      </c>
      <c r="L106">
        <v>2025</v>
      </c>
      <c r="M106" t="str">
        <v>March</v>
      </c>
      <c r="N106">
        <v>15</v>
      </c>
      <c r="O106">
        <v>4.99</v>
      </c>
      <c r="P106">
        <v>4</v>
      </c>
      <c r="Q106">
        <v>8142.15</v>
      </c>
      <c r="R106">
        <v>0.6</v>
      </c>
      <c r="S106" s="3" t="str">
        <v>New (0–1 yr)</v>
      </c>
    </row>
    <row r="107" spans="5:19" x14ac:dyDescent="0.3">
      <c r="E107" t="str">
        <v>E-5513</v>
      </c>
      <c r="F107" t="str">
        <v>FI-01</v>
      </c>
      <c r="G107" t="str">
        <v>Finance</v>
      </c>
      <c r="H107" t="str">
        <v>Male</v>
      </c>
      <c r="I107" s="3">
        <v>49</v>
      </c>
      <c r="J107" t="str">
        <v>Middle Age (32-50)</v>
      </c>
      <c r="K107" s="1">
        <v>45390</v>
      </c>
      <c r="L107">
        <v>2024</v>
      </c>
      <c r="M107" t="str">
        <v>April</v>
      </c>
      <c r="N107">
        <v>8</v>
      </c>
      <c r="O107">
        <v>3.29</v>
      </c>
      <c r="P107">
        <v>6</v>
      </c>
      <c r="Q107">
        <v>3083.88</v>
      </c>
      <c r="R107">
        <v>1.6</v>
      </c>
      <c r="S107" s="3" t="str">
        <v>Early Career (2-5 yr)</v>
      </c>
    </row>
    <row r="108" spans="5:19" x14ac:dyDescent="0.3">
      <c r="E108" t="str">
        <v>E-5521</v>
      </c>
      <c r="F108" t="str">
        <v>FI-01</v>
      </c>
      <c r="G108" t="str">
        <v>Finance</v>
      </c>
      <c r="H108" t="str">
        <v>Male</v>
      </c>
      <c r="I108" s="3">
        <v>31</v>
      </c>
      <c r="J108" t="str">
        <v>Young (20-31)</v>
      </c>
      <c r="K108" s="1">
        <v>44120</v>
      </c>
      <c r="L108">
        <v>2020</v>
      </c>
      <c r="M108" t="str">
        <v>October</v>
      </c>
      <c r="N108">
        <v>16</v>
      </c>
      <c r="O108">
        <v>3.21</v>
      </c>
      <c r="P108">
        <v>5</v>
      </c>
      <c r="Q108">
        <v>7290.92</v>
      </c>
      <c r="R108">
        <v>5</v>
      </c>
      <c r="S108" s="3" t="str">
        <v>Early Career (2-5 yr)</v>
      </c>
    </row>
    <row r="109" spans="5:19" x14ac:dyDescent="0.3">
      <c r="E109" t="str">
        <v>E-5563</v>
      </c>
      <c r="F109" t="str">
        <v>FI-01</v>
      </c>
      <c r="G109" t="str">
        <v>Finance</v>
      </c>
      <c r="H109" t="str">
        <v>Male</v>
      </c>
      <c r="I109" s="3">
        <v>30</v>
      </c>
      <c r="J109" t="str">
        <v>Young (20-31)</v>
      </c>
      <c r="K109" s="1">
        <v>44806</v>
      </c>
      <c r="L109">
        <v>2022</v>
      </c>
      <c r="M109" t="str">
        <v>September</v>
      </c>
      <c r="N109">
        <v>2</v>
      </c>
      <c r="O109">
        <v>3.1</v>
      </c>
      <c r="P109">
        <v>3</v>
      </c>
      <c r="Q109">
        <v>9860.06</v>
      </c>
      <c r="R109">
        <v>3.2</v>
      </c>
      <c r="S109" s="3" t="str">
        <v>Early Career (2-5 yr)</v>
      </c>
    </row>
    <row r="110" spans="5:19" x14ac:dyDescent="0.3">
      <c r="E110" t="str">
        <v>E-5592</v>
      </c>
      <c r="F110" t="str">
        <v>FI-01</v>
      </c>
      <c r="G110" t="str">
        <v>Finance</v>
      </c>
      <c r="H110" t="str">
        <v>Female</v>
      </c>
      <c r="I110">
        <v>27</v>
      </c>
      <c r="J110" t="str">
        <v>Young (20-31)</v>
      </c>
      <c r="K110">
        <v>44197</v>
      </c>
      <c r="L110">
        <v>2021</v>
      </c>
      <c r="M110" t="str">
        <v>January</v>
      </c>
      <c r="N110">
        <v>1</v>
      </c>
      <c r="O110">
        <v>1.85</v>
      </c>
      <c r="P110">
        <v>8</v>
      </c>
      <c r="Q110">
        <v>4221.32</v>
      </c>
      <c r="R110">
        <v>4.8</v>
      </c>
      <c r="S110" s="3" t="str">
        <v>Early Career (2-5 yr)</v>
      </c>
    </row>
    <row r="111" spans="5:19" x14ac:dyDescent="0.3">
      <c r="E111" t="str">
        <v>E-5855</v>
      </c>
      <c r="F111" t="str">
        <v>FI-01</v>
      </c>
      <c r="G111" t="str">
        <v>Finance</v>
      </c>
      <c r="H111" t="str">
        <v>Male</v>
      </c>
      <c r="I111">
        <v>46</v>
      </c>
      <c r="J111" t="str">
        <v>Middle Age (32-50)</v>
      </c>
      <c r="K111">
        <v>45549</v>
      </c>
      <c r="L111">
        <v>2024</v>
      </c>
      <c r="M111" t="str">
        <v>September</v>
      </c>
      <c r="N111">
        <v>14</v>
      </c>
      <c r="O111">
        <v>1.86</v>
      </c>
      <c r="P111">
        <v>9</v>
      </c>
      <c r="Q111">
        <v>8303.92</v>
      </c>
      <c r="R111">
        <v>1.1000000000000001</v>
      </c>
      <c r="S111" s="3" t="str">
        <v>Early Career (2-5 yr)</v>
      </c>
    </row>
    <row r="112" spans="5:19" x14ac:dyDescent="0.3">
      <c r="E112" t="str">
        <v>E-6109</v>
      </c>
      <c r="F112" t="str">
        <v>FI-01</v>
      </c>
      <c r="G112" t="str">
        <v>Finance</v>
      </c>
      <c r="H112" t="str">
        <v>Male</v>
      </c>
      <c r="I112">
        <v>29</v>
      </c>
      <c r="J112" t="str">
        <v>Young (20-31)</v>
      </c>
      <c r="K112">
        <v>44449</v>
      </c>
      <c r="L112">
        <v>2021</v>
      </c>
      <c r="M112" t="str">
        <v>September</v>
      </c>
      <c r="N112">
        <v>10</v>
      </c>
      <c r="O112">
        <v>4.29</v>
      </c>
      <c r="P112">
        <v>14</v>
      </c>
      <c r="Q112">
        <v>10999.81</v>
      </c>
      <c r="R112">
        <v>4.0999999999999996</v>
      </c>
      <c r="S112" s="3" t="str">
        <v>Early Career (2-5 yr)</v>
      </c>
    </row>
    <row r="113" spans="5:19" x14ac:dyDescent="0.3">
      <c r="E113" t="str">
        <v>E-6263</v>
      </c>
      <c r="F113" t="str">
        <v>FI-01</v>
      </c>
      <c r="G113" t="str">
        <v>Finance</v>
      </c>
      <c r="H113" t="str">
        <v>Female</v>
      </c>
      <c r="I113">
        <v>25</v>
      </c>
      <c r="J113" t="str">
        <v>Young (20-31)</v>
      </c>
      <c r="K113">
        <v>45779</v>
      </c>
      <c r="L113">
        <v>2025</v>
      </c>
      <c r="M113" t="str">
        <v>May</v>
      </c>
      <c r="N113">
        <v>2</v>
      </c>
      <c r="O113">
        <v>4.1100000000000003</v>
      </c>
      <c r="P113">
        <v>10</v>
      </c>
      <c r="Q113">
        <v>10979.59</v>
      </c>
      <c r="R113">
        <v>0.5</v>
      </c>
      <c r="S113" s="3" t="str">
        <v>New (0–1 yr)</v>
      </c>
    </row>
    <row r="114" spans="5:19" x14ac:dyDescent="0.3">
      <c r="E114" t="str">
        <v>E-6377</v>
      </c>
      <c r="F114" t="str">
        <v>FI-01</v>
      </c>
      <c r="G114" t="str">
        <v>Finance</v>
      </c>
      <c r="H114" t="str">
        <v>Male</v>
      </c>
      <c r="I114">
        <v>57</v>
      </c>
      <c r="J114" t="str">
        <v>Old (51-65)</v>
      </c>
      <c r="K114">
        <v>44874</v>
      </c>
      <c r="L114">
        <v>2022</v>
      </c>
      <c r="M114" t="str">
        <v>November</v>
      </c>
      <c r="N114">
        <v>9</v>
      </c>
      <c r="O114">
        <v>4.16</v>
      </c>
      <c r="P114">
        <v>11</v>
      </c>
      <c r="Q114">
        <v>13978.46</v>
      </c>
      <c r="R114">
        <v>3</v>
      </c>
      <c r="S114" s="3" t="str">
        <v>Early Career (2-5 yr)</v>
      </c>
    </row>
    <row r="115" spans="5:19" x14ac:dyDescent="0.3">
      <c r="E115" t="str">
        <v>E-6536</v>
      </c>
      <c r="F115" t="str">
        <v>FI-01</v>
      </c>
      <c r="G115" t="str">
        <v>Finance</v>
      </c>
      <c r="H115" t="str">
        <v>Female</v>
      </c>
      <c r="I115">
        <v>57</v>
      </c>
      <c r="J115" t="str">
        <v>Old (51-65)</v>
      </c>
      <c r="K115">
        <v>44804</v>
      </c>
      <c r="L115">
        <v>2022</v>
      </c>
      <c r="M115" t="str">
        <v>August</v>
      </c>
      <c r="N115">
        <v>31</v>
      </c>
      <c r="O115">
        <v>4.71</v>
      </c>
      <c r="P115">
        <v>10</v>
      </c>
      <c r="Q115">
        <v>10852.93</v>
      </c>
      <c r="R115">
        <v>3.2</v>
      </c>
      <c r="S115" s="3" t="str">
        <v>Early Career (2-5 yr)</v>
      </c>
    </row>
    <row r="116" spans="5:19" x14ac:dyDescent="0.3">
      <c r="E116" t="str">
        <v>E-6631</v>
      </c>
      <c r="F116" t="str">
        <v>FI-01</v>
      </c>
      <c r="G116" t="str">
        <v>Finance</v>
      </c>
      <c r="H116" t="str">
        <v>Male</v>
      </c>
      <c r="I116">
        <v>27</v>
      </c>
      <c r="J116" t="str">
        <v>Young (20-31)</v>
      </c>
      <c r="K116">
        <v>44572</v>
      </c>
      <c r="L116">
        <v>2022</v>
      </c>
      <c r="M116" t="str">
        <v>January</v>
      </c>
      <c r="N116">
        <v>11</v>
      </c>
      <c r="O116">
        <v>2.5</v>
      </c>
      <c r="P116">
        <v>9</v>
      </c>
      <c r="Q116">
        <v>12978.33</v>
      </c>
      <c r="R116">
        <v>3.8</v>
      </c>
      <c r="S116" s="3" t="str">
        <v>Early Career (2-5 yr)</v>
      </c>
    </row>
    <row r="117" spans="5:19" x14ac:dyDescent="0.3">
      <c r="E117" t="str">
        <v>E-6648</v>
      </c>
      <c r="F117" t="str">
        <v>FI-01</v>
      </c>
      <c r="G117" t="str">
        <v>Finance</v>
      </c>
      <c r="H117" t="str">
        <v>Female</v>
      </c>
      <c r="I117">
        <v>48</v>
      </c>
      <c r="J117" t="str">
        <v>Middle Age (32-50)</v>
      </c>
      <c r="K117">
        <v>44071</v>
      </c>
      <c r="L117">
        <v>2020</v>
      </c>
      <c r="M117" t="str">
        <v>August</v>
      </c>
      <c r="N117">
        <v>28</v>
      </c>
      <c r="O117">
        <v>3.2</v>
      </c>
      <c r="P117">
        <v>1</v>
      </c>
      <c r="Q117">
        <v>3301.35</v>
      </c>
      <c r="R117">
        <v>5.2</v>
      </c>
      <c r="S117" s="3" t="str">
        <v>Mid Career (6–10 yr)</v>
      </c>
    </row>
    <row r="118" spans="5:19" x14ac:dyDescent="0.3">
      <c r="E118" t="str">
        <v>E-6733</v>
      </c>
      <c r="F118" t="str">
        <v>FI-01</v>
      </c>
      <c r="G118" t="str">
        <v>Finance</v>
      </c>
      <c r="H118" t="str">
        <v>Female</v>
      </c>
      <c r="I118">
        <v>58</v>
      </c>
      <c r="J118" t="str">
        <v>Old (51-65)</v>
      </c>
      <c r="K118">
        <v>44692</v>
      </c>
      <c r="L118">
        <v>2022</v>
      </c>
      <c r="M118" t="str">
        <v>May</v>
      </c>
      <c r="N118">
        <v>11</v>
      </c>
      <c r="O118">
        <v>3.08</v>
      </c>
      <c r="P118">
        <v>12</v>
      </c>
      <c r="Q118">
        <v>13654.52</v>
      </c>
      <c r="R118">
        <v>3.5</v>
      </c>
      <c r="S118" t="str">
        <v>Early Career (2-5 yr)</v>
      </c>
    </row>
    <row r="119" spans="5:19" x14ac:dyDescent="0.3">
      <c r="E119" t="str">
        <v>E-6835</v>
      </c>
      <c r="F119" t="str">
        <v>FI-01</v>
      </c>
      <c r="G119" t="str">
        <v>Finance</v>
      </c>
      <c r="H119" t="str">
        <v>Female</v>
      </c>
      <c r="I119">
        <v>31</v>
      </c>
      <c r="J119" t="str">
        <v>Young (20-31)</v>
      </c>
      <c r="K119">
        <v>44723</v>
      </c>
      <c r="L119">
        <v>2022</v>
      </c>
      <c r="M119" t="str">
        <v>June</v>
      </c>
      <c r="N119">
        <v>11</v>
      </c>
      <c r="O119">
        <v>1.78</v>
      </c>
      <c r="P119">
        <v>12</v>
      </c>
      <c r="Q119">
        <v>9946.8799999999992</v>
      </c>
      <c r="R119">
        <v>3.4</v>
      </c>
      <c r="S119" t="str">
        <v>Early Career (2-5 yr)</v>
      </c>
    </row>
    <row r="120" spans="5:19" x14ac:dyDescent="0.3">
      <c r="E120" t="str">
        <v>E-6915</v>
      </c>
      <c r="F120" t="str">
        <v>FI-01</v>
      </c>
      <c r="G120" t="str">
        <v>Finance</v>
      </c>
      <c r="H120" t="str">
        <v>Female</v>
      </c>
      <c r="I120">
        <v>54</v>
      </c>
      <c r="J120" t="str">
        <v>Old (51-65)</v>
      </c>
      <c r="K120">
        <v>44688</v>
      </c>
      <c r="L120">
        <v>2022</v>
      </c>
      <c r="M120" t="str">
        <v>May</v>
      </c>
      <c r="N120">
        <v>7</v>
      </c>
      <c r="O120">
        <v>2.31</v>
      </c>
      <c r="P120">
        <v>13</v>
      </c>
      <c r="Q120">
        <v>14528.91</v>
      </c>
      <c r="R120">
        <v>3.5</v>
      </c>
      <c r="S120" t="str">
        <v>Early Career (2-5 yr)</v>
      </c>
    </row>
    <row r="121" spans="5:19" x14ac:dyDescent="0.3">
      <c r="E121" t="str">
        <v>E-6927</v>
      </c>
      <c r="F121" t="str">
        <v>FI-01</v>
      </c>
      <c r="G121" t="str">
        <v>Finance</v>
      </c>
      <c r="H121" t="str">
        <v>Male</v>
      </c>
      <c r="I121">
        <v>56</v>
      </c>
      <c r="J121" t="str">
        <v>Old (51-65)</v>
      </c>
      <c r="K121">
        <v>45249</v>
      </c>
      <c r="L121">
        <v>2023</v>
      </c>
      <c r="M121" t="str">
        <v>November</v>
      </c>
      <c r="N121">
        <v>19</v>
      </c>
      <c r="O121">
        <v>2.27</v>
      </c>
      <c r="P121">
        <v>13</v>
      </c>
      <c r="Q121">
        <v>8328.61</v>
      </c>
      <c r="R121">
        <v>2</v>
      </c>
      <c r="S121" t="str">
        <v>Early Career (2-5 yr)</v>
      </c>
    </row>
    <row r="122" spans="5:19" x14ac:dyDescent="0.3">
      <c r="E122" t="str">
        <v>E-6942</v>
      </c>
      <c r="F122" t="str">
        <v>FI-01</v>
      </c>
      <c r="G122" t="str">
        <v>Finance</v>
      </c>
      <c r="H122" t="str">
        <v>Male</v>
      </c>
      <c r="I122">
        <v>43</v>
      </c>
      <c r="J122" t="str">
        <v>Middle Age (32-50)</v>
      </c>
      <c r="K122">
        <v>45611</v>
      </c>
      <c r="L122">
        <v>2024</v>
      </c>
      <c r="M122" t="str">
        <v>November</v>
      </c>
      <c r="N122">
        <v>15</v>
      </c>
      <c r="O122">
        <v>1.91</v>
      </c>
      <c r="P122">
        <v>13</v>
      </c>
      <c r="Q122">
        <v>14224.3</v>
      </c>
      <c r="R122">
        <v>1</v>
      </c>
      <c r="S122" t="str">
        <v>New (0–1 yr)</v>
      </c>
    </row>
    <row r="123" spans="5:19" x14ac:dyDescent="0.3">
      <c r="E123" t="str">
        <v>E-6968</v>
      </c>
      <c r="F123" t="str">
        <v>FI-01</v>
      </c>
      <c r="G123" t="str">
        <v>Finance</v>
      </c>
      <c r="H123" t="str">
        <v>Male</v>
      </c>
      <c r="I123">
        <v>45</v>
      </c>
      <c r="J123" t="str">
        <v>Middle Age (32-50)</v>
      </c>
      <c r="K123">
        <v>45058</v>
      </c>
      <c r="L123">
        <v>2023</v>
      </c>
      <c r="M123" t="str">
        <v>May</v>
      </c>
      <c r="N123">
        <v>12</v>
      </c>
      <c r="O123">
        <v>4.08</v>
      </c>
      <c r="P123">
        <v>5</v>
      </c>
      <c r="Q123">
        <v>10368.31</v>
      </c>
      <c r="R123">
        <v>2.5</v>
      </c>
      <c r="S123" t="str">
        <v>Early Career (2-5 yr)</v>
      </c>
    </row>
    <row r="124" spans="5:19" x14ac:dyDescent="0.3">
      <c r="E124" t="str">
        <v>E-6979</v>
      </c>
      <c r="F124" t="str">
        <v>FI-01</v>
      </c>
      <c r="G124" t="str">
        <v>Finance</v>
      </c>
      <c r="H124" t="str">
        <v>Female</v>
      </c>
      <c r="I124">
        <v>35</v>
      </c>
      <c r="J124" t="str">
        <v>Middle Age (32-50)</v>
      </c>
      <c r="K124">
        <v>43918</v>
      </c>
      <c r="L124">
        <v>2020</v>
      </c>
      <c r="M124" t="str">
        <v>March</v>
      </c>
      <c r="N124">
        <v>28</v>
      </c>
      <c r="O124">
        <v>4.09</v>
      </c>
      <c r="P124">
        <v>13</v>
      </c>
      <c r="Q124">
        <v>12696.44</v>
      </c>
      <c r="R124">
        <v>5.6</v>
      </c>
      <c r="S124" t="str">
        <v>Mid Career (6–10 yr)</v>
      </c>
    </row>
    <row r="125" spans="5:19" x14ac:dyDescent="0.3">
      <c r="E125" t="str">
        <v>E-6998</v>
      </c>
      <c r="F125" t="str">
        <v>FI-01</v>
      </c>
      <c r="G125" t="str">
        <v>Finance</v>
      </c>
      <c r="H125" t="str">
        <v>Male</v>
      </c>
      <c r="I125">
        <v>43</v>
      </c>
      <c r="J125" t="str">
        <v>Middle Age (32-50)</v>
      </c>
      <c r="K125">
        <v>43965</v>
      </c>
      <c r="L125">
        <v>2020</v>
      </c>
      <c r="M125" t="str">
        <v>May</v>
      </c>
      <c r="N125">
        <v>14</v>
      </c>
      <c r="O125">
        <v>3.26</v>
      </c>
      <c r="P125">
        <v>6</v>
      </c>
      <c r="Q125">
        <v>5480.13</v>
      </c>
      <c r="R125">
        <v>5.5</v>
      </c>
      <c r="S125" t="str">
        <v>Mid Career (6–10 yr)</v>
      </c>
    </row>
  </sheetData>
  <mergeCells count="1">
    <mergeCell ref="A1:S2"/>
  </mergeCells>
  <conditionalFormatting sqref="C10">
    <cfRule type="colorScale" priority="5">
      <colorScale>
        <cfvo type="num" val="0"/>
        <cfvo type="percentile" val="3.1"/>
        <cfvo type="num" val="5"/>
        <color rgb="FFFF0000"/>
        <color theme="4" tint="0.79998168889431442"/>
        <color theme="3" tint="0.499984740745262"/>
      </colorScale>
    </cfRule>
  </conditionalFormatting>
  <conditionalFormatting sqref="C11">
    <cfRule type="colorScale" priority="1">
      <colorScale>
        <cfvo type="num" val="0"/>
        <cfvo type="num" val="10"/>
        <cfvo type="num" val="20"/>
        <color theme="9" tint="0.39997558519241921"/>
        <color theme="9" tint="0.79998168889431442"/>
        <color rgb="FFF8696B"/>
      </colorScale>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A27BBF9A-633B-4803-9CD5-7FBF01D11056}">
          <x14:formula1>
            <xm:f>Lookups!$B:$B</xm:f>
          </x14:formula1>
          <xm:sqref>F5 C4</xm:sqref>
        </x14:dataValidation>
        <x14:dataValidation type="list" allowBlank="1" showInputMessage="1" showErrorMessage="1" xr:uid="{4C6E6DAB-7FA6-4A2B-AB93-3E963F47989C}">
          <x14:formula1>
            <xm:f>Lookups!$A$1:$A$7</xm:f>
          </x14:formula1>
          <xm:sqref>C3:C4</xm:sqref>
        </x14:dataValidation>
        <x14:dataValidation type="list" allowBlank="1" showInputMessage="1" showErrorMessage="1" xr:uid="{00AA5930-53BA-4A1C-AA17-6DD2F4B9597B}">
          <x14:formula1>
            <xm:f>Lookups!$A$1</xm:f>
          </x14:formula1>
          <xm:sqref>A5:A7 B3:B4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620C-E073-42E9-BF80-F881BE872F71}">
  <dimension ref="A1:B118"/>
  <sheetViews>
    <sheetView workbookViewId="0">
      <selection activeCell="A8" sqref="A8"/>
    </sheetView>
  </sheetViews>
  <sheetFormatPr defaultRowHeight="14.4" x14ac:dyDescent="0.3"/>
  <sheetData>
    <row r="1" spans="1:2" x14ac:dyDescent="0.3">
      <c r="A1" t="str" cm="1">
        <f t="array" ref="A1:A6">_xlfn.UNIQUE(Worksheet[Department])</f>
        <v>HR</v>
      </c>
      <c r="B1" t="str" cm="1">
        <f t="array" ref="B1:B118">_xlfn._xlws.FILTER(Worksheet[Employee_ID], Worksheet[Department] = 'HR System'!$C$3, "No employees")</f>
        <v>E-2009</v>
      </c>
    </row>
    <row r="2" spans="1:2" x14ac:dyDescent="0.3">
      <c r="A2" t="str">
        <v>IT</v>
      </c>
      <c r="B2" t="str">
        <v>E-2014</v>
      </c>
    </row>
    <row r="3" spans="1:2" x14ac:dyDescent="0.3">
      <c r="A3" t="str">
        <v>Sales</v>
      </c>
      <c r="B3" t="str">
        <v>E-2065</v>
      </c>
    </row>
    <row r="4" spans="1:2" x14ac:dyDescent="0.3">
      <c r="A4" t="str">
        <v>Finance</v>
      </c>
      <c r="B4" t="str">
        <v>E-2068</v>
      </c>
    </row>
    <row r="5" spans="1:2" x14ac:dyDescent="0.3">
      <c r="A5" t="str">
        <v>Operations</v>
      </c>
      <c r="B5" t="str">
        <v>E-2094</v>
      </c>
    </row>
    <row r="6" spans="1:2" x14ac:dyDescent="0.3">
      <c r="A6" t="str">
        <v>Marketing</v>
      </c>
      <c r="B6" t="str">
        <v>E-2095</v>
      </c>
    </row>
    <row r="7" spans="1:2" x14ac:dyDescent="0.3">
      <c r="A7" t="s">
        <v>5066</v>
      </c>
      <c r="B7" t="str">
        <v>E-2101</v>
      </c>
    </row>
    <row r="8" spans="1:2" x14ac:dyDescent="0.3">
      <c r="B8" t="str">
        <v>E-2108</v>
      </c>
    </row>
    <row r="9" spans="1:2" x14ac:dyDescent="0.3">
      <c r="B9" t="str">
        <v>E-2121</v>
      </c>
    </row>
    <row r="10" spans="1:2" x14ac:dyDescent="0.3">
      <c r="B10" t="str">
        <v>E-2143</v>
      </c>
    </row>
    <row r="11" spans="1:2" x14ac:dyDescent="0.3">
      <c r="B11" t="str">
        <v>E-2169</v>
      </c>
    </row>
    <row r="12" spans="1:2" x14ac:dyDescent="0.3">
      <c r="B12" t="str">
        <v>E-2180</v>
      </c>
    </row>
    <row r="13" spans="1:2" x14ac:dyDescent="0.3">
      <c r="B13" t="str">
        <v>E-2181</v>
      </c>
    </row>
    <row r="14" spans="1:2" x14ac:dyDescent="0.3">
      <c r="B14" t="str">
        <v>E-2197</v>
      </c>
    </row>
    <row r="15" spans="1:2" x14ac:dyDescent="0.3">
      <c r="B15" t="str">
        <v>E-2200</v>
      </c>
    </row>
    <row r="16" spans="1:2" x14ac:dyDescent="0.3">
      <c r="B16" t="str">
        <v>E-2204</v>
      </c>
    </row>
    <row r="17" spans="2:2" x14ac:dyDescent="0.3">
      <c r="B17" t="str">
        <v>E-2214</v>
      </c>
    </row>
    <row r="18" spans="2:2" x14ac:dyDescent="0.3">
      <c r="B18" t="str">
        <v>E-2242</v>
      </c>
    </row>
    <row r="19" spans="2:2" x14ac:dyDescent="0.3">
      <c r="B19" t="str">
        <v>E-2272</v>
      </c>
    </row>
    <row r="20" spans="2:2" x14ac:dyDescent="0.3">
      <c r="B20" t="str">
        <v>E-2276</v>
      </c>
    </row>
    <row r="21" spans="2:2" x14ac:dyDescent="0.3">
      <c r="B21" t="str">
        <v>E-2286</v>
      </c>
    </row>
    <row r="22" spans="2:2" x14ac:dyDescent="0.3">
      <c r="B22" t="str">
        <v>E-2341</v>
      </c>
    </row>
    <row r="23" spans="2:2" x14ac:dyDescent="0.3">
      <c r="B23" t="str">
        <v>E-2388</v>
      </c>
    </row>
    <row r="24" spans="2:2" x14ac:dyDescent="0.3">
      <c r="B24" t="str">
        <v>E-2398</v>
      </c>
    </row>
    <row r="25" spans="2:2" x14ac:dyDescent="0.3">
      <c r="B25" t="str">
        <v>E-2418</v>
      </c>
    </row>
    <row r="26" spans="2:2" x14ac:dyDescent="0.3">
      <c r="B26" t="str">
        <v>E-2438</v>
      </c>
    </row>
    <row r="27" spans="2:2" x14ac:dyDescent="0.3">
      <c r="B27" t="str">
        <v>E-2445</v>
      </c>
    </row>
    <row r="28" spans="2:2" x14ac:dyDescent="0.3">
      <c r="B28" t="str">
        <v>E-2451</v>
      </c>
    </row>
    <row r="29" spans="2:2" x14ac:dyDescent="0.3">
      <c r="B29" t="str">
        <v>E-2464</v>
      </c>
    </row>
    <row r="30" spans="2:2" x14ac:dyDescent="0.3">
      <c r="B30" t="str">
        <v>E-2505</v>
      </c>
    </row>
    <row r="31" spans="2:2" x14ac:dyDescent="0.3">
      <c r="B31" t="str">
        <v>E-2521</v>
      </c>
    </row>
    <row r="32" spans="2:2" x14ac:dyDescent="0.3">
      <c r="B32" t="str">
        <v>E-2527</v>
      </c>
    </row>
    <row r="33" spans="2:2" x14ac:dyDescent="0.3">
      <c r="B33" t="str">
        <v>E-2548</v>
      </c>
    </row>
    <row r="34" spans="2:2" x14ac:dyDescent="0.3">
      <c r="B34" t="str">
        <v>E-2586</v>
      </c>
    </row>
    <row r="35" spans="2:2" x14ac:dyDescent="0.3">
      <c r="B35" t="str">
        <v>E-2594</v>
      </c>
    </row>
    <row r="36" spans="2:2" x14ac:dyDescent="0.3">
      <c r="B36" t="str">
        <v>E-2636</v>
      </c>
    </row>
    <row r="37" spans="2:2" x14ac:dyDescent="0.3">
      <c r="B37" t="str">
        <v>E-2642</v>
      </c>
    </row>
    <row r="38" spans="2:2" x14ac:dyDescent="0.3">
      <c r="B38" t="str">
        <v>E-2679</v>
      </c>
    </row>
    <row r="39" spans="2:2" x14ac:dyDescent="0.3">
      <c r="B39" t="str">
        <v>E-2685</v>
      </c>
    </row>
    <row r="40" spans="2:2" x14ac:dyDescent="0.3">
      <c r="B40" t="str">
        <v>E-2694</v>
      </c>
    </row>
    <row r="41" spans="2:2" x14ac:dyDescent="0.3">
      <c r="B41" t="str">
        <v>E-2724</v>
      </c>
    </row>
    <row r="42" spans="2:2" x14ac:dyDescent="0.3">
      <c r="B42" t="str">
        <v>E-2730</v>
      </c>
    </row>
    <row r="43" spans="2:2" x14ac:dyDescent="0.3">
      <c r="B43" t="str">
        <v>E-2733</v>
      </c>
    </row>
    <row r="44" spans="2:2" x14ac:dyDescent="0.3">
      <c r="B44" t="str">
        <v>E-2737</v>
      </c>
    </row>
    <row r="45" spans="2:2" x14ac:dyDescent="0.3">
      <c r="B45" t="str">
        <v>E-2740</v>
      </c>
    </row>
    <row r="46" spans="2:2" x14ac:dyDescent="0.3">
      <c r="B46" t="str">
        <v>E-2742</v>
      </c>
    </row>
    <row r="47" spans="2:2" x14ac:dyDescent="0.3">
      <c r="B47" t="str">
        <v>E-2777</v>
      </c>
    </row>
    <row r="48" spans="2:2" x14ac:dyDescent="0.3">
      <c r="B48" t="str">
        <v>E-2780</v>
      </c>
    </row>
    <row r="49" spans="2:2" x14ac:dyDescent="0.3">
      <c r="B49" t="str">
        <v>E-2788</v>
      </c>
    </row>
    <row r="50" spans="2:2" x14ac:dyDescent="0.3">
      <c r="B50" t="str">
        <v>E-2815</v>
      </c>
    </row>
    <row r="51" spans="2:2" x14ac:dyDescent="0.3">
      <c r="B51" t="str">
        <v>E-2818</v>
      </c>
    </row>
    <row r="52" spans="2:2" x14ac:dyDescent="0.3">
      <c r="B52" t="str">
        <v>E-2890</v>
      </c>
    </row>
    <row r="53" spans="2:2" x14ac:dyDescent="0.3">
      <c r="B53" t="str">
        <v>E-2893</v>
      </c>
    </row>
    <row r="54" spans="2:2" x14ac:dyDescent="0.3">
      <c r="B54" t="str">
        <v>E-2899</v>
      </c>
    </row>
    <row r="55" spans="2:2" x14ac:dyDescent="0.3">
      <c r="B55" t="str">
        <v>E-2918</v>
      </c>
    </row>
    <row r="56" spans="2:2" x14ac:dyDescent="0.3">
      <c r="B56" t="str">
        <v>E-2940</v>
      </c>
    </row>
    <row r="57" spans="2:2" x14ac:dyDescent="0.3">
      <c r="B57" t="str">
        <v>E-2949</v>
      </c>
    </row>
    <row r="58" spans="2:2" x14ac:dyDescent="0.3">
      <c r="B58" t="str">
        <v>E-2951</v>
      </c>
    </row>
    <row r="59" spans="2:2" x14ac:dyDescent="0.3">
      <c r="B59" t="str">
        <v>E-2958</v>
      </c>
    </row>
    <row r="60" spans="2:2" x14ac:dyDescent="0.3">
      <c r="B60" t="str">
        <v>E-2962</v>
      </c>
    </row>
    <row r="61" spans="2:2" x14ac:dyDescent="0.3">
      <c r="B61" t="str">
        <v>E-2969</v>
      </c>
    </row>
    <row r="62" spans="2:2" x14ac:dyDescent="0.3">
      <c r="B62" t="str">
        <v>E-2974</v>
      </c>
    </row>
    <row r="63" spans="2:2" x14ac:dyDescent="0.3">
      <c r="B63" t="str">
        <v>E-2978</v>
      </c>
    </row>
    <row r="64" spans="2:2" x14ac:dyDescent="0.3">
      <c r="B64" t="str">
        <v>E-2984</v>
      </c>
    </row>
    <row r="65" spans="2:2" x14ac:dyDescent="0.3">
      <c r="B65" t="str">
        <v>E-2990</v>
      </c>
    </row>
    <row r="66" spans="2:2" x14ac:dyDescent="0.3">
      <c r="B66" t="str">
        <v>E-3011</v>
      </c>
    </row>
    <row r="67" spans="2:2" x14ac:dyDescent="0.3">
      <c r="B67" t="str">
        <v>E-3048</v>
      </c>
    </row>
    <row r="68" spans="2:2" x14ac:dyDescent="0.3">
      <c r="B68" t="str">
        <v>E-3049</v>
      </c>
    </row>
    <row r="69" spans="2:2" x14ac:dyDescent="0.3">
      <c r="B69" t="str">
        <v>E-3075</v>
      </c>
    </row>
    <row r="70" spans="2:2" x14ac:dyDescent="0.3">
      <c r="B70" t="str">
        <v>E-3081</v>
      </c>
    </row>
    <row r="71" spans="2:2" x14ac:dyDescent="0.3">
      <c r="B71" t="str">
        <v>E-3196</v>
      </c>
    </row>
    <row r="72" spans="2:2" x14ac:dyDescent="0.3">
      <c r="B72" t="str">
        <v>E-3235</v>
      </c>
    </row>
    <row r="73" spans="2:2" x14ac:dyDescent="0.3">
      <c r="B73" t="str">
        <v>E-3271</v>
      </c>
    </row>
    <row r="74" spans="2:2" x14ac:dyDescent="0.3">
      <c r="B74" t="str">
        <v>E-3278</v>
      </c>
    </row>
    <row r="75" spans="2:2" x14ac:dyDescent="0.3">
      <c r="B75" t="str">
        <v>E-3501</v>
      </c>
    </row>
    <row r="76" spans="2:2" x14ac:dyDescent="0.3">
      <c r="B76" t="str">
        <v>E-3729</v>
      </c>
    </row>
    <row r="77" spans="2:2" x14ac:dyDescent="0.3">
      <c r="B77" t="str">
        <v>E-3788</v>
      </c>
    </row>
    <row r="78" spans="2:2" x14ac:dyDescent="0.3">
      <c r="B78" t="str">
        <v>E-3873</v>
      </c>
    </row>
    <row r="79" spans="2:2" x14ac:dyDescent="0.3">
      <c r="B79" t="str">
        <v>E-3882</v>
      </c>
    </row>
    <row r="80" spans="2:2" x14ac:dyDescent="0.3">
      <c r="B80" t="str">
        <v>E-3989</v>
      </c>
    </row>
    <row r="81" spans="2:2" x14ac:dyDescent="0.3">
      <c r="B81" t="str">
        <v>E-4007</v>
      </c>
    </row>
    <row r="82" spans="2:2" x14ac:dyDescent="0.3">
      <c r="B82" t="str">
        <v>E-4014</v>
      </c>
    </row>
    <row r="83" spans="2:2" x14ac:dyDescent="0.3">
      <c r="B83" t="str">
        <v>E-4297</v>
      </c>
    </row>
    <row r="84" spans="2:2" x14ac:dyDescent="0.3">
      <c r="B84" t="str">
        <v>E-4438</v>
      </c>
    </row>
    <row r="85" spans="2:2" x14ac:dyDescent="0.3">
      <c r="B85" t="str">
        <v>E-4468</v>
      </c>
    </row>
    <row r="86" spans="2:2" x14ac:dyDescent="0.3">
      <c r="B86" t="str">
        <v>E-4508</v>
      </c>
    </row>
    <row r="87" spans="2:2" x14ac:dyDescent="0.3">
      <c r="B87" t="str">
        <v>E-4644</v>
      </c>
    </row>
    <row r="88" spans="2:2" x14ac:dyDescent="0.3">
      <c r="B88" t="str">
        <v>E-4691</v>
      </c>
    </row>
    <row r="89" spans="2:2" x14ac:dyDescent="0.3">
      <c r="B89" t="str">
        <v>E-4840</v>
      </c>
    </row>
    <row r="90" spans="2:2" x14ac:dyDescent="0.3">
      <c r="B90" t="str">
        <v>E-4970</v>
      </c>
    </row>
    <row r="91" spans="2:2" x14ac:dyDescent="0.3">
      <c r="B91" t="str">
        <v>E-5026</v>
      </c>
    </row>
    <row r="92" spans="2:2" x14ac:dyDescent="0.3">
      <c r="B92" t="str">
        <v>E-5092</v>
      </c>
    </row>
    <row r="93" spans="2:2" x14ac:dyDescent="0.3">
      <c r="B93" t="str">
        <v>E-5121</v>
      </c>
    </row>
    <row r="94" spans="2:2" x14ac:dyDescent="0.3">
      <c r="B94" t="str">
        <v>E-5144</v>
      </c>
    </row>
    <row r="95" spans="2:2" x14ac:dyDescent="0.3">
      <c r="B95" t="str">
        <v>E-5228</v>
      </c>
    </row>
    <row r="96" spans="2:2" x14ac:dyDescent="0.3">
      <c r="B96" t="str">
        <v>E-5264</v>
      </c>
    </row>
    <row r="97" spans="2:2" x14ac:dyDescent="0.3">
      <c r="B97" t="str">
        <v>E-5283</v>
      </c>
    </row>
    <row r="98" spans="2:2" x14ac:dyDescent="0.3">
      <c r="B98" t="str">
        <v>E-5406</v>
      </c>
    </row>
    <row r="99" spans="2:2" x14ac:dyDescent="0.3">
      <c r="B99" t="str">
        <v>E-5502</v>
      </c>
    </row>
    <row r="100" spans="2:2" x14ac:dyDescent="0.3">
      <c r="B100" t="str">
        <v>E-5513</v>
      </c>
    </row>
    <row r="101" spans="2:2" x14ac:dyDescent="0.3">
      <c r="B101" t="str">
        <v>E-5521</v>
      </c>
    </row>
    <row r="102" spans="2:2" x14ac:dyDescent="0.3">
      <c r="B102" t="str">
        <v>E-5563</v>
      </c>
    </row>
    <row r="103" spans="2:2" x14ac:dyDescent="0.3">
      <c r="B103" t="str">
        <v>E-5592</v>
      </c>
    </row>
    <row r="104" spans="2:2" x14ac:dyDescent="0.3">
      <c r="B104" t="str">
        <v>E-5855</v>
      </c>
    </row>
    <row r="105" spans="2:2" x14ac:dyDescent="0.3">
      <c r="B105" t="str">
        <v>E-6109</v>
      </c>
    </row>
    <row r="106" spans="2:2" x14ac:dyDescent="0.3">
      <c r="B106" t="str">
        <v>E-6263</v>
      </c>
    </row>
    <row r="107" spans="2:2" x14ac:dyDescent="0.3">
      <c r="B107" t="str">
        <v>E-6377</v>
      </c>
    </row>
    <row r="108" spans="2:2" x14ac:dyDescent="0.3">
      <c r="B108" t="str">
        <v>E-6536</v>
      </c>
    </row>
    <row r="109" spans="2:2" x14ac:dyDescent="0.3">
      <c r="B109" t="str">
        <v>E-6631</v>
      </c>
    </row>
    <row r="110" spans="2:2" x14ac:dyDescent="0.3">
      <c r="B110" t="str">
        <v>E-6648</v>
      </c>
    </row>
    <row r="111" spans="2:2" x14ac:dyDescent="0.3">
      <c r="B111" t="str">
        <v>E-6733</v>
      </c>
    </row>
    <row r="112" spans="2:2" x14ac:dyDescent="0.3">
      <c r="B112" t="str">
        <v>E-6835</v>
      </c>
    </row>
    <row r="113" spans="2:2" x14ac:dyDescent="0.3">
      <c r="B113" t="str">
        <v>E-6915</v>
      </c>
    </row>
    <row r="114" spans="2:2" x14ac:dyDescent="0.3">
      <c r="B114" t="str">
        <v>E-6927</v>
      </c>
    </row>
    <row r="115" spans="2:2" x14ac:dyDescent="0.3">
      <c r="B115" t="str">
        <v>E-6942</v>
      </c>
    </row>
    <row r="116" spans="2:2" x14ac:dyDescent="0.3">
      <c r="B116" t="str">
        <v>E-6968</v>
      </c>
    </row>
    <row r="117" spans="2:2" x14ac:dyDescent="0.3">
      <c r="B117" t="str">
        <v>E-6979</v>
      </c>
    </row>
    <row r="118" spans="2:2" x14ac:dyDescent="0.3">
      <c r="B118" t="str">
        <v>E-6998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F180-CAD9-4C0D-A0DF-1167D4D02340}">
  <dimension ref="A1:P157"/>
  <sheetViews>
    <sheetView tabSelected="1" topLeftCell="A40" workbookViewId="0">
      <selection activeCell="I49" sqref="I49"/>
    </sheetView>
  </sheetViews>
  <sheetFormatPr defaultRowHeight="14.4" x14ac:dyDescent="0.3"/>
  <cols>
    <col min="1" max="1" width="19.109375" bestFit="1" customWidth="1"/>
    <col min="2" max="2" width="15.5546875" bestFit="1" customWidth="1"/>
    <col min="3" max="3" width="17.44140625" bestFit="1" customWidth="1"/>
    <col min="4" max="4" width="17.5546875" bestFit="1" customWidth="1"/>
    <col min="5" max="5" width="10.5546875" bestFit="1" customWidth="1"/>
    <col min="6" max="5001" width="6.6640625" bestFit="1" customWidth="1"/>
    <col min="5002" max="5002" width="12" bestFit="1" customWidth="1"/>
  </cols>
  <sheetData>
    <row r="1" spans="1:16" x14ac:dyDescent="0.3">
      <c r="A1" s="2" t="s">
        <v>5028</v>
      </c>
      <c r="B1" s="2" t="s">
        <v>5027</v>
      </c>
    </row>
    <row r="2" spans="1:16" x14ac:dyDescent="0.3">
      <c r="A2" s="2" t="s">
        <v>5025</v>
      </c>
      <c r="B2" t="s">
        <v>11</v>
      </c>
      <c r="C2" t="s">
        <v>14</v>
      </c>
      <c r="D2" t="s">
        <v>5026</v>
      </c>
      <c r="F2" t="s">
        <v>1</v>
      </c>
      <c r="G2" t="s">
        <v>11</v>
      </c>
      <c r="H2" t="s">
        <v>14</v>
      </c>
    </row>
    <row r="3" spans="1:16" x14ac:dyDescent="0.3">
      <c r="A3" s="3" t="s">
        <v>5022</v>
      </c>
      <c r="B3">
        <v>58</v>
      </c>
      <c r="C3">
        <v>60</v>
      </c>
      <c r="D3">
        <v>118</v>
      </c>
      <c r="F3" s="3" t="str">
        <f t="shared" ref="F3:F8" si="0">A3</f>
        <v>Finance</v>
      </c>
      <c r="G3">
        <f>-ABS(GETPIVOTDATA("Employee_ID",$A$1,"Department","Finance","Gender","Male")/SUM(B3:C8))</f>
        <v>-8.9368258859784278E-2</v>
      </c>
      <c r="H3">
        <f>GETPIVOTDATA("Employee_ID",$A$1,"Department","Finance","Gender","Female")/SUM(B3:C8)</f>
        <v>9.2449922958397532E-2</v>
      </c>
    </row>
    <row r="4" spans="1:16" x14ac:dyDescent="0.3">
      <c r="A4" s="3" t="s">
        <v>5017</v>
      </c>
      <c r="B4">
        <v>46</v>
      </c>
      <c r="C4">
        <v>53</v>
      </c>
      <c r="D4">
        <v>99</v>
      </c>
      <c r="F4" s="3" t="str">
        <f t="shared" si="0"/>
        <v>HR</v>
      </c>
      <c r="G4">
        <f>-ABS(GETPIVOTDATA("Employee_ID",$A$1,"Department","HR","Gender","Male")/SUM(B3:C8))</f>
        <v>-7.0878274268104779E-2</v>
      </c>
      <c r="H4">
        <f>GETPIVOTDATA("Employee_ID",$A$1,"Department","HR","Gender","Female")/SUM(B3:C8)</f>
        <v>8.1664098613251149E-2</v>
      </c>
    </row>
    <row r="5" spans="1:16" x14ac:dyDescent="0.3">
      <c r="A5" s="3" t="s">
        <v>5018</v>
      </c>
      <c r="B5">
        <v>58</v>
      </c>
      <c r="C5">
        <v>65</v>
      </c>
      <c r="D5">
        <v>123</v>
      </c>
      <c r="F5" s="3" t="str">
        <f t="shared" si="0"/>
        <v>IT</v>
      </c>
      <c r="G5">
        <f>-ABS(GETPIVOTDATA("Employee_ID",$A$1,"Department","IT","Gender","Male")/SUM(B3:C8))</f>
        <v>-8.9368258859784278E-2</v>
      </c>
      <c r="H5">
        <f>GETPIVOTDATA("Employee_ID",$A$1,"Department","IT","Gender","Female")/SUM(B3:C8)</f>
        <v>0.10015408320493066</v>
      </c>
    </row>
    <row r="6" spans="1:16" x14ac:dyDescent="0.3">
      <c r="A6" s="3" t="s">
        <v>5020</v>
      </c>
      <c r="B6">
        <v>56</v>
      </c>
      <c r="C6">
        <v>55</v>
      </c>
      <c r="D6">
        <v>111</v>
      </c>
      <c r="F6" s="3" t="str">
        <f t="shared" si="0"/>
        <v>Marketing</v>
      </c>
      <c r="G6">
        <f>-ABS(GETPIVOTDATA("Employee_ID",$A$1,"Department","Marketing","Gender","Male")/SUM(B3:C8))</f>
        <v>-8.6286594761171037E-2</v>
      </c>
      <c r="H6">
        <f>GETPIVOTDATA("Employee_ID",$A$1,"Department","Marketing","Gender","Female")/SUM(B3:C8)</f>
        <v>8.4745762711864403E-2</v>
      </c>
    </row>
    <row r="7" spans="1:16" x14ac:dyDescent="0.3">
      <c r="A7" s="3" t="s">
        <v>5021</v>
      </c>
      <c r="B7">
        <v>51</v>
      </c>
      <c r="C7">
        <v>45</v>
      </c>
      <c r="D7">
        <v>96</v>
      </c>
      <c r="F7" s="3" t="str">
        <f t="shared" si="0"/>
        <v>Operations</v>
      </c>
      <c r="G7">
        <f>-ABS(GETPIVOTDATA("Employee_ID",$A$1,"Department","Operations","Gender","Male")/SUM(B3:C8))</f>
        <v>-7.8582434514637908E-2</v>
      </c>
      <c r="H7">
        <f>GETPIVOTDATA("Employee_ID",$A$1,"Department","Operations","Gender","Female")/SUM(B3:C8)</f>
        <v>6.9337442218798145E-2</v>
      </c>
    </row>
    <row r="8" spans="1:16" x14ac:dyDescent="0.3">
      <c r="A8" s="3" t="s">
        <v>5019</v>
      </c>
      <c r="B8">
        <v>51</v>
      </c>
      <c r="C8">
        <v>51</v>
      </c>
      <c r="D8">
        <v>102</v>
      </c>
      <c r="F8" s="3" t="str">
        <f t="shared" si="0"/>
        <v>Sales</v>
      </c>
      <c r="G8">
        <f>-ABS(GETPIVOTDATA("Employee_ID",$A$1,"Department","Sales","Gender","Male")/SUM(B3:C8))</f>
        <v>-7.8582434514637908E-2</v>
      </c>
      <c r="H8">
        <f>GETPIVOTDATA("Employee_ID",$A$1,"Department","Sales","Gender","Female")/SUM(B3:C8)</f>
        <v>7.8582434514637908E-2</v>
      </c>
    </row>
    <row r="9" spans="1:16" x14ac:dyDescent="0.3">
      <c r="A9" s="3" t="s">
        <v>5026</v>
      </c>
      <c r="B9">
        <v>320</v>
      </c>
      <c r="C9">
        <v>329</v>
      </c>
      <c r="D9">
        <v>649</v>
      </c>
    </row>
    <row r="10" spans="1:16" x14ac:dyDescent="0.3">
      <c r="G10">
        <f>ABS(SUM(G3:G8))</f>
        <v>0.49306625577812024</v>
      </c>
      <c r="H10">
        <f>SUM(H3:H8)</f>
        <v>0.50693374422187976</v>
      </c>
    </row>
    <row r="11" spans="1:16" x14ac:dyDescent="0.3">
      <c r="H11">
        <f>SUM(G10:H10)</f>
        <v>1</v>
      </c>
    </row>
    <row r="14" spans="1:16" x14ac:dyDescent="0.3">
      <c r="A14" s="2" t="s">
        <v>5025</v>
      </c>
      <c r="B14" t="s">
        <v>5030</v>
      </c>
    </row>
    <row r="15" spans="1:16" x14ac:dyDescent="0.3">
      <c r="A15" s="3" t="s">
        <v>5022</v>
      </c>
      <c r="B15" s="5">
        <v>9036.8995762711893</v>
      </c>
      <c r="K15" s="4"/>
      <c r="L15" s="4"/>
      <c r="M15" s="4"/>
      <c r="N15" s="4"/>
      <c r="O15" s="4"/>
      <c r="P15" s="4"/>
    </row>
    <row r="16" spans="1:16" x14ac:dyDescent="0.3">
      <c r="A16" s="3" t="s">
        <v>5017</v>
      </c>
      <c r="B16" s="5">
        <v>8807.6243434343432</v>
      </c>
      <c r="J16" s="3"/>
    </row>
    <row r="17" spans="1:10" x14ac:dyDescent="0.3">
      <c r="A17" s="3" t="s">
        <v>5018</v>
      </c>
      <c r="B17" s="5">
        <v>9674.87154471545</v>
      </c>
      <c r="J17" s="3"/>
    </row>
    <row r="18" spans="1:10" x14ac:dyDescent="0.3">
      <c r="A18" s="3" t="s">
        <v>5020</v>
      </c>
      <c r="B18" s="5">
        <v>8821.0011711711686</v>
      </c>
      <c r="J18" s="3"/>
    </row>
    <row r="19" spans="1:10" x14ac:dyDescent="0.3">
      <c r="A19" s="3" t="s">
        <v>5021</v>
      </c>
      <c r="B19" s="5">
        <v>9438.2010416666708</v>
      </c>
    </row>
    <row r="20" spans="1:10" x14ac:dyDescent="0.3">
      <c r="A20" s="3" t="s">
        <v>5019</v>
      </c>
      <c r="B20" s="5">
        <v>9005.1017647058816</v>
      </c>
    </row>
    <row r="21" spans="1:10" x14ac:dyDescent="0.3">
      <c r="A21" s="3" t="s">
        <v>5026</v>
      </c>
      <c r="B21">
        <v>9140.2726810477634</v>
      </c>
    </row>
    <row r="27" spans="1:10" x14ac:dyDescent="0.3">
      <c r="A27" s="2" t="s">
        <v>5025</v>
      </c>
      <c r="B27" t="s">
        <v>5046</v>
      </c>
      <c r="C27" t="s">
        <v>5047</v>
      </c>
    </row>
    <row r="28" spans="1:10" x14ac:dyDescent="0.3">
      <c r="A28" s="3" t="s">
        <v>5037</v>
      </c>
      <c r="B28" s="5">
        <v>7.8571428571428568</v>
      </c>
      <c r="C28" s="5">
        <v>3.2922222222222217</v>
      </c>
    </row>
    <row r="29" spans="1:10" x14ac:dyDescent="0.3">
      <c r="A29" s="3" t="s">
        <v>5042</v>
      </c>
      <c r="B29" s="5">
        <v>7.3777777777777782</v>
      </c>
      <c r="C29" s="5">
        <v>3.4415555555555555</v>
      </c>
    </row>
    <row r="30" spans="1:10" x14ac:dyDescent="0.3">
      <c r="A30" s="3" t="s">
        <v>5035</v>
      </c>
      <c r="B30" s="5">
        <v>7.3859649122807021</v>
      </c>
      <c r="C30" s="5">
        <v>3.2131578947368409</v>
      </c>
    </row>
    <row r="31" spans="1:10" x14ac:dyDescent="0.3">
      <c r="A31" s="3" t="s">
        <v>5040</v>
      </c>
      <c r="B31" s="5">
        <v>6.7777777777777777</v>
      </c>
      <c r="C31" s="5">
        <v>3.2294444444444443</v>
      </c>
    </row>
    <row r="32" spans="1:10" x14ac:dyDescent="0.3">
      <c r="A32" s="3" t="s">
        <v>5036</v>
      </c>
      <c r="B32" s="5">
        <v>7.9090909090909092</v>
      </c>
      <c r="C32" s="5">
        <v>3.3649090909090917</v>
      </c>
    </row>
    <row r="33" spans="1:5" x14ac:dyDescent="0.3">
      <c r="A33" s="3" t="s">
        <v>5032</v>
      </c>
      <c r="B33" s="5">
        <v>7.6140350877192979</v>
      </c>
      <c r="C33" s="5">
        <v>3.3663157894736839</v>
      </c>
    </row>
    <row r="34" spans="1:5" x14ac:dyDescent="0.3">
      <c r="A34" s="3" t="s">
        <v>5034</v>
      </c>
      <c r="B34" s="5">
        <v>7.6315789473684212</v>
      </c>
      <c r="C34" s="5">
        <v>3.1094736842105264</v>
      </c>
    </row>
    <row r="35" spans="1:5" x14ac:dyDescent="0.3">
      <c r="A35" s="3" t="s">
        <v>5031</v>
      </c>
      <c r="B35" s="5">
        <v>7.3529411764705879</v>
      </c>
      <c r="C35" s="5">
        <v>3.2447058823529424</v>
      </c>
    </row>
    <row r="36" spans="1:5" x14ac:dyDescent="0.3">
      <c r="A36" s="3" t="s">
        <v>5033</v>
      </c>
      <c r="B36" s="5">
        <v>7.3833333333333337</v>
      </c>
      <c r="C36" s="5">
        <v>3.2119999999999993</v>
      </c>
    </row>
    <row r="37" spans="1:5" x14ac:dyDescent="0.3">
      <c r="A37" s="3" t="s">
        <v>5039</v>
      </c>
      <c r="B37" s="5">
        <v>7.48</v>
      </c>
      <c r="C37" s="5">
        <v>3.0820000000000003</v>
      </c>
    </row>
    <row r="38" spans="1:5" x14ac:dyDescent="0.3">
      <c r="A38" s="3" t="s">
        <v>5038</v>
      </c>
      <c r="B38" s="5">
        <v>8.9523809523809526</v>
      </c>
      <c r="C38" s="5">
        <v>3.2326190476190471</v>
      </c>
    </row>
    <row r="39" spans="1:5" x14ac:dyDescent="0.3">
      <c r="A39" s="3" t="s">
        <v>5041</v>
      </c>
      <c r="B39" s="5">
        <v>7.5853658536585362</v>
      </c>
      <c r="C39" s="5">
        <v>3.214390243902439</v>
      </c>
    </row>
    <row r="40" spans="1:5" x14ac:dyDescent="0.3">
      <c r="A40" s="3" t="s">
        <v>5026</v>
      </c>
      <c r="B40">
        <v>7.5839753466872111</v>
      </c>
      <c r="C40">
        <v>3.2496610169491484</v>
      </c>
    </row>
    <row r="45" spans="1:5" x14ac:dyDescent="0.3">
      <c r="A45" s="2" t="s">
        <v>5028</v>
      </c>
      <c r="B45" s="2" t="s">
        <v>5027</v>
      </c>
    </row>
    <row r="46" spans="1:5" x14ac:dyDescent="0.3">
      <c r="A46" s="2" t="s">
        <v>5025</v>
      </c>
      <c r="B46" t="s">
        <v>5051</v>
      </c>
      <c r="C46" t="s">
        <v>5050</v>
      </c>
      <c r="D46" t="s">
        <v>5049</v>
      </c>
      <c r="E46" t="s">
        <v>5026</v>
      </c>
    </row>
    <row r="47" spans="1:5" x14ac:dyDescent="0.3">
      <c r="A47" s="3" t="s">
        <v>5018</v>
      </c>
      <c r="B47">
        <v>16</v>
      </c>
      <c r="C47">
        <v>91</v>
      </c>
      <c r="D47">
        <v>16</v>
      </c>
      <c r="E47">
        <v>123</v>
      </c>
    </row>
    <row r="48" spans="1:5" x14ac:dyDescent="0.3">
      <c r="A48" s="3" t="s">
        <v>5020</v>
      </c>
      <c r="B48">
        <v>21</v>
      </c>
      <c r="C48">
        <v>77</v>
      </c>
      <c r="D48">
        <v>13</v>
      </c>
      <c r="E48">
        <v>111</v>
      </c>
    </row>
    <row r="49" spans="1:5" x14ac:dyDescent="0.3">
      <c r="A49" s="3" t="s">
        <v>5022</v>
      </c>
      <c r="B49">
        <v>19</v>
      </c>
      <c r="C49">
        <v>76</v>
      </c>
      <c r="D49">
        <v>23</v>
      </c>
      <c r="E49">
        <v>118</v>
      </c>
    </row>
    <row r="50" spans="1:5" x14ac:dyDescent="0.3">
      <c r="A50" s="3" t="s">
        <v>5021</v>
      </c>
      <c r="B50">
        <v>14</v>
      </c>
      <c r="C50">
        <v>66</v>
      </c>
      <c r="D50">
        <v>16</v>
      </c>
      <c r="E50">
        <v>96</v>
      </c>
    </row>
    <row r="51" spans="1:5" x14ac:dyDescent="0.3">
      <c r="A51" s="3" t="s">
        <v>5017</v>
      </c>
      <c r="B51">
        <v>15</v>
      </c>
      <c r="C51">
        <v>66</v>
      </c>
      <c r="D51">
        <v>18</v>
      </c>
      <c r="E51">
        <v>99</v>
      </c>
    </row>
    <row r="52" spans="1:5" x14ac:dyDescent="0.3">
      <c r="A52" s="3" t="s">
        <v>5019</v>
      </c>
      <c r="B52">
        <v>26</v>
      </c>
      <c r="C52">
        <v>63</v>
      </c>
      <c r="D52">
        <v>13</v>
      </c>
      <c r="E52">
        <v>102</v>
      </c>
    </row>
    <row r="53" spans="1:5" x14ac:dyDescent="0.3">
      <c r="A53" s="3" t="s">
        <v>5026</v>
      </c>
      <c r="B53">
        <v>111</v>
      </c>
      <c r="C53">
        <v>439</v>
      </c>
      <c r="D53">
        <v>99</v>
      </c>
      <c r="E53">
        <v>649</v>
      </c>
    </row>
    <row r="77" spans="1:2" x14ac:dyDescent="0.3">
      <c r="A77" s="2" t="s">
        <v>5025</v>
      </c>
      <c r="B77" t="str" cm="1">
        <f t="array" ref="B77">_xlfn.LET(
  _xlpm.src, $A$78:$A$83,
  _xlpm.visible, _xlfn._xlws.FILTER(_xlpm.src, (_xlpm.src&lt;&gt;"")*(NOT(ISNUMBER(SEARCH("Total", _xlpm.src))))),
  _xlpm.uVis, _xlfn.UNIQUE(_xlpm.visible),
  _xlpm.uAll, _xlfn.UNIQUE(_xlfn._xlws.FILTER(_xlpm.src, _xlpm.src&lt;&gt;"")),
  IF(ROWS(_xlpm.uVis)=ROWS(_xlpm.uAll), "All Department", _xlfn.TEXTJOIN(", ", TRUE, _xlpm.uVis))
)</f>
        <v>All Department</v>
      </c>
    </row>
    <row r="78" spans="1:2" x14ac:dyDescent="0.3">
      <c r="A78" s="3" t="s">
        <v>5022</v>
      </c>
    </row>
    <row r="79" spans="1:2" x14ac:dyDescent="0.3">
      <c r="A79" s="3" t="s">
        <v>5017</v>
      </c>
    </row>
    <row r="80" spans="1:2" x14ac:dyDescent="0.3">
      <c r="A80" s="3" t="s">
        <v>5018</v>
      </c>
    </row>
    <row r="81" spans="1:2" x14ac:dyDescent="0.3">
      <c r="A81" s="3" t="s">
        <v>5020</v>
      </c>
    </row>
    <row r="82" spans="1:2" x14ac:dyDescent="0.3">
      <c r="A82" s="3" t="s">
        <v>5021</v>
      </c>
    </row>
    <row r="83" spans="1:2" x14ac:dyDescent="0.3">
      <c r="A83" s="3" t="s">
        <v>5019</v>
      </c>
    </row>
    <row r="84" spans="1:2" x14ac:dyDescent="0.3">
      <c r="A84" s="3" t="s">
        <v>5026</v>
      </c>
    </row>
    <row r="89" spans="1:2" x14ac:dyDescent="0.3">
      <c r="A89" t="str">
        <f>Yr &amp; " | " &amp;
Dept</f>
        <v>All Year | All Department</v>
      </c>
    </row>
    <row r="93" spans="1:2" x14ac:dyDescent="0.3">
      <c r="A93" s="2" t="s">
        <v>5025</v>
      </c>
      <c r="B93" t="str" cm="1">
        <f t="array" ref="B93">_xlfn.LET(
  _xlpm.src, $A$94:$A$99,
  _xlpm.visible, _xlfn._xlws.FILTER(_xlpm.src, (_xlpm.src&lt;&gt;"")*(NOT(ISNUMBER(SEARCH("Total", _xlpm.src))))),
  _xlpm.uVis, _xlfn.UNIQUE(_xlpm.visible),
  _xlpm.uAll, _xlfn.UNIQUE(_xlfn._xlws.FILTER(_xlpm.src, _xlpm.src&lt;&gt;"")),
  IF(ROWS(_xlpm.uVis)=ROWS(_xlpm.uAll), "All Year", _xlfn.TEXTJOIN(", ", TRUE, _xlpm.uVis))
)</f>
        <v>All Year</v>
      </c>
    </row>
    <row r="94" spans="1:2" x14ac:dyDescent="0.3">
      <c r="A94" s="3">
        <v>2020</v>
      </c>
    </row>
    <row r="95" spans="1:2" x14ac:dyDescent="0.3">
      <c r="A95" s="3">
        <v>2021</v>
      </c>
    </row>
    <row r="96" spans="1:2" x14ac:dyDescent="0.3">
      <c r="A96" s="3">
        <v>2022</v>
      </c>
    </row>
    <row r="97" spans="1:1" x14ac:dyDescent="0.3">
      <c r="A97" s="3">
        <v>2023</v>
      </c>
    </row>
    <row r="98" spans="1:1" x14ac:dyDescent="0.3">
      <c r="A98" s="3">
        <v>2024</v>
      </c>
    </row>
    <row r="99" spans="1:1" x14ac:dyDescent="0.3">
      <c r="A99" s="3">
        <v>2025</v>
      </c>
    </row>
    <row r="100" spans="1:1" x14ac:dyDescent="0.3">
      <c r="A100" s="3" t="s">
        <v>5026</v>
      </c>
    </row>
    <row r="126" spans="1:2" x14ac:dyDescent="0.3">
      <c r="A126" s="2" t="s">
        <v>5025</v>
      </c>
      <c r="B126" t="s">
        <v>5052</v>
      </c>
    </row>
    <row r="127" spans="1:2" x14ac:dyDescent="0.3">
      <c r="A127" s="3" t="s">
        <v>4390</v>
      </c>
      <c r="B127">
        <v>4.96</v>
      </c>
    </row>
    <row r="128" spans="1:2" x14ac:dyDescent="0.3">
      <c r="A128" s="3" t="s">
        <v>1518</v>
      </c>
      <c r="B128">
        <v>4.97</v>
      </c>
    </row>
    <row r="129" spans="1:2" x14ac:dyDescent="0.3">
      <c r="A129" s="3" t="s">
        <v>633</v>
      </c>
      <c r="B129">
        <v>4.9800000000000004</v>
      </c>
    </row>
    <row r="130" spans="1:2" x14ac:dyDescent="0.3">
      <c r="A130" s="3" t="s">
        <v>502</v>
      </c>
      <c r="B130">
        <v>4.9800000000000004</v>
      </c>
    </row>
    <row r="131" spans="1:2" x14ac:dyDescent="0.3">
      <c r="A131" s="3" t="s">
        <v>1188</v>
      </c>
      <c r="B131">
        <v>4.99</v>
      </c>
    </row>
    <row r="132" spans="1:2" x14ac:dyDescent="0.3">
      <c r="A132" s="3" t="s">
        <v>3519</v>
      </c>
      <c r="B132">
        <v>4.99</v>
      </c>
    </row>
    <row r="133" spans="1:2" x14ac:dyDescent="0.3">
      <c r="A133" s="3" t="s">
        <v>767</v>
      </c>
      <c r="B133">
        <v>4.99</v>
      </c>
    </row>
    <row r="134" spans="1:2" x14ac:dyDescent="0.3">
      <c r="A134" s="3" t="s">
        <v>942</v>
      </c>
      <c r="B134">
        <v>5</v>
      </c>
    </row>
    <row r="135" spans="1:2" x14ac:dyDescent="0.3">
      <c r="A135" s="3" t="s">
        <v>2224</v>
      </c>
      <c r="B135">
        <v>5</v>
      </c>
    </row>
    <row r="136" spans="1:2" x14ac:dyDescent="0.3">
      <c r="A136" s="3" t="s">
        <v>4995</v>
      </c>
      <c r="B136">
        <v>5</v>
      </c>
    </row>
    <row r="137" spans="1:2" x14ac:dyDescent="0.3">
      <c r="A137" s="3" t="s">
        <v>5026</v>
      </c>
      <c r="B137">
        <v>4.9860000000000007</v>
      </c>
    </row>
    <row r="146" spans="1:2" x14ac:dyDescent="0.3">
      <c r="A146" s="2" t="s">
        <v>5025</v>
      </c>
      <c r="B146" t="s">
        <v>5053</v>
      </c>
    </row>
    <row r="147" spans="1:2" x14ac:dyDescent="0.3">
      <c r="A147" s="3" t="s">
        <v>1843</v>
      </c>
      <c r="B147">
        <v>1.53</v>
      </c>
    </row>
    <row r="148" spans="1:2" x14ac:dyDescent="0.3">
      <c r="A148" s="3" t="s">
        <v>816</v>
      </c>
      <c r="B148">
        <v>1.53</v>
      </c>
    </row>
    <row r="149" spans="1:2" x14ac:dyDescent="0.3">
      <c r="A149" s="3" t="s">
        <v>166</v>
      </c>
      <c r="B149">
        <v>1.53</v>
      </c>
    </row>
    <row r="150" spans="1:2" x14ac:dyDescent="0.3">
      <c r="A150" s="3" t="s">
        <v>206</v>
      </c>
      <c r="B150">
        <v>1.53</v>
      </c>
    </row>
    <row r="151" spans="1:2" x14ac:dyDescent="0.3">
      <c r="A151" s="3" t="s">
        <v>289</v>
      </c>
      <c r="B151">
        <v>1.53</v>
      </c>
    </row>
    <row r="152" spans="1:2" x14ac:dyDescent="0.3">
      <c r="A152" s="3" t="s">
        <v>518</v>
      </c>
      <c r="B152">
        <v>1.53</v>
      </c>
    </row>
    <row r="153" spans="1:2" x14ac:dyDescent="0.3">
      <c r="A153" s="3" t="s">
        <v>861</v>
      </c>
      <c r="B153">
        <v>1.51</v>
      </c>
    </row>
    <row r="154" spans="1:2" x14ac:dyDescent="0.3">
      <c r="A154" s="3" t="s">
        <v>520</v>
      </c>
      <c r="B154">
        <v>1.51</v>
      </c>
    </row>
    <row r="155" spans="1:2" x14ac:dyDescent="0.3">
      <c r="A155" s="3" t="s">
        <v>593</v>
      </c>
      <c r="B155">
        <v>1.5</v>
      </c>
    </row>
    <row r="156" spans="1:2" x14ac:dyDescent="0.3">
      <c r="A156" s="3" t="s">
        <v>706</v>
      </c>
      <c r="B156">
        <v>1.5</v>
      </c>
    </row>
    <row r="157" spans="1:2" x14ac:dyDescent="0.3">
      <c r="A157" s="3" t="s">
        <v>5026</v>
      </c>
      <c r="B157">
        <v>15.199999999999998</v>
      </c>
    </row>
  </sheetData>
  <conditionalFormatting pivot="1" sqref="B3:C8">
    <cfRule type="colorScale" priority="4">
      <colorScale>
        <cfvo type="min"/>
        <cfvo type="percentile" val="50"/>
        <cfvo type="max"/>
        <color rgb="FFF8696B"/>
        <color rgb="FFFCFCFF"/>
        <color rgb="FF5A8AC6"/>
      </colorScale>
    </cfRule>
  </conditionalFormatting>
  <conditionalFormatting pivot="1" sqref="C28:C39">
    <cfRule type="colorScale" priority="3">
      <colorScale>
        <cfvo type="min"/>
        <cfvo type="percentile" val="50"/>
        <cfvo type="max"/>
        <color rgb="FFF8696B"/>
        <color rgb="FFFCFCFF"/>
        <color rgb="FF5A8AC6"/>
      </colorScale>
    </cfRule>
  </conditionalFormatting>
  <conditionalFormatting pivot="1" sqref="B28:B39">
    <cfRule type="colorScale" priority="2">
      <colorScale>
        <cfvo type="min"/>
        <cfvo type="percentile" val="50"/>
        <cfvo type="max"/>
        <color rgb="FFF8696B"/>
        <color rgb="FFFCFCFF"/>
        <color rgb="FF5A8AC6"/>
      </colorScale>
    </cfRule>
  </conditionalFormatting>
  <conditionalFormatting pivot="1" sqref="B47:D52">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11A7-B017-4FA5-AD32-F01477426D80}">
  <dimension ref="C1:I45"/>
  <sheetViews>
    <sheetView showGridLines="0" zoomScale="110" zoomScaleNormal="110" workbookViewId="0">
      <selection activeCell="C1" sqref="C1:I4"/>
    </sheetView>
  </sheetViews>
  <sheetFormatPr defaultRowHeight="14.4" x14ac:dyDescent="0.3"/>
  <sheetData>
    <row r="1" spans="3:9" x14ac:dyDescent="0.3">
      <c r="C1" s="55" t="s">
        <v>5082</v>
      </c>
      <c r="D1" s="56"/>
      <c r="E1" s="56"/>
      <c r="F1" s="56"/>
      <c r="G1" s="56"/>
      <c r="H1" s="56"/>
      <c r="I1" s="57"/>
    </row>
    <row r="2" spans="3:9" x14ac:dyDescent="0.3">
      <c r="C2" s="58"/>
      <c r="D2" s="59"/>
      <c r="E2" s="59"/>
      <c r="F2" s="59"/>
      <c r="G2" s="59"/>
      <c r="H2" s="59"/>
      <c r="I2" s="60"/>
    </row>
    <row r="3" spans="3:9" x14ac:dyDescent="0.3">
      <c r="C3" s="58"/>
      <c r="D3" s="59"/>
      <c r="E3" s="59"/>
      <c r="F3" s="59"/>
      <c r="G3" s="59"/>
      <c r="H3" s="59"/>
      <c r="I3" s="60"/>
    </row>
    <row r="4" spans="3:9" x14ac:dyDescent="0.3">
      <c r="C4" s="58"/>
      <c r="D4" s="59"/>
      <c r="E4" s="59"/>
      <c r="F4" s="59"/>
      <c r="G4" s="59"/>
      <c r="H4" s="59"/>
      <c r="I4" s="60"/>
    </row>
    <row r="5" spans="3:9" ht="14.4" customHeight="1" x14ac:dyDescent="0.3">
      <c r="C5" s="61" t="s">
        <v>5073</v>
      </c>
      <c r="D5" s="62"/>
      <c r="E5" s="62"/>
      <c r="F5" s="62"/>
      <c r="G5" s="62"/>
      <c r="H5" s="62"/>
      <c r="I5" s="63"/>
    </row>
    <row r="6" spans="3:9" x14ac:dyDescent="0.3">
      <c r="C6" s="51"/>
      <c r="D6" s="64"/>
      <c r="E6" s="64"/>
      <c r="F6" s="64"/>
      <c r="G6" s="64"/>
      <c r="H6" s="64"/>
      <c r="I6" s="65"/>
    </row>
    <row r="7" spans="3:9" x14ac:dyDescent="0.3">
      <c r="C7" s="51"/>
      <c r="D7" s="64"/>
      <c r="E7" s="64"/>
      <c r="F7" s="64"/>
      <c r="G7" s="64"/>
      <c r="H7" s="64"/>
      <c r="I7" s="65"/>
    </row>
    <row r="8" spans="3:9" x14ac:dyDescent="0.3">
      <c r="C8" s="51"/>
      <c r="D8" s="64"/>
      <c r="E8" s="64"/>
      <c r="F8" s="64"/>
      <c r="G8" s="64"/>
      <c r="H8" s="64"/>
      <c r="I8" s="65"/>
    </row>
    <row r="9" spans="3:9" x14ac:dyDescent="0.3">
      <c r="C9" s="51"/>
      <c r="D9" s="64"/>
      <c r="E9" s="64"/>
      <c r="F9" s="64"/>
      <c r="G9" s="64"/>
      <c r="H9" s="64"/>
      <c r="I9" s="65"/>
    </row>
    <row r="10" spans="3:9" x14ac:dyDescent="0.3">
      <c r="C10" s="34"/>
      <c r="D10" s="33"/>
      <c r="E10" s="33"/>
      <c r="F10" s="33"/>
      <c r="G10" s="33"/>
      <c r="H10" s="33"/>
      <c r="I10" s="35"/>
    </row>
    <row r="11" spans="3:9" ht="14.4" customHeight="1" x14ac:dyDescent="0.3">
      <c r="C11" s="51" t="s">
        <v>5074</v>
      </c>
      <c r="D11" s="64"/>
      <c r="E11" s="64"/>
      <c r="F11" s="64"/>
      <c r="G11" s="64"/>
      <c r="H11" s="64"/>
      <c r="I11" s="65"/>
    </row>
    <row r="12" spans="3:9" x14ac:dyDescent="0.3">
      <c r="C12" s="51"/>
      <c r="D12" s="64"/>
      <c r="E12" s="64"/>
      <c r="F12" s="64"/>
      <c r="G12" s="64"/>
      <c r="H12" s="64"/>
      <c r="I12" s="65"/>
    </row>
    <row r="13" spans="3:9" x14ac:dyDescent="0.3">
      <c r="C13" s="51"/>
      <c r="D13" s="64"/>
      <c r="E13" s="64"/>
      <c r="F13" s="64"/>
      <c r="G13" s="64"/>
      <c r="H13" s="64"/>
      <c r="I13" s="65"/>
    </row>
    <row r="14" spans="3:9" x14ac:dyDescent="0.3">
      <c r="C14" s="51"/>
      <c r="D14" s="64"/>
      <c r="E14" s="64"/>
      <c r="F14" s="64"/>
      <c r="G14" s="64"/>
      <c r="H14" s="64"/>
      <c r="I14" s="65"/>
    </row>
    <row r="15" spans="3:9" x14ac:dyDescent="0.3">
      <c r="C15" s="51"/>
      <c r="D15" s="64"/>
      <c r="E15" s="64"/>
      <c r="F15" s="64"/>
      <c r="G15" s="64"/>
      <c r="H15" s="64"/>
      <c r="I15" s="65"/>
    </row>
    <row r="16" spans="3:9" x14ac:dyDescent="0.3">
      <c r="C16" s="34"/>
      <c r="D16" s="33"/>
      <c r="E16" s="33"/>
      <c r="F16" s="33"/>
      <c r="G16" s="33"/>
      <c r="H16" s="33"/>
      <c r="I16" s="36"/>
    </row>
    <row r="17" spans="3:9" x14ac:dyDescent="0.3">
      <c r="C17" s="51" t="s">
        <v>5079</v>
      </c>
      <c r="D17" s="64"/>
      <c r="E17" s="64"/>
      <c r="F17" s="64"/>
      <c r="G17" s="64"/>
      <c r="H17" s="64"/>
      <c r="I17" s="65"/>
    </row>
    <row r="18" spans="3:9" ht="14.4" customHeight="1" x14ac:dyDescent="0.3">
      <c r="C18" s="51"/>
      <c r="D18" s="64"/>
      <c r="E18" s="64"/>
      <c r="F18" s="64"/>
      <c r="G18" s="64"/>
      <c r="H18" s="64"/>
      <c r="I18" s="65"/>
    </row>
    <row r="19" spans="3:9" x14ac:dyDescent="0.3">
      <c r="C19" s="51"/>
      <c r="D19" s="64"/>
      <c r="E19" s="64"/>
      <c r="F19" s="64"/>
      <c r="G19" s="64"/>
      <c r="H19" s="64"/>
      <c r="I19" s="65"/>
    </row>
    <row r="20" spans="3:9" x14ac:dyDescent="0.3">
      <c r="C20" s="51"/>
      <c r="D20" s="64"/>
      <c r="E20" s="64"/>
      <c r="F20" s="64"/>
      <c r="G20" s="64"/>
      <c r="H20" s="64"/>
      <c r="I20" s="65"/>
    </row>
    <row r="21" spans="3:9" x14ac:dyDescent="0.3">
      <c r="C21" s="51"/>
      <c r="D21" s="64"/>
      <c r="E21" s="64"/>
      <c r="F21" s="64"/>
      <c r="G21" s="64"/>
      <c r="H21" s="64"/>
      <c r="I21" s="65"/>
    </row>
    <row r="22" spans="3:9" x14ac:dyDescent="0.3">
      <c r="C22" s="37"/>
      <c r="I22" s="36"/>
    </row>
    <row r="23" spans="3:9" ht="14.4" customHeight="1" x14ac:dyDescent="0.3">
      <c r="C23" s="51" t="s">
        <v>5075</v>
      </c>
      <c r="D23" s="64"/>
      <c r="E23" s="64"/>
      <c r="F23" s="64"/>
      <c r="G23" s="64"/>
      <c r="H23" s="64"/>
      <c r="I23" s="65"/>
    </row>
    <row r="24" spans="3:9" x14ac:dyDescent="0.3">
      <c r="C24" s="51"/>
      <c r="D24" s="64"/>
      <c r="E24" s="64"/>
      <c r="F24" s="64"/>
      <c r="G24" s="64"/>
      <c r="H24" s="64"/>
      <c r="I24" s="65"/>
    </row>
    <row r="25" spans="3:9" x14ac:dyDescent="0.3">
      <c r="C25" s="51"/>
      <c r="D25" s="64"/>
      <c r="E25" s="64"/>
      <c r="F25" s="64"/>
      <c r="G25" s="64"/>
      <c r="H25" s="64"/>
      <c r="I25" s="65"/>
    </row>
    <row r="26" spans="3:9" x14ac:dyDescent="0.3">
      <c r="C26" s="51"/>
      <c r="D26" s="64"/>
      <c r="E26" s="64"/>
      <c r="F26" s="64"/>
      <c r="G26" s="64"/>
      <c r="H26" s="64"/>
      <c r="I26" s="65"/>
    </row>
    <row r="27" spans="3:9" x14ac:dyDescent="0.3">
      <c r="C27" s="51"/>
      <c r="D27" s="64"/>
      <c r="E27" s="64"/>
      <c r="F27" s="64"/>
      <c r="G27" s="64"/>
      <c r="H27" s="64"/>
      <c r="I27" s="65"/>
    </row>
    <row r="28" spans="3:9" x14ac:dyDescent="0.3">
      <c r="C28" s="34"/>
      <c r="D28" s="33"/>
      <c r="E28" s="33"/>
      <c r="F28" s="33"/>
      <c r="G28" s="33"/>
      <c r="H28" s="33"/>
      <c r="I28" s="35"/>
    </row>
    <row r="29" spans="3:9" x14ac:dyDescent="0.3">
      <c r="C29" s="51" t="s">
        <v>5077</v>
      </c>
      <c r="D29" s="52"/>
      <c r="E29" s="52"/>
      <c r="F29" s="52"/>
      <c r="G29" s="52"/>
      <c r="H29" s="52"/>
      <c r="I29" s="53"/>
    </row>
    <row r="30" spans="3:9" x14ac:dyDescent="0.3">
      <c r="C30" s="54"/>
      <c r="D30" s="52"/>
      <c r="E30" s="52"/>
      <c r="F30" s="52"/>
      <c r="G30" s="52"/>
      <c r="H30" s="52"/>
      <c r="I30" s="53"/>
    </row>
    <row r="31" spans="3:9" x14ac:dyDescent="0.3">
      <c r="C31" s="54"/>
      <c r="D31" s="52"/>
      <c r="E31" s="52"/>
      <c r="F31" s="52"/>
      <c r="G31" s="52"/>
      <c r="H31" s="52"/>
      <c r="I31" s="53"/>
    </row>
    <row r="32" spans="3:9" x14ac:dyDescent="0.3">
      <c r="C32" s="54"/>
      <c r="D32" s="52"/>
      <c r="E32" s="52"/>
      <c r="F32" s="52"/>
      <c r="G32" s="52"/>
      <c r="H32" s="52"/>
      <c r="I32" s="53"/>
    </row>
    <row r="33" spans="3:9" x14ac:dyDescent="0.3">
      <c r="C33" s="54"/>
      <c r="D33" s="52"/>
      <c r="E33" s="52"/>
      <c r="F33" s="52"/>
      <c r="G33" s="52"/>
      <c r="H33" s="52"/>
      <c r="I33" s="53"/>
    </row>
    <row r="34" spans="3:9" x14ac:dyDescent="0.3">
      <c r="C34" s="37"/>
      <c r="I34" s="36"/>
    </row>
    <row r="35" spans="3:9" x14ac:dyDescent="0.3">
      <c r="C35" s="44" t="s">
        <v>5076</v>
      </c>
      <c r="D35" s="45"/>
      <c r="E35" s="45"/>
      <c r="F35" s="45"/>
      <c r="G35" s="45"/>
      <c r="H35" s="45"/>
      <c r="I35" s="46"/>
    </row>
    <row r="36" spans="3:9" x14ac:dyDescent="0.3">
      <c r="C36" s="47"/>
      <c r="D36" s="45"/>
      <c r="E36" s="45"/>
      <c r="F36" s="45"/>
      <c r="G36" s="45"/>
      <c r="H36" s="45"/>
      <c r="I36" s="46"/>
    </row>
    <row r="37" spans="3:9" x14ac:dyDescent="0.3">
      <c r="C37" s="47"/>
      <c r="D37" s="45"/>
      <c r="E37" s="45"/>
      <c r="F37" s="45"/>
      <c r="G37" s="45"/>
      <c r="H37" s="45"/>
      <c r="I37" s="46"/>
    </row>
    <row r="38" spans="3:9" x14ac:dyDescent="0.3">
      <c r="C38" s="47"/>
      <c r="D38" s="45"/>
      <c r="E38" s="45"/>
      <c r="F38" s="45"/>
      <c r="G38" s="45"/>
      <c r="H38" s="45"/>
      <c r="I38" s="46"/>
    </row>
    <row r="39" spans="3:9" x14ac:dyDescent="0.3">
      <c r="C39" s="47"/>
      <c r="D39" s="45"/>
      <c r="E39" s="45"/>
      <c r="F39" s="45"/>
      <c r="G39" s="45"/>
      <c r="H39" s="45"/>
      <c r="I39" s="46"/>
    </row>
    <row r="40" spans="3:9" x14ac:dyDescent="0.3">
      <c r="C40" s="37"/>
      <c r="I40" s="36"/>
    </row>
    <row r="41" spans="3:9" x14ac:dyDescent="0.3">
      <c r="C41" s="44" t="s">
        <v>5081</v>
      </c>
      <c r="D41" s="45"/>
      <c r="E41" s="45"/>
      <c r="F41" s="45"/>
      <c r="G41" s="45"/>
      <c r="H41" s="45"/>
      <c r="I41" s="46"/>
    </row>
    <row r="42" spans="3:9" x14ac:dyDescent="0.3">
      <c r="C42" s="47"/>
      <c r="D42" s="45"/>
      <c r="E42" s="45"/>
      <c r="F42" s="45"/>
      <c r="G42" s="45"/>
      <c r="H42" s="45"/>
      <c r="I42" s="46"/>
    </row>
    <row r="43" spans="3:9" x14ac:dyDescent="0.3">
      <c r="C43" s="47"/>
      <c r="D43" s="45"/>
      <c r="E43" s="45"/>
      <c r="F43" s="45"/>
      <c r="G43" s="45"/>
      <c r="H43" s="45"/>
      <c r="I43" s="46"/>
    </row>
    <row r="44" spans="3:9" x14ac:dyDescent="0.3">
      <c r="C44" s="47"/>
      <c r="D44" s="45"/>
      <c r="E44" s="45"/>
      <c r="F44" s="45"/>
      <c r="G44" s="45"/>
      <c r="H44" s="45"/>
      <c r="I44" s="46"/>
    </row>
    <row r="45" spans="3:9" x14ac:dyDescent="0.3">
      <c r="C45" s="48"/>
      <c r="D45" s="49"/>
      <c r="E45" s="49"/>
      <c r="F45" s="49"/>
      <c r="G45" s="49"/>
      <c r="H45" s="49"/>
      <c r="I45" s="50"/>
    </row>
  </sheetData>
  <mergeCells count="8">
    <mergeCell ref="C41:I45"/>
    <mergeCell ref="C29:I33"/>
    <mergeCell ref="C35:I39"/>
    <mergeCell ref="C1:I4"/>
    <mergeCell ref="C5:I9"/>
    <mergeCell ref="C17:I21"/>
    <mergeCell ref="C11:I15"/>
    <mergeCell ref="C23:I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3F01-3893-4037-9864-27DCB5585C9D}">
  <dimension ref="A1:AC37"/>
  <sheetViews>
    <sheetView showGridLines="0" zoomScale="66" zoomScaleNormal="66" workbookViewId="0">
      <selection sqref="A1:AC2"/>
    </sheetView>
  </sheetViews>
  <sheetFormatPr defaultRowHeight="14.4" x14ac:dyDescent="0.3"/>
  <sheetData>
    <row r="1" spans="1:29" ht="14.4" customHeight="1" x14ac:dyDescent="0.3">
      <c r="A1" s="66" t="s">
        <v>5078</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row>
    <row r="2" spans="1:29" ht="14.4" customHeight="1" x14ac:dyDescent="0.3">
      <c r="A2" s="66"/>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row>
    <row r="3" spans="1:29" ht="14.4" customHeight="1" x14ac:dyDescent="0.3">
      <c r="A3" s="67" t="str">
        <f>PivotTables!A89</f>
        <v>All Year | All Department</v>
      </c>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row>
    <row r="4" spans="1:29" ht="14.4" customHeight="1" x14ac:dyDescent="0.3">
      <c r="A4" s="67"/>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row>
    <row r="5" spans="1:29"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row>
    <row r="6" spans="1:29"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row>
    <row r="7" spans="1:29"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row>
    <row r="8" spans="1:29"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row>
    <row r="9" spans="1:29"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row>
    <row r="10" spans="1:29"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row>
    <row r="11" spans="1:29"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row>
    <row r="12" spans="1:29"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row>
    <row r="13" spans="1:29"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row>
    <row r="14" spans="1:29"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row>
    <row r="15" spans="1:29"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row>
    <row r="16" spans="1:29"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row>
    <row r="17" spans="1:29"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row>
    <row r="18" spans="1:29"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row>
    <row r="19" spans="1:29"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row>
    <row r="20" spans="1:29"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row>
    <row r="21" spans="1:29"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row>
    <row r="22" spans="1:29"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row>
    <row r="23" spans="1:29"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spans="1:29"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row>
    <row r="25" spans="1:29"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row>
    <row r="26" spans="1:29"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row>
    <row r="27" spans="1:29"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row>
    <row r="28" spans="1:29"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row>
    <row r="29" spans="1:29"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row>
    <row r="30" spans="1:29"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row>
    <row r="31" spans="1:29"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row>
    <row r="32" spans="1:29"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row>
    <row r="33" spans="1:29"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row>
    <row r="34" spans="1:29"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row>
    <row r="35" spans="1:29"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row>
    <row r="36" spans="1:29"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spans="1:29"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row>
  </sheetData>
  <mergeCells count="2">
    <mergeCell ref="A1:AC2"/>
    <mergeCell ref="A3:A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8871-0797-4E5F-935D-6BCC26E672EF}">
  <dimension ref="A1:I5001"/>
  <sheetViews>
    <sheetView workbookViewId="0">
      <selection activeCell="B1" sqref="B1"/>
    </sheetView>
  </sheetViews>
  <sheetFormatPr defaultRowHeight="14.4" x14ac:dyDescent="0.3"/>
  <cols>
    <col min="1" max="1" width="13.6640625" customWidth="1"/>
    <col min="2" max="2" width="12.88671875" customWidth="1"/>
    <col min="3" max="3" width="9" customWidth="1"/>
    <col min="5" max="5" width="11.109375" customWidth="1"/>
    <col min="6" max="6" width="19.109375" customWidth="1"/>
    <col min="7" max="7" width="20.33203125" customWidth="1"/>
    <col min="8" max="8" width="12.44140625" customWidth="1"/>
    <col min="9" max="9" width="13.77734375" customWidth="1"/>
  </cols>
  <sheetData>
    <row r="1" spans="1:9" x14ac:dyDescent="0.3">
      <c r="A1" t="s">
        <v>0</v>
      </c>
      <c r="B1" t="s">
        <v>5024</v>
      </c>
      <c r="C1" t="s">
        <v>2</v>
      </c>
      <c r="D1" t="s">
        <v>3</v>
      </c>
      <c r="E1" t="s">
        <v>4</v>
      </c>
      <c r="F1" t="s">
        <v>5</v>
      </c>
      <c r="G1" t="s">
        <v>6</v>
      </c>
      <c r="H1" t="s">
        <v>7</v>
      </c>
      <c r="I1" t="s">
        <v>8</v>
      </c>
    </row>
    <row r="2" spans="1:9" x14ac:dyDescent="0.3">
      <c r="A2" t="s">
        <v>9</v>
      </c>
      <c r="B2" t="s">
        <v>10</v>
      </c>
      <c r="C2" t="s">
        <v>11</v>
      </c>
      <c r="D2">
        <v>36</v>
      </c>
      <c r="E2" s="1">
        <v>43692</v>
      </c>
      <c r="F2">
        <v>3.63</v>
      </c>
      <c r="G2">
        <v>14</v>
      </c>
      <c r="H2">
        <v>9867.2800000000007</v>
      </c>
      <c r="I2">
        <v>6.2</v>
      </c>
    </row>
    <row r="3" spans="1:9" x14ac:dyDescent="0.3">
      <c r="A3" t="s">
        <v>12</v>
      </c>
      <c r="B3" t="s">
        <v>13</v>
      </c>
      <c r="C3" t="s">
        <v>14</v>
      </c>
      <c r="D3">
        <v>23</v>
      </c>
      <c r="E3" s="1">
        <v>40346</v>
      </c>
      <c r="F3">
        <v>2.81</v>
      </c>
      <c r="G3">
        <v>1</v>
      </c>
      <c r="H3">
        <v>3073.03</v>
      </c>
      <c r="I3">
        <v>15.4</v>
      </c>
    </row>
    <row r="4" spans="1:9" x14ac:dyDescent="0.3">
      <c r="A4" t="s">
        <v>15</v>
      </c>
      <c r="B4" t="s">
        <v>16</v>
      </c>
      <c r="C4" t="s">
        <v>11</v>
      </c>
      <c r="D4">
        <v>54</v>
      </c>
      <c r="E4" s="1">
        <v>41819</v>
      </c>
      <c r="F4">
        <v>4.49</v>
      </c>
      <c r="G4">
        <v>10</v>
      </c>
      <c r="H4">
        <v>14812.45</v>
      </c>
      <c r="I4">
        <v>11.4</v>
      </c>
    </row>
    <row r="5" spans="1:9" x14ac:dyDescent="0.3">
      <c r="A5" t="s">
        <v>17</v>
      </c>
      <c r="B5" t="s">
        <v>18</v>
      </c>
      <c r="C5" t="s">
        <v>14</v>
      </c>
      <c r="D5">
        <v>59</v>
      </c>
      <c r="E5" s="1">
        <v>41532</v>
      </c>
      <c r="F5">
        <v>2.77</v>
      </c>
      <c r="G5">
        <v>14</v>
      </c>
      <c r="H5">
        <v>14169.13</v>
      </c>
      <c r="I5">
        <v>12.1</v>
      </c>
    </row>
    <row r="6" spans="1:9" x14ac:dyDescent="0.3">
      <c r="A6" t="s">
        <v>19</v>
      </c>
      <c r="B6" t="s">
        <v>10</v>
      </c>
      <c r="C6" t="s">
        <v>11</v>
      </c>
      <c r="D6">
        <v>27</v>
      </c>
      <c r="E6" s="1">
        <v>41121</v>
      </c>
      <c r="F6">
        <v>2.4300000000000002</v>
      </c>
      <c r="G6">
        <v>4</v>
      </c>
      <c r="H6">
        <v>6092.8</v>
      </c>
      <c r="I6">
        <v>13.3</v>
      </c>
    </row>
    <row r="7" spans="1:9" x14ac:dyDescent="0.3">
      <c r="A7" t="s">
        <v>20</v>
      </c>
      <c r="B7" t="s">
        <v>13</v>
      </c>
      <c r="C7" t="s">
        <v>11</v>
      </c>
      <c r="D7">
        <v>43</v>
      </c>
      <c r="E7" s="1">
        <v>44261</v>
      </c>
      <c r="F7">
        <v>2.13</v>
      </c>
      <c r="G7">
        <v>0</v>
      </c>
      <c r="H7">
        <v>3895.18</v>
      </c>
      <c r="I7">
        <v>4.7</v>
      </c>
    </row>
    <row r="8" spans="1:9" x14ac:dyDescent="0.3">
      <c r="A8" t="s">
        <v>21</v>
      </c>
      <c r="B8" t="s">
        <v>16</v>
      </c>
      <c r="C8" t="s">
        <v>11</v>
      </c>
      <c r="D8">
        <v>34</v>
      </c>
      <c r="E8" s="1">
        <v>44687</v>
      </c>
      <c r="F8">
        <v>4.09</v>
      </c>
      <c r="G8">
        <v>8</v>
      </c>
      <c r="H8">
        <v>10680.43</v>
      </c>
      <c r="I8">
        <v>3.5</v>
      </c>
    </row>
    <row r="9" spans="1:9" x14ac:dyDescent="0.3">
      <c r="A9" t="s">
        <v>22</v>
      </c>
      <c r="B9" t="s">
        <v>16</v>
      </c>
      <c r="C9" t="s">
        <v>14</v>
      </c>
      <c r="D9">
        <v>39</v>
      </c>
      <c r="E9" s="1">
        <v>44566</v>
      </c>
      <c r="F9">
        <v>4.49</v>
      </c>
      <c r="G9">
        <v>14</v>
      </c>
      <c r="H9">
        <v>10850.25</v>
      </c>
      <c r="I9">
        <v>3.8</v>
      </c>
    </row>
    <row r="10" spans="1:9" x14ac:dyDescent="0.3">
      <c r="A10" t="s">
        <v>23</v>
      </c>
      <c r="B10" t="s">
        <v>24</v>
      </c>
      <c r="C10" t="s">
        <v>11</v>
      </c>
      <c r="D10">
        <v>55</v>
      </c>
      <c r="E10" s="1">
        <v>44159</v>
      </c>
      <c r="F10">
        <v>2.4300000000000002</v>
      </c>
      <c r="G10">
        <v>12</v>
      </c>
      <c r="H10">
        <v>4237.22</v>
      </c>
      <c r="I10">
        <v>4.9000000000000004</v>
      </c>
    </row>
    <row r="11" spans="1:9" x14ac:dyDescent="0.3">
      <c r="A11" t="s">
        <v>25</v>
      </c>
      <c r="B11" t="s">
        <v>10</v>
      </c>
      <c r="C11" t="s">
        <v>14</v>
      </c>
      <c r="D11">
        <v>27</v>
      </c>
      <c r="E11" s="1">
        <v>44284</v>
      </c>
      <c r="F11">
        <v>2.68</v>
      </c>
      <c r="G11">
        <v>3</v>
      </c>
      <c r="H11">
        <v>7679.81</v>
      </c>
      <c r="I11">
        <v>4.5999999999999996</v>
      </c>
    </row>
    <row r="12" spans="1:9" x14ac:dyDescent="0.3">
      <c r="A12" t="s">
        <v>26</v>
      </c>
      <c r="B12" t="s">
        <v>18</v>
      </c>
      <c r="C12" t="s">
        <v>11</v>
      </c>
      <c r="D12">
        <v>40</v>
      </c>
      <c r="E12" s="1">
        <v>44700</v>
      </c>
      <c r="F12">
        <v>4.26</v>
      </c>
      <c r="G12">
        <v>7</v>
      </c>
      <c r="H12">
        <v>12468.25</v>
      </c>
      <c r="I12">
        <v>3.5</v>
      </c>
    </row>
    <row r="13" spans="1:9" x14ac:dyDescent="0.3">
      <c r="A13" t="s">
        <v>27</v>
      </c>
      <c r="B13" t="s">
        <v>18</v>
      </c>
      <c r="C13" t="s">
        <v>11</v>
      </c>
      <c r="D13">
        <v>48</v>
      </c>
      <c r="E13" s="1">
        <v>42065</v>
      </c>
      <c r="F13">
        <v>2.12</v>
      </c>
      <c r="G13">
        <v>0</v>
      </c>
      <c r="H13">
        <v>7573.1</v>
      </c>
      <c r="I13">
        <v>10.7</v>
      </c>
    </row>
    <row r="14" spans="1:9" x14ac:dyDescent="0.3">
      <c r="A14" t="s">
        <v>28</v>
      </c>
      <c r="B14" t="s">
        <v>13</v>
      </c>
      <c r="C14" t="s">
        <v>14</v>
      </c>
      <c r="D14">
        <v>44</v>
      </c>
      <c r="E14" s="1">
        <v>41940</v>
      </c>
      <c r="F14">
        <v>4.2</v>
      </c>
      <c r="G14">
        <v>15</v>
      </c>
      <c r="H14">
        <v>11387.56</v>
      </c>
      <c r="I14">
        <v>11</v>
      </c>
    </row>
    <row r="15" spans="1:9" x14ac:dyDescent="0.3">
      <c r="A15" t="s">
        <v>29</v>
      </c>
      <c r="B15" t="s">
        <v>16</v>
      </c>
      <c r="C15" t="s">
        <v>11</v>
      </c>
      <c r="D15">
        <v>54</v>
      </c>
      <c r="E15" s="1">
        <v>43702</v>
      </c>
      <c r="F15">
        <v>2.64</v>
      </c>
      <c r="G15">
        <v>12</v>
      </c>
      <c r="H15">
        <v>4505.59</v>
      </c>
      <c r="I15">
        <v>6.2</v>
      </c>
    </row>
    <row r="16" spans="1:9" x14ac:dyDescent="0.3">
      <c r="A16" t="s">
        <v>30</v>
      </c>
      <c r="B16" t="s">
        <v>10</v>
      </c>
      <c r="C16" t="s">
        <v>14</v>
      </c>
      <c r="D16">
        <v>42</v>
      </c>
      <c r="E16" s="1">
        <v>45111</v>
      </c>
      <c r="F16">
        <v>2.94</v>
      </c>
      <c r="G16">
        <v>3</v>
      </c>
      <c r="H16">
        <v>9556.83</v>
      </c>
      <c r="I16">
        <v>2.2999999999999998</v>
      </c>
    </row>
    <row r="17" spans="1:9" x14ac:dyDescent="0.3">
      <c r="A17" t="s">
        <v>31</v>
      </c>
      <c r="B17" t="s">
        <v>16</v>
      </c>
      <c r="C17" t="s">
        <v>14</v>
      </c>
      <c r="D17">
        <v>25</v>
      </c>
      <c r="E17" s="1">
        <v>40637</v>
      </c>
      <c r="F17">
        <v>4.96</v>
      </c>
      <c r="G17">
        <v>6</v>
      </c>
      <c r="H17">
        <v>3499.58</v>
      </c>
      <c r="I17">
        <v>14.6</v>
      </c>
    </row>
    <row r="18" spans="1:9" x14ac:dyDescent="0.3">
      <c r="A18" t="s">
        <v>32</v>
      </c>
      <c r="B18" t="s">
        <v>16</v>
      </c>
      <c r="C18" t="s">
        <v>14</v>
      </c>
      <c r="D18">
        <v>59</v>
      </c>
      <c r="E18" s="1">
        <v>42847</v>
      </c>
      <c r="F18">
        <v>4.78</v>
      </c>
      <c r="G18">
        <v>10</v>
      </c>
      <c r="H18">
        <v>10773.32</v>
      </c>
      <c r="I18">
        <v>8.5</v>
      </c>
    </row>
    <row r="19" spans="1:9" x14ac:dyDescent="0.3">
      <c r="A19" t="s">
        <v>33</v>
      </c>
      <c r="B19" t="s">
        <v>34</v>
      </c>
      <c r="C19" t="s">
        <v>11</v>
      </c>
      <c r="D19">
        <v>56</v>
      </c>
      <c r="E19" s="1">
        <v>42106</v>
      </c>
      <c r="F19">
        <v>4.71</v>
      </c>
      <c r="G19">
        <v>15</v>
      </c>
      <c r="H19">
        <v>5909.54</v>
      </c>
      <c r="I19">
        <v>10.6</v>
      </c>
    </row>
    <row r="20" spans="1:9" x14ac:dyDescent="0.3">
      <c r="A20" t="s">
        <v>35</v>
      </c>
      <c r="B20" t="s">
        <v>34</v>
      </c>
      <c r="C20" t="s">
        <v>14</v>
      </c>
      <c r="D20">
        <v>60</v>
      </c>
      <c r="E20" s="1">
        <v>43024</v>
      </c>
      <c r="F20">
        <v>4.01</v>
      </c>
      <c r="G20">
        <v>5</v>
      </c>
      <c r="H20">
        <v>6321.13</v>
      </c>
      <c r="I20">
        <v>8</v>
      </c>
    </row>
    <row r="21" spans="1:9" x14ac:dyDescent="0.3">
      <c r="A21" t="s">
        <v>36</v>
      </c>
      <c r="B21" t="s">
        <v>34</v>
      </c>
      <c r="C21" t="s">
        <v>11</v>
      </c>
      <c r="D21">
        <v>46</v>
      </c>
      <c r="E21" s="1">
        <v>42333</v>
      </c>
      <c r="F21">
        <v>3.36</v>
      </c>
      <c r="G21">
        <v>14</v>
      </c>
      <c r="H21">
        <v>13670.77</v>
      </c>
      <c r="I21">
        <v>9.9</v>
      </c>
    </row>
    <row r="22" spans="1:9" x14ac:dyDescent="0.3">
      <c r="A22" t="s">
        <v>37</v>
      </c>
      <c r="B22" t="s">
        <v>10</v>
      </c>
      <c r="C22" t="s">
        <v>14</v>
      </c>
      <c r="D22">
        <v>55</v>
      </c>
      <c r="E22" s="1">
        <v>42275</v>
      </c>
      <c r="F22">
        <v>2.88</v>
      </c>
      <c r="G22">
        <v>9</v>
      </c>
      <c r="H22">
        <v>10812.73</v>
      </c>
      <c r="I22">
        <v>10.1</v>
      </c>
    </row>
    <row r="23" spans="1:9" x14ac:dyDescent="0.3">
      <c r="A23" t="s">
        <v>38</v>
      </c>
      <c r="B23" t="s">
        <v>34</v>
      </c>
      <c r="C23" t="s">
        <v>11</v>
      </c>
      <c r="D23">
        <v>50</v>
      </c>
      <c r="E23" s="1">
        <v>40900</v>
      </c>
      <c r="F23">
        <v>4.78</v>
      </c>
      <c r="G23">
        <v>8</v>
      </c>
      <c r="H23">
        <v>5279.82</v>
      </c>
      <c r="I23">
        <v>13.9</v>
      </c>
    </row>
    <row r="24" spans="1:9" x14ac:dyDescent="0.3">
      <c r="A24" t="s">
        <v>39</v>
      </c>
      <c r="B24" t="s">
        <v>16</v>
      </c>
      <c r="C24" t="s">
        <v>14</v>
      </c>
      <c r="D24">
        <v>29</v>
      </c>
      <c r="E24" s="1">
        <v>42723</v>
      </c>
      <c r="F24">
        <v>3</v>
      </c>
      <c r="G24">
        <v>6</v>
      </c>
      <c r="H24">
        <v>9651.06</v>
      </c>
      <c r="I24">
        <v>8.9</v>
      </c>
    </row>
    <row r="25" spans="1:9" x14ac:dyDescent="0.3">
      <c r="A25" t="s">
        <v>40</v>
      </c>
      <c r="B25" t="s">
        <v>24</v>
      </c>
      <c r="C25" t="s">
        <v>11</v>
      </c>
      <c r="D25">
        <v>28</v>
      </c>
      <c r="E25" s="1">
        <v>40605</v>
      </c>
      <c r="F25">
        <v>4.93</v>
      </c>
      <c r="G25">
        <v>3</v>
      </c>
      <c r="H25">
        <v>9616.08</v>
      </c>
      <c r="I25">
        <v>14.7</v>
      </c>
    </row>
    <row r="26" spans="1:9" x14ac:dyDescent="0.3">
      <c r="A26" t="s">
        <v>41</v>
      </c>
      <c r="B26" t="s">
        <v>18</v>
      </c>
      <c r="C26" t="s">
        <v>11</v>
      </c>
      <c r="D26">
        <v>29</v>
      </c>
      <c r="E26" s="1">
        <v>41783</v>
      </c>
      <c r="F26">
        <v>3.96</v>
      </c>
      <c r="G26">
        <v>5</v>
      </c>
      <c r="H26">
        <v>12815.95</v>
      </c>
      <c r="I26">
        <v>11.4</v>
      </c>
    </row>
    <row r="27" spans="1:9" x14ac:dyDescent="0.3">
      <c r="A27" t="s">
        <v>42</v>
      </c>
      <c r="B27" t="s">
        <v>10</v>
      </c>
      <c r="C27" t="s">
        <v>11</v>
      </c>
      <c r="D27">
        <v>49</v>
      </c>
      <c r="E27" s="1">
        <v>42819</v>
      </c>
      <c r="F27">
        <v>2.12</v>
      </c>
      <c r="G27">
        <v>6</v>
      </c>
      <c r="H27">
        <v>5330.18</v>
      </c>
      <c r="I27">
        <v>8.6</v>
      </c>
    </row>
    <row r="28" spans="1:9" x14ac:dyDescent="0.3">
      <c r="A28" t="s">
        <v>43</v>
      </c>
      <c r="B28" t="s">
        <v>18</v>
      </c>
      <c r="C28" t="s">
        <v>11</v>
      </c>
      <c r="D28">
        <v>44</v>
      </c>
      <c r="E28" s="1">
        <v>45100</v>
      </c>
      <c r="F28">
        <v>3.75</v>
      </c>
      <c r="G28">
        <v>9</v>
      </c>
      <c r="H28">
        <v>4124.55</v>
      </c>
      <c r="I28">
        <v>2.4</v>
      </c>
    </row>
    <row r="29" spans="1:9" x14ac:dyDescent="0.3">
      <c r="A29" t="s">
        <v>44</v>
      </c>
      <c r="B29" t="s">
        <v>18</v>
      </c>
      <c r="C29" t="s">
        <v>11</v>
      </c>
      <c r="D29">
        <v>55</v>
      </c>
      <c r="E29" s="1">
        <v>45038</v>
      </c>
      <c r="F29">
        <v>3.06</v>
      </c>
      <c r="G29">
        <v>0</v>
      </c>
      <c r="H29">
        <v>9508.4699999999993</v>
      </c>
      <c r="I29">
        <v>2.5</v>
      </c>
    </row>
    <row r="30" spans="1:9" x14ac:dyDescent="0.3">
      <c r="A30" t="s">
        <v>45</v>
      </c>
      <c r="B30" t="s">
        <v>24</v>
      </c>
      <c r="C30" t="s">
        <v>14</v>
      </c>
      <c r="D30">
        <v>58</v>
      </c>
      <c r="E30" s="1">
        <v>41907</v>
      </c>
      <c r="F30">
        <v>3.34</v>
      </c>
      <c r="G30">
        <v>7</v>
      </c>
      <c r="H30">
        <v>6337.71</v>
      </c>
      <c r="I30">
        <v>11.1</v>
      </c>
    </row>
    <row r="31" spans="1:9" x14ac:dyDescent="0.3">
      <c r="A31" t="s">
        <v>46</v>
      </c>
      <c r="B31" t="s">
        <v>13</v>
      </c>
      <c r="C31" t="s">
        <v>11</v>
      </c>
      <c r="D31">
        <v>22</v>
      </c>
      <c r="E31" s="1">
        <v>41917</v>
      </c>
      <c r="F31">
        <v>2.4500000000000002</v>
      </c>
      <c r="G31">
        <v>15</v>
      </c>
      <c r="H31">
        <v>14856.75</v>
      </c>
      <c r="I31">
        <v>11.1</v>
      </c>
    </row>
    <row r="32" spans="1:9" x14ac:dyDescent="0.3">
      <c r="A32" t="s">
        <v>47</v>
      </c>
      <c r="B32" t="s">
        <v>13</v>
      </c>
      <c r="C32" t="s">
        <v>14</v>
      </c>
      <c r="D32">
        <v>53</v>
      </c>
      <c r="E32" s="1">
        <v>44815</v>
      </c>
      <c r="F32">
        <v>1.89</v>
      </c>
      <c r="G32">
        <v>11</v>
      </c>
      <c r="H32">
        <v>5288.77</v>
      </c>
      <c r="I32">
        <v>3.1</v>
      </c>
    </row>
    <row r="33" spans="1:9" x14ac:dyDescent="0.3">
      <c r="A33" t="s">
        <v>48</v>
      </c>
      <c r="B33" t="s">
        <v>13</v>
      </c>
      <c r="C33" t="s">
        <v>11</v>
      </c>
      <c r="D33">
        <v>51</v>
      </c>
      <c r="E33" s="1">
        <v>43271</v>
      </c>
      <c r="F33">
        <v>1.75</v>
      </c>
      <c r="G33">
        <v>6</v>
      </c>
      <c r="H33">
        <v>3248.23</v>
      </c>
      <c r="I33">
        <v>7.4</v>
      </c>
    </row>
    <row r="34" spans="1:9" x14ac:dyDescent="0.3">
      <c r="A34" t="s">
        <v>49</v>
      </c>
      <c r="B34" t="s">
        <v>13</v>
      </c>
      <c r="C34" t="s">
        <v>11</v>
      </c>
      <c r="D34">
        <v>59</v>
      </c>
      <c r="E34" s="1">
        <v>40562</v>
      </c>
      <c r="F34">
        <v>1.99</v>
      </c>
      <c r="G34">
        <v>9</v>
      </c>
      <c r="H34">
        <v>10746.28</v>
      </c>
      <c r="I34">
        <v>14.8</v>
      </c>
    </row>
    <row r="35" spans="1:9" x14ac:dyDescent="0.3">
      <c r="A35" t="s">
        <v>50</v>
      </c>
      <c r="B35" t="s">
        <v>13</v>
      </c>
      <c r="C35" t="s">
        <v>14</v>
      </c>
      <c r="D35">
        <v>32</v>
      </c>
      <c r="E35" s="1">
        <v>44557</v>
      </c>
      <c r="F35">
        <v>1.73</v>
      </c>
      <c r="G35">
        <v>7</v>
      </c>
      <c r="H35">
        <v>9091.7900000000009</v>
      </c>
      <c r="I35">
        <v>3.8</v>
      </c>
    </row>
    <row r="36" spans="1:9" x14ac:dyDescent="0.3">
      <c r="A36" t="s">
        <v>51</v>
      </c>
      <c r="B36" t="s">
        <v>10</v>
      </c>
      <c r="C36" t="s">
        <v>14</v>
      </c>
      <c r="D36">
        <v>34</v>
      </c>
      <c r="E36" s="1">
        <v>40329</v>
      </c>
      <c r="F36">
        <v>4.55</v>
      </c>
      <c r="G36">
        <v>13</v>
      </c>
      <c r="H36">
        <v>7963.43</v>
      </c>
      <c r="I36">
        <v>15.4</v>
      </c>
    </row>
    <row r="37" spans="1:9" x14ac:dyDescent="0.3">
      <c r="A37" t="s">
        <v>52</v>
      </c>
      <c r="B37" t="s">
        <v>13</v>
      </c>
      <c r="C37" t="s">
        <v>11</v>
      </c>
      <c r="D37">
        <v>25</v>
      </c>
      <c r="E37" s="1">
        <v>43205</v>
      </c>
      <c r="F37">
        <v>3.77</v>
      </c>
      <c r="G37">
        <v>4</v>
      </c>
      <c r="H37">
        <v>14003.04</v>
      </c>
      <c r="I37">
        <v>7.6</v>
      </c>
    </row>
    <row r="38" spans="1:9" x14ac:dyDescent="0.3">
      <c r="A38" t="s">
        <v>53</v>
      </c>
      <c r="B38" t="s">
        <v>16</v>
      </c>
      <c r="C38" t="s">
        <v>14</v>
      </c>
      <c r="D38">
        <v>36</v>
      </c>
      <c r="E38" s="1">
        <v>41378</v>
      </c>
      <c r="F38">
        <v>2.59</v>
      </c>
      <c r="G38">
        <v>1</v>
      </c>
      <c r="H38">
        <v>10538.04</v>
      </c>
      <c r="I38">
        <v>12.6</v>
      </c>
    </row>
    <row r="39" spans="1:9" x14ac:dyDescent="0.3">
      <c r="A39" t="s">
        <v>54</v>
      </c>
      <c r="B39" t="s">
        <v>24</v>
      </c>
      <c r="C39" t="s">
        <v>14</v>
      </c>
      <c r="D39">
        <v>34</v>
      </c>
      <c r="E39" s="1">
        <v>45326</v>
      </c>
      <c r="F39">
        <v>4.1399999999999997</v>
      </c>
      <c r="G39">
        <v>14</v>
      </c>
      <c r="H39">
        <v>12913.35</v>
      </c>
      <c r="I39">
        <v>1.7</v>
      </c>
    </row>
    <row r="40" spans="1:9" x14ac:dyDescent="0.3">
      <c r="A40" t="s">
        <v>55</v>
      </c>
      <c r="B40" t="s">
        <v>18</v>
      </c>
      <c r="C40" t="s">
        <v>11</v>
      </c>
      <c r="D40">
        <v>34</v>
      </c>
      <c r="E40" s="1">
        <v>43644</v>
      </c>
      <c r="F40">
        <v>1.73</v>
      </c>
      <c r="G40">
        <v>2</v>
      </c>
      <c r="H40">
        <v>11643.01</v>
      </c>
      <c r="I40">
        <v>6.4</v>
      </c>
    </row>
    <row r="41" spans="1:9" x14ac:dyDescent="0.3">
      <c r="A41" t="s">
        <v>56</v>
      </c>
      <c r="B41" t="s">
        <v>10</v>
      </c>
      <c r="C41" t="s">
        <v>11</v>
      </c>
      <c r="D41">
        <v>55</v>
      </c>
      <c r="E41" s="1">
        <v>40462</v>
      </c>
      <c r="F41">
        <v>3.4</v>
      </c>
      <c r="G41">
        <v>8</v>
      </c>
      <c r="H41">
        <v>5118.41</v>
      </c>
      <c r="I41">
        <v>15.1</v>
      </c>
    </row>
    <row r="42" spans="1:9" x14ac:dyDescent="0.3">
      <c r="A42" t="s">
        <v>57</v>
      </c>
      <c r="B42" t="s">
        <v>34</v>
      </c>
      <c r="C42" t="s">
        <v>11</v>
      </c>
      <c r="D42">
        <v>29</v>
      </c>
      <c r="E42" s="1">
        <v>42232</v>
      </c>
      <c r="F42">
        <v>1.6</v>
      </c>
      <c r="G42">
        <v>14</v>
      </c>
      <c r="H42">
        <v>13944.44</v>
      </c>
      <c r="I42">
        <v>10.199999999999999</v>
      </c>
    </row>
    <row r="43" spans="1:9" x14ac:dyDescent="0.3">
      <c r="A43" t="s">
        <v>58</v>
      </c>
      <c r="B43" t="s">
        <v>13</v>
      </c>
      <c r="C43" t="s">
        <v>11</v>
      </c>
      <c r="D43">
        <v>33</v>
      </c>
      <c r="E43" s="1">
        <v>43099</v>
      </c>
      <c r="F43">
        <v>2.56</v>
      </c>
      <c r="G43">
        <v>10</v>
      </c>
      <c r="H43">
        <v>11902.39</v>
      </c>
      <c r="I43">
        <v>7.8</v>
      </c>
    </row>
    <row r="44" spans="1:9" x14ac:dyDescent="0.3">
      <c r="A44" t="s">
        <v>59</v>
      </c>
      <c r="B44" t="s">
        <v>24</v>
      </c>
      <c r="C44" t="s">
        <v>11</v>
      </c>
      <c r="D44">
        <v>32</v>
      </c>
      <c r="E44" s="1">
        <v>41151</v>
      </c>
      <c r="F44">
        <v>4.2300000000000004</v>
      </c>
      <c r="G44">
        <v>5</v>
      </c>
      <c r="H44">
        <v>6803.88</v>
      </c>
      <c r="I44">
        <v>13.2</v>
      </c>
    </row>
    <row r="45" spans="1:9" x14ac:dyDescent="0.3">
      <c r="A45" t="s">
        <v>60</v>
      </c>
      <c r="B45" t="s">
        <v>16</v>
      </c>
      <c r="C45" t="s">
        <v>11</v>
      </c>
      <c r="D45">
        <v>24</v>
      </c>
      <c r="E45" s="1">
        <v>45446</v>
      </c>
      <c r="F45">
        <v>2.4700000000000002</v>
      </c>
      <c r="G45">
        <v>2</v>
      </c>
      <c r="H45">
        <v>3891.54</v>
      </c>
      <c r="I45">
        <v>1.4</v>
      </c>
    </row>
    <row r="46" spans="1:9" x14ac:dyDescent="0.3">
      <c r="A46" t="s">
        <v>61</v>
      </c>
      <c r="B46" t="s">
        <v>24</v>
      </c>
      <c r="C46" t="s">
        <v>11</v>
      </c>
      <c r="D46">
        <v>37</v>
      </c>
      <c r="E46" s="1">
        <v>42530</v>
      </c>
      <c r="F46">
        <v>2.65</v>
      </c>
      <c r="G46">
        <v>2</v>
      </c>
      <c r="H46">
        <v>5255.24</v>
      </c>
      <c r="I46">
        <v>9.4</v>
      </c>
    </row>
    <row r="47" spans="1:9" x14ac:dyDescent="0.3">
      <c r="A47" t="s">
        <v>62</v>
      </c>
      <c r="B47" t="s">
        <v>34</v>
      </c>
      <c r="C47" t="s">
        <v>11</v>
      </c>
      <c r="D47">
        <v>45</v>
      </c>
      <c r="E47" s="1">
        <v>43867</v>
      </c>
      <c r="F47">
        <v>4.82</v>
      </c>
      <c r="G47">
        <v>11</v>
      </c>
      <c r="H47">
        <v>3194.13</v>
      </c>
      <c r="I47">
        <v>5.7</v>
      </c>
    </row>
    <row r="48" spans="1:9" x14ac:dyDescent="0.3">
      <c r="A48" t="s">
        <v>63</v>
      </c>
      <c r="B48" t="s">
        <v>10</v>
      </c>
      <c r="C48" t="s">
        <v>11</v>
      </c>
      <c r="D48">
        <v>55</v>
      </c>
      <c r="E48" s="1">
        <v>41751</v>
      </c>
      <c r="F48">
        <v>2.31</v>
      </c>
      <c r="G48">
        <v>2</v>
      </c>
      <c r="H48">
        <v>8568.06</v>
      </c>
      <c r="I48">
        <v>11.5</v>
      </c>
    </row>
    <row r="49" spans="1:9" x14ac:dyDescent="0.3">
      <c r="A49" t="s">
        <v>64</v>
      </c>
      <c r="B49" t="s">
        <v>24</v>
      </c>
      <c r="C49" t="s">
        <v>11</v>
      </c>
      <c r="D49">
        <v>50</v>
      </c>
      <c r="E49" s="1">
        <v>43517</v>
      </c>
      <c r="F49">
        <v>1.99</v>
      </c>
      <c r="G49">
        <v>2</v>
      </c>
      <c r="H49">
        <v>6834.68</v>
      </c>
      <c r="I49">
        <v>6.7</v>
      </c>
    </row>
    <row r="50" spans="1:9" x14ac:dyDescent="0.3">
      <c r="A50" t="s">
        <v>65</v>
      </c>
      <c r="B50" t="s">
        <v>16</v>
      </c>
      <c r="C50" t="s">
        <v>14</v>
      </c>
      <c r="D50">
        <v>59</v>
      </c>
      <c r="E50" s="1">
        <v>44943</v>
      </c>
      <c r="F50">
        <v>2.95</v>
      </c>
      <c r="G50">
        <v>7</v>
      </c>
      <c r="H50">
        <v>10187.15</v>
      </c>
      <c r="I50">
        <v>2.8</v>
      </c>
    </row>
    <row r="51" spans="1:9" x14ac:dyDescent="0.3">
      <c r="A51" t="s">
        <v>66</v>
      </c>
      <c r="B51" t="s">
        <v>10</v>
      </c>
      <c r="C51" t="s">
        <v>11</v>
      </c>
      <c r="D51">
        <v>57</v>
      </c>
      <c r="E51" s="1">
        <v>42550</v>
      </c>
      <c r="F51">
        <v>3.27</v>
      </c>
      <c r="G51">
        <v>13</v>
      </c>
      <c r="H51">
        <v>14469.95</v>
      </c>
      <c r="I51">
        <v>9.3000000000000007</v>
      </c>
    </row>
    <row r="52" spans="1:9" x14ac:dyDescent="0.3">
      <c r="A52" t="s">
        <v>67</v>
      </c>
      <c r="B52" t="s">
        <v>10</v>
      </c>
      <c r="C52" t="s">
        <v>11</v>
      </c>
      <c r="D52">
        <v>53</v>
      </c>
      <c r="E52" s="1">
        <v>43754</v>
      </c>
      <c r="F52">
        <v>2.96</v>
      </c>
      <c r="G52">
        <v>3</v>
      </c>
      <c r="H52">
        <v>11966.43</v>
      </c>
      <c r="I52">
        <v>6</v>
      </c>
    </row>
    <row r="53" spans="1:9" x14ac:dyDescent="0.3">
      <c r="A53" t="s">
        <v>68</v>
      </c>
      <c r="B53" t="s">
        <v>16</v>
      </c>
      <c r="C53" t="s">
        <v>11</v>
      </c>
      <c r="D53">
        <v>22</v>
      </c>
      <c r="E53" s="1">
        <v>43054</v>
      </c>
      <c r="F53">
        <v>4.84</v>
      </c>
      <c r="G53">
        <v>10</v>
      </c>
      <c r="H53">
        <v>3631.98</v>
      </c>
      <c r="I53">
        <v>8</v>
      </c>
    </row>
    <row r="54" spans="1:9" x14ac:dyDescent="0.3">
      <c r="A54" t="s">
        <v>69</v>
      </c>
      <c r="B54" t="s">
        <v>18</v>
      </c>
      <c r="C54" t="s">
        <v>14</v>
      </c>
      <c r="D54">
        <v>51</v>
      </c>
      <c r="E54" s="1">
        <v>41769</v>
      </c>
      <c r="F54">
        <v>2.2400000000000002</v>
      </c>
      <c r="G54">
        <v>9</v>
      </c>
      <c r="H54">
        <v>13545.85</v>
      </c>
      <c r="I54">
        <v>11.5</v>
      </c>
    </row>
    <row r="55" spans="1:9" x14ac:dyDescent="0.3">
      <c r="A55" t="s">
        <v>70</v>
      </c>
      <c r="B55" t="s">
        <v>18</v>
      </c>
      <c r="C55" t="s">
        <v>11</v>
      </c>
      <c r="D55">
        <v>49</v>
      </c>
      <c r="E55" s="1">
        <v>45485</v>
      </c>
      <c r="F55">
        <v>1.78</v>
      </c>
      <c r="G55">
        <v>5</v>
      </c>
      <c r="H55">
        <v>14128.24</v>
      </c>
      <c r="I55">
        <v>1.3</v>
      </c>
    </row>
    <row r="56" spans="1:9" x14ac:dyDescent="0.3">
      <c r="A56" t="s">
        <v>71</v>
      </c>
      <c r="B56" t="s">
        <v>24</v>
      </c>
      <c r="C56" t="s">
        <v>14</v>
      </c>
      <c r="D56">
        <v>42</v>
      </c>
      <c r="E56" s="1">
        <v>42282</v>
      </c>
      <c r="F56">
        <v>3.45</v>
      </c>
      <c r="G56">
        <v>14</v>
      </c>
      <c r="H56">
        <v>10324.4</v>
      </c>
      <c r="I56">
        <v>10.1</v>
      </c>
    </row>
    <row r="57" spans="1:9" x14ac:dyDescent="0.3">
      <c r="A57" t="s">
        <v>72</v>
      </c>
      <c r="B57" t="s">
        <v>18</v>
      </c>
      <c r="C57" t="s">
        <v>14</v>
      </c>
      <c r="D57">
        <v>27</v>
      </c>
      <c r="E57" s="1">
        <v>42016</v>
      </c>
      <c r="F57">
        <v>3.73</v>
      </c>
      <c r="G57">
        <v>8</v>
      </c>
      <c r="H57">
        <v>7280.89</v>
      </c>
      <c r="I57">
        <v>10.8</v>
      </c>
    </row>
    <row r="58" spans="1:9" x14ac:dyDescent="0.3">
      <c r="A58" t="s">
        <v>73</v>
      </c>
      <c r="B58" t="s">
        <v>10</v>
      </c>
      <c r="C58" t="s">
        <v>14</v>
      </c>
      <c r="D58">
        <v>57</v>
      </c>
      <c r="E58" s="1">
        <v>42724</v>
      </c>
      <c r="F58">
        <v>2.3199999999999998</v>
      </c>
      <c r="G58">
        <v>13</v>
      </c>
      <c r="H58">
        <v>13081.41</v>
      </c>
      <c r="I58">
        <v>8.9</v>
      </c>
    </row>
    <row r="59" spans="1:9" x14ac:dyDescent="0.3">
      <c r="A59" t="s">
        <v>74</v>
      </c>
      <c r="B59" t="s">
        <v>24</v>
      </c>
      <c r="C59" t="s">
        <v>11</v>
      </c>
      <c r="D59">
        <v>38</v>
      </c>
      <c r="E59" s="1">
        <v>43850</v>
      </c>
      <c r="F59">
        <v>4.76</v>
      </c>
      <c r="G59">
        <v>3</v>
      </c>
      <c r="H59">
        <v>3651.84</v>
      </c>
      <c r="I59">
        <v>5.8</v>
      </c>
    </row>
    <row r="60" spans="1:9" x14ac:dyDescent="0.3">
      <c r="A60" t="s">
        <v>75</v>
      </c>
      <c r="B60" t="s">
        <v>34</v>
      </c>
      <c r="C60" t="s">
        <v>14</v>
      </c>
      <c r="D60">
        <v>37</v>
      </c>
      <c r="E60" s="1">
        <v>41175</v>
      </c>
      <c r="F60">
        <v>3.71</v>
      </c>
      <c r="G60">
        <v>10</v>
      </c>
      <c r="H60">
        <v>12586.1</v>
      </c>
      <c r="I60">
        <v>13.1</v>
      </c>
    </row>
    <row r="61" spans="1:9" x14ac:dyDescent="0.3">
      <c r="A61" t="s">
        <v>76</v>
      </c>
      <c r="B61" t="s">
        <v>18</v>
      </c>
      <c r="C61" t="s">
        <v>14</v>
      </c>
      <c r="D61">
        <v>38</v>
      </c>
      <c r="E61" s="1">
        <v>41690</v>
      </c>
      <c r="F61">
        <v>2.25</v>
      </c>
      <c r="G61">
        <v>8</v>
      </c>
      <c r="H61">
        <v>6098.77</v>
      </c>
      <c r="I61">
        <v>11.7</v>
      </c>
    </row>
    <row r="62" spans="1:9" x14ac:dyDescent="0.3">
      <c r="A62" t="s">
        <v>77</v>
      </c>
      <c r="B62" t="s">
        <v>16</v>
      </c>
      <c r="C62" t="s">
        <v>11</v>
      </c>
      <c r="D62">
        <v>26</v>
      </c>
      <c r="E62" s="1">
        <v>41161</v>
      </c>
      <c r="F62">
        <v>3.94</v>
      </c>
      <c r="G62">
        <v>8</v>
      </c>
      <c r="H62">
        <v>11180.45</v>
      </c>
      <c r="I62">
        <v>13.2</v>
      </c>
    </row>
    <row r="63" spans="1:9" x14ac:dyDescent="0.3">
      <c r="A63" t="s">
        <v>78</v>
      </c>
      <c r="B63" t="s">
        <v>18</v>
      </c>
      <c r="C63" t="s">
        <v>11</v>
      </c>
      <c r="D63">
        <v>45</v>
      </c>
      <c r="E63" s="1">
        <v>42927</v>
      </c>
      <c r="F63">
        <v>3.83</v>
      </c>
      <c r="G63">
        <v>2</v>
      </c>
      <c r="H63">
        <v>7915.52</v>
      </c>
      <c r="I63">
        <v>8.3000000000000007</v>
      </c>
    </row>
    <row r="64" spans="1:9" x14ac:dyDescent="0.3">
      <c r="A64" t="s">
        <v>79</v>
      </c>
      <c r="B64" t="s">
        <v>18</v>
      </c>
      <c r="C64" t="s">
        <v>14</v>
      </c>
      <c r="D64">
        <v>26</v>
      </c>
      <c r="E64" s="1">
        <v>42133</v>
      </c>
      <c r="F64">
        <v>1.59</v>
      </c>
      <c r="G64">
        <v>14</v>
      </c>
      <c r="H64">
        <v>14202.8</v>
      </c>
      <c r="I64">
        <v>10.5</v>
      </c>
    </row>
    <row r="65" spans="1:9" x14ac:dyDescent="0.3">
      <c r="A65" t="s">
        <v>80</v>
      </c>
      <c r="B65" t="s">
        <v>34</v>
      </c>
      <c r="C65" t="s">
        <v>11</v>
      </c>
      <c r="D65">
        <v>53</v>
      </c>
      <c r="E65" s="1">
        <v>45413</v>
      </c>
      <c r="F65">
        <v>2.95</v>
      </c>
      <c r="G65">
        <v>12</v>
      </c>
      <c r="H65">
        <v>7609.68</v>
      </c>
      <c r="I65">
        <v>1.5</v>
      </c>
    </row>
    <row r="66" spans="1:9" x14ac:dyDescent="0.3">
      <c r="A66" t="s">
        <v>81</v>
      </c>
      <c r="B66" t="s">
        <v>13</v>
      </c>
      <c r="C66" t="s">
        <v>14</v>
      </c>
      <c r="D66">
        <v>60</v>
      </c>
      <c r="E66" s="1">
        <v>40266</v>
      </c>
      <c r="F66">
        <v>2.12</v>
      </c>
      <c r="G66">
        <v>14</v>
      </c>
      <c r="H66">
        <v>6102.13</v>
      </c>
      <c r="I66">
        <v>15.6</v>
      </c>
    </row>
    <row r="67" spans="1:9" x14ac:dyDescent="0.3">
      <c r="A67" t="s">
        <v>82</v>
      </c>
      <c r="B67" t="s">
        <v>10</v>
      </c>
      <c r="C67" t="s">
        <v>14</v>
      </c>
      <c r="D67">
        <v>38</v>
      </c>
      <c r="E67" s="1">
        <v>45602</v>
      </c>
      <c r="F67">
        <v>4.24</v>
      </c>
      <c r="G67">
        <v>5</v>
      </c>
      <c r="H67">
        <v>10789.2</v>
      </c>
      <c r="I67">
        <v>1</v>
      </c>
    </row>
    <row r="68" spans="1:9" x14ac:dyDescent="0.3">
      <c r="A68" t="s">
        <v>83</v>
      </c>
      <c r="B68" t="s">
        <v>13</v>
      </c>
      <c r="C68" t="s">
        <v>11</v>
      </c>
      <c r="D68">
        <v>27</v>
      </c>
      <c r="E68" s="1">
        <v>45310</v>
      </c>
      <c r="F68">
        <v>3.05</v>
      </c>
      <c r="G68">
        <v>7</v>
      </c>
      <c r="H68">
        <v>13323.12</v>
      </c>
      <c r="I68">
        <v>1.8</v>
      </c>
    </row>
    <row r="69" spans="1:9" x14ac:dyDescent="0.3">
      <c r="A69" t="s">
        <v>84</v>
      </c>
      <c r="B69" t="s">
        <v>13</v>
      </c>
      <c r="C69" t="s">
        <v>11</v>
      </c>
      <c r="D69">
        <v>49</v>
      </c>
      <c r="E69" s="1">
        <v>44489</v>
      </c>
      <c r="F69">
        <v>2.2200000000000002</v>
      </c>
      <c r="G69">
        <v>9</v>
      </c>
      <c r="H69">
        <v>6112.66</v>
      </c>
      <c r="I69">
        <v>4</v>
      </c>
    </row>
    <row r="70" spans="1:9" x14ac:dyDescent="0.3">
      <c r="A70" t="s">
        <v>85</v>
      </c>
      <c r="B70" t="s">
        <v>10</v>
      </c>
      <c r="C70" t="s">
        <v>14</v>
      </c>
      <c r="D70">
        <v>36</v>
      </c>
      <c r="E70" s="1">
        <v>45338</v>
      </c>
      <c r="F70">
        <v>3.24</v>
      </c>
      <c r="G70">
        <v>2</v>
      </c>
      <c r="H70">
        <v>3328.06</v>
      </c>
      <c r="I70">
        <v>1.7</v>
      </c>
    </row>
    <row r="71" spans="1:9" x14ac:dyDescent="0.3">
      <c r="A71" t="s">
        <v>86</v>
      </c>
      <c r="B71" t="s">
        <v>13</v>
      </c>
      <c r="C71" t="s">
        <v>14</v>
      </c>
      <c r="D71">
        <v>46</v>
      </c>
      <c r="E71" s="1">
        <v>41558</v>
      </c>
      <c r="F71">
        <v>4.99</v>
      </c>
      <c r="G71">
        <v>8</v>
      </c>
      <c r="H71">
        <v>11667.13</v>
      </c>
      <c r="I71">
        <v>12.1</v>
      </c>
    </row>
    <row r="72" spans="1:9" x14ac:dyDescent="0.3">
      <c r="A72" t="s">
        <v>87</v>
      </c>
      <c r="B72" t="s">
        <v>16</v>
      </c>
      <c r="C72" t="s">
        <v>14</v>
      </c>
      <c r="D72">
        <v>52</v>
      </c>
      <c r="E72" s="1">
        <v>41306</v>
      </c>
      <c r="F72">
        <v>4.4400000000000004</v>
      </c>
      <c r="G72">
        <v>6</v>
      </c>
      <c r="H72">
        <v>13731.19</v>
      </c>
      <c r="I72">
        <v>12.8</v>
      </c>
    </row>
    <row r="73" spans="1:9" x14ac:dyDescent="0.3">
      <c r="A73" t="s">
        <v>88</v>
      </c>
      <c r="B73" t="s">
        <v>13</v>
      </c>
      <c r="C73" t="s">
        <v>14</v>
      </c>
      <c r="D73">
        <v>25</v>
      </c>
      <c r="E73" s="1">
        <v>41613</v>
      </c>
      <c r="F73">
        <v>2.2799999999999998</v>
      </c>
      <c r="G73">
        <v>2</v>
      </c>
      <c r="H73">
        <v>6677.31</v>
      </c>
      <c r="I73">
        <v>11.9</v>
      </c>
    </row>
    <row r="74" spans="1:9" x14ac:dyDescent="0.3">
      <c r="A74" t="s">
        <v>89</v>
      </c>
      <c r="B74" t="s">
        <v>18</v>
      </c>
      <c r="C74" t="s">
        <v>14</v>
      </c>
      <c r="D74">
        <v>22</v>
      </c>
      <c r="E74" s="1">
        <v>45750</v>
      </c>
      <c r="F74">
        <v>1.95</v>
      </c>
      <c r="G74">
        <v>5</v>
      </c>
      <c r="H74">
        <v>12414.29</v>
      </c>
      <c r="I74">
        <v>0.6</v>
      </c>
    </row>
    <row r="75" spans="1:9" x14ac:dyDescent="0.3">
      <c r="A75" t="s">
        <v>90</v>
      </c>
      <c r="B75" t="s">
        <v>10</v>
      </c>
      <c r="C75" t="s">
        <v>14</v>
      </c>
      <c r="D75">
        <v>57</v>
      </c>
      <c r="E75" s="1">
        <v>43433</v>
      </c>
      <c r="F75">
        <v>3.44</v>
      </c>
      <c r="G75">
        <v>0</v>
      </c>
      <c r="H75">
        <v>7173.42</v>
      </c>
      <c r="I75">
        <v>6.9</v>
      </c>
    </row>
    <row r="76" spans="1:9" x14ac:dyDescent="0.3">
      <c r="A76" t="s">
        <v>91</v>
      </c>
      <c r="B76" t="s">
        <v>13</v>
      </c>
      <c r="C76" t="s">
        <v>11</v>
      </c>
      <c r="D76">
        <v>53</v>
      </c>
      <c r="E76" s="1">
        <v>41317</v>
      </c>
      <c r="F76">
        <v>2.4500000000000002</v>
      </c>
      <c r="G76">
        <v>8</v>
      </c>
      <c r="H76">
        <v>14708.44</v>
      </c>
      <c r="I76">
        <v>12.7</v>
      </c>
    </row>
    <row r="77" spans="1:9" x14ac:dyDescent="0.3">
      <c r="A77" t="s">
        <v>92</v>
      </c>
      <c r="B77" t="s">
        <v>24</v>
      </c>
      <c r="C77" t="s">
        <v>14</v>
      </c>
      <c r="D77">
        <v>60</v>
      </c>
      <c r="E77" s="1">
        <v>41834</v>
      </c>
      <c r="F77">
        <v>4.76</v>
      </c>
      <c r="G77">
        <v>14</v>
      </c>
      <c r="H77">
        <v>3973.01</v>
      </c>
      <c r="I77">
        <v>11.3</v>
      </c>
    </row>
    <row r="78" spans="1:9" x14ac:dyDescent="0.3">
      <c r="A78" t="s">
        <v>93</v>
      </c>
      <c r="B78" t="s">
        <v>16</v>
      </c>
      <c r="C78" t="s">
        <v>11</v>
      </c>
      <c r="D78">
        <v>54</v>
      </c>
      <c r="E78" s="1">
        <v>41857</v>
      </c>
      <c r="F78">
        <v>4</v>
      </c>
      <c r="G78">
        <v>10</v>
      </c>
      <c r="H78">
        <v>5952</v>
      </c>
      <c r="I78">
        <v>11.2</v>
      </c>
    </row>
    <row r="79" spans="1:9" x14ac:dyDescent="0.3">
      <c r="A79" t="s">
        <v>94</v>
      </c>
      <c r="B79" t="s">
        <v>16</v>
      </c>
      <c r="C79" t="s">
        <v>14</v>
      </c>
      <c r="D79">
        <v>27</v>
      </c>
      <c r="E79" s="1">
        <v>41190</v>
      </c>
      <c r="F79">
        <v>2.82</v>
      </c>
      <c r="G79">
        <v>6</v>
      </c>
      <c r="H79">
        <v>10926.12</v>
      </c>
      <c r="I79">
        <v>13.1</v>
      </c>
    </row>
    <row r="80" spans="1:9" x14ac:dyDescent="0.3">
      <c r="A80" t="s">
        <v>95</v>
      </c>
      <c r="B80" t="s">
        <v>16</v>
      </c>
      <c r="C80" t="s">
        <v>11</v>
      </c>
      <c r="D80">
        <v>57</v>
      </c>
      <c r="E80" s="1">
        <v>43412</v>
      </c>
      <c r="F80">
        <v>4.9800000000000004</v>
      </c>
      <c r="G80">
        <v>11</v>
      </c>
      <c r="H80">
        <v>8485.5400000000009</v>
      </c>
      <c r="I80">
        <v>7</v>
      </c>
    </row>
    <row r="81" spans="1:9" x14ac:dyDescent="0.3">
      <c r="A81" t="s">
        <v>96</v>
      </c>
      <c r="B81" t="s">
        <v>34</v>
      </c>
      <c r="C81" t="s">
        <v>14</v>
      </c>
      <c r="D81">
        <v>25</v>
      </c>
      <c r="E81" s="1">
        <v>42596</v>
      </c>
      <c r="F81">
        <v>4.43</v>
      </c>
      <c r="G81">
        <v>9</v>
      </c>
      <c r="H81">
        <v>6518.1</v>
      </c>
      <c r="I81">
        <v>9.1999999999999993</v>
      </c>
    </row>
    <row r="82" spans="1:9" x14ac:dyDescent="0.3">
      <c r="A82" t="s">
        <v>97</v>
      </c>
      <c r="B82" t="s">
        <v>10</v>
      </c>
      <c r="C82" t="s">
        <v>11</v>
      </c>
      <c r="D82">
        <v>40</v>
      </c>
      <c r="E82" s="1">
        <v>43641</v>
      </c>
      <c r="F82">
        <v>2.5299999999999998</v>
      </c>
      <c r="G82">
        <v>9</v>
      </c>
      <c r="H82">
        <v>5963.26</v>
      </c>
      <c r="I82">
        <v>6.4</v>
      </c>
    </row>
    <row r="83" spans="1:9" x14ac:dyDescent="0.3">
      <c r="A83" t="s">
        <v>98</v>
      </c>
      <c r="B83" t="s">
        <v>18</v>
      </c>
      <c r="C83" t="s">
        <v>14</v>
      </c>
      <c r="D83">
        <v>58</v>
      </c>
      <c r="E83" s="1">
        <v>44197</v>
      </c>
      <c r="F83">
        <v>3.41</v>
      </c>
      <c r="G83">
        <v>9</v>
      </c>
      <c r="H83">
        <v>6506.59</v>
      </c>
      <c r="I83">
        <v>4.8</v>
      </c>
    </row>
    <row r="84" spans="1:9" x14ac:dyDescent="0.3">
      <c r="A84" t="s">
        <v>99</v>
      </c>
      <c r="B84" t="s">
        <v>13</v>
      </c>
      <c r="C84" t="s">
        <v>14</v>
      </c>
      <c r="D84">
        <v>39</v>
      </c>
      <c r="E84" s="1">
        <v>44588</v>
      </c>
      <c r="F84">
        <v>3.12</v>
      </c>
      <c r="G84">
        <v>11</v>
      </c>
      <c r="H84">
        <v>4465.97</v>
      </c>
      <c r="I84">
        <v>3.8</v>
      </c>
    </row>
    <row r="85" spans="1:9" x14ac:dyDescent="0.3">
      <c r="A85" t="s">
        <v>100</v>
      </c>
      <c r="B85" t="s">
        <v>13</v>
      </c>
      <c r="C85" t="s">
        <v>14</v>
      </c>
      <c r="D85">
        <v>28</v>
      </c>
      <c r="E85" s="1">
        <v>42206</v>
      </c>
      <c r="F85">
        <v>4.38</v>
      </c>
      <c r="G85">
        <v>10</v>
      </c>
      <c r="H85">
        <v>9203.7099999999991</v>
      </c>
      <c r="I85">
        <v>10.3</v>
      </c>
    </row>
    <row r="86" spans="1:9" x14ac:dyDescent="0.3">
      <c r="A86" t="s">
        <v>101</v>
      </c>
      <c r="B86" t="s">
        <v>34</v>
      </c>
      <c r="C86" t="s">
        <v>14</v>
      </c>
      <c r="D86">
        <v>52</v>
      </c>
      <c r="E86" s="1">
        <v>44465</v>
      </c>
      <c r="F86">
        <v>4.7300000000000004</v>
      </c>
      <c r="G86">
        <v>0</v>
      </c>
      <c r="H86">
        <v>12119.39</v>
      </c>
      <c r="I86">
        <v>4.0999999999999996</v>
      </c>
    </row>
    <row r="87" spans="1:9" x14ac:dyDescent="0.3">
      <c r="A87" t="s">
        <v>102</v>
      </c>
      <c r="B87" t="s">
        <v>13</v>
      </c>
      <c r="C87" t="s">
        <v>11</v>
      </c>
      <c r="D87">
        <v>40</v>
      </c>
      <c r="E87" s="1">
        <v>40337</v>
      </c>
      <c r="F87">
        <v>2.81</v>
      </c>
      <c r="G87">
        <v>11</v>
      </c>
      <c r="H87">
        <v>13315.41</v>
      </c>
      <c r="I87">
        <v>15.4</v>
      </c>
    </row>
    <row r="88" spans="1:9" x14ac:dyDescent="0.3">
      <c r="A88" t="s">
        <v>103</v>
      </c>
      <c r="B88" t="s">
        <v>18</v>
      </c>
      <c r="C88" t="s">
        <v>11</v>
      </c>
      <c r="D88">
        <v>56</v>
      </c>
      <c r="E88" s="1">
        <v>41349</v>
      </c>
      <c r="F88">
        <v>1.75</v>
      </c>
      <c r="G88">
        <v>9</v>
      </c>
      <c r="H88">
        <v>3492.35</v>
      </c>
      <c r="I88">
        <v>12.6</v>
      </c>
    </row>
    <row r="89" spans="1:9" x14ac:dyDescent="0.3">
      <c r="A89" t="s">
        <v>104</v>
      </c>
      <c r="B89" t="s">
        <v>24</v>
      </c>
      <c r="C89" t="s">
        <v>11</v>
      </c>
      <c r="D89">
        <v>50</v>
      </c>
      <c r="E89" s="1">
        <v>45927</v>
      </c>
      <c r="F89">
        <v>2.63</v>
      </c>
      <c r="G89">
        <v>5</v>
      </c>
      <c r="H89">
        <v>5626.69</v>
      </c>
      <c r="I89">
        <v>0.1</v>
      </c>
    </row>
    <row r="90" spans="1:9" x14ac:dyDescent="0.3">
      <c r="A90" t="s">
        <v>105</v>
      </c>
      <c r="B90" t="s">
        <v>16</v>
      </c>
      <c r="C90" t="s">
        <v>11</v>
      </c>
      <c r="D90">
        <v>52</v>
      </c>
      <c r="E90" s="1">
        <v>44319</v>
      </c>
      <c r="F90">
        <v>3.44</v>
      </c>
      <c r="G90">
        <v>8</v>
      </c>
      <c r="H90">
        <v>12346.44</v>
      </c>
      <c r="I90">
        <v>4.5</v>
      </c>
    </row>
    <row r="91" spans="1:9" x14ac:dyDescent="0.3">
      <c r="A91" t="s">
        <v>106</v>
      </c>
      <c r="B91" t="s">
        <v>34</v>
      </c>
      <c r="C91" t="s">
        <v>14</v>
      </c>
      <c r="D91">
        <v>27</v>
      </c>
      <c r="E91" s="1">
        <v>42930</v>
      </c>
      <c r="F91">
        <v>3.69</v>
      </c>
      <c r="G91">
        <v>15</v>
      </c>
      <c r="H91">
        <v>3959.01</v>
      </c>
      <c r="I91">
        <v>8.3000000000000007</v>
      </c>
    </row>
    <row r="92" spans="1:9" x14ac:dyDescent="0.3">
      <c r="A92" t="s">
        <v>107</v>
      </c>
      <c r="B92" t="s">
        <v>18</v>
      </c>
      <c r="C92" t="s">
        <v>11</v>
      </c>
      <c r="D92">
        <v>53</v>
      </c>
      <c r="E92" s="1">
        <v>45212</v>
      </c>
      <c r="F92">
        <v>2.1</v>
      </c>
      <c r="G92">
        <v>1</v>
      </c>
      <c r="H92">
        <v>6691.86</v>
      </c>
      <c r="I92">
        <v>2.1</v>
      </c>
    </row>
    <row r="93" spans="1:9" x14ac:dyDescent="0.3">
      <c r="A93" t="s">
        <v>108</v>
      </c>
      <c r="B93" t="s">
        <v>18</v>
      </c>
      <c r="C93" t="s">
        <v>14</v>
      </c>
      <c r="D93">
        <v>35</v>
      </c>
      <c r="E93" s="1">
        <v>45887</v>
      </c>
      <c r="F93">
        <v>3.91</v>
      </c>
      <c r="G93">
        <v>7</v>
      </c>
      <c r="H93">
        <v>4748.5</v>
      </c>
      <c r="I93">
        <v>0.2</v>
      </c>
    </row>
    <row r="94" spans="1:9" x14ac:dyDescent="0.3">
      <c r="A94" t="s">
        <v>109</v>
      </c>
      <c r="B94" t="s">
        <v>34</v>
      </c>
      <c r="C94" t="s">
        <v>14</v>
      </c>
      <c r="D94">
        <v>22</v>
      </c>
      <c r="E94" s="1">
        <v>40916</v>
      </c>
      <c r="F94">
        <v>4.21</v>
      </c>
      <c r="G94">
        <v>13</v>
      </c>
      <c r="H94">
        <v>6260.18</v>
      </c>
      <c r="I94">
        <v>13.8</v>
      </c>
    </row>
    <row r="95" spans="1:9" x14ac:dyDescent="0.3">
      <c r="A95" t="s">
        <v>110</v>
      </c>
      <c r="B95" t="s">
        <v>24</v>
      </c>
      <c r="C95" t="s">
        <v>11</v>
      </c>
      <c r="D95">
        <v>55</v>
      </c>
      <c r="E95" s="1">
        <v>40891</v>
      </c>
      <c r="F95">
        <v>2.41</v>
      </c>
      <c r="G95">
        <v>14</v>
      </c>
      <c r="H95">
        <v>6970.7</v>
      </c>
      <c r="I95">
        <v>13.9</v>
      </c>
    </row>
    <row r="96" spans="1:9" x14ac:dyDescent="0.3">
      <c r="A96" t="s">
        <v>111</v>
      </c>
      <c r="B96" t="s">
        <v>10</v>
      </c>
      <c r="C96" t="s">
        <v>11</v>
      </c>
      <c r="D96">
        <v>23</v>
      </c>
      <c r="E96" s="1">
        <v>45067</v>
      </c>
      <c r="F96">
        <v>4.6100000000000003</v>
      </c>
      <c r="G96">
        <v>11</v>
      </c>
      <c r="H96">
        <v>6759.8</v>
      </c>
      <c r="I96">
        <v>2.5</v>
      </c>
    </row>
    <row r="97" spans="1:9" x14ac:dyDescent="0.3">
      <c r="A97" t="s">
        <v>112</v>
      </c>
      <c r="B97" t="s">
        <v>10</v>
      </c>
      <c r="C97" t="s">
        <v>11</v>
      </c>
      <c r="D97">
        <v>52</v>
      </c>
      <c r="E97" s="1">
        <v>43961</v>
      </c>
      <c r="F97">
        <v>2.08</v>
      </c>
      <c r="G97">
        <v>3</v>
      </c>
      <c r="H97">
        <v>9404.36</v>
      </c>
      <c r="I97">
        <v>5.5</v>
      </c>
    </row>
    <row r="98" spans="1:9" x14ac:dyDescent="0.3">
      <c r="A98" t="s">
        <v>113</v>
      </c>
      <c r="B98" t="s">
        <v>13</v>
      </c>
      <c r="C98" t="s">
        <v>11</v>
      </c>
      <c r="D98">
        <v>45</v>
      </c>
      <c r="E98" s="1">
        <v>44283</v>
      </c>
      <c r="F98">
        <v>2.67</v>
      </c>
      <c r="G98">
        <v>9</v>
      </c>
      <c r="H98">
        <v>5624.49</v>
      </c>
      <c r="I98">
        <v>4.5999999999999996</v>
      </c>
    </row>
    <row r="99" spans="1:9" x14ac:dyDescent="0.3">
      <c r="A99" t="s">
        <v>114</v>
      </c>
      <c r="B99" t="s">
        <v>16</v>
      </c>
      <c r="C99" t="s">
        <v>11</v>
      </c>
      <c r="D99">
        <v>48</v>
      </c>
      <c r="E99" s="1">
        <v>44622</v>
      </c>
      <c r="F99">
        <v>3.94</v>
      </c>
      <c r="G99">
        <v>15</v>
      </c>
      <c r="H99">
        <v>9839.67</v>
      </c>
      <c r="I99">
        <v>3.7</v>
      </c>
    </row>
    <row r="100" spans="1:9" x14ac:dyDescent="0.3">
      <c r="A100" t="s">
        <v>115</v>
      </c>
      <c r="B100" t="s">
        <v>34</v>
      </c>
      <c r="C100" t="s">
        <v>14</v>
      </c>
      <c r="D100">
        <v>54</v>
      </c>
      <c r="E100" s="1">
        <v>44066</v>
      </c>
      <c r="F100">
        <v>4.33</v>
      </c>
      <c r="G100">
        <v>9</v>
      </c>
      <c r="H100">
        <v>9504.15</v>
      </c>
      <c r="I100">
        <v>5.2</v>
      </c>
    </row>
    <row r="101" spans="1:9" x14ac:dyDescent="0.3">
      <c r="A101" t="s">
        <v>116</v>
      </c>
      <c r="B101" t="s">
        <v>13</v>
      </c>
      <c r="C101" t="s">
        <v>14</v>
      </c>
      <c r="D101">
        <v>31</v>
      </c>
      <c r="E101" s="1">
        <v>40589</v>
      </c>
      <c r="F101">
        <v>3.09</v>
      </c>
      <c r="G101">
        <v>8</v>
      </c>
      <c r="H101">
        <v>11366.02</v>
      </c>
      <c r="I101">
        <v>14.7</v>
      </c>
    </row>
    <row r="102" spans="1:9" x14ac:dyDescent="0.3">
      <c r="A102" t="s">
        <v>117</v>
      </c>
      <c r="B102" t="s">
        <v>10</v>
      </c>
      <c r="C102" t="s">
        <v>14</v>
      </c>
      <c r="D102">
        <v>50</v>
      </c>
      <c r="E102" s="1">
        <v>41588</v>
      </c>
      <c r="F102">
        <v>3.36</v>
      </c>
      <c r="G102">
        <v>11</v>
      </c>
      <c r="H102">
        <v>9615.73</v>
      </c>
      <c r="I102">
        <v>12</v>
      </c>
    </row>
    <row r="103" spans="1:9" x14ac:dyDescent="0.3">
      <c r="A103" t="s">
        <v>118</v>
      </c>
      <c r="B103" t="s">
        <v>10</v>
      </c>
      <c r="C103" t="s">
        <v>11</v>
      </c>
      <c r="D103">
        <v>57</v>
      </c>
      <c r="E103" s="1">
        <v>45942</v>
      </c>
      <c r="F103">
        <v>3.62</v>
      </c>
      <c r="G103">
        <v>2</v>
      </c>
      <c r="H103">
        <v>5361.07</v>
      </c>
      <c r="I103">
        <v>0.1</v>
      </c>
    </row>
    <row r="104" spans="1:9" x14ac:dyDescent="0.3">
      <c r="A104" t="s">
        <v>119</v>
      </c>
      <c r="B104" t="s">
        <v>24</v>
      </c>
      <c r="C104" t="s">
        <v>14</v>
      </c>
      <c r="D104">
        <v>23</v>
      </c>
      <c r="E104" s="1">
        <v>41379</v>
      </c>
      <c r="F104">
        <v>4.41</v>
      </c>
      <c r="G104">
        <v>14</v>
      </c>
      <c r="H104">
        <v>4383.9799999999996</v>
      </c>
      <c r="I104">
        <v>12.6</v>
      </c>
    </row>
    <row r="105" spans="1:9" x14ac:dyDescent="0.3">
      <c r="A105" t="s">
        <v>120</v>
      </c>
      <c r="B105" t="s">
        <v>18</v>
      </c>
      <c r="C105" t="s">
        <v>14</v>
      </c>
      <c r="D105">
        <v>31</v>
      </c>
      <c r="E105" s="1">
        <v>42574</v>
      </c>
      <c r="F105">
        <v>4.7</v>
      </c>
      <c r="G105">
        <v>13</v>
      </c>
      <c r="H105">
        <v>7489.55</v>
      </c>
      <c r="I105">
        <v>9.3000000000000007</v>
      </c>
    </row>
    <row r="106" spans="1:9" x14ac:dyDescent="0.3">
      <c r="A106" t="s">
        <v>121</v>
      </c>
      <c r="B106" t="s">
        <v>13</v>
      </c>
      <c r="C106" t="s">
        <v>11</v>
      </c>
      <c r="D106">
        <v>33</v>
      </c>
      <c r="E106" s="1">
        <v>42543</v>
      </c>
      <c r="F106">
        <v>1.97</v>
      </c>
      <c r="G106">
        <v>11</v>
      </c>
      <c r="H106">
        <v>12887.53</v>
      </c>
      <c r="I106">
        <v>9.4</v>
      </c>
    </row>
    <row r="107" spans="1:9" x14ac:dyDescent="0.3">
      <c r="A107" t="s">
        <v>122</v>
      </c>
      <c r="B107" t="s">
        <v>34</v>
      </c>
      <c r="C107" t="s">
        <v>14</v>
      </c>
      <c r="D107">
        <v>58</v>
      </c>
      <c r="E107" s="1">
        <v>42139</v>
      </c>
      <c r="F107">
        <v>2.54</v>
      </c>
      <c r="G107">
        <v>13</v>
      </c>
      <c r="H107">
        <v>6884.36</v>
      </c>
      <c r="I107">
        <v>10.5</v>
      </c>
    </row>
    <row r="108" spans="1:9" x14ac:dyDescent="0.3">
      <c r="A108" t="s">
        <v>123</v>
      </c>
      <c r="B108" t="s">
        <v>24</v>
      </c>
      <c r="C108" t="s">
        <v>14</v>
      </c>
      <c r="D108">
        <v>37</v>
      </c>
      <c r="E108" s="1">
        <v>41836</v>
      </c>
      <c r="F108">
        <v>2.93</v>
      </c>
      <c r="G108">
        <v>1</v>
      </c>
      <c r="H108">
        <v>6121.44</v>
      </c>
      <c r="I108">
        <v>11.3</v>
      </c>
    </row>
    <row r="109" spans="1:9" x14ac:dyDescent="0.3">
      <c r="A109" t="s">
        <v>124</v>
      </c>
      <c r="B109" t="s">
        <v>13</v>
      </c>
      <c r="C109" t="s">
        <v>14</v>
      </c>
      <c r="D109">
        <v>32</v>
      </c>
      <c r="E109" s="1">
        <v>43869</v>
      </c>
      <c r="F109">
        <v>3.41</v>
      </c>
      <c r="G109">
        <v>14</v>
      </c>
      <c r="H109">
        <v>4969.1099999999997</v>
      </c>
      <c r="I109">
        <v>5.7</v>
      </c>
    </row>
    <row r="110" spans="1:9" x14ac:dyDescent="0.3">
      <c r="A110" t="s">
        <v>125</v>
      </c>
      <c r="B110" t="s">
        <v>10</v>
      </c>
      <c r="C110" t="s">
        <v>14</v>
      </c>
      <c r="D110">
        <v>54</v>
      </c>
      <c r="E110" s="1">
        <v>45540</v>
      </c>
      <c r="F110">
        <v>4.91</v>
      </c>
      <c r="G110">
        <v>5</v>
      </c>
      <c r="H110">
        <v>11529.9</v>
      </c>
      <c r="I110">
        <v>1.2</v>
      </c>
    </row>
    <row r="111" spans="1:9" x14ac:dyDescent="0.3">
      <c r="A111" t="s">
        <v>126</v>
      </c>
      <c r="B111" t="s">
        <v>10</v>
      </c>
      <c r="C111" t="s">
        <v>11</v>
      </c>
      <c r="D111">
        <v>26</v>
      </c>
      <c r="E111" s="1">
        <v>42093</v>
      </c>
      <c r="F111">
        <v>4.9000000000000004</v>
      </c>
      <c r="G111">
        <v>7</v>
      </c>
      <c r="H111">
        <v>5222.3999999999996</v>
      </c>
      <c r="I111">
        <v>10.6</v>
      </c>
    </row>
    <row r="112" spans="1:9" x14ac:dyDescent="0.3">
      <c r="A112" t="s">
        <v>127</v>
      </c>
      <c r="B112" t="s">
        <v>34</v>
      </c>
      <c r="C112" t="s">
        <v>11</v>
      </c>
      <c r="D112">
        <v>51</v>
      </c>
      <c r="E112" s="1">
        <v>40943</v>
      </c>
      <c r="F112">
        <v>4.8</v>
      </c>
      <c r="G112">
        <v>15</v>
      </c>
      <c r="H112">
        <v>8286.39</v>
      </c>
      <c r="I112">
        <v>13.8</v>
      </c>
    </row>
    <row r="113" spans="1:9" x14ac:dyDescent="0.3">
      <c r="A113" t="s">
        <v>128</v>
      </c>
      <c r="B113" t="s">
        <v>34</v>
      </c>
      <c r="C113" t="s">
        <v>14</v>
      </c>
      <c r="D113">
        <v>25</v>
      </c>
      <c r="E113" s="1">
        <v>45948</v>
      </c>
      <c r="F113">
        <v>2.59</v>
      </c>
      <c r="G113">
        <v>0</v>
      </c>
      <c r="H113">
        <v>4809.07</v>
      </c>
      <c r="I113">
        <v>0</v>
      </c>
    </row>
    <row r="114" spans="1:9" x14ac:dyDescent="0.3">
      <c r="A114" t="s">
        <v>129</v>
      </c>
      <c r="B114" t="s">
        <v>34</v>
      </c>
      <c r="C114" t="s">
        <v>11</v>
      </c>
      <c r="D114">
        <v>39</v>
      </c>
      <c r="E114" s="1">
        <v>43938</v>
      </c>
      <c r="F114">
        <v>2.13</v>
      </c>
      <c r="G114">
        <v>6</v>
      </c>
      <c r="H114">
        <v>10125.98</v>
      </c>
      <c r="I114">
        <v>5.5</v>
      </c>
    </row>
    <row r="115" spans="1:9" x14ac:dyDescent="0.3">
      <c r="A115" t="s">
        <v>130</v>
      </c>
      <c r="B115" t="s">
        <v>16</v>
      </c>
      <c r="C115" t="s">
        <v>14</v>
      </c>
      <c r="D115">
        <v>47</v>
      </c>
      <c r="E115" s="1">
        <v>44485</v>
      </c>
      <c r="F115">
        <v>3.11</v>
      </c>
      <c r="G115">
        <v>3</v>
      </c>
      <c r="H115">
        <v>8901.1200000000008</v>
      </c>
      <c r="I115">
        <v>4</v>
      </c>
    </row>
    <row r="116" spans="1:9" x14ac:dyDescent="0.3">
      <c r="A116" t="s">
        <v>131</v>
      </c>
      <c r="B116" t="s">
        <v>18</v>
      </c>
      <c r="C116" t="s">
        <v>11</v>
      </c>
      <c r="D116">
        <v>59</v>
      </c>
      <c r="E116" s="1">
        <v>40771</v>
      </c>
      <c r="F116">
        <v>3.38</v>
      </c>
      <c r="G116">
        <v>12</v>
      </c>
      <c r="H116">
        <v>12740.46</v>
      </c>
      <c r="I116">
        <v>14.2</v>
      </c>
    </row>
    <row r="117" spans="1:9" x14ac:dyDescent="0.3">
      <c r="A117" t="s">
        <v>132</v>
      </c>
      <c r="B117" t="s">
        <v>34</v>
      </c>
      <c r="C117" t="s">
        <v>11</v>
      </c>
      <c r="D117">
        <v>57</v>
      </c>
      <c r="E117" s="1">
        <v>44868</v>
      </c>
      <c r="F117">
        <v>4.1500000000000004</v>
      </c>
      <c r="G117">
        <v>13</v>
      </c>
      <c r="H117">
        <v>6468.29</v>
      </c>
      <c r="I117">
        <v>3</v>
      </c>
    </row>
    <row r="118" spans="1:9" x14ac:dyDescent="0.3">
      <c r="A118" t="s">
        <v>133</v>
      </c>
      <c r="B118" t="s">
        <v>16</v>
      </c>
      <c r="C118" t="s">
        <v>11</v>
      </c>
      <c r="D118">
        <v>36</v>
      </c>
      <c r="E118" s="1">
        <v>45737</v>
      </c>
      <c r="F118">
        <v>4</v>
      </c>
      <c r="G118">
        <v>11</v>
      </c>
      <c r="H118">
        <v>4409.9799999999996</v>
      </c>
      <c r="I118">
        <v>0.6</v>
      </c>
    </row>
    <row r="119" spans="1:9" x14ac:dyDescent="0.3">
      <c r="A119" t="s">
        <v>134</v>
      </c>
      <c r="B119" t="s">
        <v>10</v>
      </c>
      <c r="C119" t="s">
        <v>11</v>
      </c>
      <c r="D119">
        <v>50</v>
      </c>
      <c r="E119" s="1">
        <v>42497</v>
      </c>
      <c r="F119">
        <v>4.62</v>
      </c>
      <c r="G119">
        <v>5</v>
      </c>
      <c r="H119">
        <v>8059.18</v>
      </c>
      <c r="I119">
        <v>9.5</v>
      </c>
    </row>
    <row r="120" spans="1:9" x14ac:dyDescent="0.3">
      <c r="A120" t="s">
        <v>135</v>
      </c>
      <c r="B120" t="s">
        <v>16</v>
      </c>
      <c r="C120" t="s">
        <v>14</v>
      </c>
      <c r="D120">
        <v>42</v>
      </c>
      <c r="E120" s="1">
        <v>45947</v>
      </c>
      <c r="F120">
        <v>1.87</v>
      </c>
      <c r="G120">
        <v>3</v>
      </c>
      <c r="H120">
        <v>5805.84</v>
      </c>
      <c r="I120">
        <v>0</v>
      </c>
    </row>
    <row r="121" spans="1:9" x14ac:dyDescent="0.3">
      <c r="A121" t="s">
        <v>136</v>
      </c>
      <c r="B121" t="s">
        <v>10</v>
      </c>
      <c r="C121" t="s">
        <v>11</v>
      </c>
      <c r="D121">
        <v>37</v>
      </c>
      <c r="E121" s="1">
        <v>40880</v>
      </c>
      <c r="F121">
        <v>4.78</v>
      </c>
      <c r="G121">
        <v>11</v>
      </c>
      <c r="H121">
        <v>9650.43</v>
      </c>
      <c r="I121">
        <v>13.9</v>
      </c>
    </row>
    <row r="122" spans="1:9" x14ac:dyDescent="0.3">
      <c r="A122" t="s">
        <v>137</v>
      </c>
      <c r="B122" t="s">
        <v>13</v>
      </c>
      <c r="C122" t="s">
        <v>11</v>
      </c>
      <c r="D122">
        <v>33</v>
      </c>
      <c r="E122" s="1">
        <v>44138</v>
      </c>
      <c r="F122">
        <v>3.78</v>
      </c>
      <c r="G122">
        <v>6</v>
      </c>
      <c r="H122">
        <v>9014.23</v>
      </c>
      <c r="I122">
        <v>5</v>
      </c>
    </row>
    <row r="123" spans="1:9" x14ac:dyDescent="0.3">
      <c r="A123" t="s">
        <v>138</v>
      </c>
      <c r="B123" t="s">
        <v>10</v>
      </c>
      <c r="C123" t="s">
        <v>14</v>
      </c>
      <c r="D123">
        <v>30</v>
      </c>
      <c r="E123" s="1">
        <v>44838</v>
      </c>
      <c r="F123">
        <v>3.81</v>
      </c>
      <c r="G123">
        <v>15</v>
      </c>
      <c r="H123">
        <v>4413.45</v>
      </c>
      <c r="I123">
        <v>3.1</v>
      </c>
    </row>
    <row r="124" spans="1:9" x14ac:dyDescent="0.3">
      <c r="A124" t="s">
        <v>139</v>
      </c>
      <c r="B124" t="s">
        <v>16</v>
      </c>
      <c r="C124" t="s">
        <v>14</v>
      </c>
      <c r="D124">
        <v>55</v>
      </c>
      <c r="E124" s="1">
        <v>44234</v>
      </c>
      <c r="F124">
        <v>4.8099999999999996</v>
      </c>
      <c r="G124">
        <v>8</v>
      </c>
      <c r="H124">
        <v>4293.83</v>
      </c>
      <c r="I124">
        <v>4.7</v>
      </c>
    </row>
    <row r="125" spans="1:9" x14ac:dyDescent="0.3">
      <c r="A125" t="s">
        <v>140</v>
      </c>
      <c r="B125" t="s">
        <v>34</v>
      </c>
      <c r="C125" t="s">
        <v>11</v>
      </c>
      <c r="D125">
        <v>39</v>
      </c>
      <c r="E125" s="1">
        <v>40472</v>
      </c>
      <c r="F125">
        <v>3.45</v>
      </c>
      <c r="G125">
        <v>1</v>
      </c>
      <c r="H125">
        <v>13005.97</v>
      </c>
      <c r="I125">
        <v>15</v>
      </c>
    </row>
    <row r="126" spans="1:9" x14ac:dyDescent="0.3">
      <c r="A126" t="s">
        <v>141</v>
      </c>
      <c r="B126" t="s">
        <v>13</v>
      </c>
      <c r="C126" t="s">
        <v>14</v>
      </c>
      <c r="D126">
        <v>45</v>
      </c>
      <c r="E126" s="1">
        <v>44468</v>
      </c>
      <c r="F126">
        <v>3.23</v>
      </c>
      <c r="G126">
        <v>5</v>
      </c>
      <c r="H126">
        <v>7433.39</v>
      </c>
      <c r="I126">
        <v>4.0999999999999996</v>
      </c>
    </row>
    <row r="127" spans="1:9" x14ac:dyDescent="0.3">
      <c r="A127" t="s">
        <v>142</v>
      </c>
      <c r="B127" t="s">
        <v>13</v>
      </c>
      <c r="C127" t="s">
        <v>11</v>
      </c>
      <c r="D127">
        <v>33</v>
      </c>
      <c r="E127" s="1">
        <v>40786</v>
      </c>
      <c r="F127">
        <v>1.57</v>
      </c>
      <c r="G127">
        <v>10</v>
      </c>
      <c r="H127">
        <v>6363.42</v>
      </c>
      <c r="I127">
        <v>14.2</v>
      </c>
    </row>
    <row r="128" spans="1:9" x14ac:dyDescent="0.3">
      <c r="A128" t="s">
        <v>143</v>
      </c>
      <c r="B128" t="s">
        <v>34</v>
      </c>
      <c r="C128" t="s">
        <v>11</v>
      </c>
      <c r="D128">
        <v>48</v>
      </c>
      <c r="E128" s="1">
        <v>41621</v>
      </c>
      <c r="F128">
        <v>3.51</v>
      </c>
      <c r="G128">
        <v>9</v>
      </c>
      <c r="H128">
        <v>11052.99</v>
      </c>
      <c r="I128">
        <v>11.9</v>
      </c>
    </row>
    <row r="129" spans="1:9" x14ac:dyDescent="0.3">
      <c r="A129" t="s">
        <v>144</v>
      </c>
      <c r="B129" t="s">
        <v>24</v>
      </c>
      <c r="C129" t="s">
        <v>11</v>
      </c>
      <c r="D129">
        <v>40</v>
      </c>
      <c r="E129" s="1">
        <v>45864</v>
      </c>
      <c r="F129">
        <v>2.97</v>
      </c>
      <c r="G129">
        <v>11</v>
      </c>
      <c r="H129">
        <v>3223.63</v>
      </c>
      <c r="I129">
        <v>0.3</v>
      </c>
    </row>
    <row r="130" spans="1:9" x14ac:dyDescent="0.3">
      <c r="A130" t="s">
        <v>145</v>
      </c>
      <c r="B130" t="s">
        <v>10</v>
      </c>
      <c r="C130" t="s">
        <v>11</v>
      </c>
      <c r="D130">
        <v>33</v>
      </c>
      <c r="E130" s="1">
        <v>40357</v>
      </c>
      <c r="F130">
        <v>4.09</v>
      </c>
      <c r="G130">
        <v>13</v>
      </c>
      <c r="H130">
        <v>4508.43</v>
      </c>
      <c r="I130">
        <v>15.4</v>
      </c>
    </row>
    <row r="131" spans="1:9" x14ac:dyDescent="0.3">
      <c r="A131" t="s">
        <v>146</v>
      </c>
      <c r="B131" t="s">
        <v>24</v>
      </c>
      <c r="C131" t="s">
        <v>11</v>
      </c>
      <c r="D131">
        <v>58</v>
      </c>
      <c r="E131" s="1">
        <v>40753</v>
      </c>
      <c r="F131">
        <v>3.98</v>
      </c>
      <c r="G131">
        <v>2</v>
      </c>
      <c r="H131">
        <v>14628.12</v>
      </c>
      <c r="I131">
        <v>14.3</v>
      </c>
    </row>
    <row r="132" spans="1:9" x14ac:dyDescent="0.3">
      <c r="A132" t="s">
        <v>147</v>
      </c>
      <c r="B132" t="s">
        <v>34</v>
      </c>
      <c r="C132" t="s">
        <v>14</v>
      </c>
      <c r="D132">
        <v>22</v>
      </c>
      <c r="E132" s="1">
        <v>43934</v>
      </c>
      <c r="F132">
        <v>4.5999999999999996</v>
      </c>
      <c r="G132">
        <v>13</v>
      </c>
      <c r="H132">
        <v>12899.11</v>
      </c>
      <c r="I132">
        <v>5.6</v>
      </c>
    </row>
    <row r="133" spans="1:9" x14ac:dyDescent="0.3">
      <c r="A133" t="s">
        <v>148</v>
      </c>
      <c r="B133" t="s">
        <v>16</v>
      </c>
      <c r="C133" t="s">
        <v>11</v>
      </c>
      <c r="D133">
        <v>54</v>
      </c>
      <c r="E133" s="1">
        <v>42420</v>
      </c>
      <c r="F133">
        <v>1.98</v>
      </c>
      <c r="G133">
        <v>6</v>
      </c>
      <c r="H133">
        <v>5666.41</v>
      </c>
      <c r="I133">
        <v>9.6999999999999993</v>
      </c>
    </row>
    <row r="134" spans="1:9" x14ac:dyDescent="0.3">
      <c r="A134" t="s">
        <v>149</v>
      </c>
      <c r="B134" t="s">
        <v>16</v>
      </c>
      <c r="C134" t="s">
        <v>11</v>
      </c>
      <c r="D134">
        <v>57</v>
      </c>
      <c r="E134" s="1">
        <v>44690</v>
      </c>
      <c r="F134">
        <v>4.6399999999999997</v>
      </c>
      <c r="G134">
        <v>10</v>
      </c>
      <c r="H134">
        <v>7365.99</v>
      </c>
      <c r="I134">
        <v>3.5</v>
      </c>
    </row>
    <row r="135" spans="1:9" x14ac:dyDescent="0.3">
      <c r="A135" t="s">
        <v>150</v>
      </c>
      <c r="B135" t="s">
        <v>24</v>
      </c>
      <c r="C135" t="s">
        <v>14</v>
      </c>
      <c r="D135">
        <v>57</v>
      </c>
      <c r="E135" s="1">
        <v>45745</v>
      </c>
      <c r="F135">
        <v>4</v>
      </c>
      <c r="G135">
        <v>11</v>
      </c>
      <c r="H135">
        <v>3267.47</v>
      </c>
      <c r="I135">
        <v>0.6</v>
      </c>
    </row>
    <row r="136" spans="1:9" x14ac:dyDescent="0.3">
      <c r="A136" t="s">
        <v>151</v>
      </c>
      <c r="B136" t="s">
        <v>18</v>
      </c>
      <c r="C136" t="s">
        <v>11</v>
      </c>
      <c r="D136">
        <v>32</v>
      </c>
      <c r="E136" s="1">
        <v>41797</v>
      </c>
      <c r="F136">
        <v>2.09</v>
      </c>
      <c r="G136">
        <v>5</v>
      </c>
      <c r="H136">
        <v>13657.87</v>
      </c>
      <c r="I136">
        <v>11.4</v>
      </c>
    </row>
    <row r="137" spans="1:9" x14ac:dyDescent="0.3">
      <c r="A137" t="s">
        <v>152</v>
      </c>
      <c r="B137" t="s">
        <v>16</v>
      </c>
      <c r="C137" t="s">
        <v>14</v>
      </c>
      <c r="D137">
        <v>39</v>
      </c>
      <c r="E137" s="1">
        <v>40926</v>
      </c>
      <c r="F137">
        <v>2.61</v>
      </c>
      <c r="G137">
        <v>15</v>
      </c>
      <c r="H137">
        <v>14704.64</v>
      </c>
      <c r="I137">
        <v>13.8</v>
      </c>
    </row>
    <row r="138" spans="1:9" x14ac:dyDescent="0.3">
      <c r="A138" t="s">
        <v>153</v>
      </c>
      <c r="B138" t="s">
        <v>13</v>
      </c>
      <c r="C138" t="s">
        <v>14</v>
      </c>
      <c r="D138">
        <v>37</v>
      </c>
      <c r="E138" s="1">
        <v>42929</v>
      </c>
      <c r="F138">
        <v>3.19</v>
      </c>
      <c r="G138">
        <v>4</v>
      </c>
      <c r="H138">
        <v>8567.34</v>
      </c>
      <c r="I138">
        <v>8.3000000000000007</v>
      </c>
    </row>
    <row r="139" spans="1:9" x14ac:dyDescent="0.3">
      <c r="A139" t="s">
        <v>154</v>
      </c>
      <c r="B139" t="s">
        <v>18</v>
      </c>
      <c r="C139" t="s">
        <v>14</v>
      </c>
      <c r="D139">
        <v>22</v>
      </c>
      <c r="E139" s="1">
        <v>43095</v>
      </c>
      <c r="F139">
        <v>3.55</v>
      </c>
      <c r="G139">
        <v>2</v>
      </c>
      <c r="H139">
        <v>10240.870000000001</v>
      </c>
      <c r="I139">
        <v>7.9</v>
      </c>
    </row>
    <row r="140" spans="1:9" x14ac:dyDescent="0.3">
      <c r="A140" t="s">
        <v>155</v>
      </c>
      <c r="B140" t="s">
        <v>10</v>
      </c>
      <c r="C140" t="s">
        <v>14</v>
      </c>
      <c r="D140">
        <v>55</v>
      </c>
      <c r="E140" s="1">
        <v>42884</v>
      </c>
      <c r="F140">
        <v>2.0299999999999998</v>
      </c>
      <c r="G140">
        <v>7</v>
      </c>
      <c r="H140">
        <v>6035.53</v>
      </c>
      <c r="I140">
        <v>8.4</v>
      </c>
    </row>
    <row r="141" spans="1:9" x14ac:dyDescent="0.3">
      <c r="A141" t="s">
        <v>156</v>
      </c>
      <c r="B141" t="s">
        <v>16</v>
      </c>
      <c r="C141" t="s">
        <v>14</v>
      </c>
      <c r="D141">
        <v>53</v>
      </c>
      <c r="E141" s="1">
        <v>44494</v>
      </c>
      <c r="F141">
        <v>2.87</v>
      </c>
      <c r="G141">
        <v>1</v>
      </c>
      <c r="H141">
        <v>14052.96</v>
      </c>
      <c r="I141">
        <v>4</v>
      </c>
    </row>
    <row r="142" spans="1:9" x14ac:dyDescent="0.3">
      <c r="A142" t="s">
        <v>157</v>
      </c>
      <c r="B142" t="s">
        <v>34</v>
      </c>
      <c r="C142" t="s">
        <v>14</v>
      </c>
      <c r="D142">
        <v>47</v>
      </c>
      <c r="E142" s="1">
        <v>45054</v>
      </c>
      <c r="F142">
        <v>3.73</v>
      </c>
      <c r="G142">
        <v>7</v>
      </c>
      <c r="H142">
        <v>5563.07</v>
      </c>
      <c r="I142">
        <v>2.5</v>
      </c>
    </row>
    <row r="143" spans="1:9" x14ac:dyDescent="0.3">
      <c r="A143" t="s">
        <v>158</v>
      </c>
      <c r="B143" t="s">
        <v>34</v>
      </c>
      <c r="C143" t="s">
        <v>14</v>
      </c>
      <c r="D143">
        <v>30</v>
      </c>
      <c r="E143" s="1">
        <v>40427</v>
      </c>
      <c r="F143">
        <v>2.4300000000000002</v>
      </c>
      <c r="G143">
        <v>0</v>
      </c>
      <c r="H143">
        <v>12124.76</v>
      </c>
      <c r="I143">
        <v>15.2</v>
      </c>
    </row>
    <row r="144" spans="1:9" x14ac:dyDescent="0.3">
      <c r="A144" t="s">
        <v>159</v>
      </c>
      <c r="B144" t="s">
        <v>10</v>
      </c>
      <c r="C144" t="s">
        <v>14</v>
      </c>
      <c r="D144">
        <v>59</v>
      </c>
      <c r="E144" s="1">
        <v>40942</v>
      </c>
      <c r="F144">
        <v>4.6900000000000004</v>
      </c>
      <c r="G144">
        <v>12</v>
      </c>
      <c r="H144">
        <v>7714.27</v>
      </c>
      <c r="I144">
        <v>13.8</v>
      </c>
    </row>
    <row r="145" spans="1:9" x14ac:dyDescent="0.3">
      <c r="A145" t="s">
        <v>160</v>
      </c>
      <c r="B145" t="s">
        <v>10</v>
      </c>
      <c r="C145" t="s">
        <v>14</v>
      </c>
      <c r="D145">
        <v>47</v>
      </c>
      <c r="E145" s="1">
        <v>44394</v>
      </c>
      <c r="F145">
        <v>3.42</v>
      </c>
      <c r="G145">
        <v>3</v>
      </c>
      <c r="H145">
        <v>6800.55</v>
      </c>
      <c r="I145">
        <v>4.3</v>
      </c>
    </row>
    <row r="146" spans="1:9" x14ac:dyDescent="0.3">
      <c r="A146" t="s">
        <v>161</v>
      </c>
      <c r="B146" t="s">
        <v>18</v>
      </c>
      <c r="C146" t="s">
        <v>14</v>
      </c>
      <c r="D146">
        <v>46</v>
      </c>
      <c r="E146" s="1">
        <v>41513</v>
      </c>
      <c r="F146">
        <v>2.5</v>
      </c>
      <c r="G146">
        <v>2</v>
      </c>
      <c r="H146">
        <v>4866.88</v>
      </c>
      <c r="I146">
        <v>12.2</v>
      </c>
    </row>
    <row r="147" spans="1:9" x14ac:dyDescent="0.3">
      <c r="A147" t="s">
        <v>162</v>
      </c>
      <c r="B147" t="s">
        <v>10</v>
      </c>
      <c r="C147" t="s">
        <v>14</v>
      </c>
      <c r="D147">
        <v>57</v>
      </c>
      <c r="E147" s="1">
        <v>41867</v>
      </c>
      <c r="F147">
        <v>3.95</v>
      </c>
      <c r="G147">
        <v>0</v>
      </c>
      <c r="H147">
        <v>6690.49</v>
      </c>
      <c r="I147">
        <v>11.2</v>
      </c>
    </row>
    <row r="148" spans="1:9" x14ac:dyDescent="0.3">
      <c r="A148" t="s">
        <v>163</v>
      </c>
      <c r="B148" t="s">
        <v>10</v>
      </c>
      <c r="C148" t="s">
        <v>11</v>
      </c>
      <c r="D148">
        <v>44</v>
      </c>
      <c r="E148" s="1">
        <v>43457</v>
      </c>
      <c r="F148">
        <v>1.83</v>
      </c>
      <c r="G148">
        <v>14</v>
      </c>
      <c r="H148">
        <v>13628.71</v>
      </c>
      <c r="I148">
        <v>6.9</v>
      </c>
    </row>
    <row r="149" spans="1:9" x14ac:dyDescent="0.3">
      <c r="A149" t="s">
        <v>164</v>
      </c>
      <c r="B149" t="s">
        <v>24</v>
      </c>
      <c r="C149" t="s">
        <v>11</v>
      </c>
      <c r="D149">
        <v>36</v>
      </c>
      <c r="E149" s="1">
        <v>44839</v>
      </c>
      <c r="F149">
        <v>4.4400000000000004</v>
      </c>
      <c r="G149">
        <v>6</v>
      </c>
      <c r="H149">
        <v>7644.67</v>
      </c>
      <c r="I149">
        <v>3.1</v>
      </c>
    </row>
    <row r="150" spans="1:9" x14ac:dyDescent="0.3">
      <c r="A150" t="s">
        <v>165</v>
      </c>
      <c r="B150" t="s">
        <v>24</v>
      </c>
      <c r="C150" t="s">
        <v>11</v>
      </c>
      <c r="D150">
        <v>23</v>
      </c>
      <c r="E150" s="1">
        <v>40488</v>
      </c>
      <c r="F150">
        <v>3.15</v>
      </c>
      <c r="G150">
        <v>3</v>
      </c>
      <c r="H150">
        <v>6136.39</v>
      </c>
      <c r="I150">
        <v>15</v>
      </c>
    </row>
    <row r="151" spans="1:9" x14ac:dyDescent="0.3">
      <c r="A151" t="s">
        <v>166</v>
      </c>
      <c r="B151" t="s">
        <v>34</v>
      </c>
      <c r="C151" t="s">
        <v>14</v>
      </c>
      <c r="D151">
        <v>34</v>
      </c>
      <c r="E151" s="1">
        <v>44809</v>
      </c>
      <c r="F151">
        <v>1.53</v>
      </c>
      <c r="G151">
        <v>3</v>
      </c>
      <c r="H151">
        <v>5135.22</v>
      </c>
      <c r="I151">
        <v>3.2</v>
      </c>
    </row>
    <row r="152" spans="1:9" x14ac:dyDescent="0.3">
      <c r="A152" t="s">
        <v>167</v>
      </c>
      <c r="B152" t="s">
        <v>18</v>
      </c>
      <c r="C152" t="s">
        <v>11</v>
      </c>
      <c r="D152">
        <v>59</v>
      </c>
      <c r="E152" s="1">
        <v>41771</v>
      </c>
      <c r="F152">
        <v>2.48</v>
      </c>
      <c r="G152">
        <v>5</v>
      </c>
      <c r="H152">
        <v>7734.39</v>
      </c>
      <c r="I152">
        <v>11.5</v>
      </c>
    </row>
    <row r="153" spans="1:9" x14ac:dyDescent="0.3">
      <c r="A153" t="s">
        <v>168</v>
      </c>
      <c r="B153" t="s">
        <v>16</v>
      </c>
      <c r="C153" t="s">
        <v>11</v>
      </c>
      <c r="D153">
        <v>30</v>
      </c>
      <c r="E153" s="1">
        <v>44420</v>
      </c>
      <c r="F153">
        <v>3.15</v>
      </c>
      <c r="G153">
        <v>10</v>
      </c>
      <c r="H153">
        <v>7891.14</v>
      </c>
      <c r="I153">
        <v>4.2</v>
      </c>
    </row>
    <row r="154" spans="1:9" x14ac:dyDescent="0.3">
      <c r="A154" t="s">
        <v>169</v>
      </c>
      <c r="B154" t="s">
        <v>10</v>
      </c>
      <c r="C154" t="s">
        <v>11</v>
      </c>
      <c r="D154">
        <v>33</v>
      </c>
      <c r="E154" s="1">
        <v>40480</v>
      </c>
      <c r="F154">
        <v>3.68</v>
      </c>
      <c r="G154">
        <v>5</v>
      </c>
      <c r="H154">
        <v>3302.28</v>
      </c>
      <c r="I154">
        <v>15</v>
      </c>
    </row>
    <row r="155" spans="1:9" x14ac:dyDescent="0.3">
      <c r="A155" t="s">
        <v>170</v>
      </c>
      <c r="B155" t="s">
        <v>18</v>
      </c>
      <c r="C155" t="s">
        <v>14</v>
      </c>
      <c r="D155">
        <v>35</v>
      </c>
      <c r="E155" s="1">
        <v>45836</v>
      </c>
      <c r="F155">
        <v>3.05</v>
      </c>
      <c r="G155">
        <v>8</v>
      </c>
      <c r="H155">
        <v>10739.72</v>
      </c>
      <c r="I155">
        <v>0.3</v>
      </c>
    </row>
    <row r="156" spans="1:9" x14ac:dyDescent="0.3">
      <c r="A156" t="s">
        <v>171</v>
      </c>
      <c r="B156" t="s">
        <v>16</v>
      </c>
      <c r="C156" t="s">
        <v>14</v>
      </c>
      <c r="D156">
        <v>29</v>
      </c>
      <c r="E156" s="1">
        <v>43761</v>
      </c>
      <c r="F156">
        <v>2.71</v>
      </c>
      <c r="G156">
        <v>2</v>
      </c>
      <c r="H156">
        <v>9909.39</v>
      </c>
      <c r="I156">
        <v>6</v>
      </c>
    </row>
    <row r="157" spans="1:9" x14ac:dyDescent="0.3">
      <c r="A157" t="s">
        <v>172</v>
      </c>
      <c r="B157" t="s">
        <v>13</v>
      </c>
      <c r="C157" t="s">
        <v>11</v>
      </c>
      <c r="D157">
        <v>36</v>
      </c>
      <c r="E157" s="1">
        <v>41505</v>
      </c>
      <c r="F157">
        <v>4.6399999999999997</v>
      </c>
      <c r="G157">
        <v>4</v>
      </c>
      <c r="H157">
        <v>8543.31</v>
      </c>
      <c r="I157">
        <v>12.2</v>
      </c>
    </row>
    <row r="158" spans="1:9" x14ac:dyDescent="0.3">
      <c r="A158" t="s">
        <v>173</v>
      </c>
      <c r="B158" t="s">
        <v>34</v>
      </c>
      <c r="C158" t="s">
        <v>11</v>
      </c>
      <c r="D158">
        <v>57</v>
      </c>
      <c r="E158" s="1">
        <v>41684</v>
      </c>
      <c r="F158">
        <v>2.93</v>
      </c>
      <c r="G158">
        <v>13</v>
      </c>
      <c r="H158">
        <v>14357.79</v>
      </c>
      <c r="I158">
        <v>11.7</v>
      </c>
    </row>
    <row r="159" spans="1:9" x14ac:dyDescent="0.3">
      <c r="A159" t="s">
        <v>174</v>
      </c>
      <c r="B159" t="s">
        <v>34</v>
      </c>
      <c r="C159" t="s">
        <v>14</v>
      </c>
      <c r="D159">
        <v>56</v>
      </c>
      <c r="E159" s="1">
        <v>43595</v>
      </c>
      <c r="F159">
        <v>4.9800000000000004</v>
      </c>
      <c r="G159">
        <v>5</v>
      </c>
      <c r="H159">
        <v>12936.24</v>
      </c>
      <c r="I159">
        <v>6.5</v>
      </c>
    </row>
    <row r="160" spans="1:9" x14ac:dyDescent="0.3">
      <c r="A160" t="s">
        <v>175</v>
      </c>
      <c r="B160" t="s">
        <v>24</v>
      </c>
      <c r="C160" t="s">
        <v>11</v>
      </c>
      <c r="D160">
        <v>43</v>
      </c>
      <c r="E160" s="1">
        <v>42297</v>
      </c>
      <c r="F160">
        <v>2.2000000000000002</v>
      </c>
      <c r="G160">
        <v>5</v>
      </c>
      <c r="H160">
        <v>7709.43</v>
      </c>
      <c r="I160">
        <v>10</v>
      </c>
    </row>
    <row r="161" spans="1:9" x14ac:dyDescent="0.3">
      <c r="A161" t="s">
        <v>176</v>
      </c>
      <c r="B161" t="s">
        <v>16</v>
      </c>
      <c r="C161" t="s">
        <v>11</v>
      </c>
      <c r="D161">
        <v>51</v>
      </c>
      <c r="E161" s="1">
        <v>43634</v>
      </c>
      <c r="F161">
        <v>4.5199999999999996</v>
      </c>
      <c r="G161">
        <v>12</v>
      </c>
      <c r="H161">
        <v>3626.45</v>
      </c>
      <c r="I161">
        <v>6.4</v>
      </c>
    </row>
    <row r="162" spans="1:9" x14ac:dyDescent="0.3">
      <c r="A162" t="s">
        <v>177</v>
      </c>
      <c r="B162" t="s">
        <v>13</v>
      </c>
      <c r="C162" t="s">
        <v>14</v>
      </c>
      <c r="D162">
        <v>45</v>
      </c>
      <c r="E162" s="1">
        <v>43125</v>
      </c>
      <c r="F162">
        <v>3.72</v>
      </c>
      <c r="G162">
        <v>0</v>
      </c>
      <c r="H162">
        <v>11282.73</v>
      </c>
      <c r="I162">
        <v>7.8</v>
      </c>
    </row>
    <row r="163" spans="1:9" x14ac:dyDescent="0.3">
      <c r="A163" t="s">
        <v>178</v>
      </c>
      <c r="B163" t="s">
        <v>13</v>
      </c>
      <c r="C163" t="s">
        <v>11</v>
      </c>
      <c r="D163">
        <v>53</v>
      </c>
      <c r="E163" s="1">
        <v>40276</v>
      </c>
      <c r="F163">
        <v>2.48</v>
      </c>
      <c r="G163">
        <v>13</v>
      </c>
      <c r="H163">
        <v>5053.38</v>
      </c>
      <c r="I163">
        <v>15.6</v>
      </c>
    </row>
    <row r="164" spans="1:9" x14ac:dyDescent="0.3">
      <c r="A164" t="s">
        <v>179</v>
      </c>
      <c r="B164" t="s">
        <v>13</v>
      </c>
      <c r="C164" t="s">
        <v>14</v>
      </c>
      <c r="D164">
        <v>56</v>
      </c>
      <c r="E164" s="1">
        <v>43644</v>
      </c>
      <c r="F164">
        <v>1.86</v>
      </c>
      <c r="G164">
        <v>8</v>
      </c>
      <c r="H164">
        <v>13481.65</v>
      </c>
      <c r="I164">
        <v>6.4</v>
      </c>
    </row>
    <row r="165" spans="1:9" x14ac:dyDescent="0.3">
      <c r="A165" t="s">
        <v>180</v>
      </c>
      <c r="B165" t="s">
        <v>13</v>
      </c>
      <c r="C165" t="s">
        <v>14</v>
      </c>
      <c r="D165">
        <v>48</v>
      </c>
      <c r="E165" s="1">
        <v>42319</v>
      </c>
      <c r="F165">
        <v>3.13</v>
      </c>
      <c r="G165">
        <v>7</v>
      </c>
      <c r="H165">
        <v>10159.18</v>
      </c>
      <c r="I165">
        <v>10</v>
      </c>
    </row>
    <row r="166" spans="1:9" x14ac:dyDescent="0.3">
      <c r="A166" t="s">
        <v>181</v>
      </c>
      <c r="B166" t="s">
        <v>13</v>
      </c>
      <c r="C166" t="s">
        <v>14</v>
      </c>
      <c r="D166">
        <v>55</v>
      </c>
      <c r="E166" s="1">
        <v>42817</v>
      </c>
      <c r="F166">
        <v>3.31</v>
      </c>
      <c r="G166">
        <v>13</v>
      </c>
      <c r="H166">
        <v>14139.99</v>
      </c>
      <c r="I166">
        <v>8.6</v>
      </c>
    </row>
    <row r="167" spans="1:9" x14ac:dyDescent="0.3">
      <c r="A167" t="s">
        <v>182</v>
      </c>
      <c r="B167" t="s">
        <v>34</v>
      </c>
      <c r="C167" t="s">
        <v>14</v>
      </c>
      <c r="D167">
        <v>45</v>
      </c>
      <c r="E167" s="1">
        <v>45226</v>
      </c>
      <c r="F167">
        <v>2.62</v>
      </c>
      <c r="G167">
        <v>8</v>
      </c>
      <c r="H167">
        <v>3192.36</v>
      </c>
      <c r="I167">
        <v>2</v>
      </c>
    </row>
    <row r="168" spans="1:9" x14ac:dyDescent="0.3">
      <c r="A168" t="s">
        <v>183</v>
      </c>
      <c r="B168" t="s">
        <v>13</v>
      </c>
      <c r="C168" t="s">
        <v>14</v>
      </c>
      <c r="D168">
        <v>42</v>
      </c>
      <c r="E168" s="1">
        <v>43012</v>
      </c>
      <c r="F168">
        <v>3.35</v>
      </c>
      <c r="G168">
        <v>12</v>
      </c>
      <c r="H168">
        <v>7832.15</v>
      </c>
      <c r="I168">
        <v>8.1</v>
      </c>
    </row>
    <row r="169" spans="1:9" x14ac:dyDescent="0.3">
      <c r="A169" t="s">
        <v>184</v>
      </c>
      <c r="B169" t="s">
        <v>34</v>
      </c>
      <c r="C169" t="s">
        <v>11</v>
      </c>
      <c r="D169">
        <v>45</v>
      </c>
      <c r="E169" s="1">
        <v>41117</v>
      </c>
      <c r="F169">
        <v>3.41</v>
      </c>
      <c r="G169">
        <v>1</v>
      </c>
      <c r="H169">
        <v>7452.96</v>
      </c>
      <c r="I169">
        <v>13.3</v>
      </c>
    </row>
    <row r="170" spans="1:9" x14ac:dyDescent="0.3">
      <c r="A170" t="s">
        <v>185</v>
      </c>
      <c r="B170" t="s">
        <v>18</v>
      </c>
      <c r="C170" t="s">
        <v>11</v>
      </c>
      <c r="D170">
        <v>30</v>
      </c>
      <c r="E170" s="1">
        <v>40738</v>
      </c>
      <c r="F170">
        <v>2.39</v>
      </c>
      <c r="G170">
        <v>15</v>
      </c>
      <c r="H170">
        <v>8007.93</v>
      </c>
      <c r="I170">
        <v>14.3</v>
      </c>
    </row>
    <row r="171" spans="1:9" x14ac:dyDescent="0.3">
      <c r="A171" t="s">
        <v>186</v>
      </c>
      <c r="B171" t="s">
        <v>10</v>
      </c>
      <c r="C171" t="s">
        <v>14</v>
      </c>
      <c r="D171">
        <v>34</v>
      </c>
      <c r="E171" s="1">
        <v>44240</v>
      </c>
      <c r="F171">
        <v>4.26</v>
      </c>
      <c r="G171">
        <v>8</v>
      </c>
      <c r="H171">
        <v>9751.27</v>
      </c>
      <c r="I171">
        <v>4.7</v>
      </c>
    </row>
    <row r="172" spans="1:9" x14ac:dyDescent="0.3">
      <c r="A172" t="s">
        <v>187</v>
      </c>
      <c r="B172" t="s">
        <v>16</v>
      </c>
      <c r="C172" t="s">
        <v>14</v>
      </c>
      <c r="D172">
        <v>37</v>
      </c>
      <c r="E172" s="1">
        <v>42038</v>
      </c>
      <c r="F172">
        <v>2.98</v>
      </c>
      <c r="G172">
        <v>11</v>
      </c>
      <c r="H172">
        <v>5102.53</v>
      </c>
      <c r="I172">
        <v>10.8</v>
      </c>
    </row>
    <row r="173" spans="1:9" x14ac:dyDescent="0.3">
      <c r="A173" t="s">
        <v>188</v>
      </c>
      <c r="B173" t="s">
        <v>13</v>
      </c>
      <c r="C173" t="s">
        <v>14</v>
      </c>
      <c r="D173">
        <v>24</v>
      </c>
      <c r="E173" s="1">
        <v>45032</v>
      </c>
      <c r="F173">
        <v>4.84</v>
      </c>
      <c r="G173">
        <v>2</v>
      </c>
      <c r="H173">
        <v>6698.81</v>
      </c>
      <c r="I173">
        <v>2.5</v>
      </c>
    </row>
    <row r="174" spans="1:9" x14ac:dyDescent="0.3">
      <c r="A174" t="s">
        <v>189</v>
      </c>
      <c r="B174" t="s">
        <v>13</v>
      </c>
      <c r="C174" t="s">
        <v>14</v>
      </c>
      <c r="D174">
        <v>46</v>
      </c>
      <c r="E174" s="1">
        <v>41952</v>
      </c>
      <c r="F174">
        <v>3.51</v>
      </c>
      <c r="G174">
        <v>1</v>
      </c>
      <c r="H174">
        <v>12708.04</v>
      </c>
      <c r="I174">
        <v>11</v>
      </c>
    </row>
    <row r="175" spans="1:9" x14ac:dyDescent="0.3">
      <c r="A175" t="s">
        <v>190</v>
      </c>
      <c r="B175" t="s">
        <v>34</v>
      </c>
      <c r="C175" t="s">
        <v>14</v>
      </c>
      <c r="D175">
        <v>47</v>
      </c>
      <c r="E175" s="1">
        <v>42812</v>
      </c>
      <c r="F175">
        <v>4.1100000000000003</v>
      </c>
      <c r="G175">
        <v>1</v>
      </c>
      <c r="H175">
        <v>10710.97</v>
      </c>
      <c r="I175">
        <v>8.6</v>
      </c>
    </row>
    <row r="176" spans="1:9" x14ac:dyDescent="0.3">
      <c r="A176" t="s">
        <v>191</v>
      </c>
      <c r="B176" t="s">
        <v>18</v>
      </c>
      <c r="C176" t="s">
        <v>11</v>
      </c>
      <c r="D176">
        <v>59</v>
      </c>
      <c r="E176" s="1">
        <v>42273</v>
      </c>
      <c r="F176">
        <v>3.09</v>
      </c>
      <c r="G176">
        <v>0</v>
      </c>
      <c r="H176">
        <v>11523.45</v>
      </c>
      <c r="I176">
        <v>10.1</v>
      </c>
    </row>
    <row r="177" spans="1:9" x14ac:dyDescent="0.3">
      <c r="A177" t="s">
        <v>192</v>
      </c>
      <c r="B177" t="s">
        <v>34</v>
      </c>
      <c r="C177" t="s">
        <v>11</v>
      </c>
      <c r="D177">
        <v>22</v>
      </c>
      <c r="E177" s="1">
        <v>43360</v>
      </c>
      <c r="F177">
        <v>3.49</v>
      </c>
      <c r="G177">
        <v>11</v>
      </c>
      <c r="H177">
        <v>11477.64</v>
      </c>
      <c r="I177">
        <v>7.1</v>
      </c>
    </row>
    <row r="178" spans="1:9" x14ac:dyDescent="0.3">
      <c r="A178" t="s">
        <v>193</v>
      </c>
      <c r="B178" t="s">
        <v>34</v>
      </c>
      <c r="C178" t="s">
        <v>11</v>
      </c>
      <c r="D178">
        <v>24</v>
      </c>
      <c r="E178" s="1">
        <v>43559</v>
      </c>
      <c r="F178">
        <v>2.5499999999999998</v>
      </c>
      <c r="G178">
        <v>11</v>
      </c>
      <c r="H178">
        <v>6521.38</v>
      </c>
      <c r="I178">
        <v>6.6</v>
      </c>
    </row>
    <row r="179" spans="1:9" x14ac:dyDescent="0.3">
      <c r="A179" t="s">
        <v>194</v>
      </c>
      <c r="B179" t="s">
        <v>16</v>
      </c>
      <c r="C179" t="s">
        <v>11</v>
      </c>
      <c r="D179">
        <v>28</v>
      </c>
      <c r="E179" s="1">
        <v>43505</v>
      </c>
      <c r="F179">
        <v>2.52</v>
      </c>
      <c r="G179">
        <v>1</v>
      </c>
      <c r="H179">
        <v>9868.26</v>
      </c>
      <c r="I179">
        <v>6.7</v>
      </c>
    </row>
    <row r="180" spans="1:9" x14ac:dyDescent="0.3">
      <c r="A180" t="s">
        <v>195</v>
      </c>
      <c r="B180" t="s">
        <v>18</v>
      </c>
      <c r="C180" t="s">
        <v>14</v>
      </c>
      <c r="D180">
        <v>36</v>
      </c>
      <c r="E180" s="1">
        <v>42048</v>
      </c>
      <c r="F180">
        <v>2.08</v>
      </c>
      <c r="G180">
        <v>7</v>
      </c>
      <c r="H180">
        <v>5625.77</v>
      </c>
      <c r="I180">
        <v>10.7</v>
      </c>
    </row>
    <row r="181" spans="1:9" x14ac:dyDescent="0.3">
      <c r="A181" t="s">
        <v>196</v>
      </c>
      <c r="B181" t="s">
        <v>24</v>
      </c>
      <c r="C181" t="s">
        <v>11</v>
      </c>
      <c r="D181">
        <v>31</v>
      </c>
      <c r="E181" s="1">
        <v>45150</v>
      </c>
      <c r="F181">
        <v>1.63</v>
      </c>
      <c r="G181">
        <v>6</v>
      </c>
      <c r="H181">
        <v>9019.91</v>
      </c>
      <c r="I181">
        <v>2.2000000000000002</v>
      </c>
    </row>
    <row r="182" spans="1:9" x14ac:dyDescent="0.3">
      <c r="A182" t="s">
        <v>197</v>
      </c>
      <c r="B182" t="s">
        <v>10</v>
      </c>
      <c r="C182" t="s">
        <v>14</v>
      </c>
      <c r="D182">
        <v>24</v>
      </c>
      <c r="E182" s="1">
        <v>45703</v>
      </c>
      <c r="F182">
        <v>3.96</v>
      </c>
      <c r="G182">
        <v>8</v>
      </c>
      <c r="H182">
        <v>13198.99</v>
      </c>
      <c r="I182">
        <v>0.7</v>
      </c>
    </row>
    <row r="183" spans="1:9" x14ac:dyDescent="0.3">
      <c r="A183" t="s">
        <v>198</v>
      </c>
      <c r="B183" t="s">
        <v>10</v>
      </c>
      <c r="C183" t="s">
        <v>14</v>
      </c>
      <c r="D183">
        <v>55</v>
      </c>
      <c r="E183" s="1">
        <v>43992</v>
      </c>
      <c r="F183">
        <v>4.76</v>
      </c>
      <c r="G183">
        <v>8</v>
      </c>
      <c r="H183">
        <v>4318.88</v>
      </c>
      <c r="I183">
        <v>5.4</v>
      </c>
    </row>
    <row r="184" spans="1:9" x14ac:dyDescent="0.3">
      <c r="A184" t="s">
        <v>199</v>
      </c>
      <c r="B184" t="s">
        <v>13</v>
      </c>
      <c r="C184" t="s">
        <v>14</v>
      </c>
      <c r="D184">
        <v>32</v>
      </c>
      <c r="E184" s="1">
        <v>42376</v>
      </c>
      <c r="F184">
        <v>4.05</v>
      </c>
      <c r="G184">
        <v>4</v>
      </c>
      <c r="H184">
        <v>11727.74</v>
      </c>
      <c r="I184">
        <v>9.8000000000000007</v>
      </c>
    </row>
    <row r="185" spans="1:9" x14ac:dyDescent="0.3">
      <c r="A185" t="s">
        <v>200</v>
      </c>
      <c r="B185" t="s">
        <v>18</v>
      </c>
      <c r="C185" t="s">
        <v>14</v>
      </c>
      <c r="D185">
        <v>45</v>
      </c>
      <c r="E185" s="1">
        <v>44614</v>
      </c>
      <c r="F185">
        <v>2.34</v>
      </c>
      <c r="G185">
        <v>3</v>
      </c>
      <c r="H185">
        <v>13755.29</v>
      </c>
      <c r="I185">
        <v>3.7</v>
      </c>
    </row>
    <row r="186" spans="1:9" x14ac:dyDescent="0.3">
      <c r="A186" t="s">
        <v>201</v>
      </c>
      <c r="B186" t="s">
        <v>24</v>
      </c>
      <c r="C186" t="s">
        <v>14</v>
      </c>
      <c r="D186">
        <v>28</v>
      </c>
      <c r="E186" s="1">
        <v>42880</v>
      </c>
      <c r="F186">
        <v>2.34</v>
      </c>
      <c r="G186">
        <v>14</v>
      </c>
      <c r="H186">
        <v>10271.42</v>
      </c>
      <c r="I186">
        <v>8.4</v>
      </c>
    </row>
    <row r="187" spans="1:9" x14ac:dyDescent="0.3">
      <c r="A187" t="s">
        <v>202</v>
      </c>
      <c r="B187" t="s">
        <v>24</v>
      </c>
      <c r="C187" t="s">
        <v>11</v>
      </c>
      <c r="D187">
        <v>37</v>
      </c>
      <c r="E187" s="1">
        <v>41376</v>
      </c>
      <c r="F187">
        <v>2.74</v>
      </c>
      <c r="G187">
        <v>3</v>
      </c>
      <c r="H187">
        <v>12409</v>
      </c>
      <c r="I187">
        <v>12.6</v>
      </c>
    </row>
    <row r="188" spans="1:9" x14ac:dyDescent="0.3">
      <c r="A188" t="s">
        <v>203</v>
      </c>
      <c r="B188" t="s">
        <v>10</v>
      </c>
      <c r="C188" t="s">
        <v>11</v>
      </c>
      <c r="D188">
        <v>36</v>
      </c>
      <c r="E188" s="1">
        <v>40692</v>
      </c>
      <c r="F188">
        <v>3.57</v>
      </c>
      <c r="G188">
        <v>8</v>
      </c>
      <c r="H188">
        <v>3814.12</v>
      </c>
      <c r="I188">
        <v>14.4</v>
      </c>
    </row>
    <row r="189" spans="1:9" x14ac:dyDescent="0.3">
      <c r="A189" t="s">
        <v>204</v>
      </c>
      <c r="B189" t="s">
        <v>10</v>
      </c>
      <c r="C189" t="s">
        <v>14</v>
      </c>
      <c r="D189">
        <v>54</v>
      </c>
      <c r="E189" s="1">
        <v>43378</v>
      </c>
      <c r="F189">
        <v>2.56</v>
      </c>
      <c r="G189">
        <v>0</v>
      </c>
      <c r="H189">
        <v>8235.2800000000007</v>
      </c>
      <c r="I189">
        <v>7.1</v>
      </c>
    </row>
    <row r="190" spans="1:9" x14ac:dyDescent="0.3">
      <c r="A190" t="s">
        <v>205</v>
      </c>
      <c r="B190" t="s">
        <v>34</v>
      </c>
      <c r="C190" t="s">
        <v>14</v>
      </c>
      <c r="D190">
        <v>30</v>
      </c>
      <c r="E190" s="1">
        <v>44255</v>
      </c>
      <c r="F190">
        <v>4.32</v>
      </c>
      <c r="G190">
        <v>4</v>
      </c>
      <c r="H190">
        <v>5270.92</v>
      </c>
      <c r="I190">
        <v>4.7</v>
      </c>
    </row>
    <row r="191" spans="1:9" x14ac:dyDescent="0.3">
      <c r="A191" t="s">
        <v>206</v>
      </c>
      <c r="B191" t="s">
        <v>13</v>
      </c>
      <c r="C191" t="s">
        <v>14</v>
      </c>
      <c r="D191">
        <v>41</v>
      </c>
      <c r="E191" s="1">
        <v>45216</v>
      </c>
      <c r="F191">
        <v>1.53</v>
      </c>
      <c r="G191">
        <v>6</v>
      </c>
      <c r="H191">
        <v>9147.23</v>
      </c>
      <c r="I191">
        <v>2</v>
      </c>
    </row>
    <row r="192" spans="1:9" x14ac:dyDescent="0.3">
      <c r="A192" t="s">
        <v>207</v>
      </c>
      <c r="B192" t="s">
        <v>16</v>
      </c>
      <c r="C192" t="s">
        <v>14</v>
      </c>
      <c r="D192">
        <v>24</v>
      </c>
      <c r="E192" s="1">
        <v>44526</v>
      </c>
      <c r="F192">
        <v>2.94</v>
      </c>
      <c r="G192">
        <v>3</v>
      </c>
      <c r="H192">
        <v>11483.31</v>
      </c>
      <c r="I192">
        <v>3.9</v>
      </c>
    </row>
    <row r="193" spans="1:9" x14ac:dyDescent="0.3">
      <c r="A193" t="s">
        <v>208</v>
      </c>
      <c r="B193" t="s">
        <v>13</v>
      </c>
      <c r="C193" t="s">
        <v>11</v>
      </c>
      <c r="D193">
        <v>53</v>
      </c>
      <c r="E193" s="1">
        <v>43818</v>
      </c>
      <c r="F193">
        <v>4.97</v>
      </c>
      <c r="G193">
        <v>5</v>
      </c>
      <c r="H193">
        <v>14491.77</v>
      </c>
      <c r="I193">
        <v>5.9</v>
      </c>
    </row>
    <row r="194" spans="1:9" x14ac:dyDescent="0.3">
      <c r="A194" t="s">
        <v>209</v>
      </c>
      <c r="B194" t="s">
        <v>10</v>
      </c>
      <c r="C194" t="s">
        <v>11</v>
      </c>
      <c r="D194">
        <v>32</v>
      </c>
      <c r="E194" s="1">
        <v>42703</v>
      </c>
      <c r="F194">
        <v>4.53</v>
      </c>
      <c r="G194">
        <v>3</v>
      </c>
      <c r="H194">
        <v>9306.2199999999993</v>
      </c>
      <c r="I194">
        <v>8.9</v>
      </c>
    </row>
    <row r="195" spans="1:9" x14ac:dyDescent="0.3">
      <c r="A195" t="s">
        <v>210</v>
      </c>
      <c r="B195" t="s">
        <v>24</v>
      </c>
      <c r="C195" t="s">
        <v>14</v>
      </c>
      <c r="D195">
        <v>43</v>
      </c>
      <c r="E195" s="1">
        <v>40569</v>
      </c>
      <c r="F195">
        <v>4.3499999999999996</v>
      </c>
      <c r="G195">
        <v>11</v>
      </c>
      <c r="H195">
        <v>6728.24</v>
      </c>
      <c r="I195">
        <v>14.8</v>
      </c>
    </row>
    <row r="196" spans="1:9" x14ac:dyDescent="0.3">
      <c r="A196" t="s">
        <v>211</v>
      </c>
      <c r="B196" t="s">
        <v>13</v>
      </c>
      <c r="C196" t="s">
        <v>11</v>
      </c>
      <c r="D196">
        <v>49</v>
      </c>
      <c r="E196" s="1">
        <v>41177</v>
      </c>
      <c r="F196">
        <v>3.92</v>
      </c>
      <c r="G196">
        <v>0</v>
      </c>
      <c r="H196">
        <v>12814.56</v>
      </c>
      <c r="I196">
        <v>13.1</v>
      </c>
    </row>
    <row r="197" spans="1:9" x14ac:dyDescent="0.3">
      <c r="A197" t="s">
        <v>212</v>
      </c>
      <c r="B197" t="s">
        <v>24</v>
      </c>
      <c r="C197" t="s">
        <v>14</v>
      </c>
      <c r="D197">
        <v>23</v>
      </c>
      <c r="E197" s="1">
        <v>40271</v>
      </c>
      <c r="F197">
        <v>2.0699999999999998</v>
      </c>
      <c r="G197">
        <v>1</v>
      </c>
      <c r="H197">
        <v>10594.67</v>
      </c>
      <c r="I197">
        <v>15.6</v>
      </c>
    </row>
    <row r="198" spans="1:9" x14ac:dyDescent="0.3">
      <c r="A198" t="s">
        <v>213</v>
      </c>
      <c r="B198" t="s">
        <v>10</v>
      </c>
      <c r="C198" t="s">
        <v>14</v>
      </c>
      <c r="D198">
        <v>49</v>
      </c>
      <c r="E198" s="1">
        <v>42328</v>
      </c>
      <c r="F198">
        <v>3.23</v>
      </c>
      <c r="G198">
        <v>6</v>
      </c>
      <c r="H198">
        <v>11017.13</v>
      </c>
      <c r="I198">
        <v>10</v>
      </c>
    </row>
    <row r="199" spans="1:9" x14ac:dyDescent="0.3">
      <c r="A199" t="s">
        <v>214</v>
      </c>
      <c r="B199" t="s">
        <v>10</v>
      </c>
      <c r="C199" t="s">
        <v>11</v>
      </c>
      <c r="D199">
        <v>25</v>
      </c>
      <c r="E199" s="1">
        <v>45088</v>
      </c>
      <c r="F199">
        <v>3.11</v>
      </c>
      <c r="G199">
        <v>14</v>
      </c>
      <c r="H199">
        <v>10690.68</v>
      </c>
      <c r="I199">
        <v>2.4</v>
      </c>
    </row>
    <row r="200" spans="1:9" x14ac:dyDescent="0.3">
      <c r="A200" t="s">
        <v>215</v>
      </c>
      <c r="B200" t="s">
        <v>34</v>
      </c>
      <c r="C200" t="s">
        <v>11</v>
      </c>
      <c r="D200">
        <v>60</v>
      </c>
      <c r="E200" s="1">
        <v>45572</v>
      </c>
      <c r="F200">
        <v>3.07</v>
      </c>
      <c r="G200">
        <v>1</v>
      </c>
      <c r="H200">
        <v>9710.43</v>
      </c>
      <c r="I200">
        <v>1.1000000000000001</v>
      </c>
    </row>
    <row r="201" spans="1:9" x14ac:dyDescent="0.3">
      <c r="A201" t="s">
        <v>216</v>
      </c>
      <c r="B201" t="s">
        <v>24</v>
      </c>
      <c r="C201" t="s">
        <v>14</v>
      </c>
      <c r="D201">
        <v>28</v>
      </c>
      <c r="E201" s="1">
        <v>41323</v>
      </c>
      <c r="F201">
        <v>2.1800000000000002</v>
      </c>
      <c r="G201">
        <v>1</v>
      </c>
      <c r="H201">
        <v>3876.55</v>
      </c>
      <c r="I201">
        <v>12.7</v>
      </c>
    </row>
    <row r="202" spans="1:9" x14ac:dyDescent="0.3">
      <c r="A202" t="s">
        <v>217</v>
      </c>
      <c r="B202" t="s">
        <v>10</v>
      </c>
      <c r="C202" t="s">
        <v>11</v>
      </c>
      <c r="D202">
        <v>26</v>
      </c>
      <c r="E202" s="1">
        <v>44798</v>
      </c>
      <c r="F202">
        <v>1.54</v>
      </c>
      <c r="G202">
        <v>9</v>
      </c>
      <c r="H202">
        <v>13551.38</v>
      </c>
      <c r="I202">
        <v>3.2</v>
      </c>
    </row>
    <row r="203" spans="1:9" x14ac:dyDescent="0.3">
      <c r="A203" t="s">
        <v>218</v>
      </c>
      <c r="B203" t="s">
        <v>10</v>
      </c>
      <c r="C203" t="s">
        <v>14</v>
      </c>
      <c r="D203">
        <v>49</v>
      </c>
      <c r="E203" s="1">
        <v>41918</v>
      </c>
      <c r="F203">
        <v>4.01</v>
      </c>
      <c r="G203">
        <v>7</v>
      </c>
      <c r="H203">
        <v>6685.04</v>
      </c>
      <c r="I203">
        <v>11.1</v>
      </c>
    </row>
    <row r="204" spans="1:9" x14ac:dyDescent="0.3">
      <c r="A204" t="s">
        <v>219</v>
      </c>
      <c r="B204" t="s">
        <v>13</v>
      </c>
      <c r="C204" t="s">
        <v>11</v>
      </c>
      <c r="D204">
        <v>45</v>
      </c>
      <c r="E204" s="1">
        <v>43763</v>
      </c>
      <c r="F204">
        <v>4.5999999999999996</v>
      </c>
      <c r="G204">
        <v>10</v>
      </c>
      <c r="H204">
        <v>11894.16</v>
      </c>
      <c r="I204">
        <v>6</v>
      </c>
    </row>
    <row r="205" spans="1:9" x14ac:dyDescent="0.3">
      <c r="A205" t="s">
        <v>220</v>
      </c>
      <c r="B205" t="s">
        <v>16</v>
      </c>
      <c r="C205" t="s">
        <v>14</v>
      </c>
      <c r="D205">
        <v>52</v>
      </c>
      <c r="E205" s="1">
        <v>45749</v>
      </c>
      <c r="F205">
        <v>2.7</v>
      </c>
      <c r="G205">
        <v>2</v>
      </c>
      <c r="H205">
        <v>13125.76</v>
      </c>
      <c r="I205">
        <v>0.6</v>
      </c>
    </row>
    <row r="206" spans="1:9" x14ac:dyDescent="0.3">
      <c r="A206" t="s">
        <v>221</v>
      </c>
      <c r="B206" t="s">
        <v>10</v>
      </c>
      <c r="C206" t="s">
        <v>14</v>
      </c>
      <c r="D206">
        <v>55</v>
      </c>
      <c r="E206" s="1">
        <v>44007</v>
      </c>
      <c r="F206">
        <v>2.23</v>
      </c>
      <c r="G206">
        <v>3</v>
      </c>
      <c r="H206">
        <v>14019.76</v>
      </c>
      <c r="I206">
        <v>5.4</v>
      </c>
    </row>
    <row r="207" spans="1:9" x14ac:dyDescent="0.3">
      <c r="A207" t="s">
        <v>222</v>
      </c>
      <c r="B207" t="s">
        <v>10</v>
      </c>
      <c r="C207" t="s">
        <v>11</v>
      </c>
      <c r="D207">
        <v>32</v>
      </c>
      <c r="E207" s="1">
        <v>40593</v>
      </c>
      <c r="F207">
        <v>3.31</v>
      </c>
      <c r="G207">
        <v>3</v>
      </c>
      <c r="H207">
        <v>9533.6200000000008</v>
      </c>
      <c r="I207">
        <v>14.7</v>
      </c>
    </row>
    <row r="208" spans="1:9" x14ac:dyDescent="0.3">
      <c r="A208" t="s">
        <v>223</v>
      </c>
      <c r="B208" t="s">
        <v>18</v>
      </c>
      <c r="C208" t="s">
        <v>14</v>
      </c>
      <c r="D208">
        <v>33</v>
      </c>
      <c r="E208" s="1">
        <v>45547</v>
      </c>
      <c r="F208">
        <v>4.3499999999999996</v>
      </c>
      <c r="G208">
        <v>14</v>
      </c>
      <c r="H208">
        <v>11740.23</v>
      </c>
      <c r="I208">
        <v>1.1000000000000001</v>
      </c>
    </row>
    <row r="209" spans="1:9" x14ac:dyDescent="0.3">
      <c r="A209" t="s">
        <v>224</v>
      </c>
      <c r="B209" t="s">
        <v>13</v>
      </c>
      <c r="C209" t="s">
        <v>11</v>
      </c>
      <c r="D209">
        <v>57</v>
      </c>
      <c r="E209" s="1">
        <v>40750</v>
      </c>
      <c r="F209">
        <v>3.91</v>
      </c>
      <c r="G209">
        <v>13</v>
      </c>
      <c r="H209">
        <v>11461.1</v>
      </c>
      <c r="I209">
        <v>14.3</v>
      </c>
    </row>
    <row r="210" spans="1:9" x14ac:dyDescent="0.3">
      <c r="A210" t="s">
        <v>225</v>
      </c>
      <c r="B210" t="s">
        <v>18</v>
      </c>
      <c r="C210" t="s">
        <v>11</v>
      </c>
      <c r="D210">
        <v>41</v>
      </c>
      <c r="E210" s="1">
        <v>42732</v>
      </c>
      <c r="F210">
        <v>2.04</v>
      </c>
      <c r="G210">
        <v>10</v>
      </c>
      <c r="H210">
        <v>7031.26</v>
      </c>
      <c r="I210">
        <v>8.8000000000000007</v>
      </c>
    </row>
    <row r="211" spans="1:9" x14ac:dyDescent="0.3">
      <c r="A211" t="s">
        <v>226</v>
      </c>
      <c r="B211" t="s">
        <v>13</v>
      </c>
      <c r="C211" t="s">
        <v>11</v>
      </c>
      <c r="D211">
        <v>23</v>
      </c>
      <c r="E211" s="1">
        <v>43412</v>
      </c>
      <c r="F211">
        <v>4.3600000000000003</v>
      </c>
      <c r="G211">
        <v>7</v>
      </c>
      <c r="H211">
        <v>11746.82</v>
      </c>
      <c r="I211">
        <v>7</v>
      </c>
    </row>
    <row r="212" spans="1:9" x14ac:dyDescent="0.3">
      <c r="A212" t="s">
        <v>227</v>
      </c>
      <c r="B212" t="s">
        <v>16</v>
      </c>
      <c r="C212" t="s">
        <v>11</v>
      </c>
      <c r="D212">
        <v>40</v>
      </c>
      <c r="E212" s="1">
        <v>45550</v>
      </c>
      <c r="F212">
        <v>4.71</v>
      </c>
      <c r="G212">
        <v>7</v>
      </c>
      <c r="H212">
        <v>14267.13</v>
      </c>
      <c r="I212">
        <v>1.1000000000000001</v>
      </c>
    </row>
    <row r="213" spans="1:9" x14ac:dyDescent="0.3">
      <c r="A213" t="s">
        <v>228</v>
      </c>
      <c r="B213" t="s">
        <v>10</v>
      </c>
      <c r="C213" t="s">
        <v>11</v>
      </c>
      <c r="D213">
        <v>30</v>
      </c>
      <c r="E213" s="1">
        <v>41713</v>
      </c>
      <c r="F213">
        <v>4.2300000000000004</v>
      </c>
      <c r="G213">
        <v>0</v>
      </c>
      <c r="H213">
        <v>13562.37</v>
      </c>
      <c r="I213">
        <v>11.6</v>
      </c>
    </row>
    <row r="214" spans="1:9" x14ac:dyDescent="0.3">
      <c r="A214" t="s">
        <v>229</v>
      </c>
      <c r="B214" t="s">
        <v>24</v>
      </c>
      <c r="C214" t="s">
        <v>11</v>
      </c>
      <c r="D214">
        <v>60</v>
      </c>
      <c r="E214" s="1">
        <v>44738</v>
      </c>
      <c r="F214">
        <v>3.75</v>
      </c>
      <c r="G214">
        <v>12</v>
      </c>
      <c r="H214">
        <v>8613.16</v>
      </c>
      <c r="I214">
        <v>3.4</v>
      </c>
    </row>
    <row r="215" spans="1:9" x14ac:dyDescent="0.3">
      <c r="A215" t="s">
        <v>230</v>
      </c>
      <c r="B215" t="s">
        <v>10</v>
      </c>
      <c r="C215" t="s">
        <v>14</v>
      </c>
      <c r="D215">
        <v>39</v>
      </c>
      <c r="E215" s="1">
        <v>41882</v>
      </c>
      <c r="F215">
        <v>4.29</v>
      </c>
      <c r="G215">
        <v>13</v>
      </c>
      <c r="H215">
        <v>8306.2199999999993</v>
      </c>
      <c r="I215">
        <v>11.2</v>
      </c>
    </row>
    <row r="216" spans="1:9" x14ac:dyDescent="0.3">
      <c r="A216" t="s">
        <v>231</v>
      </c>
      <c r="B216" t="s">
        <v>10</v>
      </c>
      <c r="C216" t="s">
        <v>11</v>
      </c>
      <c r="D216">
        <v>46</v>
      </c>
      <c r="E216" s="1">
        <v>45716</v>
      </c>
      <c r="F216">
        <v>3.38</v>
      </c>
      <c r="G216">
        <v>0</v>
      </c>
      <c r="H216">
        <v>3248.14</v>
      </c>
      <c r="I216">
        <v>0.7</v>
      </c>
    </row>
    <row r="217" spans="1:9" x14ac:dyDescent="0.3">
      <c r="A217" t="s">
        <v>232</v>
      </c>
      <c r="B217" t="s">
        <v>16</v>
      </c>
      <c r="C217" t="s">
        <v>11</v>
      </c>
      <c r="D217">
        <v>23</v>
      </c>
      <c r="E217" s="1">
        <v>41317</v>
      </c>
      <c r="F217">
        <v>4.95</v>
      </c>
      <c r="G217">
        <v>1</v>
      </c>
      <c r="H217">
        <v>13034.89</v>
      </c>
      <c r="I217">
        <v>12.7</v>
      </c>
    </row>
    <row r="218" spans="1:9" x14ac:dyDescent="0.3">
      <c r="A218" t="s">
        <v>233</v>
      </c>
      <c r="B218" t="s">
        <v>13</v>
      </c>
      <c r="C218" t="s">
        <v>11</v>
      </c>
      <c r="D218">
        <v>56</v>
      </c>
      <c r="E218" s="1">
        <v>42472</v>
      </c>
      <c r="F218">
        <v>4</v>
      </c>
      <c r="G218">
        <v>3</v>
      </c>
      <c r="H218">
        <v>7570.79</v>
      </c>
      <c r="I218">
        <v>9.6</v>
      </c>
    </row>
    <row r="219" spans="1:9" x14ac:dyDescent="0.3">
      <c r="A219" t="s">
        <v>234</v>
      </c>
      <c r="B219" t="s">
        <v>18</v>
      </c>
      <c r="C219" t="s">
        <v>14</v>
      </c>
      <c r="D219">
        <v>29</v>
      </c>
      <c r="E219" s="1">
        <v>42345</v>
      </c>
      <c r="F219">
        <v>2.87</v>
      </c>
      <c r="G219">
        <v>6</v>
      </c>
      <c r="H219">
        <v>13812.05</v>
      </c>
      <c r="I219">
        <v>9.9</v>
      </c>
    </row>
    <row r="220" spans="1:9" x14ac:dyDescent="0.3">
      <c r="A220" t="s">
        <v>235</v>
      </c>
      <c r="B220" t="s">
        <v>24</v>
      </c>
      <c r="C220" t="s">
        <v>14</v>
      </c>
      <c r="D220">
        <v>30</v>
      </c>
      <c r="E220" s="1">
        <v>41211</v>
      </c>
      <c r="F220">
        <v>2.78</v>
      </c>
      <c r="G220">
        <v>4</v>
      </c>
      <c r="H220">
        <v>5788.75</v>
      </c>
      <c r="I220">
        <v>13</v>
      </c>
    </row>
    <row r="221" spans="1:9" x14ac:dyDescent="0.3">
      <c r="A221" t="s">
        <v>236</v>
      </c>
      <c r="B221" t="s">
        <v>24</v>
      </c>
      <c r="C221" t="s">
        <v>11</v>
      </c>
      <c r="D221">
        <v>60</v>
      </c>
      <c r="E221" s="1">
        <v>45913</v>
      </c>
      <c r="F221">
        <v>2.71</v>
      </c>
      <c r="G221">
        <v>4</v>
      </c>
      <c r="H221">
        <v>8633.7199999999993</v>
      </c>
      <c r="I221">
        <v>0.1</v>
      </c>
    </row>
    <row r="222" spans="1:9" x14ac:dyDescent="0.3">
      <c r="A222" t="s">
        <v>237</v>
      </c>
      <c r="B222" t="s">
        <v>24</v>
      </c>
      <c r="C222" t="s">
        <v>14</v>
      </c>
      <c r="D222">
        <v>27</v>
      </c>
      <c r="E222" s="1">
        <v>40986</v>
      </c>
      <c r="F222">
        <v>4.4800000000000004</v>
      </c>
      <c r="G222">
        <v>15</v>
      </c>
      <c r="H222">
        <v>13917.05</v>
      </c>
      <c r="I222">
        <v>13.6</v>
      </c>
    </row>
    <row r="223" spans="1:9" x14ac:dyDescent="0.3">
      <c r="A223" t="s">
        <v>238</v>
      </c>
      <c r="B223" t="s">
        <v>18</v>
      </c>
      <c r="C223" t="s">
        <v>11</v>
      </c>
      <c r="D223">
        <v>26</v>
      </c>
      <c r="E223" s="1">
        <v>41191</v>
      </c>
      <c r="F223">
        <v>3.32</v>
      </c>
      <c r="G223">
        <v>11</v>
      </c>
      <c r="H223">
        <v>13853.25</v>
      </c>
      <c r="I223">
        <v>13.1</v>
      </c>
    </row>
    <row r="224" spans="1:9" x14ac:dyDescent="0.3">
      <c r="A224" t="s">
        <v>239</v>
      </c>
      <c r="B224" t="s">
        <v>10</v>
      </c>
      <c r="C224" t="s">
        <v>11</v>
      </c>
      <c r="D224">
        <v>23</v>
      </c>
      <c r="E224" s="1">
        <v>40195</v>
      </c>
      <c r="F224">
        <v>2.97</v>
      </c>
      <c r="G224">
        <v>13</v>
      </c>
      <c r="H224">
        <v>3888.69</v>
      </c>
      <c r="I224">
        <v>15.8</v>
      </c>
    </row>
    <row r="225" spans="1:9" x14ac:dyDescent="0.3">
      <c r="A225" t="s">
        <v>240</v>
      </c>
      <c r="B225" t="s">
        <v>18</v>
      </c>
      <c r="C225" t="s">
        <v>14</v>
      </c>
      <c r="D225">
        <v>24</v>
      </c>
      <c r="E225" s="1">
        <v>42189</v>
      </c>
      <c r="F225">
        <v>3.08</v>
      </c>
      <c r="G225">
        <v>13</v>
      </c>
      <c r="H225">
        <v>8412.0400000000009</v>
      </c>
      <c r="I225">
        <v>10.3</v>
      </c>
    </row>
    <row r="226" spans="1:9" x14ac:dyDescent="0.3">
      <c r="A226" t="s">
        <v>241</v>
      </c>
      <c r="B226" t="s">
        <v>13</v>
      </c>
      <c r="C226" t="s">
        <v>14</v>
      </c>
      <c r="D226">
        <v>43</v>
      </c>
      <c r="E226" s="1">
        <v>45745</v>
      </c>
      <c r="F226">
        <v>3.22</v>
      </c>
      <c r="G226">
        <v>0</v>
      </c>
      <c r="H226">
        <v>10761.78</v>
      </c>
      <c r="I226">
        <v>0.6</v>
      </c>
    </row>
    <row r="227" spans="1:9" x14ac:dyDescent="0.3">
      <c r="A227" t="s">
        <v>242</v>
      </c>
      <c r="B227" t="s">
        <v>13</v>
      </c>
      <c r="C227" t="s">
        <v>14</v>
      </c>
      <c r="D227">
        <v>26</v>
      </c>
      <c r="E227" s="1">
        <v>41448</v>
      </c>
      <c r="F227">
        <v>2.58</v>
      </c>
      <c r="G227">
        <v>3</v>
      </c>
      <c r="H227">
        <v>4357.63</v>
      </c>
      <c r="I227">
        <v>12.4</v>
      </c>
    </row>
    <row r="228" spans="1:9" x14ac:dyDescent="0.3">
      <c r="A228" t="s">
        <v>243</v>
      </c>
      <c r="B228" t="s">
        <v>13</v>
      </c>
      <c r="C228" t="s">
        <v>14</v>
      </c>
      <c r="D228">
        <v>35</v>
      </c>
      <c r="E228" s="1">
        <v>44682</v>
      </c>
      <c r="F228">
        <v>3.58</v>
      </c>
      <c r="G228">
        <v>5</v>
      </c>
      <c r="H228">
        <v>13432.36</v>
      </c>
      <c r="I228">
        <v>3.5</v>
      </c>
    </row>
    <row r="229" spans="1:9" x14ac:dyDescent="0.3">
      <c r="A229" t="s">
        <v>244</v>
      </c>
      <c r="B229" t="s">
        <v>18</v>
      </c>
      <c r="C229" t="s">
        <v>11</v>
      </c>
      <c r="D229">
        <v>57</v>
      </c>
      <c r="E229" s="1">
        <v>44598</v>
      </c>
      <c r="F229">
        <v>4.1900000000000004</v>
      </c>
      <c r="G229">
        <v>2</v>
      </c>
      <c r="H229">
        <v>7965.27</v>
      </c>
      <c r="I229">
        <v>3.7</v>
      </c>
    </row>
    <row r="230" spans="1:9" x14ac:dyDescent="0.3">
      <c r="A230" t="s">
        <v>245</v>
      </c>
      <c r="B230" t="s">
        <v>24</v>
      </c>
      <c r="C230" t="s">
        <v>11</v>
      </c>
      <c r="D230">
        <v>25</v>
      </c>
      <c r="E230" s="1">
        <v>40559</v>
      </c>
      <c r="F230">
        <v>4.08</v>
      </c>
      <c r="G230">
        <v>8</v>
      </c>
      <c r="H230">
        <v>12973.96</v>
      </c>
      <c r="I230">
        <v>14.8</v>
      </c>
    </row>
    <row r="231" spans="1:9" x14ac:dyDescent="0.3">
      <c r="A231" t="s">
        <v>246</v>
      </c>
      <c r="B231" t="s">
        <v>16</v>
      </c>
      <c r="C231" t="s">
        <v>11</v>
      </c>
      <c r="D231">
        <v>55</v>
      </c>
      <c r="E231" s="1">
        <v>41341</v>
      </c>
      <c r="F231">
        <v>2.44</v>
      </c>
      <c r="G231">
        <v>8</v>
      </c>
      <c r="H231">
        <v>8938.8799999999992</v>
      </c>
      <c r="I231">
        <v>12.7</v>
      </c>
    </row>
    <row r="232" spans="1:9" x14ac:dyDescent="0.3">
      <c r="A232" t="s">
        <v>247</v>
      </c>
      <c r="B232" t="s">
        <v>13</v>
      </c>
      <c r="C232" t="s">
        <v>14</v>
      </c>
      <c r="D232">
        <v>28</v>
      </c>
      <c r="E232" s="1">
        <v>43594</v>
      </c>
      <c r="F232">
        <v>3.59</v>
      </c>
      <c r="G232">
        <v>15</v>
      </c>
      <c r="H232">
        <v>11291.19</v>
      </c>
      <c r="I232">
        <v>6.5</v>
      </c>
    </row>
    <row r="233" spans="1:9" x14ac:dyDescent="0.3">
      <c r="A233" t="s">
        <v>248</v>
      </c>
      <c r="B233" t="s">
        <v>13</v>
      </c>
      <c r="C233" t="s">
        <v>14</v>
      </c>
      <c r="D233">
        <v>26</v>
      </c>
      <c r="E233" s="1">
        <v>43362</v>
      </c>
      <c r="F233">
        <v>3.43</v>
      </c>
      <c r="G233">
        <v>6</v>
      </c>
      <c r="H233">
        <v>10577.82</v>
      </c>
      <c r="I233">
        <v>7.1</v>
      </c>
    </row>
    <row r="234" spans="1:9" x14ac:dyDescent="0.3">
      <c r="A234" t="s">
        <v>249</v>
      </c>
      <c r="B234" t="s">
        <v>34</v>
      </c>
      <c r="C234" t="s">
        <v>11</v>
      </c>
      <c r="D234">
        <v>43</v>
      </c>
      <c r="E234" s="1">
        <v>43518</v>
      </c>
      <c r="F234">
        <v>3.77</v>
      </c>
      <c r="G234">
        <v>5</v>
      </c>
      <c r="H234">
        <v>3880.73</v>
      </c>
      <c r="I234">
        <v>6.7</v>
      </c>
    </row>
    <row r="235" spans="1:9" x14ac:dyDescent="0.3">
      <c r="A235" t="s">
        <v>250</v>
      </c>
      <c r="B235" t="s">
        <v>18</v>
      </c>
      <c r="C235" t="s">
        <v>14</v>
      </c>
      <c r="D235">
        <v>44</v>
      </c>
      <c r="E235" s="1">
        <v>40564</v>
      </c>
      <c r="F235">
        <v>3.39</v>
      </c>
      <c r="G235">
        <v>10</v>
      </c>
      <c r="H235">
        <v>5618.26</v>
      </c>
      <c r="I235">
        <v>14.8</v>
      </c>
    </row>
    <row r="236" spans="1:9" x14ac:dyDescent="0.3">
      <c r="A236" t="s">
        <v>251</v>
      </c>
      <c r="B236" t="s">
        <v>24</v>
      </c>
      <c r="C236" t="s">
        <v>11</v>
      </c>
      <c r="D236">
        <v>36</v>
      </c>
      <c r="E236" s="1">
        <v>42908</v>
      </c>
      <c r="F236">
        <v>3.49</v>
      </c>
      <c r="G236">
        <v>4</v>
      </c>
      <c r="H236">
        <v>14057.1</v>
      </c>
      <c r="I236">
        <v>8.4</v>
      </c>
    </row>
    <row r="237" spans="1:9" x14ac:dyDescent="0.3">
      <c r="A237" t="s">
        <v>252</v>
      </c>
      <c r="B237" t="s">
        <v>16</v>
      </c>
      <c r="C237" t="s">
        <v>14</v>
      </c>
      <c r="D237">
        <v>56</v>
      </c>
      <c r="E237" s="1">
        <v>41674</v>
      </c>
      <c r="F237">
        <v>3.31</v>
      </c>
      <c r="G237">
        <v>1</v>
      </c>
      <c r="H237">
        <v>6434.15</v>
      </c>
      <c r="I237">
        <v>11.7</v>
      </c>
    </row>
    <row r="238" spans="1:9" x14ac:dyDescent="0.3">
      <c r="A238" t="s">
        <v>253</v>
      </c>
      <c r="B238" t="s">
        <v>16</v>
      </c>
      <c r="C238" t="s">
        <v>14</v>
      </c>
      <c r="D238">
        <v>48</v>
      </c>
      <c r="E238" s="1">
        <v>40524</v>
      </c>
      <c r="F238">
        <v>2.41</v>
      </c>
      <c r="G238">
        <v>12</v>
      </c>
      <c r="H238">
        <v>10382.64</v>
      </c>
      <c r="I238">
        <v>14.9</v>
      </c>
    </row>
    <row r="239" spans="1:9" x14ac:dyDescent="0.3">
      <c r="A239" t="s">
        <v>254</v>
      </c>
      <c r="B239" t="s">
        <v>18</v>
      </c>
      <c r="C239" t="s">
        <v>11</v>
      </c>
      <c r="D239">
        <v>24</v>
      </c>
      <c r="E239" s="1">
        <v>40315</v>
      </c>
      <c r="F239">
        <v>2.6</v>
      </c>
      <c r="G239">
        <v>15</v>
      </c>
      <c r="H239">
        <v>12358.76</v>
      </c>
      <c r="I239">
        <v>15.5</v>
      </c>
    </row>
    <row r="240" spans="1:9" x14ac:dyDescent="0.3">
      <c r="A240" t="s">
        <v>255</v>
      </c>
      <c r="B240" t="s">
        <v>24</v>
      </c>
      <c r="C240" t="s">
        <v>14</v>
      </c>
      <c r="D240">
        <v>25</v>
      </c>
      <c r="E240" s="1">
        <v>45658</v>
      </c>
      <c r="F240">
        <v>1.76</v>
      </c>
      <c r="G240">
        <v>4</v>
      </c>
      <c r="H240">
        <v>12737</v>
      </c>
      <c r="I240">
        <v>0.8</v>
      </c>
    </row>
    <row r="241" spans="1:9" x14ac:dyDescent="0.3">
      <c r="A241" t="s">
        <v>256</v>
      </c>
      <c r="B241" t="s">
        <v>13</v>
      </c>
      <c r="C241" t="s">
        <v>11</v>
      </c>
      <c r="D241">
        <v>57</v>
      </c>
      <c r="E241" s="1">
        <v>44751</v>
      </c>
      <c r="F241">
        <v>4.8600000000000003</v>
      </c>
      <c r="G241">
        <v>15</v>
      </c>
      <c r="H241">
        <v>8798.18</v>
      </c>
      <c r="I241">
        <v>3.3</v>
      </c>
    </row>
    <row r="242" spans="1:9" x14ac:dyDescent="0.3">
      <c r="A242" t="s">
        <v>257</v>
      </c>
      <c r="B242" t="s">
        <v>16</v>
      </c>
      <c r="C242" t="s">
        <v>14</v>
      </c>
      <c r="D242">
        <v>32</v>
      </c>
      <c r="E242" s="1">
        <v>44637</v>
      </c>
      <c r="F242">
        <v>2.09</v>
      </c>
      <c r="G242">
        <v>6</v>
      </c>
      <c r="H242">
        <v>13617.35</v>
      </c>
      <c r="I242">
        <v>3.6</v>
      </c>
    </row>
    <row r="243" spans="1:9" x14ac:dyDescent="0.3">
      <c r="A243" t="s">
        <v>258</v>
      </c>
      <c r="B243" t="s">
        <v>16</v>
      </c>
      <c r="C243" t="s">
        <v>14</v>
      </c>
      <c r="D243">
        <v>51</v>
      </c>
      <c r="E243" s="1">
        <v>41367</v>
      </c>
      <c r="F243">
        <v>1.6</v>
      </c>
      <c r="G243">
        <v>10</v>
      </c>
      <c r="H243">
        <v>7200.03</v>
      </c>
      <c r="I243">
        <v>12.6</v>
      </c>
    </row>
    <row r="244" spans="1:9" x14ac:dyDescent="0.3">
      <c r="A244" t="s">
        <v>259</v>
      </c>
      <c r="B244" t="s">
        <v>10</v>
      </c>
      <c r="C244" t="s">
        <v>14</v>
      </c>
      <c r="D244">
        <v>27</v>
      </c>
      <c r="E244" s="1">
        <v>44558</v>
      </c>
      <c r="F244">
        <v>1.75</v>
      </c>
      <c r="G244">
        <v>0</v>
      </c>
      <c r="H244">
        <v>3417.34</v>
      </c>
      <c r="I244">
        <v>3.8</v>
      </c>
    </row>
    <row r="245" spans="1:9" x14ac:dyDescent="0.3">
      <c r="A245" t="s">
        <v>260</v>
      </c>
      <c r="B245" t="s">
        <v>16</v>
      </c>
      <c r="C245" t="s">
        <v>11</v>
      </c>
      <c r="D245">
        <v>55</v>
      </c>
      <c r="E245" s="1">
        <v>43526</v>
      </c>
      <c r="F245">
        <v>4.08</v>
      </c>
      <c r="G245">
        <v>2</v>
      </c>
      <c r="H245">
        <v>6603.29</v>
      </c>
      <c r="I245">
        <v>6.7</v>
      </c>
    </row>
    <row r="246" spans="1:9" x14ac:dyDescent="0.3">
      <c r="A246" t="s">
        <v>261</v>
      </c>
      <c r="B246" t="s">
        <v>34</v>
      </c>
      <c r="C246" t="s">
        <v>14</v>
      </c>
      <c r="D246">
        <v>48</v>
      </c>
      <c r="E246" s="1">
        <v>42190</v>
      </c>
      <c r="F246">
        <v>4.4800000000000004</v>
      </c>
      <c r="G246">
        <v>2</v>
      </c>
      <c r="H246">
        <v>12498.29</v>
      </c>
      <c r="I246">
        <v>10.3</v>
      </c>
    </row>
    <row r="247" spans="1:9" x14ac:dyDescent="0.3">
      <c r="A247" t="s">
        <v>262</v>
      </c>
      <c r="B247" t="s">
        <v>16</v>
      </c>
      <c r="C247" t="s">
        <v>14</v>
      </c>
      <c r="D247">
        <v>43</v>
      </c>
      <c r="E247" s="1">
        <v>45279</v>
      </c>
      <c r="F247">
        <v>1.82</v>
      </c>
      <c r="G247">
        <v>8</v>
      </c>
      <c r="H247">
        <v>3002.18</v>
      </c>
      <c r="I247">
        <v>1.9</v>
      </c>
    </row>
    <row r="248" spans="1:9" x14ac:dyDescent="0.3">
      <c r="A248" t="s">
        <v>263</v>
      </c>
      <c r="B248" t="s">
        <v>13</v>
      </c>
      <c r="C248" t="s">
        <v>14</v>
      </c>
      <c r="D248">
        <v>28</v>
      </c>
      <c r="E248" s="1">
        <v>40184</v>
      </c>
      <c r="F248">
        <v>2.39</v>
      </c>
      <c r="G248">
        <v>12</v>
      </c>
      <c r="H248">
        <v>14945.81</v>
      </c>
      <c r="I248">
        <v>15.8</v>
      </c>
    </row>
    <row r="249" spans="1:9" x14ac:dyDescent="0.3">
      <c r="A249" t="s">
        <v>264</v>
      </c>
      <c r="B249" t="s">
        <v>16</v>
      </c>
      <c r="C249" t="s">
        <v>11</v>
      </c>
      <c r="D249">
        <v>32</v>
      </c>
      <c r="E249" s="1">
        <v>43102</v>
      </c>
      <c r="F249">
        <v>2.48</v>
      </c>
      <c r="G249">
        <v>14</v>
      </c>
      <c r="H249">
        <v>10248.65</v>
      </c>
      <c r="I249">
        <v>7.8</v>
      </c>
    </row>
    <row r="250" spans="1:9" x14ac:dyDescent="0.3">
      <c r="A250" t="s">
        <v>265</v>
      </c>
      <c r="B250" t="s">
        <v>16</v>
      </c>
      <c r="C250" t="s">
        <v>11</v>
      </c>
      <c r="D250">
        <v>51</v>
      </c>
      <c r="E250" s="1">
        <v>44633</v>
      </c>
      <c r="F250">
        <v>1.88</v>
      </c>
      <c r="G250">
        <v>9</v>
      </c>
      <c r="H250">
        <v>13083.73</v>
      </c>
      <c r="I250">
        <v>3.6</v>
      </c>
    </row>
    <row r="251" spans="1:9" x14ac:dyDescent="0.3">
      <c r="A251" t="s">
        <v>266</v>
      </c>
      <c r="B251" t="s">
        <v>18</v>
      </c>
      <c r="C251" t="s">
        <v>11</v>
      </c>
      <c r="D251">
        <v>32</v>
      </c>
      <c r="E251" s="1">
        <v>41958</v>
      </c>
      <c r="F251">
        <v>4.99</v>
      </c>
      <c r="G251">
        <v>7</v>
      </c>
      <c r="H251">
        <v>10607.7</v>
      </c>
      <c r="I251">
        <v>11</v>
      </c>
    </row>
    <row r="252" spans="1:9" x14ac:dyDescent="0.3">
      <c r="A252" t="s">
        <v>267</v>
      </c>
      <c r="B252" t="s">
        <v>13</v>
      </c>
      <c r="C252" t="s">
        <v>11</v>
      </c>
      <c r="D252">
        <v>47</v>
      </c>
      <c r="E252" s="1">
        <v>44545</v>
      </c>
      <c r="F252">
        <v>4.47</v>
      </c>
      <c r="G252">
        <v>7</v>
      </c>
      <c r="H252">
        <v>8315.8799999999992</v>
      </c>
      <c r="I252">
        <v>3.9</v>
      </c>
    </row>
    <row r="253" spans="1:9" x14ac:dyDescent="0.3">
      <c r="A253" t="s">
        <v>268</v>
      </c>
      <c r="B253" t="s">
        <v>13</v>
      </c>
      <c r="C253" t="s">
        <v>11</v>
      </c>
      <c r="D253">
        <v>38</v>
      </c>
      <c r="E253" s="1">
        <v>44132</v>
      </c>
      <c r="F253">
        <v>4.16</v>
      </c>
      <c r="G253">
        <v>9</v>
      </c>
      <c r="H253">
        <v>6159.41</v>
      </c>
      <c r="I253">
        <v>5</v>
      </c>
    </row>
    <row r="254" spans="1:9" x14ac:dyDescent="0.3">
      <c r="A254" t="s">
        <v>269</v>
      </c>
      <c r="B254" t="s">
        <v>13</v>
      </c>
      <c r="C254" t="s">
        <v>14</v>
      </c>
      <c r="D254">
        <v>57</v>
      </c>
      <c r="E254" s="1">
        <v>44666</v>
      </c>
      <c r="F254">
        <v>4.1500000000000004</v>
      </c>
      <c r="G254">
        <v>6</v>
      </c>
      <c r="H254">
        <v>12837.85</v>
      </c>
      <c r="I254">
        <v>3.6</v>
      </c>
    </row>
    <row r="255" spans="1:9" x14ac:dyDescent="0.3">
      <c r="A255" t="s">
        <v>270</v>
      </c>
      <c r="B255" t="s">
        <v>13</v>
      </c>
      <c r="C255" t="s">
        <v>11</v>
      </c>
      <c r="D255">
        <v>49</v>
      </c>
      <c r="E255" s="1">
        <v>43064</v>
      </c>
      <c r="F255">
        <v>4.29</v>
      </c>
      <c r="G255">
        <v>13</v>
      </c>
      <c r="H255">
        <v>9288.0300000000007</v>
      </c>
      <c r="I255">
        <v>7.9</v>
      </c>
    </row>
    <row r="256" spans="1:9" x14ac:dyDescent="0.3">
      <c r="A256" t="s">
        <v>271</v>
      </c>
      <c r="B256" t="s">
        <v>18</v>
      </c>
      <c r="C256" t="s">
        <v>11</v>
      </c>
      <c r="D256">
        <v>32</v>
      </c>
      <c r="E256" s="1">
        <v>40326</v>
      </c>
      <c r="F256">
        <v>4.25</v>
      </c>
      <c r="G256">
        <v>5</v>
      </c>
      <c r="H256">
        <v>11683.36</v>
      </c>
      <c r="I256">
        <v>15.4</v>
      </c>
    </row>
    <row r="257" spans="1:9" x14ac:dyDescent="0.3">
      <c r="A257" t="s">
        <v>272</v>
      </c>
      <c r="B257" t="s">
        <v>13</v>
      </c>
      <c r="C257" t="s">
        <v>11</v>
      </c>
      <c r="D257">
        <v>48</v>
      </c>
      <c r="E257" s="1">
        <v>41016</v>
      </c>
      <c r="F257">
        <v>4.26</v>
      </c>
      <c r="G257">
        <v>9</v>
      </c>
      <c r="H257">
        <v>7770.96</v>
      </c>
      <c r="I257">
        <v>13.6</v>
      </c>
    </row>
    <row r="258" spans="1:9" x14ac:dyDescent="0.3">
      <c r="A258" t="s">
        <v>273</v>
      </c>
      <c r="B258" t="s">
        <v>16</v>
      </c>
      <c r="C258" t="s">
        <v>11</v>
      </c>
      <c r="D258">
        <v>38</v>
      </c>
      <c r="E258" s="1">
        <v>40926</v>
      </c>
      <c r="F258">
        <v>2.19</v>
      </c>
      <c r="G258">
        <v>5</v>
      </c>
      <c r="H258">
        <v>13388.12</v>
      </c>
      <c r="I258">
        <v>13.8</v>
      </c>
    </row>
    <row r="259" spans="1:9" x14ac:dyDescent="0.3">
      <c r="A259" t="s">
        <v>274</v>
      </c>
      <c r="B259" t="s">
        <v>10</v>
      </c>
      <c r="C259" t="s">
        <v>11</v>
      </c>
      <c r="D259">
        <v>47</v>
      </c>
      <c r="E259" s="1">
        <v>40599</v>
      </c>
      <c r="F259">
        <v>2.41</v>
      </c>
      <c r="G259">
        <v>7</v>
      </c>
      <c r="H259">
        <v>3196.52</v>
      </c>
      <c r="I259">
        <v>14.7</v>
      </c>
    </row>
    <row r="260" spans="1:9" x14ac:dyDescent="0.3">
      <c r="A260" t="s">
        <v>275</v>
      </c>
      <c r="B260" t="s">
        <v>34</v>
      </c>
      <c r="C260" t="s">
        <v>14</v>
      </c>
      <c r="D260">
        <v>57</v>
      </c>
      <c r="E260" s="1">
        <v>45236</v>
      </c>
      <c r="F260">
        <v>2.63</v>
      </c>
      <c r="G260">
        <v>9</v>
      </c>
      <c r="H260">
        <v>12181.09</v>
      </c>
      <c r="I260">
        <v>2</v>
      </c>
    </row>
    <row r="261" spans="1:9" x14ac:dyDescent="0.3">
      <c r="A261" t="s">
        <v>276</v>
      </c>
      <c r="B261" t="s">
        <v>18</v>
      </c>
      <c r="C261" t="s">
        <v>14</v>
      </c>
      <c r="D261">
        <v>28</v>
      </c>
      <c r="E261" s="1">
        <v>41697</v>
      </c>
      <c r="F261">
        <v>4.66</v>
      </c>
      <c r="G261">
        <v>15</v>
      </c>
      <c r="H261">
        <v>8398.32</v>
      </c>
      <c r="I261">
        <v>11.7</v>
      </c>
    </row>
    <row r="262" spans="1:9" x14ac:dyDescent="0.3">
      <c r="A262" t="s">
        <v>277</v>
      </c>
      <c r="B262" t="s">
        <v>10</v>
      </c>
      <c r="C262" t="s">
        <v>14</v>
      </c>
      <c r="D262">
        <v>23</v>
      </c>
      <c r="E262" s="1">
        <v>40594</v>
      </c>
      <c r="F262">
        <v>2.41</v>
      </c>
      <c r="G262">
        <v>12</v>
      </c>
      <c r="H262">
        <v>14957.65</v>
      </c>
      <c r="I262">
        <v>14.7</v>
      </c>
    </row>
    <row r="263" spans="1:9" x14ac:dyDescent="0.3">
      <c r="A263" t="s">
        <v>278</v>
      </c>
      <c r="B263" t="s">
        <v>16</v>
      </c>
      <c r="C263" t="s">
        <v>14</v>
      </c>
      <c r="D263">
        <v>36</v>
      </c>
      <c r="E263" s="1">
        <v>43778</v>
      </c>
      <c r="F263">
        <v>3.28</v>
      </c>
      <c r="G263">
        <v>10</v>
      </c>
      <c r="H263">
        <v>10097.75</v>
      </c>
      <c r="I263">
        <v>6</v>
      </c>
    </row>
    <row r="264" spans="1:9" x14ac:dyDescent="0.3">
      <c r="A264" t="s">
        <v>279</v>
      </c>
      <c r="B264" t="s">
        <v>16</v>
      </c>
      <c r="C264" t="s">
        <v>11</v>
      </c>
      <c r="D264">
        <v>33</v>
      </c>
      <c r="E264" s="1">
        <v>41189</v>
      </c>
      <c r="F264">
        <v>4.1900000000000004</v>
      </c>
      <c r="G264">
        <v>3</v>
      </c>
      <c r="H264">
        <v>5805.7</v>
      </c>
      <c r="I264">
        <v>13.1</v>
      </c>
    </row>
    <row r="265" spans="1:9" x14ac:dyDescent="0.3">
      <c r="A265" t="s">
        <v>280</v>
      </c>
      <c r="B265" t="s">
        <v>10</v>
      </c>
      <c r="C265" t="s">
        <v>14</v>
      </c>
      <c r="D265">
        <v>36</v>
      </c>
      <c r="E265" s="1">
        <v>41884</v>
      </c>
      <c r="F265">
        <v>4.66</v>
      </c>
      <c r="G265">
        <v>2</v>
      </c>
      <c r="H265">
        <v>8434.31</v>
      </c>
      <c r="I265">
        <v>11.2</v>
      </c>
    </row>
    <row r="266" spans="1:9" x14ac:dyDescent="0.3">
      <c r="A266" t="s">
        <v>281</v>
      </c>
      <c r="B266" t="s">
        <v>18</v>
      </c>
      <c r="C266" t="s">
        <v>14</v>
      </c>
      <c r="D266">
        <v>39</v>
      </c>
      <c r="E266" s="1">
        <v>45278</v>
      </c>
      <c r="F266">
        <v>2.2400000000000002</v>
      </c>
      <c r="G266">
        <v>0</v>
      </c>
      <c r="H266">
        <v>11891.85</v>
      </c>
      <c r="I266">
        <v>1.9</v>
      </c>
    </row>
    <row r="267" spans="1:9" x14ac:dyDescent="0.3">
      <c r="A267" t="s">
        <v>282</v>
      </c>
      <c r="B267" t="s">
        <v>24</v>
      </c>
      <c r="C267" t="s">
        <v>14</v>
      </c>
      <c r="D267">
        <v>28</v>
      </c>
      <c r="E267" s="1">
        <v>42168</v>
      </c>
      <c r="F267">
        <v>3.17</v>
      </c>
      <c r="G267">
        <v>15</v>
      </c>
      <c r="H267">
        <v>10739.38</v>
      </c>
      <c r="I267">
        <v>10.4</v>
      </c>
    </row>
    <row r="268" spans="1:9" x14ac:dyDescent="0.3">
      <c r="A268" t="s">
        <v>283</v>
      </c>
      <c r="B268" t="s">
        <v>18</v>
      </c>
      <c r="C268" t="s">
        <v>14</v>
      </c>
      <c r="D268">
        <v>38</v>
      </c>
      <c r="E268" s="1">
        <v>43610</v>
      </c>
      <c r="F268">
        <v>4.8099999999999996</v>
      </c>
      <c r="G268">
        <v>6</v>
      </c>
      <c r="H268">
        <v>9934.31</v>
      </c>
      <c r="I268">
        <v>6.4</v>
      </c>
    </row>
    <row r="269" spans="1:9" x14ac:dyDescent="0.3">
      <c r="A269" t="s">
        <v>284</v>
      </c>
      <c r="B269" t="s">
        <v>13</v>
      </c>
      <c r="C269" t="s">
        <v>11</v>
      </c>
      <c r="D269">
        <v>54</v>
      </c>
      <c r="E269" s="1">
        <v>43456</v>
      </c>
      <c r="F269">
        <v>2.82</v>
      </c>
      <c r="G269">
        <v>3</v>
      </c>
      <c r="H269">
        <v>7825.34</v>
      </c>
      <c r="I269">
        <v>6.9</v>
      </c>
    </row>
    <row r="270" spans="1:9" x14ac:dyDescent="0.3">
      <c r="A270" t="s">
        <v>285</v>
      </c>
      <c r="B270" t="s">
        <v>24</v>
      </c>
      <c r="C270" t="s">
        <v>14</v>
      </c>
      <c r="D270">
        <v>52</v>
      </c>
      <c r="E270" s="1">
        <v>42303</v>
      </c>
      <c r="F270">
        <v>3.6</v>
      </c>
      <c r="G270">
        <v>1</v>
      </c>
      <c r="H270">
        <v>12292.15</v>
      </c>
      <c r="I270">
        <v>10</v>
      </c>
    </row>
    <row r="271" spans="1:9" x14ac:dyDescent="0.3">
      <c r="A271" t="s">
        <v>286</v>
      </c>
      <c r="B271" t="s">
        <v>13</v>
      </c>
      <c r="C271" t="s">
        <v>11</v>
      </c>
      <c r="D271">
        <v>50</v>
      </c>
      <c r="E271" s="1">
        <v>43568</v>
      </c>
      <c r="F271">
        <v>1.8</v>
      </c>
      <c r="G271">
        <v>8</v>
      </c>
      <c r="H271">
        <v>7871.32</v>
      </c>
      <c r="I271">
        <v>6.6</v>
      </c>
    </row>
    <row r="272" spans="1:9" x14ac:dyDescent="0.3">
      <c r="A272" t="s">
        <v>287</v>
      </c>
      <c r="B272" t="s">
        <v>13</v>
      </c>
      <c r="C272" t="s">
        <v>14</v>
      </c>
      <c r="D272">
        <v>41</v>
      </c>
      <c r="E272" s="1">
        <v>44743</v>
      </c>
      <c r="F272">
        <v>1.7</v>
      </c>
      <c r="G272">
        <v>6</v>
      </c>
      <c r="H272">
        <v>11664.6</v>
      </c>
      <c r="I272">
        <v>3.3</v>
      </c>
    </row>
    <row r="273" spans="1:9" x14ac:dyDescent="0.3">
      <c r="A273" t="s">
        <v>288</v>
      </c>
      <c r="B273" t="s">
        <v>16</v>
      </c>
      <c r="C273" t="s">
        <v>14</v>
      </c>
      <c r="D273">
        <v>40</v>
      </c>
      <c r="E273" s="1">
        <v>44632</v>
      </c>
      <c r="F273">
        <v>2.36</v>
      </c>
      <c r="G273">
        <v>12</v>
      </c>
      <c r="H273">
        <v>10076.25</v>
      </c>
      <c r="I273">
        <v>3.6</v>
      </c>
    </row>
    <row r="274" spans="1:9" x14ac:dyDescent="0.3">
      <c r="A274" t="s">
        <v>289</v>
      </c>
      <c r="B274" t="s">
        <v>10</v>
      </c>
      <c r="C274" t="s">
        <v>11</v>
      </c>
      <c r="D274">
        <v>26</v>
      </c>
      <c r="E274" s="1">
        <v>45032</v>
      </c>
      <c r="F274">
        <v>1.53</v>
      </c>
      <c r="G274">
        <v>3</v>
      </c>
      <c r="H274">
        <v>13573.33</v>
      </c>
      <c r="I274">
        <v>2.5</v>
      </c>
    </row>
    <row r="275" spans="1:9" x14ac:dyDescent="0.3">
      <c r="A275" t="s">
        <v>290</v>
      </c>
      <c r="B275" t="s">
        <v>34</v>
      </c>
      <c r="C275" t="s">
        <v>14</v>
      </c>
      <c r="D275">
        <v>57</v>
      </c>
      <c r="E275" s="1">
        <v>40289</v>
      </c>
      <c r="F275">
        <v>2.09</v>
      </c>
      <c r="G275">
        <v>7</v>
      </c>
      <c r="H275">
        <v>8564.8700000000008</v>
      </c>
      <c r="I275">
        <v>15.5</v>
      </c>
    </row>
    <row r="276" spans="1:9" x14ac:dyDescent="0.3">
      <c r="A276" t="s">
        <v>291</v>
      </c>
      <c r="B276" t="s">
        <v>24</v>
      </c>
      <c r="C276" t="s">
        <v>14</v>
      </c>
      <c r="D276">
        <v>33</v>
      </c>
      <c r="E276" s="1">
        <v>44724</v>
      </c>
      <c r="F276">
        <v>2.2400000000000002</v>
      </c>
      <c r="G276">
        <v>5</v>
      </c>
      <c r="H276">
        <v>5518.11</v>
      </c>
      <c r="I276">
        <v>3.4</v>
      </c>
    </row>
    <row r="277" spans="1:9" x14ac:dyDescent="0.3">
      <c r="A277" t="s">
        <v>292</v>
      </c>
      <c r="B277" t="s">
        <v>13</v>
      </c>
      <c r="C277" t="s">
        <v>11</v>
      </c>
      <c r="D277">
        <v>40</v>
      </c>
      <c r="E277" s="1">
        <v>41686</v>
      </c>
      <c r="F277">
        <v>4.7300000000000004</v>
      </c>
      <c r="G277">
        <v>13</v>
      </c>
      <c r="H277">
        <v>4063.94</v>
      </c>
      <c r="I277">
        <v>11.7</v>
      </c>
    </row>
    <row r="278" spans="1:9" x14ac:dyDescent="0.3">
      <c r="A278" t="s">
        <v>293</v>
      </c>
      <c r="B278" t="s">
        <v>10</v>
      </c>
      <c r="C278" t="s">
        <v>14</v>
      </c>
      <c r="D278">
        <v>60</v>
      </c>
      <c r="E278" s="1">
        <v>44581</v>
      </c>
      <c r="F278">
        <v>4.46</v>
      </c>
      <c r="G278">
        <v>14</v>
      </c>
      <c r="H278">
        <v>7670.34</v>
      </c>
      <c r="I278">
        <v>3.8</v>
      </c>
    </row>
    <row r="279" spans="1:9" x14ac:dyDescent="0.3">
      <c r="A279" t="s">
        <v>294</v>
      </c>
      <c r="B279" t="s">
        <v>34</v>
      </c>
      <c r="C279" t="s">
        <v>14</v>
      </c>
      <c r="D279">
        <v>44</v>
      </c>
      <c r="E279" s="1">
        <v>42675</v>
      </c>
      <c r="F279">
        <v>3.4</v>
      </c>
      <c r="G279">
        <v>5</v>
      </c>
      <c r="H279">
        <v>14702.98</v>
      </c>
      <c r="I279">
        <v>9</v>
      </c>
    </row>
    <row r="280" spans="1:9" x14ac:dyDescent="0.3">
      <c r="A280" t="s">
        <v>295</v>
      </c>
      <c r="B280" t="s">
        <v>24</v>
      </c>
      <c r="C280" t="s">
        <v>14</v>
      </c>
      <c r="D280">
        <v>41</v>
      </c>
      <c r="E280" s="1">
        <v>40400</v>
      </c>
      <c r="F280">
        <v>3.75</v>
      </c>
      <c r="G280">
        <v>2</v>
      </c>
      <c r="H280">
        <v>11418.85</v>
      </c>
      <c r="I280">
        <v>15.2</v>
      </c>
    </row>
    <row r="281" spans="1:9" x14ac:dyDescent="0.3">
      <c r="A281" t="s">
        <v>296</v>
      </c>
      <c r="B281" t="s">
        <v>16</v>
      </c>
      <c r="C281" t="s">
        <v>14</v>
      </c>
      <c r="D281">
        <v>26</v>
      </c>
      <c r="E281" s="1">
        <v>45924</v>
      </c>
      <c r="F281">
        <v>2.0499999999999998</v>
      </c>
      <c r="G281">
        <v>5</v>
      </c>
      <c r="H281">
        <v>13279.35</v>
      </c>
      <c r="I281">
        <v>0.1</v>
      </c>
    </row>
    <row r="282" spans="1:9" x14ac:dyDescent="0.3">
      <c r="A282" t="s">
        <v>297</v>
      </c>
      <c r="B282" t="s">
        <v>34</v>
      </c>
      <c r="C282" t="s">
        <v>14</v>
      </c>
      <c r="D282">
        <v>59</v>
      </c>
      <c r="E282" s="1">
        <v>41463</v>
      </c>
      <c r="F282">
        <v>3.78</v>
      </c>
      <c r="G282">
        <v>12</v>
      </c>
      <c r="H282">
        <v>13278.8</v>
      </c>
      <c r="I282">
        <v>12.3</v>
      </c>
    </row>
    <row r="283" spans="1:9" x14ac:dyDescent="0.3">
      <c r="A283" t="s">
        <v>298</v>
      </c>
      <c r="B283" t="s">
        <v>18</v>
      </c>
      <c r="C283" t="s">
        <v>14</v>
      </c>
      <c r="D283">
        <v>27</v>
      </c>
      <c r="E283" s="1">
        <v>42851</v>
      </c>
      <c r="F283">
        <v>1.95</v>
      </c>
      <c r="G283">
        <v>9</v>
      </c>
      <c r="H283">
        <v>9707.74</v>
      </c>
      <c r="I283">
        <v>8.5</v>
      </c>
    </row>
    <row r="284" spans="1:9" x14ac:dyDescent="0.3">
      <c r="A284" t="s">
        <v>299</v>
      </c>
      <c r="B284" t="s">
        <v>10</v>
      </c>
      <c r="C284" t="s">
        <v>14</v>
      </c>
      <c r="D284">
        <v>37</v>
      </c>
      <c r="E284" s="1">
        <v>42634</v>
      </c>
      <c r="F284">
        <v>1.78</v>
      </c>
      <c r="G284">
        <v>3</v>
      </c>
      <c r="H284">
        <v>3119.66</v>
      </c>
      <c r="I284">
        <v>9.1</v>
      </c>
    </row>
    <row r="285" spans="1:9" x14ac:dyDescent="0.3">
      <c r="A285" t="s">
        <v>300</v>
      </c>
      <c r="B285" t="s">
        <v>18</v>
      </c>
      <c r="C285" t="s">
        <v>14</v>
      </c>
      <c r="D285">
        <v>34</v>
      </c>
      <c r="E285" s="1">
        <v>44163</v>
      </c>
      <c r="F285">
        <v>4.24</v>
      </c>
      <c r="G285">
        <v>11</v>
      </c>
      <c r="H285">
        <v>6771.92</v>
      </c>
      <c r="I285">
        <v>4.9000000000000004</v>
      </c>
    </row>
    <row r="286" spans="1:9" x14ac:dyDescent="0.3">
      <c r="A286" t="s">
        <v>301</v>
      </c>
      <c r="B286" t="s">
        <v>10</v>
      </c>
      <c r="C286" t="s">
        <v>11</v>
      </c>
      <c r="D286">
        <v>35</v>
      </c>
      <c r="E286" s="1">
        <v>40255</v>
      </c>
      <c r="F286">
        <v>3.82</v>
      </c>
      <c r="G286">
        <v>15</v>
      </c>
      <c r="H286">
        <v>14709.39</v>
      </c>
      <c r="I286">
        <v>15.6</v>
      </c>
    </row>
    <row r="287" spans="1:9" x14ac:dyDescent="0.3">
      <c r="A287" t="s">
        <v>302</v>
      </c>
      <c r="B287" t="s">
        <v>16</v>
      </c>
      <c r="C287" t="s">
        <v>11</v>
      </c>
      <c r="D287">
        <v>28</v>
      </c>
      <c r="E287" s="1">
        <v>42122</v>
      </c>
      <c r="F287">
        <v>3.68</v>
      </c>
      <c r="G287">
        <v>6</v>
      </c>
      <c r="H287">
        <v>4828.59</v>
      </c>
      <c r="I287">
        <v>10.5</v>
      </c>
    </row>
    <row r="288" spans="1:9" x14ac:dyDescent="0.3">
      <c r="A288" t="s">
        <v>303</v>
      </c>
      <c r="B288" t="s">
        <v>10</v>
      </c>
      <c r="C288" t="s">
        <v>14</v>
      </c>
      <c r="D288">
        <v>40</v>
      </c>
      <c r="E288" s="1">
        <v>45035</v>
      </c>
      <c r="F288">
        <v>3.38</v>
      </c>
      <c r="G288">
        <v>13</v>
      </c>
      <c r="H288">
        <v>10429.34</v>
      </c>
      <c r="I288">
        <v>2.5</v>
      </c>
    </row>
    <row r="289" spans="1:9" x14ac:dyDescent="0.3">
      <c r="A289" t="s">
        <v>304</v>
      </c>
      <c r="B289" t="s">
        <v>13</v>
      </c>
      <c r="C289" t="s">
        <v>14</v>
      </c>
      <c r="D289">
        <v>56</v>
      </c>
      <c r="E289" s="1">
        <v>40247</v>
      </c>
      <c r="F289">
        <v>2.67</v>
      </c>
      <c r="G289">
        <v>8</v>
      </c>
      <c r="H289">
        <v>10306.959999999999</v>
      </c>
      <c r="I289">
        <v>15.7</v>
      </c>
    </row>
    <row r="290" spans="1:9" x14ac:dyDescent="0.3">
      <c r="A290" t="s">
        <v>305</v>
      </c>
      <c r="B290" t="s">
        <v>24</v>
      </c>
      <c r="C290" t="s">
        <v>11</v>
      </c>
      <c r="D290">
        <v>54</v>
      </c>
      <c r="E290" s="1">
        <v>43748</v>
      </c>
      <c r="F290">
        <v>3.08</v>
      </c>
      <c r="G290">
        <v>1</v>
      </c>
      <c r="H290">
        <v>3343.22</v>
      </c>
      <c r="I290">
        <v>6.1</v>
      </c>
    </row>
    <row r="291" spans="1:9" x14ac:dyDescent="0.3">
      <c r="A291" t="s">
        <v>306</v>
      </c>
      <c r="B291" t="s">
        <v>16</v>
      </c>
      <c r="C291" t="s">
        <v>14</v>
      </c>
      <c r="D291">
        <v>55</v>
      </c>
      <c r="E291" s="1">
        <v>44992</v>
      </c>
      <c r="F291">
        <v>2.4700000000000002</v>
      </c>
      <c r="G291">
        <v>13</v>
      </c>
      <c r="H291">
        <v>3278.61</v>
      </c>
      <c r="I291">
        <v>2.7</v>
      </c>
    </row>
    <row r="292" spans="1:9" x14ac:dyDescent="0.3">
      <c r="A292" t="s">
        <v>307</v>
      </c>
      <c r="B292" t="s">
        <v>18</v>
      </c>
      <c r="C292" t="s">
        <v>14</v>
      </c>
      <c r="D292">
        <v>43</v>
      </c>
      <c r="E292" s="1">
        <v>45155</v>
      </c>
      <c r="F292">
        <v>3.48</v>
      </c>
      <c r="G292">
        <v>2</v>
      </c>
      <c r="H292">
        <v>14061.94</v>
      </c>
      <c r="I292">
        <v>2.2000000000000002</v>
      </c>
    </row>
    <row r="293" spans="1:9" x14ac:dyDescent="0.3">
      <c r="A293" t="s">
        <v>308</v>
      </c>
      <c r="B293" t="s">
        <v>18</v>
      </c>
      <c r="C293" t="s">
        <v>11</v>
      </c>
      <c r="D293">
        <v>30</v>
      </c>
      <c r="E293" s="1">
        <v>43299</v>
      </c>
      <c r="F293">
        <v>1.92</v>
      </c>
      <c r="G293">
        <v>0</v>
      </c>
      <c r="H293">
        <v>12087.97</v>
      </c>
      <c r="I293">
        <v>7.3</v>
      </c>
    </row>
    <row r="294" spans="1:9" x14ac:dyDescent="0.3">
      <c r="A294" t="s">
        <v>309</v>
      </c>
      <c r="B294" t="s">
        <v>13</v>
      </c>
      <c r="C294" t="s">
        <v>11</v>
      </c>
      <c r="D294">
        <v>34</v>
      </c>
      <c r="E294" s="1">
        <v>44029</v>
      </c>
      <c r="F294">
        <v>4.8899999999999997</v>
      </c>
      <c r="G294">
        <v>7</v>
      </c>
      <c r="H294">
        <v>14421.63</v>
      </c>
      <c r="I294">
        <v>5.3</v>
      </c>
    </row>
    <row r="295" spans="1:9" x14ac:dyDescent="0.3">
      <c r="A295" t="s">
        <v>310</v>
      </c>
      <c r="B295" t="s">
        <v>34</v>
      </c>
      <c r="C295" t="s">
        <v>11</v>
      </c>
      <c r="D295">
        <v>24</v>
      </c>
      <c r="E295" s="1">
        <v>40310</v>
      </c>
      <c r="F295">
        <v>3.95</v>
      </c>
      <c r="G295">
        <v>10</v>
      </c>
      <c r="H295">
        <v>12472.38</v>
      </c>
      <c r="I295">
        <v>15.5</v>
      </c>
    </row>
    <row r="296" spans="1:9" x14ac:dyDescent="0.3">
      <c r="A296" t="s">
        <v>311</v>
      </c>
      <c r="B296" t="s">
        <v>13</v>
      </c>
      <c r="C296" t="s">
        <v>14</v>
      </c>
      <c r="D296">
        <v>60</v>
      </c>
      <c r="E296" s="1">
        <v>45177</v>
      </c>
      <c r="F296">
        <v>4.13</v>
      </c>
      <c r="G296">
        <v>13</v>
      </c>
      <c r="H296">
        <v>3204.32</v>
      </c>
      <c r="I296">
        <v>2.2000000000000002</v>
      </c>
    </row>
    <row r="297" spans="1:9" x14ac:dyDescent="0.3">
      <c r="A297" t="s">
        <v>312</v>
      </c>
      <c r="B297" t="s">
        <v>13</v>
      </c>
      <c r="C297" t="s">
        <v>14</v>
      </c>
      <c r="D297">
        <v>45</v>
      </c>
      <c r="E297" s="1">
        <v>43643</v>
      </c>
      <c r="F297">
        <v>2.38</v>
      </c>
      <c r="G297">
        <v>5</v>
      </c>
      <c r="H297">
        <v>6773.45</v>
      </c>
      <c r="I297">
        <v>6.4</v>
      </c>
    </row>
    <row r="298" spans="1:9" x14ac:dyDescent="0.3">
      <c r="A298" t="s">
        <v>313</v>
      </c>
      <c r="B298" t="s">
        <v>16</v>
      </c>
      <c r="C298" t="s">
        <v>11</v>
      </c>
      <c r="D298">
        <v>33</v>
      </c>
      <c r="E298" s="1">
        <v>40542</v>
      </c>
      <c r="F298">
        <v>4.6399999999999997</v>
      </c>
      <c r="G298">
        <v>5</v>
      </c>
      <c r="H298">
        <v>9973.85</v>
      </c>
      <c r="I298">
        <v>14.8</v>
      </c>
    </row>
    <row r="299" spans="1:9" x14ac:dyDescent="0.3">
      <c r="A299" t="s">
        <v>314</v>
      </c>
      <c r="B299" t="s">
        <v>13</v>
      </c>
      <c r="C299" t="s">
        <v>11</v>
      </c>
      <c r="D299">
        <v>40</v>
      </c>
      <c r="E299" s="1">
        <v>41801</v>
      </c>
      <c r="F299">
        <v>3.67</v>
      </c>
      <c r="G299">
        <v>13</v>
      </c>
      <c r="H299">
        <v>6996.55</v>
      </c>
      <c r="I299">
        <v>11.4</v>
      </c>
    </row>
    <row r="300" spans="1:9" x14ac:dyDescent="0.3">
      <c r="A300" t="s">
        <v>315</v>
      </c>
      <c r="B300" t="s">
        <v>16</v>
      </c>
      <c r="C300" t="s">
        <v>11</v>
      </c>
      <c r="D300">
        <v>47</v>
      </c>
      <c r="E300" s="1">
        <v>43879</v>
      </c>
      <c r="F300">
        <v>4.9000000000000004</v>
      </c>
      <c r="G300">
        <v>2</v>
      </c>
      <c r="H300">
        <v>8688.1</v>
      </c>
      <c r="I300">
        <v>5.7</v>
      </c>
    </row>
    <row r="301" spans="1:9" x14ac:dyDescent="0.3">
      <c r="A301" t="s">
        <v>316</v>
      </c>
      <c r="B301" t="s">
        <v>16</v>
      </c>
      <c r="C301" t="s">
        <v>14</v>
      </c>
      <c r="D301">
        <v>34</v>
      </c>
      <c r="E301" s="1">
        <v>43357</v>
      </c>
      <c r="F301">
        <v>4.66</v>
      </c>
      <c r="G301">
        <v>8</v>
      </c>
      <c r="H301">
        <v>9759.16</v>
      </c>
      <c r="I301">
        <v>7.1</v>
      </c>
    </row>
    <row r="302" spans="1:9" x14ac:dyDescent="0.3">
      <c r="A302" t="s">
        <v>317</v>
      </c>
      <c r="B302" t="s">
        <v>16</v>
      </c>
      <c r="C302" t="s">
        <v>11</v>
      </c>
      <c r="D302">
        <v>46</v>
      </c>
      <c r="E302" s="1">
        <v>43281</v>
      </c>
      <c r="F302">
        <v>2.02</v>
      </c>
      <c r="G302">
        <v>6</v>
      </c>
      <c r="H302">
        <v>9584.84</v>
      </c>
      <c r="I302">
        <v>7.3</v>
      </c>
    </row>
    <row r="303" spans="1:9" x14ac:dyDescent="0.3">
      <c r="A303" t="s">
        <v>318</v>
      </c>
      <c r="B303" t="s">
        <v>10</v>
      </c>
      <c r="C303" t="s">
        <v>14</v>
      </c>
      <c r="D303">
        <v>36</v>
      </c>
      <c r="E303" s="1">
        <v>41072</v>
      </c>
      <c r="F303">
        <v>3.48</v>
      </c>
      <c r="G303">
        <v>10</v>
      </c>
      <c r="H303">
        <v>8752.23</v>
      </c>
      <c r="I303">
        <v>13.4</v>
      </c>
    </row>
    <row r="304" spans="1:9" x14ac:dyDescent="0.3">
      <c r="A304" t="s">
        <v>319</v>
      </c>
      <c r="B304" t="s">
        <v>34</v>
      </c>
      <c r="C304" t="s">
        <v>14</v>
      </c>
      <c r="D304">
        <v>32</v>
      </c>
      <c r="E304" s="1">
        <v>44636</v>
      </c>
      <c r="F304">
        <v>4.7300000000000004</v>
      </c>
      <c r="G304">
        <v>1</v>
      </c>
      <c r="H304">
        <v>14964.04</v>
      </c>
      <c r="I304">
        <v>3.6</v>
      </c>
    </row>
    <row r="305" spans="1:9" x14ac:dyDescent="0.3">
      <c r="A305" t="s">
        <v>320</v>
      </c>
      <c r="B305" t="s">
        <v>24</v>
      </c>
      <c r="C305" t="s">
        <v>14</v>
      </c>
      <c r="D305">
        <v>57</v>
      </c>
      <c r="E305" s="1">
        <v>41299</v>
      </c>
      <c r="F305">
        <v>3.4</v>
      </c>
      <c r="G305">
        <v>15</v>
      </c>
      <c r="H305">
        <v>7816.19</v>
      </c>
      <c r="I305">
        <v>12.8</v>
      </c>
    </row>
    <row r="306" spans="1:9" x14ac:dyDescent="0.3">
      <c r="A306" t="s">
        <v>321</v>
      </c>
      <c r="B306" t="s">
        <v>34</v>
      </c>
      <c r="C306" t="s">
        <v>14</v>
      </c>
      <c r="D306">
        <v>27</v>
      </c>
      <c r="E306" s="1">
        <v>43582</v>
      </c>
      <c r="F306">
        <v>3.75</v>
      </c>
      <c r="G306">
        <v>2</v>
      </c>
      <c r="H306">
        <v>7665.64</v>
      </c>
      <c r="I306">
        <v>6.5</v>
      </c>
    </row>
    <row r="307" spans="1:9" x14ac:dyDescent="0.3">
      <c r="A307" t="s">
        <v>322</v>
      </c>
      <c r="B307" t="s">
        <v>34</v>
      </c>
      <c r="C307" t="s">
        <v>11</v>
      </c>
      <c r="D307">
        <v>38</v>
      </c>
      <c r="E307" s="1">
        <v>40610</v>
      </c>
      <c r="F307">
        <v>1.73</v>
      </c>
      <c r="G307">
        <v>8</v>
      </c>
      <c r="H307">
        <v>3223.56</v>
      </c>
      <c r="I307">
        <v>14.7</v>
      </c>
    </row>
    <row r="308" spans="1:9" x14ac:dyDescent="0.3">
      <c r="A308" t="s">
        <v>323</v>
      </c>
      <c r="B308" t="s">
        <v>18</v>
      </c>
      <c r="C308" t="s">
        <v>11</v>
      </c>
      <c r="D308">
        <v>41</v>
      </c>
      <c r="E308" s="1">
        <v>40481</v>
      </c>
      <c r="F308">
        <v>4.09</v>
      </c>
      <c r="G308">
        <v>2</v>
      </c>
      <c r="H308">
        <v>5148.67</v>
      </c>
      <c r="I308">
        <v>15</v>
      </c>
    </row>
    <row r="309" spans="1:9" x14ac:dyDescent="0.3">
      <c r="A309" t="s">
        <v>324</v>
      </c>
      <c r="B309" t="s">
        <v>10</v>
      </c>
      <c r="C309" t="s">
        <v>14</v>
      </c>
      <c r="D309">
        <v>55</v>
      </c>
      <c r="E309" s="1">
        <v>42539</v>
      </c>
      <c r="F309">
        <v>3.31</v>
      </c>
      <c r="G309">
        <v>14</v>
      </c>
      <c r="H309">
        <v>12681.93</v>
      </c>
      <c r="I309">
        <v>9.4</v>
      </c>
    </row>
    <row r="310" spans="1:9" x14ac:dyDescent="0.3">
      <c r="A310" t="s">
        <v>325</v>
      </c>
      <c r="B310" t="s">
        <v>13</v>
      </c>
      <c r="C310" t="s">
        <v>14</v>
      </c>
      <c r="D310">
        <v>39</v>
      </c>
      <c r="E310" s="1">
        <v>41762</v>
      </c>
      <c r="F310">
        <v>4.8600000000000003</v>
      </c>
      <c r="G310">
        <v>1</v>
      </c>
      <c r="H310">
        <v>12662.85</v>
      </c>
      <c r="I310">
        <v>11.5</v>
      </c>
    </row>
    <row r="311" spans="1:9" x14ac:dyDescent="0.3">
      <c r="A311" t="s">
        <v>326</v>
      </c>
      <c r="B311" t="s">
        <v>13</v>
      </c>
      <c r="C311" t="s">
        <v>11</v>
      </c>
      <c r="D311">
        <v>53</v>
      </c>
      <c r="E311" s="1">
        <v>40200</v>
      </c>
      <c r="F311">
        <v>2.56</v>
      </c>
      <c r="G311">
        <v>1</v>
      </c>
      <c r="H311">
        <v>6483.02</v>
      </c>
      <c r="I311">
        <v>15.8</v>
      </c>
    </row>
    <row r="312" spans="1:9" x14ac:dyDescent="0.3">
      <c r="A312" t="s">
        <v>327</v>
      </c>
      <c r="B312" t="s">
        <v>16</v>
      </c>
      <c r="C312" t="s">
        <v>14</v>
      </c>
      <c r="D312">
        <v>36</v>
      </c>
      <c r="E312" s="1">
        <v>41908</v>
      </c>
      <c r="F312">
        <v>3.14</v>
      </c>
      <c r="G312">
        <v>3</v>
      </c>
      <c r="H312">
        <v>10767.16</v>
      </c>
      <c r="I312">
        <v>11.1</v>
      </c>
    </row>
    <row r="313" spans="1:9" x14ac:dyDescent="0.3">
      <c r="A313" t="s">
        <v>328</v>
      </c>
      <c r="B313" t="s">
        <v>34</v>
      </c>
      <c r="C313" t="s">
        <v>11</v>
      </c>
      <c r="D313">
        <v>42</v>
      </c>
      <c r="E313" s="1">
        <v>42278</v>
      </c>
      <c r="F313">
        <v>2.77</v>
      </c>
      <c r="G313">
        <v>10</v>
      </c>
      <c r="H313">
        <v>14308</v>
      </c>
      <c r="I313">
        <v>10.1</v>
      </c>
    </row>
    <row r="314" spans="1:9" x14ac:dyDescent="0.3">
      <c r="A314" t="s">
        <v>329</v>
      </c>
      <c r="B314" t="s">
        <v>13</v>
      </c>
      <c r="C314" t="s">
        <v>11</v>
      </c>
      <c r="D314">
        <v>48</v>
      </c>
      <c r="E314" s="1">
        <v>43714</v>
      </c>
      <c r="F314">
        <v>3.3</v>
      </c>
      <c r="G314">
        <v>10</v>
      </c>
      <c r="H314">
        <v>11524.92</v>
      </c>
      <c r="I314">
        <v>6.2</v>
      </c>
    </row>
    <row r="315" spans="1:9" x14ac:dyDescent="0.3">
      <c r="A315" t="s">
        <v>330</v>
      </c>
      <c r="B315" t="s">
        <v>18</v>
      </c>
      <c r="C315" t="s">
        <v>11</v>
      </c>
      <c r="D315">
        <v>43</v>
      </c>
      <c r="E315" s="1">
        <v>43881</v>
      </c>
      <c r="F315">
        <v>3.9</v>
      </c>
      <c r="G315">
        <v>6</v>
      </c>
      <c r="H315">
        <v>7913.81</v>
      </c>
      <c r="I315">
        <v>5.7</v>
      </c>
    </row>
    <row r="316" spans="1:9" x14ac:dyDescent="0.3">
      <c r="A316" t="s">
        <v>331</v>
      </c>
      <c r="B316" t="s">
        <v>13</v>
      </c>
      <c r="C316" t="s">
        <v>14</v>
      </c>
      <c r="D316">
        <v>22</v>
      </c>
      <c r="E316" s="1">
        <v>44382</v>
      </c>
      <c r="F316">
        <v>1.62</v>
      </c>
      <c r="G316">
        <v>13</v>
      </c>
      <c r="H316">
        <v>13571.01</v>
      </c>
      <c r="I316">
        <v>4.3</v>
      </c>
    </row>
    <row r="317" spans="1:9" x14ac:dyDescent="0.3">
      <c r="A317" t="s">
        <v>332</v>
      </c>
      <c r="B317" t="s">
        <v>13</v>
      </c>
      <c r="C317" t="s">
        <v>11</v>
      </c>
      <c r="D317">
        <v>36</v>
      </c>
      <c r="E317" s="1">
        <v>42058</v>
      </c>
      <c r="F317">
        <v>3.62</v>
      </c>
      <c r="G317">
        <v>0</v>
      </c>
      <c r="H317">
        <v>8105.81</v>
      </c>
      <c r="I317">
        <v>10.7</v>
      </c>
    </row>
    <row r="318" spans="1:9" x14ac:dyDescent="0.3">
      <c r="A318" t="s">
        <v>333</v>
      </c>
      <c r="B318" t="s">
        <v>13</v>
      </c>
      <c r="C318" t="s">
        <v>11</v>
      </c>
      <c r="D318">
        <v>35</v>
      </c>
      <c r="E318" s="1">
        <v>44051</v>
      </c>
      <c r="F318">
        <v>4.0199999999999996</v>
      </c>
      <c r="G318">
        <v>11</v>
      </c>
      <c r="H318">
        <v>5463.38</v>
      </c>
      <c r="I318">
        <v>5.2</v>
      </c>
    </row>
    <row r="319" spans="1:9" x14ac:dyDescent="0.3">
      <c r="A319" t="s">
        <v>334</v>
      </c>
      <c r="B319" t="s">
        <v>34</v>
      </c>
      <c r="C319" t="s">
        <v>11</v>
      </c>
      <c r="D319">
        <v>54</v>
      </c>
      <c r="E319" s="1">
        <v>42004</v>
      </c>
      <c r="F319">
        <v>4.87</v>
      </c>
      <c r="G319">
        <v>14</v>
      </c>
      <c r="H319">
        <v>6855.92</v>
      </c>
      <c r="I319">
        <v>10.8</v>
      </c>
    </row>
    <row r="320" spans="1:9" x14ac:dyDescent="0.3">
      <c r="A320" t="s">
        <v>335</v>
      </c>
      <c r="B320" t="s">
        <v>24</v>
      </c>
      <c r="C320" t="s">
        <v>14</v>
      </c>
      <c r="D320">
        <v>45</v>
      </c>
      <c r="E320" s="1">
        <v>44929</v>
      </c>
      <c r="F320">
        <v>1.97</v>
      </c>
      <c r="G320">
        <v>7</v>
      </c>
      <c r="H320">
        <v>5366.6</v>
      </c>
      <c r="I320">
        <v>2.8</v>
      </c>
    </row>
    <row r="321" spans="1:9" x14ac:dyDescent="0.3">
      <c r="A321" t="s">
        <v>336</v>
      </c>
      <c r="B321" t="s">
        <v>34</v>
      </c>
      <c r="C321" t="s">
        <v>11</v>
      </c>
      <c r="D321">
        <v>40</v>
      </c>
      <c r="E321" s="1">
        <v>40883</v>
      </c>
      <c r="F321">
        <v>3.04</v>
      </c>
      <c r="G321">
        <v>12</v>
      </c>
      <c r="H321">
        <v>5408.17</v>
      </c>
      <c r="I321">
        <v>13.9</v>
      </c>
    </row>
    <row r="322" spans="1:9" x14ac:dyDescent="0.3">
      <c r="A322" t="s">
        <v>337</v>
      </c>
      <c r="B322" t="s">
        <v>16</v>
      </c>
      <c r="C322" t="s">
        <v>14</v>
      </c>
      <c r="D322">
        <v>44</v>
      </c>
      <c r="E322" s="1">
        <v>44772</v>
      </c>
      <c r="F322">
        <v>4.08</v>
      </c>
      <c r="G322">
        <v>2</v>
      </c>
      <c r="H322">
        <v>12806.91</v>
      </c>
      <c r="I322">
        <v>3.3</v>
      </c>
    </row>
    <row r="323" spans="1:9" x14ac:dyDescent="0.3">
      <c r="A323" t="s">
        <v>338</v>
      </c>
      <c r="B323" t="s">
        <v>13</v>
      </c>
      <c r="C323" t="s">
        <v>14</v>
      </c>
      <c r="D323">
        <v>57</v>
      </c>
      <c r="E323" s="1">
        <v>43573</v>
      </c>
      <c r="F323">
        <v>4.71</v>
      </c>
      <c r="G323">
        <v>12</v>
      </c>
      <c r="H323">
        <v>3918.88</v>
      </c>
      <c r="I323">
        <v>6.5</v>
      </c>
    </row>
    <row r="324" spans="1:9" x14ac:dyDescent="0.3">
      <c r="A324" t="s">
        <v>339</v>
      </c>
      <c r="B324" t="s">
        <v>18</v>
      </c>
      <c r="C324" t="s">
        <v>11</v>
      </c>
      <c r="D324">
        <v>40</v>
      </c>
      <c r="E324" s="1">
        <v>44736</v>
      </c>
      <c r="F324">
        <v>3.08</v>
      </c>
      <c r="G324">
        <v>14</v>
      </c>
      <c r="H324">
        <v>14299.02</v>
      </c>
      <c r="I324">
        <v>3.4</v>
      </c>
    </row>
    <row r="325" spans="1:9" x14ac:dyDescent="0.3">
      <c r="A325" t="s">
        <v>340</v>
      </c>
      <c r="B325" t="s">
        <v>34</v>
      </c>
      <c r="C325" t="s">
        <v>11</v>
      </c>
      <c r="D325">
        <v>42</v>
      </c>
      <c r="E325" s="1">
        <v>41117</v>
      </c>
      <c r="F325">
        <v>4.3099999999999996</v>
      </c>
      <c r="G325">
        <v>12</v>
      </c>
      <c r="H325">
        <v>4575.95</v>
      </c>
      <c r="I325">
        <v>13.3</v>
      </c>
    </row>
    <row r="326" spans="1:9" x14ac:dyDescent="0.3">
      <c r="A326" t="s">
        <v>341</v>
      </c>
      <c r="B326" t="s">
        <v>24</v>
      </c>
      <c r="C326" t="s">
        <v>14</v>
      </c>
      <c r="D326">
        <v>38</v>
      </c>
      <c r="E326" s="1">
        <v>43888</v>
      </c>
      <c r="F326">
        <v>2.89</v>
      </c>
      <c r="G326">
        <v>1</v>
      </c>
      <c r="H326">
        <v>14439.02</v>
      </c>
      <c r="I326">
        <v>5.7</v>
      </c>
    </row>
    <row r="327" spans="1:9" x14ac:dyDescent="0.3">
      <c r="A327" t="s">
        <v>342</v>
      </c>
      <c r="B327" t="s">
        <v>13</v>
      </c>
      <c r="C327" t="s">
        <v>14</v>
      </c>
      <c r="D327">
        <v>56</v>
      </c>
      <c r="E327" s="1">
        <v>44367</v>
      </c>
      <c r="F327">
        <v>4.8600000000000003</v>
      </c>
      <c r="G327">
        <v>7</v>
      </c>
      <c r="H327">
        <v>6508.13</v>
      </c>
      <c r="I327">
        <v>4.4000000000000004</v>
      </c>
    </row>
    <row r="328" spans="1:9" x14ac:dyDescent="0.3">
      <c r="A328" t="s">
        <v>343</v>
      </c>
      <c r="B328" t="s">
        <v>18</v>
      </c>
      <c r="C328" t="s">
        <v>11</v>
      </c>
      <c r="D328">
        <v>29</v>
      </c>
      <c r="E328" s="1">
        <v>42609</v>
      </c>
      <c r="F328">
        <v>1.65</v>
      </c>
      <c r="G328">
        <v>8</v>
      </c>
      <c r="H328">
        <v>3669.99</v>
      </c>
      <c r="I328">
        <v>9.1999999999999993</v>
      </c>
    </row>
    <row r="329" spans="1:9" x14ac:dyDescent="0.3">
      <c r="A329" t="s">
        <v>344</v>
      </c>
      <c r="B329" t="s">
        <v>16</v>
      </c>
      <c r="C329" t="s">
        <v>11</v>
      </c>
      <c r="D329">
        <v>40</v>
      </c>
      <c r="E329" s="1">
        <v>40872</v>
      </c>
      <c r="F329">
        <v>2.59</v>
      </c>
      <c r="G329">
        <v>9</v>
      </c>
      <c r="H329">
        <v>11884.49</v>
      </c>
      <c r="I329">
        <v>13.9</v>
      </c>
    </row>
    <row r="330" spans="1:9" x14ac:dyDescent="0.3">
      <c r="A330" t="s">
        <v>345</v>
      </c>
      <c r="B330" t="s">
        <v>13</v>
      </c>
      <c r="C330" t="s">
        <v>14</v>
      </c>
      <c r="D330">
        <v>42</v>
      </c>
      <c r="E330" s="1">
        <v>43486</v>
      </c>
      <c r="F330">
        <v>4.04</v>
      </c>
      <c r="G330">
        <v>2</v>
      </c>
      <c r="H330">
        <v>7300.99</v>
      </c>
      <c r="I330">
        <v>6.8</v>
      </c>
    </row>
    <row r="331" spans="1:9" x14ac:dyDescent="0.3">
      <c r="A331" t="s">
        <v>346</v>
      </c>
      <c r="B331" t="s">
        <v>24</v>
      </c>
      <c r="C331" t="s">
        <v>14</v>
      </c>
      <c r="D331">
        <v>46</v>
      </c>
      <c r="E331" s="1">
        <v>41119</v>
      </c>
      <c r="F331">
        <v>2.0499999999999998</v>
      </c>
      <c r="G331">
        <v>8</v>
      </c>
      <c r="H331">
        <v>13971.65</v>
      </c>
      <c r="I331">
        <v>13.3</v>
      </c>
    </row>
    <row r="332" spans="1:9" x14ac:dyDescent="0.3">
      <c r="A332" t="s">
        <v>347</v>
      </c>
      <c r="B332" t="s">
        <v>24</v>
      </c>
      <c r="C332" t="s">
        <v>11</v>
      </c>
      <c r="D332">
        <v>47</v>
      </c>
      <c r="E332" s="1">
        <v>44147</v>
      </c>
      <c r="F332">
        <v>3.17</v>
      </c>
      <c r="G332">
        <v>15</v>
      </c>
      <c r="H332">
        <v>12085.97</v>
      </c>
      <c r="I332">
        <v>5</v>
      </c>
    </row>
    <row r="333" spans="1:9" x14ac:dyDescent="0.3">
      <c r="A333" t="s">
        <v>348</v>
      </c>
      <c r="B333" t="s">
        <v>24</v>
      </c>
      <c r="C333" t="s">
        <v>14</v>
      </c>
      <c r="D333">
        <v>37</v>
      </c>
      <c r="E333" s="1">
        <v>41943</v>
      </c>
      <c r="F333">
        <v>3.45</v>
      </c>
      <c r="G333">
        <v>0</v>
      </c>
      <c r="H333">
        <v>13480.64</v>
      </c>
      <c r="I333">
        <v>11</v>
      </c>
    </row>
    <row r="334" spans="1:9" x14ac:dyDescent="0.3">
      <c r="A334" t="s">
        <v>349</v>
      </c>
      <c r="B334" t="s">
        <v>13</v>
      </c>
      <c r="C334" t="s">
        <v>14</v>
      </c>
      <c r="D334">
        <v>55</v>
      </c>
      <c r="E334" s="1">
        <v>43223</v>
      </c>
      <c r="F334">
        <v>2.62</v>
      </c>
      <c r="G334">
        <v>10</v>
      </c>
      <c r="H334">
        <v>4907.5</v>
      </c>
      <c r="I334">
        <v>7.5</v>
      </c>
    </row>
    <row r="335" spans="1:9" x14ac:dyDescent="0.3">
      <c r="A335" t="s">
        <v>350</v>
      </c>
      <c r="B335" t="s">
        <v>10</v>
      </c>
      <c r="C335" t="s">
        <v>14</v>
      </c>
      <c r="D335">
        <v>45</v>
      </c>
      <c r="E335" s="1">
        <v>40971</v>
      </c>
      <c r="F335">
        <v>1.98</v>
      </c>
      <c r="G335">
        <v>10</v>
      </c>
      <c r="H335">
        <v>8522.94</v>
      </c>
      <c r="I335">
        <v>13.7</v>
      </c>
    </row>
    <row r="336" spans="1:9" x14ac:dyDescent="0.3">
      <c r="A336" t="s">
        <v>351</v>
      </c>
      <c r="B336" t="s">
        <v>10</v>
      </c>
      <c r="C336" t="s">
        <v>11</v>
      </c>
      <c r="D336">
        <v>54</v>
      </c>
      <c r="E336" s="1">
        <v>41166</v>
      </c>
      <c r="F336">
        <v>4.08</v>
      </c>
      <c r="G336">
        <v>15</v>
      </c>
      <c r="H336">
        <v>11411.78</v>
      </c>
      <c r="I336">
        <v>13.1</v>
      </c>
    </row>
    <row r="337" spans="1:9" x14ac:dyDescent="0.3">
      <c r="A337" t="s">
        <v>352</v>
      </c>
      <c r="B337" t="s">
        <v>34</v>
      </c>
      <c r="C337" t="s">
        <v>14</v>
      </c>
      <c r="D337">
        <v>58</v>
      </c>
      <c r="E337" s="1">
        <v>43308</v>
      </c>
      <c r="F337">
        <v>2.91</v>
      </c>
      <c r="G337">
        <v>5</v>
      </c>
      <c r="H337">
        <v>9424.06</v>
      </c>
      <c r="I337">
        <v>7.3</v>
      </c>
    </row>
    <row r="338" spans="1:9" x14ac:dyDescent="0.3">
      <c r="A338" t="s">
        <v>353</v>
      </c>
      <c r="B338" t="s">
        <v>24</v>
      </c>
      <c r="C338" t="s">
        <v>11</v>
      </c>
      <c r="D338">
        <v>24</v>
      </c>
      <c r="E338" s="1">
        <v>41156</v>
      </c>
      <c r="F338">
        <v>4.04</v>
      </c>
      <c r="G338">
        <v>15</v>
      </c>
      <c r="H338">
        <v>12297.27</v>
      </c>
      <c r="I338">
        <v>13.2</v>
      </c>
    </row>
    <row r="339" spans="1:9" x14ac:dyDescent="0.3">
      <c r="A339" t="s">
        <v>354</v>
      </c>
      <c r="B339" t="s">
        <v>16</v>
      </c>
      <c r="C339" t="s">
        <v>14</v>
      </c>
      <c r="D339">
        <v>31</v>
      </c>
      <c r="E339" s="1">
        <v>43283</v>
      </c>
      <c r="F339">
        <v>2.17</v>
      </c>
      <c r="G339">
        <v>4</v>
      </c>
      <c r="H339">
        <v>14141.18</v>
      </c>
      <c r="I339">
        <v>7.3</v>
      </c>
    </row>
    <row r="340" spans="1:9" x14ac:dyDescent="0.3">
      <c r="A340" t="s">
        <v>355</v>
      </c>
      <c r="B340" t="s">
        <v>18</v>
      </c>
      <c r="C340" t="s">
        <v>11</v>
      </c>
      <c r="D340">
        <v>36</v>
      </c>
      <c r="E340" s="1">
        <v>44089</v>
      </c>
      <c r="F340">
        <v>2.56</v>
      </c>
      <c r="G340">
        <v>3</v>
      </c>
      <c r="H340">
        <v>4706.3500000000004</v>
      </c>
      <c r="I340">
        <v>5.0999999999999996</v>
      </c>
    </row>
    <row r="341" spans="1:9" x14ac:dyDescent="0.3">
      <c r="A341" t="s">
        <v>356</v>
      </c>
      <c r="B341" t="s">
        <v>34</v>
      </c>
      <c r="C341" t="s">
        <v>11</v>
      </c>
      <c r="D341">
        <v>31</v>
      </c>
      <c r="E341" s="1">
        <v>42953</v>
      </c>
      <c r="F341">
        <v>4.9400000000000004</v>
      </c>
      <c r="G341">
        <v>9</v>
      </c>
      <c r="H341">
        <v>7021.06</v>
      </c>
      <c r="I341">
        <v>8.1999999999999993</v>
      </c>
    </row>
    <row r="342" spans="1:9" x14ac:dyDescent="0.3">
      <c r="A342" t="s">
        <v>357</v>
      </c>
      <c r="B342" t="s">
        <v>24</v>
      </c>
      <c r="C342" t="s">
        <v>14</v>
      </c>
      <c r="D342">
        <v>60</v>
      </c>
      <c r="E342" s="1">
        <v>43171</v>
      </c>
      <c r="F342">
        <v>1.67</v>
      </c>
      <c r="G342">
        <v>9</v>
      </c>
      <c r="H342">
        <v>6977.47</v>
      </c>
      <c r="I342">
        <v>7.6</v>
      </c>
    </row>
    <row r="343" spans="1:9" x14ac:dyDescent="0.3">
      <c r="A343" t="s">
        <v>358</v>
      </c>
      <c r="B343" t="s">
        <v>10</v>
      </c>
      <c r="C343" t="s">
        <v>11</v>
      </c>
      <c r="D343">
        <v>37</v>
      </c>
      <c r="E343" s="1">
        <v>45113</v>
      </c>
      <c r="F343">
        <v>4.2300000000000004</v>
      </c>
      <c r="G343">
        <v>8</v>
      </c>
      <c r="H343">
        <v>12192.46</v>
      </c>
      <c r="I343">
        <v>2.2999999999999998</v>
      </c>
    </row>
    <row r="344" spans="1:9" x14ac:dyDescent="0.3">
      <c r="A344" t="s">
        <v>359</v>
      </c>
      <c r="B344" t="s">
        <v>10</v>
      </c>
      <c r="C344" t="s">
        <v>11</v>
      </c>
      <c r="D344">
        <v>39</v>
      </c>
      <c r="E344" s="1">
        <v>42323</v>
      </c>
      <c r="F344">
        <v>2.56</v>
      </c>
      <c r="G344">
        <v>11</v>
      </c>
      <c r="H344">
        <v>7241.35</v>
      </c>
      <c r="I344">
        <v>10</v>
      </c>
    </row>
    <row r="345" spans="1:9" x14ac:dyDescent="0.3">
      <c r="A345" t="s">
        <v>360</v>
      </c>
      <c r="B345" t="s">
        <v>34</v>
      </c>
      <c r="C345" t="s">
        <v>14</v>
      </c>
      <c r="D345">
        <v>47</v>
      </c>
      <c r="E345" s="1">
        <v>40390</v>
      </c>
      <c r="F345">
        <v>3.78</v>
      </c>
      <c r="G345">
        <v>12</v>
      </c>
      <c r="H345">
        <v>10644.78</v>
      </c>
      <c r="I345">
        <v>15.3</v>
      </c>
    </row>
    <row r="346" spans="1:9" x14ac:dyDescent="0.3">
      <c r="A346" t="s">
        <v>361</v>
      </c>
      <c r="B346" t="s">
        <v>16</v>
      </c>
      <c r="C346" t="s">
        <v>14</v>
      </c>
      <c r="D346">
        <v>30</v>
      </c>
      <c r="E346" s="1">
        <v>42310</v>
      </c>
      <c r="F346">
        <v>4.47</v>
      </c>
      <c r="G346">
        <v>15</v>
      </c>
      <c r="H346">
        <v>7526.42</v>
      </c>
      <c r="I346">
        <v>10</v>
      </c>
    </row>
    <row r="347" spans="1:9" x14ac:dyDescent="0.3">
      <c r="A347" t="s">
        <v>362</v>
      </c>
      <c r="B347" t="s">
        <v>13</v>
      </c>
      <c r="C347" t="s">
        <v>11</v>
      </c>
      <c r="D347">
        <v>44</v>
      </c>
      <c r="E347" s="1">
        <v>42872</v>
      </c>
      <c r="F347">
        <v>4.2</v>
      </c>
      <c r="G347">
        <v>7</v>
      </c>
      <c r="H347">
        <v>14214.19</v>
      </c>
      <c r="I347">
        <v>8.5</v>
      </c>
    </row>
    <row r="348" spans="1:9" x14ac:dyDescent="0.3">
      <c r="A348" t="s">
        <v>363</v>
      </c>
      <c r="B348" t="s">
        <v>34</v>
      </c>
      <c r="C348" t="s">
        <v>14</v>
      </c>
      <c r="D348">
        <v>28</v>
      </c>
      <c r="E348" s="1">
        <v>40599</v>
      </c>
      <c r="F348">
        <v>4.18</v>
      </c>
      <c r="G348">
        <v>4</v>
      </c>
      <c r="H348">
        <v>5753.6</v>
      </c>
      <c r="I348">
        <v>14.7</v>
      </c>
    </row>
    <row r="349" spans="1:9" x14ac:dyDescent="0.3">
      <c r="A349" t="s">
        <v>364</v>
      </c>
      <c r="B349" t="s">
        <v>18</v>
      </c>
      <c r="C349" t="s">
        <v>11</v>
      </c>
      <c r="D349">
        <v>46</v>
      </c>
      <c r="E349" s="1">
        <v>44982</v>
      </c>
      <c r="F349">
        <v>2.5</v>
      </c>
      <c r="G349">
        <v>8</v>
      </c>
      <c r="H349">
        <v>10846.41</v>
      </c>
      <c r="I349">
        <v>2.7</v>
      </c>
    </row>
    <row r="350" spans="1:9" x14ac:dyDescent="0.3">
      <c r="A350" t="s">
        <v>365</v>
      </c>
      <c r="B350" t="s">
        <v>13</v>
      </c>
      <c r="C350" t="s">
        <v>11</v>
      </c>
      <c r="D350">
        <v>57</v>
      </c>
      <c r="E350" s="1">
        <v>42392</v>
      </c>
      <c r="F350">
        <v>3.51</v>
      </c>
      <c r="G350">
        <v>12</v>
      </c>
      <c r="H350">
        <v>7612.95</v>
      </c>
      <c r="I350">
        <v>9.8000000000000007</v>
      </c>
    </row>
    <row r="351" spans="1:9" x14ac:dyDescent="0.3">
      <c r="A351" t="s">
        <v>366</v>
      </c>
      <c r="B351" t="s">
        <v>10</v>
      </c>
      <c r="C351" t="s">
        <v>14</v>
      </c>
      <c r="D351">
        <v>56</v>
      </c>
      <c r="E351" s="1">
        <v>40462</v>
      </c>
      <c r="F351">
        <v>4.7300000000000004</v>
      </c>
      <c r="G351">
        <v>14</v>
      </c>
      <c r="H351">
        <v>5554.31</v>
      </c>
      <c r="I351">
        <v>15.1</v>
      </c>
    </row>
    <row r="352" spans="1:9" x14ac:dyDescent="0.3">
      <c r="A352" t="s">
        <v>367</v>
      </c>
      <c r="B352" t="s">
        <v>10</v>
      </c>
      <c r="C352" t="s">
        <v>11</v>
      </c>
      <c r="D352">
        <v>56</v>
      </c>
      <c r="E352" s="1">
        <v>41080</v>
      </c>
      <c r="F352">
        <v>3.91</v>
      </c>
      <c r="G352">
        <v>6</v>
      </c>
      <c r="H352">
        <v>10989.48</v>
      </c>
      <c r="I352">
        <v>13.4</v>
      </c>
    </row>
    <row r="353" spans="1:9" x14ac:dyDescent="0.3">
      <c r="A353" t="s">
        <v>368</v>
      </c>
      <c r="B353" t="s">
        <v>18</v>
      </c>
      <c r="C353" t="s">
        <v>14</v>
      </c>
      <c r="D353">
        <v>23</v>
      </c>
      <c r="E353" s="1">
        <v>43602</v>
      </c>
      <c r="F353">
        <v>2.2200000000000002</v>
      </c>
      <c r="G353">
        <v>0</v>
      </c>
      <c r="H353">
        <v>13832.89</v>
      </c>
      <c r="I353">
        <v>6.5</v>
      </c>
    </row>
    <row r="354" spans="1:9" x14ac:dyDescent="0.3">
      <c r="A354" t="s">
        <v>369</v>
      </c>
      <c r="B354" t="s">
        <v>24</v>
      </c>
      <c r="C354" t="s">
        <v>11</v>
      </c>
      <c r="D354">
        <v>26</v>
      </c>
      <c r="E354" s="1">
        <v>43941</v>
      </c>
      <c r="F354">
        <v>4.57</v>
      </c>
      <c r="G354">
        <v>14</v>
      </c>
      <c r="H354">
        <v>8053.84</v>
      </c>
      <c r="I354">
        <v>5.5</v>
      </c>
    </row>
    <row r="355" spans="1:9" x14ac:dyDescent="0.3">
      <c r="A355" t="s">
        <v>370</v>
      </c>
      <c r="B355" t="s">
        <v>16</v>
      </c>
      <c r="C355" t="s">
        <v>11</v>
      </c>
      <c r="D355">
        <v>33</v>
      </c>
      <c r="E355" s="1">
        <v>40573</v>
      </c>
      <c r="F355">
        <v>3</v>
      </c>
      <c r="G355">
        <v>8</v>
      </c>
      <c r="H355">
        <v>9712.2800000000007</v>
      </c>
      <c r="I355">
        <v>14.8</v>
      </c>
    </row>
    <row r="356" spans="1:9" x14ac:dyDescent="0.3">
      <c r="A356" t="s">
        <v>371</v>
      </c>
      <c r="B356" t="s">
        <v>34</v>
      </c>
      <c r="C356" t="s">
        <v>11</v>
      </c>
      <c r="D356">
        <v>36</v>
      </c>
      <c r="E356" s="1">
        <v>40811</v>
      </c>
      <c r="F356">
        <v>1.92</v>
      </c>
      <c r="G356">
        <v>3</v>
      </c>
      <c r="H356">
        <v>6567.14</v>
      </c>
      <c r="I356">
        <v>14.1</v>
      </c>
    </row>
    <row r="357" spans="1:9" x14ac:dyDescent="0.3">
      <c r="A357" t="s">
        <v>372</v>
      </c>
      <c r="B357" t="s">
        <v>34</v>
      </c>
      <c r="C357" t="s">
        <v>11</v>
      </c>
      <c r="D357">
        <v>33</v>
      </c>
      <c r="E357" s="1">
        <v>42080</v>
      </c>
      <c r="F357">
        <v>2.68</v>
      </c>
      <c r="G357">
        <v>2</v>
      </c>
      <c r="H357">
        <v>4184.7299999999996</v>
      </c>
      <c r="I357">
        <v>10.6</v>
      </c>
    </row>
    <row r="358" spans="1:9" x14ac:dyDescent="0.3">
      <c r="A358" t="s">
        <v>373</v>
      </c>
      <c r="B358" t="s">
        <v>13</v>
      </c>
      <c r="C358" t="s">
        <v>14</v>
      </c>
      <c r="D358">
        <v>47</v>
      </c>
      <c r="E358" s="1">
        <v>41804</v>
      </c>
      <c r="F358">
        <v>4.6399999999999997</v>
      </c>
      <c r="G358">
        <v>9</v>
      </c>
      <c r="H358">
        <v>6113.92</v>
      </c>
      <c r="I358">
        <v>11.4</v>
      </c>
    </row>
    <row r="359" spans="1:9" x14ac:dyDescent="0.3">
      <c r="A359" t="s">
        <v>374</v>
      </c>
      <c r="B359" t="s">
        <v>34</v>
      </c>
      <c r="C359" t="s">
        <v>14</v>
      </c>
      <c r="D359">
        <v>46</v>
      </c>
      <c r="E359" s="1">
        <v>41274</v>
      </c>
      <c r="F359">
        <v>4.33</v>
      </c>
      <c r="G359">
        <v>14</v>
      </c>
      <c r="H359">
        <v>5567.36</v>
      </c>
      <c r="I359">
        <v>12.8</v>
      </c>
    </row>
    <row r="360" spans="1:9" x14ac:dyDescent="0.3">
      <c r="A360" t="s">
        <v>375</v>
      </c>
      <c r="B360" t="s">
        <v>18</v>
      </c>
      <c r="C360" t="s">
        <v>14</v>
      </c>
      <c r="D360">
        <v>58</v>
      </c>
      <c r="E360" s="1">
        <v>40466</v>
      </c>
      <c r="F360">
        <v>3.2</v>
      </c>
      <c r="G360">
        <v>1</v>
      </c>
      <c r="H360">
        <v>9854.41</v>
      </c>
      <c r="I360">
        <v>15.1</v>
      </c>
    </row>
    <row r="361" spans="1:9" x14ac:dyDescent="0.3">
      <c r="A361" t="s">
        <v>376</v>
      </c>
      <c r="B361" t="s">
        <v>24</v>
      </c>
      <c r="C361" t="s">
        <v>11</v>
      </c>
      <c r="D361">
        <v>23</v>
      </c>
      <c r="E361" s="1">
        <v>40211</v>
      </c>
      <c r="F361">
        <v>1.99</v>
      </c>
      <c r="G361">
        <v>0</v>
      </c>
      <c r="H361">
        <v>10941.6</v>
      </c>
      <c r="I361">
        <v>15.8</v>
      </c>
    </row>
    <row r="362" spans="1:9" x14ac:dyDescent="0.3">
      <c r="A362" t="s">
        <v>377</v>
      </c>
      <c r="B362" t="s">
        <v>16</v>
      </c>
      <c r="C362" t="s">
        <v>11</v>
      </c>
      <c r="D362">
        <v>51</v>
      </c>
      <c r="E362" s="1">
        <v>45153</v>
      </c>
      <c r="F362">
        <v>3.23</v>
      </c>
      <c r="G362">
        <v>11</v>
      </c>
      <c r="H362">
        <v>11485.75</v>
      </c>
      <c r="I362">
        <v>2.2000000000000002</v>
      </c>
    </row>
    <row r="363" spans="1:9" x14ac:dyDescent="0.3">
      <c r="A363" t="s">
        <v>378</v>
      </c>
      <c r="B363" t="s">
        <v>18</v>
      </c>
      <c r="C363" t="s">
        <v>14</v>
      </c>
      <c r="D363">
        <v>59</v>
      </c>
      <c r="E363" s="1">
        <v>41136</v>
      </c>
      <c r="F363">
        <v>3.97</v>
      </c>
      <c r="G363">
        <v>4</v>
      </c>
      <c r="H363">
        <v>4912.93</v>
      </c>
      <c r="I363">
        <v>13.2</v>
      </c>
    </row>
    <row r="364" spans="1:9" x14ac:dyDescent="0.3">
      <c r="A364" t="s">
        <v>379</v>
      </c>
      <c r="B364" t="s">
        <v>16</v>
      </c>
      <c r="C364" t="s">
        <v>11</v>
      </c>
      <c r="D364">
        <v>47</v>
      </c>
      <c r="E364" s="1">
        <v>42012</v>
      </c>
      <c r="F364">
        <v>2.74</v>
      </c>
      <c r="G364">
        <v>14</v>
      </c>
      <c r="H364">
        <v>10581.92</v>
      </c>
      <c r="I364">
        <v>10.8</v>
      </c>
    </row>
    <row r="365" spans="1:9" x14ac:dyDescent="0.3">
      <c r="A365" t="s">
        <v>380</v>
      </c>
      <c r="B365" t="s">
        <v>18</v>
      </c>
      <c r="C365" t="s">
        <v>14</v>
      </c>
      <c r="D365">
        <v>50</v>
      </c>
      <c r="E365" s="1">
        <v>44565</v>
      </c>
      <c r="F365">
        <v>4.95</v>
      </c>
      <c r="G365">
        <v>0</v>
      </c>
      <c r="H365">
        <v>11716.94</v>
      </c>
      <c r="I365">
        <v>3.8</v>
      </c>
    </row>
    <row r="366" spans="1:9" x14ac:dyDescent="0.3">
      <c r="A366" t="s">
        <v>381</v>
      </c>
      <c r="B366" t="s">
        <v>24</v>
      </c>
      <c r="C366" t="s">
        <v>14</v>
      </c>
      <c r="D366">
        <v>57</v>
      </c>
      <c r="E366" s="1">
        <v>40981</v>
      </c>
      <c r="F366">
        <v>3.72</v>
      </c>
      <c r="G366">
        <v>14</v>
      </c>
      <c r="H366">
        <v>11812.97</v>
      </c>
      <c r="I366">
        <v>13.6</v>
      </c>
    </row>
    <row r="367" spans="1:9" x14ac:dyDescent="0.3">
      <c r="A367" t="s">
        <v>382</v>
      </c>
      <c r="B367" t="s">
        <v>13</v>
      </c>
      <c r="C367" t="s">
        <v>14</v>
      </c>
      <c r="D367">
        <v>39</v>
      </c>
      <c r="E367" s="1">
        <v>42088</v>
      </c>
      <c r="F367">
        <v>4.51</v>
      </c>
      <c r="G367">
        <v>8</v>
      </c>
      <c r="H367">
        <v>9755.0499999999993</v>
      </c>
      <c r="I367">
        <v>10.6</v>
      </c>
    </row>
    <row r="368" spans="1:9" x14ac:dyDescent="0.3">
      <c r="A368" t="s">
        <v>383</v>
      </c>
      <c r="B368" t="s">
        <v>16</v>
      </c>
      <c r="C368" t="s">
        <v>11</v>
      </c>
      <c r="D368">
        <v>51</v>
      </c>
      <c r="E368" s="1">
        <v>45411</v>
      </c>
      <c r="F368">
        <v>2.68</v>
      </c>
      <c r="G368">
        <v>1</v>
      </c>
      <c r="H368">
        <v>13534.6</v>
      </c>
      <c r="I368">
        <v>1.5</v>
      </c>
    </row>
    <row r="369" spans="1:9" x14ac:dyDescent="0.3">
      <c r="A369" t="s">
        <v>384</v>
      </c>
      <c r="B369" t="s">
        <v>16</v>
      </c>
      <c r="C369" t="s">
        <v>11</v>
      </c>
      <c r="D369">
        <v>32</v>
      </c>
      <c r="E369" s="1">
        <v>43100</v>
      </c>
      <c r="F369">
        <v>2.68</v>
      </c>
      <c r="G369">
        <v>13</v>
      </c>
      <c r="H369">
        <v>10646.82</v>
      </c>
      <c r="I369">
        <v>7.8</v>
      </c>
    </row>
    <row r="370" spans="1:9" x14ac:dyDescent="0.3">
      <c r="A370" t="s">
        <v>385</v>
      </c>
      <c r="B370" t="s">
        <v>16</v>
      </c>
      <c r="C370" t="s">
        <v>14</v>
      </c>
      <c r="D370">
        <v>33</v>
      </c>
      <c r="E370" s="1">
        <v>45126</v>
      </c>
      <c r="F370">
        <v>2.08</v>
      </c>
      <c r="G370">
        <v>15</v>
      </c>
      <c r="H370">
        <v>13261.45</v>
      </c>
      <c r="I370">
        <v>2.2999999999999998</v>
      </c>
    </row>
    <row r="371" spans="1:9" x14ac:dyDescent="0.3">
      <c r="A371" t="s">
        <v>386</v>
      </c>
      <c r="B371" t="s">
        <v>34</v>
      </c>
      <c r="C371" t="s">
        <v>14</v>
      </c>
      <c r="D371">
        <v>32</v>
      </c>
      <c r="E371" s="1">
        <v>40887</v>
      </c>
      <c r="F371">
        <v>2.14</v>
      </c>
      <c r="G371">
        <v>7</v>
      </c>
      <c r="H371">
        <v>3675.42</v>
      </c>
      <c r="I371">
        <v>13.9</v>
      </c>
    </row>
    <row r="372" spans="1:9" x14ac:dyDescent="0.3">
      <c r="A372" t="s">
        <v>387</v>
      </c>
      <c r="B372" t="s">
        <v>13</v>
      </c>
      <c r="C372" t="s">
        <v>14</v>
      </c>
      <c r="D372">
        <v>45</v>
      </c>
      <c r="E372" s="1">
        <v>40893</v>
      </c>
      <c r="F372">
        <v>1.88</v>
      </c>
      <c r="G372">
        <v>6</v>
      </c>
      <c r="H372">
        <v>5315.09</v>
      </c>
      <c r="I372">
        <v>13.9</v>
      </c>
    </row>
    <row r="373" spans="1:9" x14ac:dyDescent="0.3">
      <c r="A373" t="s">
        <v>388</v>
      </c>
      <c r="B373" t="s">
        <v>13</v>
      </c>
      <c r="C373" t="s">
        <v>14</v>
      </c>
      <c r="D373">
        <v>23</v>
      </c>
      <c r="E373" s="1">
        <v>41273</v>
      </c>
      <c r="F373">
        <v>4.32</v>
      </c>
      <c r="G373">
        <v>12</v>
      </c>
      <c r="H373">
        <v>10346.870000000001</v>
      </c>
      <c r="I373">
        <v>12.8</v>
      </c>
    </row>
    <row r="374" spans="1:9" x14ac:dyDescent="0.3">
      <c r="A374" t="s">
        <v>389</v>
      </c>
      <c r="B374" t="s">
        <v>34</v>
      </c>
      <c r="C374" t="s">
        <v>14</v>
      </c>
      <c r="D374">
        <v>54</v>
      </c>
      <c r="E374" s="1">
        <v>44322</v>
      </c>
      <c r="F374">
        <v>4.03</v>
      </c>
      <c r="G374">
        <v>9</v>
      </c>
      <c r="H374">
        <v>3128.85</v>
      </c>
      <c r="I374">
        <v>4.5</v>
      </c>
    </row>
    <row r="375" spans="1:9" x14ac:dyDescent="0.3">
      <c r="A375" t="s">
        <v>390</v>
      </c>
      <c r="B375" t="s">
        <v>34</v>
      </c>
      <c r="C375" t="s">
        <v>11</v>
      </c>
      <c r="D375">
        <v>44</v>
      </c>
      <c r="E375" s="1">
        <v>43027</v>
      </c>
      <c r="F375">
        <v>1.73</v>
      </c>
      <c r="G375">
        <v>13</v>
      </c>
      <c r="H375">
        <v>13149.67</v>
      </c>
      <c r="I375">
        <v>8</v>
      </c>
    </row>
    <row r="376" spans="1:9" x14ac:dyDescent="0.3">
      <c r="A376" t="s">
        <v>391</v>
      </c>
      <c r="B376" t="s">
        <v>16</v>
      </c>
      <c r="C376" t="s">
        <v>14</v>
      </c>
      <c r="D376">
        <v>33</v>
      </c>
      <c r="E376" s="1">
        <v>43213</v>
      </c>
      <c r="F376">
        <v>4.5999999999999996</v>
      </c>
      <c r="G376">
        <v>0</v>
      </c>
      <c r="H376">
        <v>4611.1499999999996</v>
      </c>
      <c r="I376">
        <v>7.5</v>
      </c>
    </row>
    <row r="377" spans="1:9" x14ac:dyDescent="0.3">
      <c r="A377" t="s">
        <v>392</v>
      </c>
      <c r="B377" t="s">
        <v>16</v>
      </c>
      <c r="C377" t="s">
        <v>11</v>
      </c>
      <c r="D377">
        <v>54</v>
      </c>
      <c r="E377" s="1">
        <v>45521</v>
      </c>
      <c r="F377">
        <v>3.94</v>
      </c>
      <c r="G377">
        <v>0</v>
      </c>
      <c r="H377">
        <v>6462.09</v>
      </c>
      <c r="I377">
        <v>1.2</v>
      </c>
    </row>
    <row r="378" spans="1:9" x14ac:dyDescent="0.3">
      <c r="A378" t="s">
        <v>393</v>
      </c>
      <c r="B378" t="s">
        <v>16</v>
      </c>
      <c r="C378" t="s">
        <v>11</v>
      </c>
      <c r="D378">
        <v>56</v>
      </c>
      <c r="E378" s="1">
        <v>40613</v>
      </c>
      <c r="F378">
        <v>4.83</v>
      </c>
      <c r="G378">
        <v>1</v>
      </c>
      <c r="H378">
        <v>5292.3</v>
      </c>
      <c r="I378">
        <v>14.7</v>
      </c>
    </row>
    <row r="379" spans="1:9" x14ac:dyDescent="0.3">
      <c r="A379" t="s">
        <v>394</v>
      </c>
      <c r="B379" t="s">
        <v>18</v>
      </c>
      <c r="C379" t="s">
        <v>11</v>
      </c>
      <c r="D379">
        <v>55</v>
      </c>
      <c r="E379" s="1">
        <v>43297</v>
      </c>
      <c r="F379">
        <v>4.17</v>
      </c>
      <c r="G379">
        <v>0</v>
      </c>
      <c r="H379">
        <v>4153.74</v>
      </c>
      <c r="I379">
        <v>7.3</v>
      </c>
    </row>
    <row r="380" spans="1:9" x14ac:dyDescent="0.3">
      <c r="A380" t="s">
        <v>395</v>
      </c>
      <c r="B380" t="s">
        <v>16</v>
      </c>
      <c r="C380" t="s">
        <v>14</v>
      </c>
      <c r="D380">
        <v>59</v>
      </c>
      <c r="E380" s="1">
        <v>40839</v>
      </c>
      <c r="F380">
        <v>2.61</v>
      </c>
      <c r="G380">
        <v>10</v>
      </c>
      <c r="H380">
        <v>4804.37</v>
      </c>
      <c r="I380">
        <v>14</v>
      </c>
    </row>
    <row r="381" spans="1:9" x14ac:dyDescent="0.3">
      <c r="A381" t="s">
        <v>396</v>
      </c>
      <c r="B381" t="s">
        <v>24</v>
      </c>
      <c r="C381" t="s">
        <v>14</v>
      </c>
      <c r="D381">
        <v>34</v>
      </c>
      <c r="E381" s="1">
        <v>42529</v>
      </c>
      <c r="F381">
        <v>4.26</v>
      </c>
      <c r="G381">
        <v>5</v>
      </c>
      <c r="H381">
        <v>13196.87</v>
      </c>
      <c r="I381">
        <v>9.4</v>
      </c>
    </row>
    <row r="382" spans="1:9" x14ac:dyDescent="0.3">
      <c r="A382" t="s">
        <v>397</v>
      </c>
      <c r="B382" t="s">
        <v>10</v>
      </c>
      <c r="C382" t="s">
        <v>11</v>
      </c>
      <c r="D382">
        <v>23</v>
      </c>
      <c r="E382" s="1">
        <v>42457</v>
      </c>
      <c r="F382">
        <v>4.71</v>
      </c>
      <c r="G382">
        <v>8</v>
      </c>
      <c r="H382">
        <v>13518.56</v>
      </c>
      <c r="I382">
        <v>9.6</v>
      </c>
    </row>
    <row r="383" spans="1:9" x14ac:dyDescent="0.3">
      <c r="A383" t="s">
        <v>398</v>
      </c>
      <c r="B383" t="s">
        <v>18</v>
      </c>
      <c r="C383" t="s">
        <v>11</v>
      </c>
      <c r="D383">
        <v>56</v>
      </c>
      <c r="E383" s="1">
        <v>42423</v>
      </c>
      <c r="F383">
        <v>3.26</v>
      </c>
      <c r="G383">
        <v>3</v>
      </c>
      <c r="H383">
        <v>7747.97</v>
      </c>
      <c r="I383">
        <v>9.6999999999999993</v>
      </c>
    </row>
    <row r="384" spans="1:9" x14ac:dyDescent="0.3">
      <c r="A384" t="s">
        <v>399</v>
      </c>
      <c r="B384" t="s">
        <v>13</v>
      </c>
      <c r="C384" t="s">
        <v>14</v>
      </c>
      <c r="D384">
        <v>35</v>
      </c>
      <c r="E384" s="1">
        <v>40459</v>
      </c>
      <c r="F384">
        <v>3.85</v>
      </c>
      <c r="G384">
        <v>7</v>
      </c>
      <c r="H384">
        <v>9508.4500000000007</v>
      </c>
      <c r="I384">
        <v>15.1</v>
      </c>
    </row>
    <row r="385" spans="1:9" x14ac:dyDescent="0.3">
      <c r="A385" t="s">
        <v>400</v>
      </c>
      <c r="B385" t="s">
        <v>34</v>
      </c>
      <c r="C385" t="s">
        <v>11</v>
      </c>
      <c r="D385">
        <v>23</v>
      </c>
      <c r="E385" s="1">
        <v>45499</v>
      </c>
      <c r="F385">
        <v>1.58</v>
      </c>
      <c r="G385">
        <v>1</v>
      </c>
      <c r="H385">
        <v>9128.7999999999993</v>
      </c>
      <c r="I385">
        <v>1.3</v>
      </c>
    </row>
    <row r="386" spans="1:9" x14ac:dyDescent="0.3">
      <c r="A386" t="s">
        <v>401</v>
      </c>
      <c r="B386" t="s">
        <v>10</v>
      </c>
      <c r="C386" t="s">
        <v>11</v>
      </c>
      <c r="D386">
        <v>22</v>
      </c>
      <c r="E386" s="1">
        <v>43768</v>
      </c>
      <c r="F386">
        <v>4.63</v>
      </c>
      <c r="G386">
        <v>7</v>
      </c>
      <c r="H386">
        <v>14922.75</v>
      </c>
      <c r="I386">
        <v>6</v>
      </c>
    </row>
    <row r="387" spans="1:9" x14ac:dyDescent="0.3">
      <c r="A387" t="s">
        <v>402</v>
      </c>
      <c r="B387" t="s">
        <v>10</v>
      </c>
      <c r="C387" t="s">
        <v>11</v>
      </c>
      <c r="D387">
        <v>38</v>
      </c>
      <c r="E387" s="1">
        <v>42247</v>
      </c>
      <c r="F387">
        <v>4.8</v>
      </c>
      <c r="G387">
        <v>9</v>
      </c>
      <c r="H387">
        <v>14088.26</v>
      </c>
      <c r="I387">
        <v>10.199999999999999</v>
      </c>
    </row>
    <row r="388" spans="1:9" x14ac:dyDescent="0.3">
      <c r="A388" t="s">
        <v>403</v>
      </c>
      <c r="B388" t="s">
        <v>10</v>
      </c>
      <c r="C388" t="s">
        <v>11</v>
      </c>
      <c r="D388">
        <v>56</v>
      </c>
      <c r="E388" s="1">
        <v>42759</v>
      </c>
      <c r="F388">
        <v>3.72</v>
      </c>
      <c r="G388">
        <v>4</v>
      </c>
      <c r="H388">
        <v>9112.5400000000009</v>
      </c>
      <c r="I388">
        <v>8.8000000000000007</v>
      </c>
    </row>
    <row r="389" spans="1:9" x14ac:dyDescent="0.3">
      <c r="A389" t="s">
        <v>404</v>
      </c>
      <c r="B389" t="s">
        <v>16</v>
      </c>
      <c r="C389" t="s">
        <v>14</v>
      </c>
      <c r="D389">
        <v>42</v>
      </c>
      <c r="E389" s="1">
        <v>43509</v>
      </c>
      <c r="F389">
        <v>2.89</v>
      </c>
      <c r="G389">
        <v>12</v>
      </c>
      <c r="H389">
        <v>3734.72</v>
      </c>
      <c r="I389">
        <v>6.7</v>
      </c>
    </row>
    <row r="390" spans="1:9" x14ac:dyDescent="0.3">
      <c r="A390" t="s">
        <v>405</v>
      </c>
      <c r="B390" t="s">
        <v>10</v>
      </c>
      <c r="C390" t="s">
        <v>14</v>
      </c>
      <c r="D390">
        <v>51</v>
      </c>
      <c r="E390" s="1">
        <v>44723</v>
      </c>
      <c r="F390">
        <v>4.4000000000000004</v>
      </c>
      <c r="G390">
        <v>5</v>
      </c>
      <c r="H390">
        <v>9767.85</v>
      </c>
      <c r="I390">
        <v>3.4</v>
      </c>
    </row>
    <row r="391" spans="1:9" x14ac:dyDescent="0.3">
      <c r="A391" t="s">
        <v>406</v>
      </c>
      <c r="B391" t="s">
        <v>10</v>
      </c>
      <c r="C391" t="s">
        <v>11</v>
      </c>
      <c r="D391">
        <v>42</v>
      </c>
      <c r="E391" s="1">
        <v>41065</v>
      </c>
      <c r="F391">
        <v>4.76</v>
      </c>
      <c r="G391">
        <v>7</v>
      </c>
      <c r="H391">
        <v>11842.86</v>
      </c>
      <c r="I391">
        <v>13.4</v>
      </c>
    </row>
    <row r="392" spans="1:9" x14ac:dyDescent="0.3">
      <c r="A392" t="s">
        <v>407</v>
      </c>
      <c r="B392" t="s">
        <v>10</v>
      </c>
      <c r="C392" t="s">
        <v>11</v>
      </c>
      <c r="D392">
        <v>23</v>
      </c>
      <c r="E392" s="1">
        <v>42349</v>
      </c>
      <c r="F392">
        <v>2.2999999999999998</v>
      </c>
      <c r="G392">
        <v>0</v>
      </c>
      <c r="H392">
        <v>5669.52</v>
      </c>
      <c r="I392">
        <v>9.9</v>
      </c>
    </row>
    <row r="393" spans="1:9" x14ac:dyDescent="0.3">
      <c r="A393" t="s">
        <v>408</v>
      </c>
      <c r="B393" t="s">
        <v>13</v>
      </c>
      <c r="C393" t="s">
        <v>11</v>
      </c>
      <c r="D393">
        <v>49</v>
      </c>
      <c r="E393" s="1">
        <v>45275</v>
      </c>
      <c r="F393">
        <v>3.49</v>
      </c>
      <c r="G393">
        <v>1</v>
      </c>
      <c r="H393">
        <v>7956.48</v>
      </c>
      <c r="I393">
        <v>1.9</v>
      </c>
    </row>
    <row r="394" spans="1:9" x14ac:dyDescent="0.3">
      <c r="A394" t="s">
        <v>409</v>
      </c>
      <c r="B394" t="s">
        <v>34</v>
      </c>
      <c r="C394" t="s">
        <v>11</v>
      </c>
      <c r="D394">
        <v>43</v>
      </c>
      <c r="E394" s="1">
        <v>42874</v>
      </c>
      <c r="F394">
        <v>4.92</v>
      </c>
      <c r="G394">
        <v>4</v>
      </c>
      <c r="H394">
        <v>11944.49</v>
      </c>
      <c r="I394">
        <v>8.5</v>
      </c>
    </row>
    <row r="395" spans="1:9" x14ac:dyDescent="0.3">
      <c r="A395" t="s">
        <v>410</v>
      </c>
      <c r="B395" t="s">
        <v>13</v>
      </c>
      <c r="C395" t="s">
        <v>14</v>
      </c>
      <c r="D395">
        <v>55</v>
      </c>
      <c r="E395" s="1">
        <v>41271</v>
      </c>
      <c r="F395">
        <v>4.1900000000000004</v>
      </c>
      <c r="G395">
        <v>2</v>
      </c>
      <c r="H395">
        <v>6455.44</v>
      </c>
      <c r="I395">
        <v>12.9</v>
      </c>
    </row>
    <row r="396" spans="1:9" x14ac:dyDescent="0.3">
      <c r="A396" t="s">
        <v>411</v>
      </c>
      <c r="B396" t="s">
        <v>13</v>
      </c>
      <c r="C396" t="s">
        <v>14</v>
      </c>
      <c r="D396">
        <v>31</v>
      </c>
      <c r="E396" s="1">
        <v>44097</v>
      </c>
      <c r="F396">
        <v>4.2699999999999996</v>
      </c>
      <c r="G396">
        <v>13</v>
      </c>
      <c r="H396">
        <v>4630.8900000000003</v>
      </c>
      <c r="I396">
        <v>5.0999999999999996</v>
      </c>
    </row>
    <row r="397" spans="1:9" x14ac:dyDescent="0.3">
      <c r="A397" t="s">
        <v>412</v>
      </c>
      <c r="B397" t="s">
        <v>34</v>
      </c>
      <c r="C397" t="s">
        <v>11</v>
      </c>
      <c r="D397">
        <v>25</v>
      </c>
      <c r="E397" s="1">
        <v>43582</v>
      </c>
      <c r="F397">
        <v>1.51</v>
      </c>
      <c r="G397">
        <v>8</v>
      </c>
      <c r="H397">
        <v>11557.43</v>
      </c>
      <c r="I397">
        <v>6.5</v>
      </c>
    </row>
    <row r="398" spans="1:9" x14ac:dyDescent="0.3">
      <c r="A398" t="s">
        <v>413</v>
      </c>
      <c r="B398" t="s">
        <v>18</v>
      </c>
      <c r="C398" t="s">
        <v>14</v>
      </c>
      <c r="D398">
        <v>28</v>
      </c>
      <c r="E398" s="1">
        <v>44522</v>
      </c>
      <c r="F398">
        <v>3.67</v>
      </c>
      <c r="G398">
        <v>9</v>
      </c>
      <c r="H398">
        <v>4217.78</v>
      </c>
      <c r="I398">
        <v>3.9</v>
      </c>
    </row>
    <row r="399" spans="1:9" x14ac:dyDescent="0.3">
      <c r="A399" t="s">
        <v>414</v>
      </c>
      <c r="B399" t="s">
        <v>24</v>
      </c>
      <c r="C399" t="s">
        <v>14</v>
      </c>
      <c r="D399">
        <v>38</v>
      </c>
      <c r="E399" s="1">
        <v>40442</v>
      </c>
      <c r="F399">
        <v>3.18</v>
      </c>
      <c r="G399">
        <v>3</v>
      </c>
      <c r="H399">
        <v>11287.84</v>
      </c>
      <c r="I399">
        <v>15.1</v>
      </c>
    </row>
    <row r="400" spans="1:9" x14ac:dyDescent="0.3">
      <c r="A400" t="s">
        <v>415</v>
      </c>
      <c r="B400" t="s">
        <v>10</v>
      </c>
      <c r="C400" t="s">
        <v>14</v>
      </c>
      <c r="D400">
        <v>26</v>
      </c>
      <c r="E400" s="1">
        <v>45784</v>
      </c>
      <c r="F400">
        <v>4.18</v>
      </c>
      <c r="G400">
        <v>14</v>
      </c>
      <c r="H400">
        <v>8344.8799999999992</v>
      </c>
      <c r="I400">
        <v>0.5</v>
      </c>
    </row>
    <row r="401" spans="1:9" x14ac:dyDescent="0.3">
      <c r="A401" t="s">
        <v>416</v>
      </c>
      <c r="B401" t="s">
        <v>34</v>
      </c>
      <c r="C401" t="s">
        <v>14</v>
      </c>
      <c r="D401">
        <v>26</v>
      </c>
      <c r="E401" s="1">
        <v>42641</v>
      </c>
      <c r="F401">
        <v>3.17</v>
      </c>
      <c r="G401">
        <v>3</v>
      </c>
      <c r="H401">
        <v>9174.83</v>
      </c>
      <c r="I401">
        <v>9.1</v>
      </c>
    </row>
    <row r="402" spans="1:9" x14ac:dyDescent="0.3">
      <c r="A402" t="s">
        <v>417</v>
      </c>
      <c r="B402" t="s">
        <v>24</v>
      </c>
      <c r="C402" t="s">
        <v>14</v>
      </c>
      <c r="D402">
        <v>23</v>
      </c>
      <c r="E402" s="1">
        <v>42981</v>
      </c>
      <c r="F402">
        <v>3.29</v>
      </c>
      <c r="G402">
        <v>4</v>
      </c>
      <c r="H402">
        <v>9057.9</v>
      </c>
      <c r="I402">
        <v>8.1999999999999993</v>
      </c>
    </row>
    <row r="403" spans="1:9" x14ac:dyDescent="0.3">
      <c r="A403" t="s">
        <v>418</v>
      </c>
      <c r="B403" t="s">
        <v>34</v>
      </c>
      <c r="C403" t="s">
        <v>11</v>
      </c>
      <c r="D403">
        <v>27</v>
      </c>
      <c r="E403" s="1">
        <v>45611</v>
      </c>
      <c r="F403">
        <v>3.03</v>
      </c>
      <c r="G403">
        <v>14</v>
      </c>
      <c r="H403">
        <v>8777.73</v>
      </c>
      <c r="I403">
        <v>1</v>
      </c>
    </row>
    <row r="404" spans="1:9" x14ac:dyDescent="0.3">
      <c r="A404" t="s">
        <v>419</v>
      </c>
      <c r="B404" t="s">
        <v>16</v>
      </c>
      <c r="C404" t="s">
        <v>11</v>
      </c>
      <c r="D404">
        <v>47</v>
      </c>
      <c r="E404" s="1">
        <v>43273</v>
      </c>
      <c r="F404">
        <v>3.1</v>
      </c>
      <c r="G404">
        <v>4</v>
      </c>
      <c r="H404">
        <v>9147.06</v>
      </c>
      <c r="I404">
        <v>7.4</v>
      </c>
    </row>
    <row r="405" spans="1:9" x14ac:dyDescent="0.3">
      <c r="A405" t="s">
        <v>420</v>
      </c>
      <c r="B405" t="s">
        <v>18</v>
      </c>
      <c r="C405" t="s">
        <v>11</v>
      </c>
      <c r="D405">
        <v>46</v>
      </c>
      <c r="E405" s="1">
        <v>45852</v>
      </c>
      <c r="F405">
        <v>4.12</v>
      </c>
      <c r="G405">
        <v>13</v>
      </c>
      <c r="H405">
        <v>13154.8</v>
      </c>
      <c r="I405">
        <v>0.3</v>
      </c>
    </row>
    <row r="406" spans="1:9" x14ac:dyDescent="0.3">
      <c r="A406" t="s">
        <v>421</v>
      </c>
      <c r="B406" t="s">
        <v>13</v>
      </c>
      <c r="C406" t="s">
        <v>14</v>
      </c>
      <c r="D406">
        <v>52</v>
      </c>
      <c r="E406" s="1">
        <v>43409</v>
      </c>
      <c r="F406">
        <v>2.4500000000000002</v>
      </c>
      <c r="G406">
        <v>1</v>
      </c>
      <c r="H406">
        <v>8332.52</v>
      </c>
      <c r="I406">
        <v>7</v>
      </c>
    </row>
    <row r="407" spans="1:9" x14ac:dyDescent="0.3">
      <c r="A407" t="s">
        <v>422</v>
      </c>
      <c r="B407" t="s">
        <v>34</v>
      </c>
      <c r="C407" t="s">
        <v>11</v>
      </c>
      <c r="D407">
        <v>33</v>
      </c>
      <c r="E407" s="1">
        <v>45005</v>
      </c>
      <c r="F407">
        <v>1.96</v>
      </c>
      <c r="G407">
        <v>1</v>
      </c>
      <c r="H407">
        <v>11176.02</v>
      </c>
      <c r="I407">
        <v>2.6</v>
      </c>
    </row>
    <row r="408" spans="1:9" x14ac:dyDescent="0.3">
      <c r="A408" t="s">
        <v>423</v>
      </c>
      <c r="B408" t="s">
        <v>18</v>
      </c>
      <c r="C408" t="s">
        <v>11</v>
      </c>
      <c r="D408">
        <v>38</v>
      </c>
      <c r="E408" s="1">
        <v>40615</v>
      </c>
      <c r="F408">
        <v>4.34</v>
      </c>
      <c r="G408">
        <v>12</v>
      </c>
      <c r="H408">
        <v>13556.34</v>
      </c>
      <c r="I408">
        <v>14.6</v>
      </c>
    </row>
    <row r="409" spans="1:9" x14ac:dyDescent="0.3">
      <c r="A409" t="s">
        <v>424</v>
      </c>
      <c r="B409" t="s">
        <v>13</v>
      </c>
      <c r="C409" t="s">
        <v>11</v>
      </c>
      <c r="D409">
        <v>40</v>
      </c>
      <c r="E409" s="1">
        <v>42436</v>
      </c>
      <c r="F409">
        <v>3.82</v>
      </c>
      <c r="G409">
        <v>6</v>
      </c>
      <c r="H409">
        <v>3176.29</v>
      </c>
      <c r="I409">
        <v>9.6999999999999993</v>
      </c>
    </row>
    <row r="410" spans="1:9" x14ac:dyDescent="0.3">
      <c r="A410" t="s">
        <v>425</v>
      </c>
      <c r="B410" t="s">
        <v>24</v>
      </c>
      <c r="C410" t="s">
        <v>14</v>
      </c>
      <c r="D410">
        <v>42</v>
      </c>
      <c r="E410" s="1">
        <v>43146</v>
      </c>
      <c r="F410">
        <v>4.78</v>
      </c>
      <c r="G410">
        <v>10</v>
      </c>
      <c r="H410">
        <v>5755.19</v>
      </c>
      <c r="I410">
        <v>7.7</v>
      </c>
    </row>
    <row r="411" spans="1:9" x14ac:dyDescent="0.3">
      <c r="A411" t="s">
        <v>426</v>
      </c>
      <c r="B411" t="s">
        <v>34</v>
      </c>
      <c r="C411" t="s">
        <v>14</v>
      </c>
      <c r="D411">
        <v>27</v>
      </c>
      <c r="E411" s="1">
        <v>43012</v>
      </c>
      <c r="F411">
        <v>4.18</v>
      </c>
      <c r="G411">
        <v>4</v>
      </c>
      <c r="H411">
        <v>14608.71</v>
      </c>
      <c r="I411">
        <v>8.1</v>
      </c>
    </row>
    <row r="412" spans="1:9" x14ac:dyDescent="0.3">
      <c r="A412" t="s">
        <v>427</v>
      </c>
      <c r="B412" t="s">
        <v>34</v>
      </c>
      <c r="C412" t="s">
        <v>11</v>
      </c>
      <c r="D412">
        <v>22</v>
      </c>
      <c r="E412" s="1">
        <v>41115</v>
      </c>
      <c r="F412">
        <v>2.4700000000000002</v>
      </c>
      <c r="G412">
        <v>5</v>
      </c>
      <c r="H412">
        <v>6810.62</v>
      </c>
      <c r="I412">
        <v>13.3</v>
      </c>
    </row>
    <row r="413" spans="1:9" x14ac:dyDescent="0.3">
      <c r="A413" t="s">
        <v>428</v>
      </c>
      <c r="B413" t="s">
        <v>13</v>
      </c>
      <c r="C413" t="s">
        <v>11</v>
      </c>
      <c r="D413">
        <v>50</v>
      </c>
      <c r="E413" s="1">
        <v>42749</v>
      </c>
      <c r="F413">
        <v>4.72</v>
      </c>
      <c r="G413">
        <v>10</v>
      </c>
      <c r="H413">
        <v>14100.46</v>
      </c>
      <c r="I413">
        <v>8.8000000000000007</v>
      </c>
    </row>
    <row r="414" spans="1:9" x14ac:dyDescent="0.3">
      <c r="A414" t="s">
        <v>429</v>
      </c>
      <c r="B414" t="s">
        <v>18</v>
      </c>
      <c r="C414" t="s">
        <v>11</v>
      </c>
      <c r="D414">
        <v>37</v>
      </c>
      <c r="E414" s="1">
        <v>42515</v>
      </c>
      <c r="F414">
        <v>2.72</v>
      </c>
      <c r="G414">
        <v>5</v>
      </c>
      <c r="H414">
        <v>3464.85</v>
      </c>
      <c r="I414">
        <v>9.4</v>
      </c>
    </row>
    <row r="415" spans="1:9" x14ac:dyDescent="0.3">
      <c r="A415" t="s">
        <v>430</v>
      </c>
      <c r="B415" t="s">
        <v>16</v>
      </c>
      <c r="C415" t="s">
        <v>14</v>
      </c>
      <c r="D415">
        <v>28</v>
      </c>
      <c r="E415" s="1">
        <v>42110</v>
      </c>
      <c r="F415">
        <v>3.94</v>
      </c>
      <c r="G415">
        <v>1</v>
      </c>
      <c r="H415">
        <v>10733.88</v>
      </c>
      <c r="I415">
        <v>10.6</v>
      </c>
    </row>
    <row r="416" spans="1:9" x14ac:dyDescent="0.3">
      <c r="A416" t="s">
        <v>431</v>
      </c>
      <c r="B416" t="s">
        <v>16</v>
      </c>
      <c r="C416" t="s">
        <v>11</v>
      </c>
      <c r="D416">
        <v>47</v>
      </c>
      <c r="E416" s="1">
        <v>42903</v>
      </c>
      <c r="F416">
        <v>2.23</v>
      </c>
      <c r="G416">
        <v>2</v>
      </c>
      <c r="H416">
        <v>8426.1200000000008</v>
      </c>
      <c r="I416">
        <v>8.4</v>
      </c>
    </row>
    <row r="417" spans="1:9" x14ac:dyDescent="0.3">
      <c r="A417" t="s">
        <v>432</v>
      </c>
      <c r="B417" t="s">
        <v>13</v>
      </c>
      <c r="C417" t="s">
        <v>11</v>
      </c>
      <c r="D417">
        <v>60</v>
      </c>
      <c r="E417" s="1">
        <v>45116</v>
      </c>
      <c r="F417">
        <v>3.81</v>
      </c>
      <c r="G417">
        <v>7</v>
      </c>
      <c r="H417">
        <v>8698.41</v>
      </c>
      <c r="I417">
        <v>2.2999999999999998</v>
      </c>
    </row>
    <row r="418" spans="1:9" x14ac:dyDescent="0.3">
      <c r="A418" t="s">
        <v>433</v>
      </c>
      <c r="B418" t="s">
        <v>13</v>
      </c>
      <c r="C418" t="s">
        <v>11</v>
      </c>
      <c r="D418">
        <v>58</v>
      </c>
      <c r="E418" s="1">
        <v>45912</v>
      </c>
      <c r="F418">
        <v>3.6</v>
      </c>
      <c r="G418">
        <v>12</v>
      </c>
      <c r="H418">
        <v>7376.43</v>
      </c>
      <c r="I418">
        <v>0.1</v>
      </c>
    </row>
    <row r="419" spans="1:9" x14ac:dyDescent="0.3">
      <c r="A419" t="s">
        <v>434</v>
      </c>
      <c r="B419" t="s">
        <v>18</v>
      </c>
      <c r="C419" t="s">
        <v>11</v>
      </c>
      <c r="D419">
        <v>36</v>
      </c>
      <c r="E419" s="1">
        <v>45895</v>
      </c>
      <c r="F419">
        <v>3.41</v>
      </c>
      <c r="G419">
        <v>10</v>
      </c>
      <c r="H419">
        <v>10805.6</v>
      </c>
      <c r="I419">
        <v>0.2</v>
      </c>
    </row>
    <row r="420" spans="1:9" x14ac:dyDescent="0.3">
      <c r="A420" t="s">
        <v>435</v>
      </c>
      <c r="B420" t="s">
        <v>10</v>
      </c>
      <c r="C420" t="s">
        <v>14</v>
      </c>
      <c r="D420">
        <v>39</v>
      </c>
      <c r="E420" s="1">
        <v>45058</v>
      </c>
      <c r="F420">
        <v>3.55</v>
      </c>
      <c r="G420">
        <v>4</v>
      </c>
      <c r="H420">
        <v>8562.5300000000007</v>
      </c>
      <c r="I420">
        <v>2.5</v>
      </c>
    </row>
    <row r="421" spans="1:9" x14ac:dyDescent="0.3">
      <c r="A421" t="s">
        <v>436</v>
      </c>
      <c r="B421" t="s">
        <v>24</v>
      </c>
      <c r="C421" t="s">
        <v>14</v>
      </c>
      <c r="D421">
        <v>41</v>
      </c>
      <c r="E421" s="1">
        <v>42620</v>
      </c>
      <c r="F421">
        <v>4.6100000000000003</v>
      </c>
      <c r="G421">
        <v>4</v>
      </c>
      <c r="H421">
        <v>10622.3</v>
      </c>
      <c r="I421">
        <v>9.1999999999999993</v>
      </c>
    </row>
    <row r="422" spans="1:9" x14ac:dyDescent="0.3">
      <c r="A422" t="s">
        <v>437</v>
      </c>
      <c r="B422" t="s">
        <v>16</v>
      </c>
      <c r="C422" t="s">
        <v>14</v>
      </c>
      <c r="D422">
        <v>54</v>
      </c>
      <c r="E422" s="1">
        <v>45158</v>
      </c>
      <c r="F422">
        <v>2.15</v>
      </c>
      <c r="G422">
        <v>12</v>
      </c>
      <c r="H422">
        <v>10663.48</v>
      </c>
      <c r="I422">
        <v>2.2000000000000002</v>
      </c>
    </row>
    <row r="423" spans="1:9" x14ac:dyDescent="0.3">
      <c r="A423" t="s">
        <v>438</v>
      </c>
      <c r="B423" t="s">
        <v>24</v>
      </c>
      <c r="C423" t="s">
        <v>14</v>
      </c>
      <c r="D423">
        <v>53</v>
      </c>
      <c r="E423" s="1">
        <v>40299</v>
      </c>
      <c r="F423">
        <v>2.91</v>
      </c>
      <c r="G423">
        <v>14</v>
      </c>
      <c r="H423">
        <v>8406.76</v>
      </c>
      <c r="I423">
        <v>15.5</v>
      </c>
    </row>
    <row r="424" spans="1:9" x14ac:dyDescent="0.3">
      <c r="A424" t="s">
        <v>439</v>
      </c>
      <c r="B424" t="s">
        <v>24</v>
      </c>
      <c r="C424" t="s">
        <v>11</v>
      </c>
      <c r="D424">
        <v>37</v>
      </c>
      <c r="E424" s="1">
        <v>44719</v>
      </c>
      <c r="F424">
        <v>1.86</v>
      </c>
      <c r="G424">
        <v>13</v>
      </c>
      <c r="H424">
        <v>3603.92</v>
      </c>
      <c r="I424">
        <v>3.4</v>
      </c>
    </row>
    <row r="425" spans="1:9" x14ac:dyDescent="0.3">
      <c r="A425" t="s">
        <v>440</v>
      </c>
      <c r="B425" t="s">
        <v>16</v>
      </c>
      <c r="C425" t="s">
        <v>14</v>
      </c>
      <c r="D425">
        <v>49</v>
      </c>
      <c r="E425" s="1">
        <v>43784</v>
      </c>
      <c r="F425">
        <v>4.12</v>
      </c>
      <c r="G425">
        <v>11</v>
      </c>
      <c r="H425">
        <v>10463.83</v>
      </c>
      <c r="I425">
        <v>6</v>
      </c>
    </row>
    <row r="426" spans="1:9" x14ac:dyDescent="0.3">
      <c r="A426" t="s">
        <v>441</v>
      </c>
      <c r="B426" t="s">
        <v>34</v>
      </c>
      <c r="C426" t="s">
        <v>11</v>
      </c>
      <c r="D426">
        <v>28</v>
      </c>
      <c r="E426" s="1">
        <v>43157</v>
      </c>
      <c r="F426">
        <v>2.4900000000000002</v>
      </c>
      <c r="G426">
        <v>7</v>
      </c>
      <c r="H426">
        <v>13165.23</v>
      </c>
      <c r="I426">
        <v>7.7</v>
      </c>
    </row>
    <row r="427" spans="1:9" x14ac:dyDescent="0.3">
      <c r="A427" t="s">
        <v>442</v>
      </c>
      <c r="B427" t="s">
        <v>34</v>
      </c>
      <c r="C427" t="s">
        <v>14</v>
      </c>
      <c r="D427">
        <v>53</v>
      </c>
      <c r="E427" s="1">
        <v>42550</v>
      </c>
      <c r="F427">
        <v>2.27</v>
      </c>
      <c r="G427">
        <v>15</v>
      </c>
      <c r="H427">
        <v>10468.950000000001</v>
      </c>
      <c r="I427">
        <v>9.3000000000000007</v>
      </c>
    </row>
    <row r="428" spans="1:9" x14ac:dyDescent="0.3">
      <c r="A428" t="s">
        <v>443</v>
      </c>
      <c r="B428" t="s">
        <v>34</v>
      </c>
      <c r="C428" t="s">
        <v>14</v>
      </c>
      <c r="D428">
        <v>36</v>
      </c>
      <c r="E428" s="1">
        <v>41540</v>
      </c>
      <c r="F428">
        <v>1.69</v>
      </c>
      <c r="G428">
        <v>7</v>
      </c>
      <c r="H428">
        <v>13651.84</v>
      </c>
      <c r="I428">
        <v>12.1</v>
      </c>
    </row>
    <row r="429" spans="1:9" x14ac:dyDescent="0.3">
      <c r="A429" t="s">
        <v>444</v>
      </c>
      <c r="B429" t="s">
        <v>18</v>
      </c>
      <c r="C429" t="s">
        <v>11</v>
      </c>
      <c r="D429">
        <v>37</v>
      </c>
      <c r="E429" s="1">
        <v>44748</v>
      </c>
      <c r="F429">
        <v>3.26</v>
      </c>
      <c r="G429">
        <v>8</v>
      </c>
      <c r="H429">
        <v>13688.81</v>
      </c>
      <c r="I429">
        <v>3.3</v>
      </c>
    </row>
    <row r="430" spans="1:9" x14ac:dyDescent="0.3">
      <c r="A430" t="s">
        <v>445</v>
      </c>
      <c r="B430" t="s">
        <v>13</v>
      </c>
      <c r="C430" t="s">
        <v>14</v>
      </c>
      <c r="D430">
        <v>23</v>
      </c>
      <c r="E430" s="1">
        <v>41243</v>
      </c>
      <c r="F430">
        <v>2.1</v>
      </c>
      <c r="G430">
        <v>10</v>
      </c>
      <c r="H430">
        <v>9959.06</v>
      </c>
      <c r="I430">
        <v>12.9</v>
      </c>
    </row>
    <row r="431" spans="1:9" x14ac:dyDescent="0.3">
      <c r="A431" t="s">
        <v>446</v>
      </c>
      <c r="B431" t="s">
        <v>13</v>
      </c>
      <c r="C431" t="s">
        <v>11</v>
      </c>
      <c r="D431">
        <v>45</v>
      </c>
      <c r="E431" s="1">
        <v>44676</v>
      </c>
      <c r="F431">
        <v>4.68</v>
      </c>
      <c r="G431">
        <v>9</v>
      </c>
      <c r="H431">
        <v>5306.58</v>
      </c>
      <c r="I431">
        <v>3.5</v>
      </c>
    </row>
    <row r="432" spans="1:9" x14ac:dyDescent="0.3">
      <c r="A432" t="s">
        <v>447</v>
      </c>
      <c r="B432" t="s">
        <v>34</v>
      </c>
      <c r="C432" t="s">
        <v>14</v>
      </c>
      <c r="D432">
        <v>56</v>
      </c>
      <c r="E432" s="1">
        <v>44472</v>
      </c>
      <c r="F432">
        <v>4.28</v>
      </c>
      <c r="G432">
        <v>12</v>
      </c>
      <c r="H432">
        <v>4876.57</v>
      </c>
      <c r="I432">
        <v>4.0999999999999996</v>
      </c>
    </row>
    <row r="433" spans="1:9" x14ac:dyDescent="0.3">
      <c r="A433" t="s">
        <v>448</v>
      </c>
      <c r="B433" t="s">
        <v>13</v>
      </c>
      <c r="C433" t="s">
        <v>11</v>
      </c>
      <c r="D433">
        <v>55</v>
      </c>
      <c r="E433" s="1">
        <v>42903</v>
      </c>
      <c r="F433">
        <v>1.96</v>
      </c>
      <c r="G433">
        <v>3</v>
      </c>
      <c r="H433">
        <v>13364.15</v>
      </c>
      <c r="I433">
        <v>8.4</v>
      </c>
    </row>
    <row r="434" spans="1:9" x14ac:dyDescent="0.3">
      <c r="A434" t="s">
        <v>449</v>
      </c>
      <c r="B434" t="s">
        <v>13</v>
      </c>
      <c r="C434" t="s">
        <v>11</v>
      </c>
      <c r="D434">
        <v>22</v>
      </c>
      <c r="E434" s="1">
        <v>42806</v>
      </c>
      <c r="F434">
        <v>4.7</v>
      </c>
      <c r="G434">
        <v>3</v>
      </c>
      <c r="H434">
        <v>12375.14</v>
      </c>
      <c r="I434">
        <v>8.6</v>
      </c>
    </row>
    <row r="435" spans="1:9" x14ac:dyDescent="0.3">
      <c r="A435" t="s">
        <v>450</v>
      </c>
      <c r="B435" t="s">
        <v>34</v>
      </c>
      <c r="C435" t="s">
        <v>14</v>
      </c>
      <c r="D435">
        <v>46</v>
      </c>
      <c r="E435" s="1">
        <v>40747</v>
      </c>
      <c r="F435">
        <v>3.65</v>
      </c>
      <c r="G435">
        <v>8</v>
      </c>
      <c r="H435">
        <v>4763.16</v>
      </c>
      <c r="I435">
        <v>14.3</v>
      </c>
    </row>
    <row r="436" spans="1:9" x14ac:dyDescent="0.3">
      <c r="A436" t="s">
        <v>451</v>
      </c>
      <c r="B436" t="s">
        <v>18</v>
      </c>
      <c r="C436" t="s">
        <v>11</v>
      </c>
      <c r="D436">
        <v>32</v>
      </c>
      <c r="E436" s="1">
        <v>44838</v>
      </c>
      <c r="F436">
        <v>4.03</v>
      </c>
      <c r="G436">
        <v>8</v>
      </c>
      <c r="H436">
        <v>12941.15</v>
      </c>
      <c r="I436">
        <v>3.1</v>
      </c>
    </row>
    <row r="437" spans="1:9" x14ac:dyDescent="0.3">
      <c r="A437" t="s">
        <v>452</v>
      </c>
      <c r="B437" t="s">
        <v>34</v>
      </c>
      <c r="C437" t="s">
        <v>14</v>
      </c>
      <c r="D437">
        <v>33</v>
      </c>
      <c r="E437" s="1">
        <v>40883</v>
      </c>
      <c r="F437">
        <v>3.34</v>
      </c>
      <c r="G437">
        <v>10</v>
      </c>
      <c r="H437">
        <v>4690.91</v>
      </c>
      <c r="I437">
        <v>13.9</v>
      </c>
    </row>
    <row r="438" spans="1:9" x14ac:dyDescent="0.3">
      <c r="A438" t="s">
        <v>453</v>
      </c>
      <c r="B438" t="s">
        <v>18</v>
      </c>
      <c r="C438" t="s">
        <v>11</v>
      </c>
      <c r="D438">
        <v>29</v>
      </c>
      <c r="E438" s="1">
        <v>45598</v>
      </c>
      <c r="F438">
        <v>4.7300000000000004</v>
      </c>
      <c r="G438">
        <v>7</v>
      </c>
      <c r="H438">
        <v>14476.24</v>
      </c>
      <c r="I438">
        <v>1</v>
      </c>
    </row>
    <row r="439" spans="1:9" x14ac:dyDescent="0.3">
      <c r="A439" t="s">
        <v>454</v>
      </c>
      <c r="B439" t="s">
        <v>18</v>
      </c>
      <c r="C439" t="s">
        <v>11</v>
      </c>
      <c r="D439">
        <v>58</v>
      </c>
      <c r="E439" s="1">
        <v>44742</v>
      </c>
      <c r="F439">
        <v>2.79</v>
      </c>
      <c r="G439">
        <v>11</v>
      </c>
      <c r="H439">
        <v>8626.2900000000009</v>
      </c>
      <c r="I439">
        <v>3.3</v>
      </c>
    </row>
    <row r="440" spans="1:9" x14ac:dyDescent="0.3">
      <c r="A440" t="s">
        <v>455</v>
      </c>
      <c r="B440" t="s">
        <v>10</v>
      </c>
      <c r="C440" t="s">
        <v>14</v>
      </c>
      <c r="D440">
        <v>52</v>
      </c>
      <c r="E440" s="1">
        <v>43958</v>
      </c>
      <c r="F440">
        <v>1.74</v>
      </c>
      <c r="G440">
        <v>3</v>
      </c>
      <c r="H440">
        <v>5769.38</v>
      </c>
      <c r="I440">
        <v>5.5</v>
      </c>
    </row>
    <row r="441" spans="1:9" x14ac:dyDescent="0.3">
      <c r="A441" t="s">
        <v>456</v>
      </c>
      <c r="B441" t="s">
        <v>34</v>
      </c>
      <c r="C441" t="s">
        <v>11</v>
      </c>
      <c r="D441">
        <v>26</v>
      </c>
      <c r="E441" s="1">
        <v>44814</v>
      </c>
      <c r="F441">
        <v>3.89</v>
      </c>
      <c r="G441">
        <v>2</v>
      </c>
      <c r="H441">
        <v>9052.3700000000008</v>
      </c>
      <c r="I441">
        <v>3.1</v>
      </c>
    </row>
    <row r="442" spans="1:9" x14ac:dyDescent="0.3">
      <c r="A442" t="s">
        <v>457</v>
      </c>
      <c r="B442" t="s">
        <v>16</v>
      </c>
      <c r="C442" t="s">
        <v>14</v>
      </c>
      <c r="D442">
        <v>51</v>
      </c>
      <c r="E442" s="1">
        <v>43358</v>
      </c>
      <c r="F442">
        <v>4.99</v>
      </c>
      <c r="G442">
        <v>1</v>
      </c>
      <c r="H442">
        <v>8691.6</v>
      </c>
      <c r="I442">
        <v>7.1</v>
      </c>
    </row>
    <row r="443" spans="1:9" x14ac:dyDescent="0.3">
      <c r="A443" t="s">
        <v>458</v>
      </c>
      <c r="B443" t="s">
        <v>34</v>
      </c>
      <c r="C443" t="s">
        <v>14</v>
      </c>
      <c r="D443">
        <v>24</v>
      </c>
      <c r="E443" s="1">
        <v>45400</v>
      </c>
      <c r="F443">
        <v>4.42</v>
      </c>
      <c r="G443">
        <v>1</v>
      </c>
      <c r="H443">
        <v>4202.7700000000004</v>
      </c>
      <c r="I443">
        <v>1.5</v>
      </c>
    </row>
    <row r="444" spans="1:9" x14ac:dyDescent="0.3">
      <c r="A444" t="s">
        <v>459</v>
      </c>
      <c r="B444" t="s">
        <v>18</v>
      </c>
      <c r="C444" t="s">
        <v>14</v>
      </c>
      <c r="D444">
        <v>25</v>
      </c>
      <c r="E444" s="1">
        <v>40950</v>
      </c>
      <c r="F444">
        <v>2.0099999999999998</v>
      </c>
      <c r="G444">
        <v>0</v>
      </c>
      <c r="H444">
        <v>11017.6</v>
      </c>
      <c r="I444">
        <v>13.7</v>
      </c>
    </row>
    <row r="445" spans="1:9" x14ac:dyDescent="0.3">
      <c r="A445" t="s">
        <v>460</v>
      </c>
      <c r="B445" t="s">
        <v>24</v>
      </c>
      <c r="C445" t="s">
        <v>11</v>
      </c>
      <c r="D445">
        <v>29</v>
      </c>
      <c r="E445" s="1">
        <v>42690</v>
      </c>
      <c r="F445">
        <v>2.74</v>
      </c>
      <c r="G445">
        <v>15</v>
      </c>
      <c r="H445">
        <v>3761.39</v>
      </c>
      <c r="I445">
        <v>9</v>
      </c>
    </row>
    <row r="446" spans="1:9" x14ac:dyDescent="0.3">
      <c r="A446" t="s">
        <v>461</v>
      </c>
      <c r="B446" t="s">
        <v>13</v>
      </c>
      <c r="C446" t="s">
        <v>14</v>
      </c>
      <c r="D446">
        <v>44</v>
      </c>
      <c r="E446" s="1">
        <v>44790</v>
      </c>
      <c r="F446">
        <v>2.37</v>
      </c>
      <c r="G446">
        <v>2</v>
      </c>
      <c r="H446">
        <v>12577.6</v>
      </c>
      <c r="I446">
        <v>3.2</v>
      </c>
    </row>
    <row r="447" spans="1:9" x14ac:dyDescent="0.3">
      <c r="A447" t="s">
        <v>462</v>
      </c>
      <c r="B447" t="s">
        <v>10</v>
      </c>
      <c r="C447" t="s">
        <v>11</v>
      </c>
      <c r="D447">
        <v>56</v>
      </c>
      <c r="E447" s="1">
        <v>44894</v>
      </c>
      <c r="F447">
        <v>2.81</v>
      </c>
      <c r="G447">
        <v>1</v>
      </c>
      <c r="H447">
        <v>9872.42</v>
      </c>
      <c r="I447">
        <v>2.9</v>
      </c>
    </row>
    <row r="448" spans="1:9" x14ac:dyDescent="0.3">
      <c r="A448" t="s">
        <v>463</v>
      </c>
      <c r="B448" t="s">
        <v>34</v>
      </c>
      <c r="C448" t="s">
        <v>11</v>
      </c>
      <c r="D448">
        <v>60</v>
      </c>
      <c r="E448" s="1">
        <v>42814</v>
      </c>
      <c r="F448">
        <v>3.91</v>
      </c>
      <c r="G448">
        <v>8</v>
      </c>
      <c r="H448">
        <v>5120.46</v>
      </c>
      <c r="I448">
        <v>8.6</v>
      </c>
    </row>
    <row r="449" spans="1:9" x14ac:dyDescent="0.3">
      <c r="A449" t="s">
        <v>464</v>
      </c>
      <c r="B449" t="s">
        <v>18</v>
      </c>
      <c r="C449" t="s">
        <v>11</v>
      </c>
      <c r="D449">
        <v>24</v>
      </c>
      <c r="E449" s="1">
        <v>45403</v>
      </c>
      <c r="F449">
        <v>2.2599999999999998</v>
      </c>
      <c r="G449">
        <v>7</v>
      </c>
      <c r="H449">
        <v>11088.66</v>
      </c>
      <c r="I449">
        <v>1.5</v>
      </c>
    </row>
    <row r="450" spans="1:9" x14ac:dyDescent="0.3">
      <c r="A450" t="s">
        <v>465</v>
      </c>
      <c r="B450" t="s">
        <v>24</v>
      </c>
      <c r="C450" t="s">
        <v>11</v>
      </c>
      <c r="D450">
        <v>58</v>
      </c>
      <c r="E450" s="1">
        <v>43575</v>
      </c>
      <c r="F450">
        <v>4.92</v>
      </c>
      <c r="G450">
        <v>2</v>
      </c>
      <c r="H450">
        <v>11000.3</v>
      </c>
      <c r="I450">
        <v>6.5</v>
      </c>
    </row>
    <row r="451" spans="1:9" x14ac:dyDescent="0.3">
      <c r="A451" t="s">
        <v>466</v>
      </c>
      <c r="B451" t="s">
        <v>34</v>
      </c>
      <c r="C451" t="s">
        <v>14</v>
      </c>
      <c r="D451">
        <v>43</v>
      </c>
      <c r="E451" s="1">
        <v>43151</v>
      </c>
      <c r="F451">
        <v>4.5</v>
      </c>
      <c r="G451">
        <v>13</v>
      </c>
      <c r="H451">
        <v>14161.04</v>
      </c>
      <c r="I451">
        <v>7.7</v>
      </c>
    </row>
    <row r="452" spans="1:9" x14ac:dyDescent="0.3">
      <c r="A452" t="s">
        <v>467</v>
      </c>
      <c r="B452" t="s">
        <v>13</v>
      </c>
      <c r="C452" t="s">
        <v>14</v>
      </c>
      <c r="D452">
        <v>43</v>
      </c>
      <c r="E452" s="1">
        <v>43408</v>
      </c>
      <c r="F452">
        <v>4.53</v>
      </c>
      <c r="G452">
        <v>11</v>
      </c>
      <c r="H452">
        <v>9002.66</v>
      </c>
      <c r="I452">
        <v>7</v>
      </c>
    </row>
    <row r="453" spans="1:9" x14ac:dyDescent="0.3">
      <c r="A453" t="s">
        <v>468</v>
      </c>
      <c r="B453" t="s">
        <v>10</v>
      </c>
      <c r="C453" t="s">
        <v>11</v>
      </c>
      <c r="D453">
        <v>45</v>
      </c>
      <c r="E453" s="1">
        <v>43886</v>
      </c>
      <c r="F453">
        <v>3.66</v>
      </c>
      <c r="G453">
        <v>3</v>
      </c>
      <c r="H453">
        <v>12667.79</v>
      </c>
      <c r="I453">
        <v>5.7</v>
      </c>
    </row>
    <row r="454" spans="1:9" x14ac:dyDescent="0.3">
      <c r="A454" t="s">
        <v>469</v>
      </c>
      <c r="B454" t="s">
        <v>24</v>
      </c>
      <c r="C454" t="s">
        <v>11</v>
      </c>
      <c r="D454">
        <v>54</v>
      </c>
      <c r="E454" s="1">
        <v>42255</v>
      </c>
      <c r="F454">
        <v>2.14</v>
      </c>
      <c r="G454">
        <v>15</v>
      </c>
      <c r="H454">
        <v>6676.22</v>
      </c>
      <c r="I454">
        <v>10.199999999999999</v>
      </c>
    </row>
    <row r="455" spans="1:9" x14ac:dyDescent="0.3">
      <c r="A455" t="s">
        <v>470</v>
      </c>
      <c r="B455" t="s">
        <v>24</v>
      </c>
      <c r="C455" t="s">
        <v>11</v>
      </c>
      <c r="D455">
        <v>30</v>
      </c>
      <c r="E455" s="1">
        <v>41259</v>
      </c>
      <c r="F455">
        <v>2.34</v>
      </c>
      <c r="G455">
        <v>7</v>
      </c>
      <c r="H455">
        <v>13042.77</v>
      </c>
      <c r="I455">
        <v>12.9</v>
      </c>
    </row>
    <row r="456" spans="1:9" x14ac:dyDescent="0.3">
      <c r="A456" t="s">
        <v>471</v>
      </c>
      <c r="B456" t="s">
        <v>18</v>
      </c>
      <c r="C456" t="s">
        <v>11</v>
      </c>
      <c r="D456">
        <v>42</v>
      </c>
      <c r="E456" s="1">
        <v>44542</v>
      </c>
      <c r="F456">
        <v>3.11</v>
      </c>
      <c r="G456">
        <v>5</v>
      </c>
      <c r="H456">
        <v>6580.28</v>
      </c>
      <c r="I456">
        <v>3.9</v>
      </c>
    </row>
    <row r="457" spans="1:9" x14ac:dyDescent="0.3">
      <c r="A457" t="s">
        <v>472</v>
      </c>
      <c r="B457" t="s">
        <v>16</v>
      </c>
      <c r="C457" t="s">
        <v>11</v>
      </c>
      <c r="D457">
        <v>43</v>
      </c>
      <c r="E457" s="1">
        <v>43774</v>
      </c>
      <c r="F457">
        <v>1.68</v>
      </c>
      <c r="G457">
        <v>2</v>
      </c>
      <c r="H457">
        <v>3111.36</v>
      </c>
      <c r="I457">
        <v>6</v>
      </c>
    </row>
    <row r="458" spans="1:9" x14ac:dyDescent="0.3">
      <c r="A458" t="s">
        <v>473</v>
      </c>
      <c r="B458" t="s">
        <v>16</v>
      </c>
      <c r="C458" t="s">
        <v>11</v>
      </c>
      <c r="D458">
        <v>39</v>
      </c>
      <c r="E458" s="1">
        <v>40986</v>
      </c>
      <c r="F458">
        <v>2.67</v>
      </c>
      <c r="G458">
        <v>0</v>
      </c>
      <c r="H458">
        <v>11747.82</v>
      </c>
      <c r="I458">
        <v>13.6</v>
      </c>
    </row>
    <row r="459" spans="1:9" x14ac:dyDescent="0.3">
      <c r="A459" t="s">
        <v>474</v>
      </c>
      <c r="B459" t="s">
        <v>24</v>
      </c>
      <c r="C459" t="s">
        <v>11</v>
      </c>
      <c r="D459">
        <v>35</v>
      </c>
      <c r="E459" s="1">
        <v>41777</v>
      </c>
      <c r="F459">
        <v>4.5999999999999996</v>
      </c>
      <c r="G459">
        <v>7</v>
      </c>
      <c r="H459">
        <v>9539.41</v>
      </c>
      <c r="I459">
        <v>11.5</v>
      </c>
    </row>
    <row r="460" spans="1:9" x14ac:dyDescent="0.3">
      <c r="A460" t="s">
        <v>475</v>
      </c>
      <c r="B460" t="s">
        <v>34</v>
      </c>
      <c r="C460" t="s">
        <v>11</v>
      </c>
      <c r="D460">
        <v>43</v>
      </c>
      <c r="E460" s="1">
        <v>40570</v>
      </c>
      <c r="F460">
        <v>2.98</v>
      </c>
      <c r="G460">
        <v>12</v>
      </c>
      <c r="H460">
        <v>7986.39</v>
      </c>
      <c r="I460">
        <v>14.8</v>
      </c>
    </row>
    <row r="461" spans="1:9" x14ac:dyDescent="0.3">
      <c r="A461" t="s">
        <v>476</v>
      </c>
      <c r="B461" t="s">
        <v>16</v>
      </c>
      <c r="C461" t="s">
        <v>14</v>
      </c>
      <c r="D461">
        <v>43</v>
      </c>
      <c r="E461" s="1">
        <v>45472</v>
      </c>
      <c r="F461">
        <v>1.73</v>
      </c>
      <c r="G461">
        <v>12</v>
      </c>
      <c r="H461">
        <v>13758.78</v>
      </c>
      <c r="I461">
        <v>1.3</v>
      </c>
    </row>
    <row r="462" spans="1:9" x14ac:dyDescent="0.3">
      <c r="A462" t="s">
        <v>477</v>
      </c>
      <c r="B462" t="s">
        <v>34</v>
      </c>
      <c r="C462" t="s">
        <v>14</v>
      </c>
      <c r="D462">
        <v>32</v>
      </c>
      <c r="E462" s="1">
        <v>44894</v>
      </c>
      <c r="F462">
        <v>2.42</v>
      </c>
      <c r="G462">
        <v>3</v>
      </c>
      <c r="H462">
        <v>12780.89</v>
      </c>
      <c r="I462">
        <v>2.9</v>
      </c>
    </row>
    <row r="463" spans="1:9" x14ac:dyDescent="0.3">
      <c r="A463" t="s">
        <v>478</v>
      </c>
      <c r="B463" t="s">
        <v>13</v>
      </c>
      <c r="C463" t="s">
        <v>14</v>
      </c>
      <c r="D463">
        <v>53</v>
      </c>
      <c r="E463" s="1">
        <v>41541</v>
      </c>
      <c r="F463">
        <v>2.65</v>
      </c>
      <c r="G463">
        <v>1</v>
      </c>
      <c r="H463">
        <v>8423.32</v>
      </c>
      <c r="I463">
        <v>12.1</v>
      </c>
    </row>
    <row r="464" spans="1:9" x14ac:dyDescent="0.3">
      <c r="A464" t="s">
        <v>479</v>
      </c>
      <c r="B464" t="s">
        <v>16</v>
      </c>
      <c r="C464" t="s">
        <v>11</v>
      </c>
      <c r="D464">
        <v>26</v>
      </c>
      <c r="E464" s="1">
        <v>42581</v>
      </c>
      <c r="F464">
        <v>2.44</v>
      </c>
      <c r="G464">
        <v>15</v>
      </c>
      <c r="H464">
        <v>11184.84</v>
      </c>
      <c r="I464">
        <v>9.3000000000000007</v>
      </c>
    </row>
    <row r="465" spans="1:9" x14ac:dyDescent="0.3">
      <c r="A465" t="s">
        <v>480</v>
      </c>
      <c r="B465" t="s">
        <v>18</v>
      </c>
      <c r="C465" t="s">
        <v>14</v>
      </c>
      <c r="D465">
        <v>28</v>
      </c>
      <c r="E465" s="1">
        <v>44804</v>
      </c>
      <c r="F465">
        <v>3.36</v>
      </c>
      <c r="G465">
        <v>5</v>
      </c>
      <c r="H465">
        <v>5399.61</v>
      </c>
      <c r="I465">
        <v>3.2</v>
      </c>
    </row>
    <row r="466" spans="1:9" x14ac:dyDescent="0.3">
      <c r="A466" t="s">
        <v>481</v>
      </c>
      <c r="B466" t="s">
        <v>10</v>
      </c>
      <c r="C466" t="s">
        <v>11</v>
      </c>
      <c r="D466">
        <v>52</v>
      </c>
      <c r="E466" s="1">
        <v>44103</v>
      </c>
      <c r="F466">
        <v>3.09</v>
      </c>
      <c r="G466">
        <v>13</v>
      </c>
      <c r="H466">
        <v>12005.09</v>
      </c>
      <c r="I466">
        <v>5.0999999999999996</v>
      </c>
    </row>
    <row r="467" spans="1:9" x14ac:dyDescent="0.3">
      <c r="A467" t="s">
        <v>482</v>
      </c>
      <c r="B467" t="s">
        <v>10</v>
      </c>
      <c r="C467" t="s">
        <v>11</v>
      </c>
      <c r="D467">
        <v>33</v>
      </c>
      <c r="E467" s="1">
        <v>40472</v>
      </c>
      <c r="F467">
        <v>3.69</v>
      </c>
      <c r="G467">
        <v>5</v>
      </c>
      <c r="H467">
        <v>14868.11</v>
      </c>
      <c r="I467">
        <v>15</v>
      </c>
    </row>
    <row r="468" spans="1:9" x14ac:dyDescent="0.3">
      <c r="A468" t="s">
        <v>483</v>
      </c>
      <c r="B468" t="s">
        <v>24</v>
      </c>
      <c r="C468" t="s">
        <v>11</v>
      </c>
      <c r="D468">
        <v>47</v>
      </c>
      <c r="E468" s="1">
        <v>42054</v>
      </c>
      <c r="F468">
        <v>1.83</v>
      </c>
      <c r="G468">
        <v>3</v>
      </c>
      <c r="H468">
        <v>10196.01</v>
      </c>
      <c r="I468">
        <v>10.7</v>
      </c>
    </row>
    <row r="469" spans="1:9" x14ac:dyDescent="0.3">
      <c r="A469" t="s">
        <v>484</v>
      </c>
      <c r="B469" t="s">
        <v>16</v>
      </c>
      <c r="C469" t="s">
        <v>14</v>
      </c>
      <c r="D469">
        <v>40</v>
      </c>
      <c r="E469" s="1">
        <v>42732</v>
      </c>
      <c r="F469">
        <v>2.19</v>
      </c>
      <c r="G469">
        <v>3</v>
      </c>
      <c r="H469">
        <v>4041.39</v>
      </c>
      <c r="I469">
        <v>8.8000000000000007</v>
      </c>
    </row>
    <row r="470" spans="1:9" x14ac:dyDescent="0.3">
      <c r="A470" t="s">
        <v>485</v>
      </c>
      <c r="B470" t="s">
        <v>13</v>
      </c>
      <c r="C470" t="s">
        <v>11</v>
      </c>
      <c r="D470">
        <v>31</v>
      </c>
      <c r="E470" s="1">
        <v>43349</v>
      </c>
      <c r="F470">
        <v>4.07</v>
      </c>
      <c r="G470">
        <v>9</v>
      </c>
      <c r="H470">
        <v>5798.46</v>
      </c>
      <c r="I470">
        <v>7.2</v>
      </c>
    </row>
    <row r="471" spans="1:9" x14ac:dyDescent="0.3">
      <c r="A471" t="s">
        <v>486</v>
      </c>
      <c r="B471" t="s">
        <v>24</v>
      </c>
      <c r="C471" t="s">
        <v>14</v>
      </c>
      <c r="D471">
        <v>47</v>
      </c>
      <c r="E471" s="1">
        <v>43074</v>
      </c>
      <c r="F471">
        <v>4.37</v>
      </c>
      <c r="G471">
        <v>4</v>
      </c>
      <c r="H471">
        <v>13645.34</v>
      </c>
      <c r="I471">
        <v>7.9</v>
      </c>
    </row>
    <row r="472" spans="1:9" x14ac:dyDescent="0.3">
      <c r="A472" t="s">
        <v>487</v>
      </c>
      <c r="B472" t="s">
        <v>24</v>
      </c>
      <c r="C472" t="s">
        <v>11</v>
      </c>
      <c r="D472">
        <v>23</v>
      </c>
      <c r="E472" s="1">
        <v>43980</v>
      </c>
      <c r="F472">
        <v>2.37</v>
      </c>
      <c r="G472">
        <v>14</v>
      </c>
      <c r="H472">
        <v>11033.94</v>
      </c>
      <c r="I472">
        <v>5.4</v>
      </c>
    </row>
    <row r="473" spans="1:9" x14ac:dyDescent="0.3">
      <c r="A473" t="s">
        <v>488</v>
      </c>
      <c r="B473" t="s">
        <v>34</v>
      </c>
      <c r="C473" t="s">
        <v>11</v>
      </c>
      <c r="D473">
        <v>59</v>
      </c>
      <c r="E473" s="1">
        <v>44859</v>
      </c>
      <c r="F473">
        <v>4.5199999999999996</v>
      </c>
      <c r="G473">
        <v>14</v>
      </c>
      <c r="H473">
        <v>13097.49</v>
      </c>
      <c r="I473">
        <v>3</v>
      </c>
    </row>
    <row r="474" spans="1:9" x14ac:dyDescent="0.3">
      <c r="A474" t="s">
        <v>489</v>
      </c>
      <c r="B474" t="s">
        <v>34</v>
      </c>
      <c r="C474" t="s">
        <v>11</v>
      </c>
      <c r="D474">
        <v>40</v>
      </c>
      <c r="E474" s="1">
        <v>40529</v>
      </c>
      <c r="F474">
        <v>3.77</v>
      </c>
      <c r="G474">
        <v>14</v>
      </c>
      <c r="H474">
        <v>11329.39</v>
      </c>
      <c r="I474">
        <v>14.9</v>
      </c>
    </row>
    <row r="475" spans="1:9" x14ac:dyDescent="0.3">
      <c r="A475" t="s">
        <v>490</v>
      </c>
      <c r="B475" t="s">
        <v>16</v>
      </c>
      <c r="C475" t="s">
        <v>11</v>
      </c>
      <c r="D475">
        <v>57</v>
      </c>
      <c r="E475" s="1">
        <v>42469</v>
      </c>
      <c r="F475">
        <v>4.47</v>
      </c>
      <c r="G475">
        <v>12</v>
      </c>
      <c r="H475">
        <v>8465.73</v>
      </c>
      <c r="I475">
        <v>9.6</v>
      </c>
    </row>
    <row r="476" spans="1:9" x14ac:dyDescent="0.3">
      <c r="A476" t="s">
        <v>491</v>
      </c>
      <c r="B476" t="s">
        <v>24</v>
      </c>
      <c r="C476" t="s">
        <v>11</v>
      </c>
      <c r="D476">
        <v>55</v>
      </c>
      <c r="E476" s="1">
        <v>44685</v>
      </c>
      <c r="F476">
        <v>3.16</v>
      </c>
      <c r="G476">
        <v>13</v>
      </c>
      <c r="H476">
        <v>8707.1299999999992</v>
      </c>
      <c r="I476">
        <v>3.5</v>
      </c>
    </row>
    <row r="477" spans="1:9" x14ac:dyDescent="0.3">
      <c r="A477" t="s">
        <v>492</v>
      </c>
      <c r="B477" t="s">
        <v>18</v>
      </c>
      <c r="C477" t="s">
        <v>14</v>
      </c>
      <c r="D477">
        <v>28</v>
      </c>
      <c r="E477" s="1">
        <v>41272</v>
      </c>
      <c r="F477">
        <v>1.62</v>
      </c>
      <c r="G477">
        <v>0</v>
      </c>
      <c r="H477">
        <v>3653.82</v>
      </c>
      <c r="I477">
        <v>12.8</v>
      </c>
    </row>
    <row r="478" spans="1:9" x14ac:dyDescent="0.3">
      <c r="A478" t="s">
        <v>493</v>
      </c>
      <c r="B478" t="s">
        <v>18</v>
      </c>
      <c r="C478" t="s">
        <v>14</v>
      </c>
      <c r="D478">
        <v>39</v>
      </c>
      <c r="E478" s="1">
        <v>41000</v>
      </c>
      <c r="F478">
        <v>1.57</v>
      </c>
      <c r="G478">
        <v>15</v>
      </c>
      <c r="H478">
        <v>6739.31</v>
      </c>
      <c r="I478">
        <v>13.6</v>
      </c>
    </row>
    <row r="479" spans="1:9" x14ac:dyDescent="0.3">
      <c r="A479" t="s">
        <v>494</v>
      </c>
      <c r="B479" t="s">
        <v>18</v>
      </c>
      <c r="C479" t="s">
        <v>14</v>
      </c>
      <c r="D479">
        <v>40</v>
      </c>
      <c r="E479" s="1">
        <v>40353</v>
      </c>
      <c r="F479">
        <v>3.97</v>
      </c>
      <c r="G479">
        <v>9</v>
      </c>
      <c r="H479">
        <v>8609.57</v>
      </c>
      <c r="I479">
        <v>15.4</v>
      </c>
    </row>
    <row r="480" spans="1:9" x14ac:dyDescent="0.3">
      <c r="A480" t="s">
        <v>495</v>
      </c>
      <c r="B480" t="s">
        <v>13</v>
      </c>
      <c r="C480" t="s">
        <v>14</v>
      </c>
      <c r="D480">
        <v>49</v>
      </c>
      <c r="E480" s="1">
        <v>42475</v>
      </c>
      <c r="F480">
        <v>3.43</v>
      </c>
      <c r="G480">
        <v>5</v>
      </c>
      <c r="H480">
        <v>6636.5</v>
      </c>
      <c r="I480">
        <v>9.6</v>
      </c>
    </row>
    <row r="481" spans="1:9" x14ac:dyDescent="0.3">
      <c r="A481" t="s">
        <v>496</v>
      </c>
      <c r="B481" t="s">
        <v>13</v>
      </c>
      <c r="C481" t="s">
        <v>11</v>
      </c>
      <c r="D481">
        <v>40</v>
      </c>
      <c r="E481" s="1">
        <v>41307</v>
      </c>
      <c r="F481">
        <v>1.63</v>
      </c>
      <c r="G481">
        <v>5</v>
      </c>
      <c r="H481">
        <v>6814.29</v>
      </c>
      <c r="I481">
        <v>12.8</v>
      </c>
    </row>
    <row r="482" spans="1:9" x14ac:dyDescent="0.3">
      <c r="A482" t="s">
        <v>497</v>
      </c>
      <c r="B482" t="s">
        <v>34</v>
      </c>
      <c r="C482" t="s">
        <v>11</v>
      </c>
      <c r="D482">
        <v>28</v>
      </c>
      <c r="E482" s="1">
        <v>44900</v>
      </c>
      <c r="F482">
        <v>3.24</v>
      </c>
      <c r="G482">
        <v>15</v>
      </c>
      <c r="H482">
        <v>5291.97</v>
      </c>
      <c r="I482">
        <v>2.9</v>
      </c>
    </row>
    <row r="483" spans="1:9" x14ac:dyDescent="0.3">
      <c r="A483" t="s">
        <v>498</v>
      </c>
      <c r="B483" t="s">
        <v>34</v>
      </c>
      <c r="C483" t="s">
        <v>11</v>
      </c>
      <c r="D483">
        <v>29</v>
      </c>
      <c r="E483" s="1">
        <v>40440</v>
      </c>
      <c r="F483">
        <v>4.43</v>
      </c>
      <c r="G483">
        <v>13</v>
      </c>
      <c r="H483">
        <v>6180.11</v>
      </c>
      <c r="I483">
        <v>15.1</v>
      </c>
    </row>
    <row r="484" spans="1:9" x14ac:dyDescent="0.3">
      <c r="A484" t="s">
        <v>499</v>
      </c>
      <c r="B484" t="s">
        <v>24</v>
      </c>
      <c r="C484" t="s">
        <v>11</v>
      </c>
      <c r="D484">
        <v>33</v>
      </c>
      <c r="E484" s="1">
        <v>41724</v>
      </c>
      <c r="F484">
        <v>1.69</v>
      </c>
      <c r="G484">
        <v>9</v>
      </c>
      <c r="H484">
        <v>9384.0400000000009</v>
      </c>
      <c r="I484">
        <v>11.6</v>
      </c>
    </row>
    <row r="485" spans="1:9" x14ac:dyDescent="0.3">
      <c r="A485" t="s">
        <v>500</v>
      </c>
      <c r="B485" t="s">
        <v>34</v>
      </c>
      <c r="C485" t="s">
        <v>11</v>
      </c>
      <c r="D485">
        <v>25</v>
      </c>
      <c r="E485" s="1">
        <v>45612</v>
      </c>
      <c r="F485">
        <v>4.9400000000000004</v>
      </c>
      <c r="G485">
        <v>8</v>
      </c>
      <c r="H485">
        <v>8908.2999999999993</v>
      </c>
      <c r="I485">
        <v>1</v>
      </c>
    </row>
    <row r="486" spans="1:9" x14ac:dyDescent="0.3">
      <c r="A486" t="s">
        <v>501</v>
      </c>
      <c r="B486" t="s">
        <v>34</v>
      </c>
      <c r="C486" t="s">
        <v>11</v>
      </c>
      <c r="D486">
        <v>52</v>
      </c>
      <c r="E486" s="1">
        <v>40253</v>
      </c>
      <c r="F486">
        <v>2.02</v>
      </c>
      <c r="G486">
        <v>0</v>
      </c>
      <c r="H486">
        <v>7351.78</v>
      </c>
      <c r="I486">
        <v>15.6</v>
      </c>
    </row>
    <row r="487" spans="1:9" x14ac:dyDescent="0.3">
      <c r="A487" t="s">
        <v>502</v>
      </c>
      <c r="B487" t="s">
        <v>34</v>
      </c>
      <c r="C487" t="s">
        <v>14</v>
      </c>
      <c r="D487">
        <v>25</v>
      </c>
      <c r="E487" s="1">
        <v>45144</v>
      </c>
      <c r="F487">
        <v>4.9800000000000004</v>
      </c>
      <c r="G487">
        <v>7</v>
      </c>
      <c r="H487">
        <v>5188.96</v>
      </c>
      <c r="I487">
        <v>2.2000000000000002</v>
      </c>
    </row>
    <row r="488" spans="1:9" x14ac:dyDescent="0.3">
      <c r="A488" t="s">
        <v>503</v>
      </c>
      <c r="B488" t="s">
        <v>16</v>
      </c>
      <c r="C488" t="s">
        <v>14</v>
      </c>
      <c r="D488">
        <v>51</v>
      </c>
      <c r="E488" s="1">
        <v>43330</v>
      </c>
      <c r="F488">
        <v>4</v>
      </c>
      <c r="G488">
        <v>14</v>
      </c>
      <c r="H488">
        <v>13934.98</v>
      </c>
      <c r="I488">
        <v>7.2</v>
      </c>
    </row>
    <row r="489" spans="1:9" x14ac:dyDescent="0.3">
      <c r="A489" t="s">
        <v>504</v>
      </c>
      <c r="B489" t="s">
        <v>24</v>
      </c>
      <c r="C489" t="s">
        <v>14</v>
      </c>
      <c r="D489">
        <v>36</v>
      </c>
      <c r="E489" s="1">
        <v>43840</v>
      </c>
      <c r="F489">
        <v>3.45</v>
      </c>
      <c r="G489">
        <v>11</v>
      </c>
      <c r="H489">
        <v>12220.75</v>
      </c>
      <c r="I489">
        <v>5.8</v>
      </c>
    </row>
    <row r="490" spans="1:9" x14ac:dyDescent="0.3">
      <c r="A490" t="s">
        <v>505</v>
      </c>
      <c r="B490" t="s">
        <v>16</v>
      </c>
      <c r="C490" t="s">
        <v>11</v>
      </c>
      <c r="D490">
        <v>36</v>
      </c>
      <c r="E490" s="1">
        <v>45326</v>
      </c>
      <c r="F490">
        <v>3.4</v>
      </c>
      <c r="G490">
        <v>14</v>
      </c>
      <c r="H490">
        <v>3000.36</v>
      </c>
      <c r="I490">
        <v>1.7</v>
      </c>
    </row>
    <row r="491" spans="1:9" x14ac:dyDescent="0.3">
      <c r="A491" t="s">
        <v>506</v>
      </c>
      <c r="B491" t="s">
        <v>24</v>
      </c>
      <c r="C491" t="s">
        <v>14</v>
      </c>
      <c r="D491">
        <v>32</v>
      </c>
      <c r="E491" s="1">
        <v>45784</v>
      </c>
      <c r="F491">
        <v>3.52</v>
      </c>
      <c r="G491">
        <v>3</v>
      </c>
      <c r="H491">
        <v>5490.28</v>
      </c>
      <c r="I491">
        <v>0.5</v>
      </c>
    </row>
    <row r="492" spans="1:9" x14ac:dyDescent="0.3">
      <c r="A492" t="s">
        <v>507</v>
      </c>
      <c r="B492" t="s">
        <v>34</v>
      </c>
      <c r="C492" t="s">
        <v>14</v>
      </c>
      <c r="D492">
        <v>29</v>
      </c>
      <c r="E492" s="1">
        <v>45390</v>
      </c>
      <c r="F492">
        <v>4.33</v>
      </c>
      <c r="G492">
        <v>9</v>
      </c>
      <c r="H492">
        <v>11965.47</v>
      </c>
      <c r="I492">
        <v>1.6</v>
      </c>
    </row>
    <row r="493" spans="1:9" x14ac:dyDescent="0.3">
      <c r="A493" t="s">
        <v>508</v>
      </c>
      <c r="B493" t="s">
        <v>18</v>
      </c>
      <c r="C493" t="s">
        <v>11</v>
      </c>
      <c r="D493">
        <v>53</v>
      </c>
      <c r="E493" s="1">
        <v>41445</v>
      </c>
      <c r="F493">
        <v>1.54</v>
      </c>
      <c r="G493">
        <v>15</v>
      </c>
      <c r="H493">
        <v>3243.1</v>
      </c>
      <c r="I493">
        <v>12.4</v>
      </c>
    </row>
    <row r="494" spans="1:9" x14ac:dyDescent="0.3">
      <c r="A494" t="s">
        <v>509</v>
      </c>
      <c r="B494" t="s">
        <v>13</v>
      </c>
      <c r="C494" t="s">
        <v>14</v>
      </c>
      <c r="D494">
        <v>28</v>
      </c>
      <c r="E494" s="1">
        <v>44576</v>
      </c>
      <c r="F494">
        <v>2.1800000000000002</v>
      </c>
      <c r="G494">
        <v>8</v>
      </c>
      <c r="H494">
        <v>11469.43</v>
      </c>
      <c r="I494">
        <v>3.8</v>
      </c>
    </row>
    <row r="495" spans="1:9" x14ac:dyDescent="0.3">
      <c r="A495" t="s">
        <v>510</v>
      </c>
      <c r="B495" t="s">
        <v>34</v>
      </c>
      <c r="C495" t="s">
        <v>11</v>
      </c>
      <c r="D495">
        <v>51</v>
      </c>
      <c r="E495" s="1">
        <v>41431</v>
      </c>
      <c r="F495">
        <v>2.14</v>
      </c>
      <c r="G495">
        <v>14</v>
      </c>
      <c r="H495">
        <v>8707.1299999999992</v>
      </c>
      <c r="I495">
        <v>12.4</v>
      </c>
    </row>
    <row r="496" spans="1:9" x14ac:dyDescent="0.3">
      <c r="A496" t="s">
        <v>511</v>
      </c>
      <c r="B496" t="s">
        <v>18</v>
      </c>
      <c r="C496" t="s">
        <v>11</v>
      </c>
      <c r="D496">
        <v>25</v>
      </c>
      <c r="E496" s="1">
        <v>41227</v>
      </c>
      <c r="F496">
        <v>3.97</v>
      </c>
      <c r="G496">
        <v>14</v>
      </c>
      <c r="H496">
        <v>8616.08</v>
      </c>
      <c r="I496">
        <v>13</v>
      </c>
    </row>
    <row r="497" spans="1:9" x14ac:dyDescent="0.3">
      <c r="A497" t="s">
        <v>512</v>
      </c>
      <c r="B497" t="s">
        <v>18</v>
      </c>
      <c r="C497" t="s">
        <v>14</v>
      </c>
      <c r="D497">
        <v>47</v>
      </c>
      <c r="E497" s="1">
        <v>45633</v>
      </c>
      <c r="F497">
        <v>3.48</v>
      </c>
      <c r="G497">
        <v>2</v>
      </c>
      <c r="H497">
        <v>4345.33</v>
      </c>
      <c r="I497">
        <v>0.9</v>
      </c>
    </row>
    <row r="498" spans="1:9" x14ac:dyDescent="0.3">
      <c r="A498" t="s">
        <v>513</v>
      </c>
      <c r="B498" t="s">
        <v>34</v>
      </c>
      <c r="C498" t="s">
        <v>14</v>
      </c>
      <c r="D498">
        <v>23</v>
      </c>
      <c r="E498" s="1">
        <v>41826</v>
      </c>
      <c r="F498">
        <v>3.83</v>
      </c>
      <c r="G498">
        <v>1</v>
      </c>
      <c r="H498">
        <v>8156.67</v>
      </c>
      <c r="I498">
        <v>11.3</v>
      </c>
    </row>
    <row r="499" spans="1:9" x14ac:dyDescent="0.3">
      <c r="A499" t="s">
        <v>514</v>
      </c>
      <c r="B499" t="s">
        <v>18</v>
      </c>
      <c r="C499" t="s">
        <v>11</v>
      </c>
      <c r="D499">
        <v>60</v>
      </c>
      <c r="E499" s="1">
        <v>42514</v>
      </c>
      <c r="F499">
        <v>3.48</v>
      </c>
      <c r="G499">
        <v>6</v>
      </c>
      <c r="H499">
        <v>8127.1</v>
      </c>
      <c r="I499">
        <v>9.4</v>
      </c>
    </row>
    <row r="500" spans="1:9" x14ac:dyDescent="0.3">
      <c r="A500" t="s">
        <v>515</v>
      </c>
      <c r="B500" t="s">
        <v>24</v>
      </c>
      <c r="C500" t="s">
        <v>14</v>
      </c>
      <c r="D500">
        <v>50</v>
      </c>
      <c r="E500" s="1">
        <v>44718</v>
      </c>
      <c r="F500">
        <v>1.85</v>
      </c>
      <c r="G500">
        <v>14</v>
      </c>
      <c r="H500">
        <v>12291.58</v>
      </c>
      <c r="I500">
        <v>3.4</v>
      </c>
    </row>
    <row r="501" spans="1:9" x14ac:dyDescent="0.3">
      <c r="A501" t="s">
        <v>516</v>
      </c>
      <c r="B501" t="s">
        <v>24</v>
      </c>
      <c r="C501" t="s">
        <v>11</v>
      </c>
      <c r="D501">
        <v>49</v>
      </c>
      <c r="E501" s="1">
        <v>45835</v>
      </c>
      <c r="F501">
        <v>3.91</v>
      </c>
      <c r="G501">
        <v>3</v>
      </c>
      <c r="H501">
        <v>14813.88</v>
      </c>
      <c r="I501">
        <v>0.3</v>
      </c>
    </row>
    <row r="502" spans="1:9" x14ac:dyDescent="0.3">
      <c r="A502" t="s">
        <v>517</v>
      </c>
      <c r="B502" t="s">
        <v>24</v>
      </c>
      <c r="C502" t="s">
        <v>11</v>
      </c>
      <c r="D502">
        <v>53</v>
      </c>
      <c r="E502" s="1">
        <v>41269</v>
      </c>
      <c r="F502">
        <v>2.5499999999999998</v>
      </c>
      <c r="G502">
        <v>10</v>
      </c>
      <c r="H502">
        <v>13890.28</v>
      </c>
      <c r="I502">
        <v>12.9</v>
      </c>
    </row>
    <row r="503" spans="1:9" x14ac:dyDescent="0.3">
      <c r="A503" t="s">
        <v>518</v>
      </c>
      <c r="B503" t="s">
        <v>34</v>
      </c>
      <c r="C503" t="s">
        <v>11</v>
      </c>
      <c r="D503">
        <v>31</v>
      </c>
      <c r="E503" s="1">
        <v>44023</v>
      </c>
      <c r="F503">
        <v>1.53</v>
      </c>
      <c r="G503">
        <v>12</v>
      </c>
      <c r="H503">
        <v>5281.52</v>
      </c>
      <c r="I503">
        <v>5.3</v>
      </c>
    </row>
    <row r="504" spans="1:9" x14ac:dyDescent="0.3">
      <c r="A504" t="s">
        <v>519</v>
      </c>
      <c r="B504" t="s">
        <v>18</v>
      </c>
      <c r="C504" t="s">
        <v>11</v>
      </c>
      <c r="D504">
        <v>28</v>
      </c>
      <c r="E504" s="1">
        <v>43237</v>
      </c>
      <c r="F504">
        <v>3.47</v>
      </c>
      <c r="G504">
        <v>5</v>
      </c>
      <c r="H504">
        <v>4731.2299999999996</v>
      </c>
      <c r="I504">
        <v>7.5</v>
      </c>
    </row>
    <row r="505" spans="1:9" x14ac:dyDescent="0.3">
      <c r="A505" t="s">
        <v>520</v>
      </c>
      <c r="B505" t="s">
        <v>24</v>
      </c>
      <c r="C505" t="s">
        <v>14</v>
      </c>
      <c r="D505">
        <v>60</v>
      </c>
      <c r="E505" s="1">
        <v>45444</v>
      </c>
      <c r="F505">
        <v>1.51</v>
      </c>
      <c r="G505">
        <v>11</v>
      </c>
      <c r="H505">
        <v>12305.09</v>
      </c>
      <c r="I505">
        <v>1.4</v>
      </c>
    </row>
    <row r="506" spans="1:9" x14ac:dyDescent="0.3">
      <c r="A506" t="s">
        <v>521</v>
      </c>
      <c r="B506" t="s">
        <v>13</v>
      </c>
      <c r="C506" t="s">
        <v>11</v>
      </c>
      <c r="D506">
        <v>24</v>
      </c>
      <c r="E506" s="1">
        <v>44084</v>
      </c>
      <c r="F506">
        <v>3.19</v>
      </c>
      <c r="G506">
        <v>3</v>
      </c>
      <c r="H506">
        <v>12274.07</v>
      </c>
      <c r="I506">
        <v>5.0999999999999996</v>
      </c>
    </row>
    <row r="507" spans="1:9" x14ac:dyDescent="0.3">
      <c r="A507" t="s">
        <v>522</v>
      </c>
      <c r="B507" t="s">
        <v>10</v>
      </c>
      <c r="C507" t="s">
        <v>14</v>
      </c>
      <c r="D507">
        <v>42</v>
      </c>
      <c r="E507" s="1">
        <v>45595</v>
      </c>
      <c r="F507">
        <v>2.71</v>
      </c>
      <c r="G507">
        <v>2</v>
      </c>
      <c r="H507">
        <v>11328.79</v>
      </c>
      <c r="I507">
        <v>1</v>
      </c>
    </row>
    <row r="508" spans="1:9" x14ac:dyDescent="0.3">
      <c r="A508" t="s">
        <v>523</v>
      </c>
      <c r="B508" t="s">
        <v>16</v>
      </c>
      <c r="C508" t="s">
        <v>14</v>
      </c>
      <c r="D508">
        <v>29</v>
      </c>
      <c r="E508" s="1">
        <v>44969</v>
      </c>
      <c r="F508">
        <v>3.53</v>
      </c>
      <c r="G508">
        <v>8</v>
      </c>
      <c r="H508">
        <v>8448.76</v>
      </c>
      <c r="I508">
        <v>2.7</v>
      </c>
    </row>
    <row r="509" spans="1:9" x14ac:dyDescent="0.3">
      <c r="A509" t="s">
        <v>524</v>
      </c>
      <c r="B509" t="s">
        <v>34</v>
      </c>
      <c r="C509" t="s">
        <v>11</v>
      </c>
      <c r="D509">
        <v>60</v>
      </c>
      <c r="E509" s="1">
        <v>42823</v>
      </c>
      <c r="F509">
        <v>4.49</v>
      </c>
      <c r="G509">
        <v>13</v>
      </c>
      <c r="H509">
        <v>7931.71</v>
      </c>
      <c r="I509">
        <v>8.6</v>
      </c>
    </row>
    <row r="510" spans="1:9" x14ac:dyDescent="0.3">
      <c r="A510" t="s">
        <v>525</v>
      </c>
      <c r="B510" t="s">
        <v>10</v>
      </c>
      <c r="C510" t="s">
        <v>11</v>
      </c>
      <c r="D510">
        <v>45</v>
      </c>
      <c r="E510" s="1">
        <v>41640</v>
      </c>
      <c r="F510">
        <v>1.51</v>
      </c>
      <c r="G510">
        <v>15</v>
      </c>
      <c r="H510">
        <v>14904.19</v>
      </c>
      <c r="I510">
        <v>11.8</v>
      </c>
    </row>
    <row r="511" spans="1:9" x14ac:dyDescent="0.3">
      <c r="A511" t="s">
        <v>526</v>
      </c>
      <c r="B511" t="s">
        <v>34</v>
      </c>
      <c r="C511" t="s">
        <v>11</v>
      </c>
      <c r="D511">
        <v>29</v>
      </c>
      <c r="E511" s="1">
        <v>43152</v>
      </c>
      <c r="F511">
        <v>4.9800000000000004</v>
      </c>
      <c r="G511">
        <v>14</v>
      </c>
      <c r="H511">
        <v>5771.25</v>
      </c>
      <c r="I511">
        <v>7.7</v>
      </c>
    </row>
    <row r="512" spans="1:9" x14ac:dyDescent="0.3">
      <c r="A512" t="s">
        <v>527</v>
      </c>
      <c r="B512" t="s">
        <v>16</v>
      </c>
      <c r="C512" t="s">
        <v>14</v>
      </c>
      <c r="D512">
        <v>59</v>
      </c>
      <c r="E512" s="1">
        <v>42760</v>
      </c>
      <c r="F512">
        <v>3.32</v>
      </c>
      <c r="G512">
        <v>10</v>
      </c>
      <c r="H512">
        <v>8292.35</v>
      </c>
      <c r="I512">
        <v>8.8000000000000007</v>
      </c>
    </row>
    <row r="513" spans="1:9" x14ac:dyDescent="0.3">
      <c r="A513" t="s">
        <v>528</v>
      </c>
      <c r="B513" t="s">
        <v>24</v>
      </c>
      <c r="C513" t="s">
        <v>11</v>
      </c>
      <c r="D513">
        <v>49</v>
      </c>
      <c r="E513" s="1">
        <v>40194</v>
      </c>
      <c r="F513">
        <v>4.59</v>
      </c>
      <c r="G513">
        <v>6</v>
      </c>
      <c r="H513">
        <v>13513.13</v>
      </c>
      <c r="I513">
        <v>15.8</v>
      </c>
    </row>
    <row r="514" spans="1:9" x14ac:dyDescent="0.3">
      <c r="A514" t="s">
        <v>529</v>
      </c>
      <c r="B514" t="s">
        <v>18</v>
      </c>
      <c r="C514" t="s">
        <v>11</v>
      </c>
      <c r="D514">
        <v>54</v>
      </c>
      <c r="E514" s="1">
        <v>44810</v>
      </c>
      <c r="F514">
        <v>2.67</v>
      </c>
      <c r="G514">
        <v>8</v>
      </c>
      <c r="H514">
        <v>12352.62</v>
      </c>
      <c r="I514">
        <v>3.2</v>
      </c>
    </row>
    <row r="515" spans="1:9" x14ac:dyDescent="0.3">
      <c r="A515" t="s">
        <v>530</v>
      </c>
      <c r="B515" t="s">
        <v>24</v>
      </c>
      <c r="C515" t="s">
        <v>14</v>
      </c>
      <c r="D515">
        <v>31</v>
      </c>
      <c r="E515" s="1">
        <v>44166</v>
      </c>
      <c r="F515">
        <v>2.71</v>
      </c>
      <c r="G515">
        <v>14</v>
      </c>
      <c r="H515">
        <v>12089.16</v>
      </c>
      <c r="I515">
        <v>4.9000000000000004</v>
      </c>
    </row>
    <row r="516" spans="1:9" x14ac:dyDescent="0.3">
      <c r="A516" t="s">
        <v>531</v>
      </c>
      <c r="B516" t="s">
        <v>10</v>
      </c>
      <c r="C516" t="s">
        <v>14</v>
      </c>
      <c r="D516">
        <v>25</v>
      </c>
      <c r="E516" s="1">
        <v>40484</v>
      </c>
      <c r="F516">
        <v>2.2200000000000002</v>
      </c>
      <c r="G516">
        <v>12</v>
      </c>
      <c r="H516">
        <v>6999.59</v>
      </c>
      <c r="I516">
        <v>15</v>
      </c>
    </row>
    <row r="517" spans="1:9" x14ac:dyDescent="0.3">
      <c r="A517" t="s">
        <v>532</v>
      </c>
      <c r="B517" t="s">
        <v>34</v>
      </c>
      <c r="C517" t="s">
        <v>11</v>
      </c>
      <c r="D517">
        <v>52</v>
      </c>
      <c r="E517" s="1">
        <v>45648</v>
      </c>
      <c r="F517">
        <v>3.56</v>
      </c>
      <c r="G517">
        <v>15</v>
      </c>
      <c r="H517">
        <v>4787.25</v>
      </c>
      <c r="I517">
        <v>0.9</v>
      </c>
    </row>
    <row r="518" spans="1:9" x14ac:dyDescent="0.3">
      <c r="A518" t="s">
        <v>533</v>
      </c>
      <c r="B518" t="s">
        <v>34</v>
      </c>
      <c r="C518" t="s">
        <v>11</v>
      </c>
      <c r="D518">
        <v>40</v>
      </c>
      <c r="E518" s="1">
        <v>40290</v>
      </c>
      <c r="F518">
        <v>2.81</v>
      </c>
      <c r="G518">
        <v>14</v>
      </c>
      <c r="H518">
        <v>10016.61</v>
      </c>
      <c r="I518">
        <v>15.5</v>
      </c>
    </row>
    <row r="519" spans="1:9" x14ac:dyDescent="0.3">
      <c r="A519" t="s">
        <v>534</v>
      </c>
      <c r="B519" t="s">
        <v>18</v>
      </c>
      <c r="C519" t="s">
        <v>11</v>
      </c>
      <c r="D519">
        <v>46</v>
      </c>
      <c r="E519" s="1">
        <v>40434</v>
      </c>
      <c r="F519">
        <v>2.2799999999999998</v>
      </c>
      <c r="G519">
        <v>11</v>
      </c>
      <c r="H519">
        <v>11919.14</v>
      </c>
      <c r="I519">
        <v>15.1</v>
      </c>
    </row>
    <row r="520" spans="1:9" x14ac:dyDescent="0.3">
      <c r="A520" t="s">
        <v>535</v>
      </c>
      <c r="B520" t="s">
        <v>34</v>
      </c>
      <c r="C520" t="s">
        <v>14</v>
      </c>
      <c r="D520">
        <v>40</v>
      </c>
      <c r="E520" s="1">
        <v>41160</v>
      </c>
      <c r="F520">
        <v>3.31</v>
      </c>
      <c r="G520">
        <v>10</v>
      </c>
      <c r="H520">
        <v>6056.96</v>
      </c>
      <c r="I520">
        <v>13.2</v>
      </c>
    </row>
    <row r="521" spans="1:9" x14ac:dyDescent="0.3">
      <c r="A521" t="s">
        <v>536</v>
      </c>
      <c r="B521" t="s">
        <v>24</v>
      </c>
      <c r="C521" t="s">
        <v>14</v>
      </c>
      <c r="D521">
        <v>33</v>
      </c>
      <c r="E521" s="1">
        <v>41071</v>
      </c>
      <c r="F521">
        <v>2.33</v>
      </c>
      <c r="G521">
        <v>11</v>
      </c>
      <c r="H521">
        <v>4429.49</v>
      </c>
      <c r="I521">
        <v>13.4</v>
      </c>
    </row>
    <row r="522" spans="1:9" x14ac:dyDescent="0.3">
      <c r="A522" t="s">
        <v>537</v>
      </c>
      <c r="B522" t="s">
        <v>34</v>
      </c>
      <c r="C522" t="s">
        <v>11</v>
      </c>
      <c r="D522">
        <v>23</v>
      </c>
      <c r="E522" s="1">
        <v>40492</v>
      </c>
      <c r="F522">
        <v>1.83</v>
      </c>
      <c r="G522">
        <v>4</v>
      </c>
      <c r="H522">
        <v>10734.7</v>
      </c>
      <c r="I522">
        <v>15</v>
      </c>
    </row>
    <row r="523" spans="1:9" x14ac:dyDescent="0.3">
      <c r="A523" t="s">
        <v>538</v>
      </c>
      <c r="B523" t="s">
        <v>10</v>
      </c>
      <c r="C523" t="s">
        <v>14</v>
      </c>
      <c r="D523">
        <v>60</v>
      </c>
      <c r="E523" s="1">
        <v>45390</v>
      </c>
      <c r="F523">
        <v>2.25</v>
      </c>
      <c r="G523">
        <v>3</v>
      </c>
      <c r="H523">
        <v>13860.19</v>
      </c>
      <c r="I523">
        <v>1.6</v>
      </c>
    </row>
    <row r="524" spans="1:9" x14ac:dyDescent="0.3">
      <c r="A524" t="s">
        <v>539</v>
      </c>
      <c r="B524" t="s">
        <v>16</v>
      </c>
      <c r="C524" t="s">
        <v>11</v>
      </c>
      <c r="D524">
        <v>54</v>
      </c>
      <c r="E524" s="1">
        <v>44027</v>
      </c>
      <c r="F524">
        <v>4.84</v>
      </c>
      <c r="G524">
        <v>1</v>
      </c>
      <c r="H524">
        <v>5385.1</v>
      </c>
      <c r="I524">
        <v>5.3</v>
      </c>
    </row>
    <row r="525" spans="1:9" x14ac:dyDescent="0.3">
      <c r="A525" t="s">
        <v>540</v>
      </c>
      <c r="B525" t="s">
        <v>34</v>
      </c>
      <c r="C525" t="s">
        <v>14</v>
      </c>
      <c r="D525">
        <v>56</v>
      </c>
      <c r="E525" s="1">
        <v>42999</v>
      </c>
      <c r="F525">
        <v>3.34</v>
      </c>
      <c r="G525">
        <v>11</v>
      </c>
      <c r="H525">
        <v>9543.61</v>
      </c>
      <c r="I525">
        <v>8.1</v>
      </c>
    </row>
    <row r="526" spans="1:9" x14ac:dyDescent="0.3">
      <c r="A526" t="s">
        <v>541</v>
      </c>
      <c r="B526" t="s">
        <v>16</v>
      </c>
      <c r="C526" t="s">
        <v>14</v>
      </c>
      <c r="D526">
        <v>26</v>
      </c>
      <c r="E526" s="1">
        <v>43332</v>
      </c>
      <c r="F526">
        <v>4.0199999999999996</v>
      </c>
      <c r="G526">
        <v>10</v>
      </c>
      <c r="H526">
        <v>12173.92</v>
      </c>
      <c r="I526">
        <v>7.2</v>
      </c>
    </row>
    <row r="527" spans="1:9" x14ac:dyDescent="0.3">
      <c r="A527" t="s">
        <v>542</v>
      </c>
      <c r="B527" t="s">
        <v>10</v>
      </c>
      <c r="C527" t="s">
        <v>14</v>
      </c>
      <c r="D527">
        <v>25</v>
      </c>
      <c r="E527" s="1">
        <v>42121</v>
      </c>
      <c r="F527">
        <v>2.99</v>
      </c>
      <c r="G527">
        <v>15</v>
      </c>
      <c r="H527">
        <v>5449.68</v>
      </c>
      <c r="I527">
        <v>10.5</v>
      </c>
    </row>
    <row r="528" spans="1:9" x14ac:dyDescent="0.3">
      <c r="A528" t="s">
        <v>543</v>
      </c>
      <c r="B528" t="s">
        <v>16</v>
      </c>
      <c r="C528" t="s">
        <v>11</v>
      </c>
      <c r="D528">
        <v>37</v>
      </c>
      <c r="E528" s="1">
        <v>41770</v>
      </c>
      <c r="F528">
        <v>4.5599999999999996</v>
      </c>
      <c r="G528">
        <v>9</v>
      </c>
      <c r="H528">
        <v>7538.63</v>
      </c>
      <c r="I528">
        <v>11.5</v>
      </c>
    </row>
    <row r="529" spans="1:9" x14ac:dyDescent="0.3">
      <c r="A529" t="s">
        <v>544</v>
      </c>
      <c r="B529" t="s">
        <v>10</v>
      </c>
      <c r="C529" t="s">
        <v>11</v>
      </c>
      <c r="D529">
        <v>46</v>
      </c>
      <c r="E529" s="1">
        <v>44721</v>
      </c>
      <c r="F529">
        <v>4.67</v>
      </c>
      <c r="G529">
        <v>15</v>
      </c>
      <c r="H529">
        <v>8648.01</v>
      </c>
      <c r="I529">
        <v>3.4</v>
      </c>
    </row>
    <row r="530" spans="1:9" x14ac:dyDescent="0.3">
      <c r="A530" t="s">
        <v>545</v>
      </c>
      <c r="B530" t="s">
        <v>24</v>
      </c>
      <c r="C530" t="s">
        <v>14</v>
      </c>
      <c r="D530">
        <v>53</v>
      </c>
      <c r="E530" s="1">
        <v>44213</v>
      </c>
      <c r="F530">
        <v>4.72</v>
      </c>
      <c r="G530">
        <v>3</v>
      </c>
      <c r="H530">
        <v>3949.88</v>
      </c>
      <c r="I530">
        <v>4.8</v>
      </c>
    </row>
    <row r="531" spans="1:9" x14ac:dyDescent="0.3">
      <c r="A531" t="s">
        <v>546</v>
      </c>
      <c r="B531" t="s">
        <v>16</v>
      </c>
      <c r="C531" t="s">
        <v>14</v>
      </c>
      <c r="D531">
        <v>41</v>
      </c>
      <c r="E531" s="1">
        <v>41472</v>
      </c>
      <c r="F531">
        <v>4.1100000000000003</v>
      </c>
      <c r="G531">
        <v>4</v>
      </c>
      <c r="H531">
        <v>9026.49</v>
      </c>
      <c r="I531">
        <v>12.3</v>
      </c>
    </row>
    <row r="532" spans="1:9" x14ac:dyDescent="0.3">
      <c r="A532" t="s">
        <v>547</v>
      </c>
      <c r="B532" t="s">
        <v>34</v>
      </c>
      <c r="C532" t="s">
        <v>11</v>
      </c>
      <c r="D532">
        <v>58</v>
      </c>
      <c r="E532" s="1">
        <v>44692</v>
      </c>
      <c r="F532">
        <v>2.08</v>
      </c>
      <c r="G532">
        <v>7</v>
      </c>
      <c r="H532">
        <v>13242.56</v>
      </c>
      <c r="I532">
        <v>3.5</v>
      </c>
    </row>
    <row r="533" spans="1:9" x14ac:dyDescent="0.3">
      <c r="A533" t="s">
        <v>548</v>
      </c>
      <c r="B533" t="s">
        <v>13</v>
      </c>
      <c r="C533" t="s">
        <v>11</v>
      </c>
      <c r="D533">
        <v>30</v>
      </c>
      <c r="E533" s="1">
        <v>43899</v>
      </c>
      <c r="F533">
        <v>4.6500000000000004</v>
      </c>
      <c r="G533">
        <v>7</v>
      </c>
      <c r="H533">
        <v>13802.34</v>
      </c>
      <c r="I533">
        <v>5.7</v>
      </c>
    </row>
    <row r="534" spans="1:9" x14ac:dyDescent="0.3">
      <c r="A534" t="s">
        <v>549</v>
      </c>
      <c r="B534" t="s">
        <v>18</v>
      </c>
      <c r="C534" t="s">
        <v>14</v>
      </c>
      <c r="D534">
        <v>36</v>
      </c>
      <c r="E534" s="1">
        <v>41780</v>
      </c>
      <c r="F534">
        <v>3.6</v>
      </c>
      <c r="G534">
        <v>12</v>
      </c>
      <c r="H534">
        <v>6639.65</v>
      </c>
      <c r="I534">
        <v>11.5</v>
      </c>
    </row>
    <row r="535" spans="1:9" x14ac:dyDescent="0.3">
      <c r="A535" t="s">
        <v>550</v>
      </c>
      <c r="B535" t="s">
        <v>13</v>
      </c>
      <c r="C535" t="s">
        <v>11</v>
      </c>
      <c r="D535">
        <v>51</v>
      </c>
      <c r="E535" s="1">
        <v>43891</v>
      </c>
      <c r="F535">
        <v>4.34</v>
      </c>
      <c r="G535">
        <v>8</v>
      </c>
      <c r="H535">
        <v>13639.52</v>
      </c>
      <c r="I535">
        <v>5.7</v>
      </c>
    </row>
    <row r="536" spans="1:9" x14ac:dyDescent="0.3">
      <c r="A536" t="s">
        <v>551</v>
      </c>
      <c r="B536" t="s">
        <v>24</v>
      </c>
      <c r="C536" t="s">
        <v>11</v>
      </c>
      <c r="D536">
        <v>41</v>
      </c>
      <c r="E536" s="1">
        <v>43885</v>
      </c>
      <c r="F536">
        <v>2.52</v>
      </c>
      <c r="G536">
        <v>13</v>
      </c>
      <c r="H536">
        <v>11524.61</v>
      </c>
      <c r="I536">
        <v>5.7</v>
      </c>
    </row>
    <row r="537" spans="1:9" x14ac:dyDescent="0.3">
      <c r="A537" t="s">
        <v>552</v>
      </c>
      <c r="B537" t="s">
        <v>18</v>
      </c>
      <c r="C537" t="s">
        <v>14</v>
      </c>
      <c r="D537">
        <v>56</v>
      </c>
      <c r="E537" s="1">
        <v>40282</v>
      </c>
      <c r="F537">
        <v>3.7</v>
      </c>
      <c r="G537">
        <v>11</v>
      </c>
      <c r="H537">
        <v>4134.4799999999996</v>
      </c>
      <c r="I537">
        <v>15.6</v>
      </c>
    </row>
    <row r="538" spans="1:9" x14ac:dyDescent="0.3">
      <c r="A538" t="s">
        <v>553</v>
      </c>
      <c r="B538" t="s">
        <v>10</v>
      </c>
      <c r="C538" t="s">
        <v>14</v>
      </c>
      <c r="D538">
        <v>46</v>
      </c>
      <c r="E538" s="1">
        <v>40568</v>
      </c>
      <c r="F538">
        <v>4.01</v>
      </c>
      <c r="G538">
        <v>15</v>
      </c>
      <c r="H538">
        <v>14969.93</v>
      </c>
      <c r="I538">
        <v>14.8</v>
      </c>
    </row>
    <row r="539" spans="1:9" x14ac:dyDescent="0.3">
      <c r="A539" t="s">
        <v>554</v>
      </c>
      <c r="B539" t="s">
        <v>16</v>
      </c>
      <c r="C539" t="s">
        <v>11</v>
      </c>
      <c r="D539">
        <v>43</v>
      </c>
      <c r="E539" s="1">
        <v>42160</v>
      </c>
      <c r="F539">
        <v>3.55</v>
      </c>
      <c r="G539">
        <v>2</v>
      </c>
      <c r="H539">
        <v>7908.54</v>
      </c>
      <c r="I539">
        <v>10.4</v>
      </c>
    </row>
    <row r="540" spans="1:9" x14ac:dyDescent="0.3">
      <c r="A540" t="s">
        <v>555</v>
      </c>
      <c r="B540" t="s">
        <v>10</v>
      </c>
      <c r="C540" t="s">
        <v>11</v>
      </c>
      <c r="D540">
        <v>56</v>
      </c>
      <c r="E540" s="1">
        <v>43048</v>
      </c>
      <c r="F540">
        <v>1.95</v>
      </c>
      <c r="G540">
        <v>1</v>
      </c>
      <c r="H540">
        <v>4364.6099999999997</v>
      </c>
      <c r="I540">
        <v>8</v>
      </c>
    </row>
    <row r="541" spans="1:9" x14ac:dyDescent="0.3">
      <c r="A541" t="s">
        <v>556</v>
      </c>
      <c r="B541" t="s">
        <v>24</v>
      </c>
      <c r="C541" t="s">
        <v>11</v>
      </c>
      <c r="D541">
        <v>36</v>
      </c>
      <c r="E541" s="1">
        <v>40455</v>
      </c>
      <c r="F541">
        <v>3.6</v>
      </c>
      <c r="G541">
        <v>3</v>
      </c>
      <c r="H541">
        <v>10616.29</v>
      </c>
      <c r="I541">
        <v>15.1</v>
      </c>
    </row>
    <row r="542" spans="1:9" x14ac:dyDescent="0.3">
      <c r="A542" t="s">
        <v>557</v>
      </c>
      <c r="B542" t="s">
        <v>16</v>
      </c>
      <c r="C542" t="s">
        <v>11</v>
      </c>
      <c r="D542">
        <v>36</v>
      </c>
      <c r="E542" s="1">
        <v>40428</v>
      </c>
      <c r="F542">
        <v>4.6100000000000003</v>
      </c>
      <c r="G542">
        <v>1</v>
      </c>
      <c r="H542">
        <v>12031.5</v>
      </c>
      <c r="I542">
        <v>15.2</v>
      </c>
    </row>
    <row r="543" spans="1:9" x14ac:dyDescent="0.3">
      <c r="A543" t="s">
        <v>558</v>
      </c>
      <c r="B543" t="s">
        <v>13</v>
      </c>
      <c r="C543" t="s">
        <v>14</v>
      </c>
      <c r="D543">
        <v>44</v>
      </c>
      <c r="E543" s="1">
        <v>44546</v>
      </c>
      <c r="F543">
        <v>4.43</v>
      </c>
      <c r="G543">
        <v>12</v>
      </c>
      <c r="H543">
        <v>5995.87</v>
      </c>
      <c r="I543">
        <v>3.9</v>
      </c>
    </row>
    <row r="544" spans="1:9" x14ac:dyDescent="0.3">
      <c r="A544" t="s">
        <v>559</v>
      </c>
      <c r="B544" t="s">
        <v>18</v>
      </c>
      <c r="C544" t="s">
        <v>11</v>
      </c>
      <c r="D544">
        <v>23</v>
      </c>
      <c r="E544" s="1">
        <v>40916</v>
      </c>
      <c r="F544">
        <v>4.5599999999999996</v>
      </c>
      <c r="G544">
        <v>14</v>
      </c>
      <c r="H544">
        <v>12668.97</v>
      </c>
      <c r="I544">
        <v>13.8</v>
      </c>
    </row>
    <row r="545" spans="1:9" x14ac:dyDescent="0.3">
      <c r="A545" t="s">
        <v>560</v>
      </c>
      <c r="B545" t="s">
        <v>34</v>
      </c>
      <c r="C545" t="s">
        <v>14</v>
      </c>
      <c r="D545">
        <v>31</v>
      </c>
      <c r="E545" s="1">
        <v>40332</v>
      </c>
      <c r="F545">
        <v>2.79</v>
      </c>
      <c r="G545">
        <v>12</v>
      </c>
      <c r="H545">
        <v>12608.55</v>
      </c>
      <c r="I545">
        <v>15.4</v>
      </c>
    </row>
    <row r="546" spans="1:9" x14ac:dyDescent="0.3">
      <c r="A546" t="s">
        <v>561</v>
      </c>
      <c r="B546" t="s">
        <v>24</v>
      </c>
      <c r="C546" t="s">
        <v>14</v>
      </c>
      <c r="D546">
        <v>54</v>
      </c>
      <c r="E546" s="1">
        <v>42934</v>
      </c>
      <c r="F546">
        <v>1.78</v>
      </c>
      <c r="G546">
        <v>7</v>
      </c>
      <c r="H546">
        <v>11439.04</v>
      </c>
      <c r="I546">
        <v>8.3000000000000007</v>
      </c>
    </row>
    <row r="547" spans="1:9" x14ac:dyDescent="0.3">
      <c r="A547" t="s">
        <v>562</v>
      </c>
      <c r="B547" t="s">
        <v>34</v>
      </c>
      <c r="C547" t="s">
        <v>14</v>
      </c>
      <c r="D547">
        <v>42</v>
      </c>
      <c r="E547" s="1">
        <v>40382</v>
      </c>
      <c r="F547">
        <v>2.16</v>
      </c>
      <c r="G547">
        <v>3</v>
      </c>
      <c r="H547">
        <v>6179.12</v>
      </c>
      <c r="I547">
        <v>15.3</v>
      </c>
    </row>
    <row r="548" spans="1:9" x14ac:dyDescent="0.3">
      <c r="A548" t="s">
        <v>563</v>
      </c>
      <c r="B548" t="s">
        <v>16</v>
      </c>
      <c r="C548" t="s">
        <v>11</v>
      </c>
      <c r="D548">
        <v>22</v>
      </c>
      <c r="E548" s="1">
        <v>42775</v>
      </c>
      <c r="F548">
        <v>3.83</v>
      </c>
      <c r="G548">
        <v>14</v>
      </c>
      <c r="H548">
        <v>3201.95</v>
      </c>
      <c r="I548">
        <v>8.6999999999999993</v>
      </c>
    </row>
    <row r="549" spans="1:9" x14ac:dyDescent="0.3">
      <c r="A549" t="s">
        <v>564</v>
      </c>
      <c r="B549" t="s">
        <v>34</v>
      </c>
      <c r="C549" t="s">
        <v>14</v>
      </c>
      <c r="D549">
        <v>42</v>
      </c>
      <c r="E549" s="1">
        <v>44836</v>
      </c>
      <c r="F549">
        <v>3.56</v>
      </c>
      <c r="G549">
        <v>11</v>
      </c>
      <c r="H549">
        <v>3954.89</v>
      </c>
      <c r="I549">
        <v>3.1</v>
      </c>
    </row>
    <row r="550" spans="1:9" x14ac:dyDescent="0.3">
      <c r="A550" t="s">
        <v>565</v>
      </c>
      <c r="B550" t="s">
        <v>10</v>
      </c>
      <c r="C550" t="s">
        <v>11</v>
      </c>
      <c r="D550">
        <v>52</v>
      </c>
      <c r="E550" s="1">
        <v>45839</v>
      </c>
      <c r="F550">
        <v>3.04</v>
      </c>
      <c r="G550">
        <v>8</v>
      </c>
      <c r="H550">
        <v>7207.39</v>
      </c>
      <c r="I550">
        <v>0.3</v>
      </c>
    </row>
    <row r="551" spans="1:9" x14ac:dyDescent="0.3">
      <c r="A551" t="s">
        <v>566</v>
      </c>
      <c r="B551" t="s">
        <v>18</v>
      </c>
      <c r="C551" t="s">
        <v>11</v>
      </c>
      <c r="D551">
        <v>58</v>
      </c>
      <c r="E551" s="1">
        <v>41251</v>
      </c>
      <c r="F551">
        <v>3.76</v>
      </c>
      <c r="G551">
        <v>4</v>
      </c>
      <c r="H551">
        <v>14808.98</v>
      </c>
      <c r="I551">
        <v>12.9</v>
      </c>
    </row>
    <row r="552" spans="1:9" x14ac:dyDescent="0.3">
      <c r="A552" t="s">
        <v>567</v>
      </c>
      <c r="B552" t="s">
        <v>13</v>
      </c>
      <c r="C552" t="s">
        <v>11</v>
      </c>
      <c r="D552">
        <v>35</v>
      </c>
      <c r="E552" s="1">
        <v>42099</v>
      </c>
      <c r="F552">
        <v>3.78</v>
      </c>
      <c r="G552">
        <v>12</v>
      </c>
      <c r="H552">
        <v>9016.24</v>
      </c>
      <c r="I552">
        <v>10.6</v>
      </c>
    </row>
    <row r="553" spans="1:9" x14ac:dyDescent="0.3">
      <c r="A553" t="s">
        <v>568</v>
      </c>
      <c r="B553" t="s">
        <v>13</v>
      </c>
      <c r="C553" t="s">
        <v>11</v>
      </c>
      <c r="D553">
        <v>58</v>
      </c>
      <c r="E553" s="1">
        <v>45861</v>
      </c>
      <c r="F553">
        <v>3.36</v>
      </c>
      <c r="G553">
        <v>9</v>
      </c>
      <c r="H553">
        <v>5402.33</v>
      </c>
      <c r="I553">
        <v>0.3</v>
      </c>
    </row>
    <row r="554" spans="1:9" x14ac:dyDescent="0.3">
      <c r="A554" t="s">
        <v>569</v>
      </c>
      <c r="B554" t="s">
        <v>16</v>
      </c>
      <c r="C554" t="s">
        <v>14</v>
      </c>
      <c r="D554">
        <v>55</v>
      </c>
      <c r="E554" s="1">
        <v>40893</v>
      </c>
      <c r="F554">
        <v>4.9800000000000004</v>
      </c>
      <c r="G554">
        <v>14</v>
      </c>
      <c r="H554">
        <v>14990.29</v>
      </c>
      <c r="I554">
        <v>13.9</v>
      </c>
    </row>
    <row r="555" spans="1:9" x14ac:dyDescent="0.3">
      <c r="A555" t="s">
        <v>570</v>
      </c>
      <c r="B555" t="s">
        <v>34</v>
      </c>
      <c r="C555" t="s">
        <v>14</v>
      </c>
      <c r="D555">
        <v>45</v>
      </c>
      <c r="E555" s="1">
        <v>41250</v>
      </c>
      <c r="F555">
        <v>4.21</v>
      </c>
      <c r="G555">
        <v>15</v>
      </c>
      <c r="H555">
        <v>13702.56</v>
      </c>
      <c r="I555">
        <v>12.9</v>
      </c>
    </row>
    <row r="556" spans="1:9" x14ac:dyDescent="0.3">
      <c r="A556" t="s">
        <v>571</v>
      </c>
      <c r="B556" t="s">
        <v>34</v>
      </c>
      <c r="C556" t="s">
        <v>14</v>
      </c>
      <c r="D556">
        <v>30</v>
      </c>
      <c r="E556" s="1">
        <v>40917</v>
      </c>
      <c r="F556">
        <v>1.94</v>
      </c>
      <c r="G556">
        <v>6</v>
      </c>
      <c r="H556">
        <v>14529.21</v>
      </c>
      <c r="I556">
        <v>13.8</v>
      </c>
    </row>
    <row r="557" spans="1:9" x14ac:dyDescent="0.3">
      <c r="A557" t="s">
        <v>572</v>
      </c>
      <c r="B557" t="s">
        <v>16</v>
      </c>
      <c r="C557" t="s">
        <v>11</v>
      </c>
      <c r="D557">
        <v>25</v>
      </c>
      <c r="E557" s="1">
        <v>44506</v>
      </c>
      <c r="F557">
        <v>3.38</v>
      </c>
      <c r="G557">
        <v>1</v>
      </c>
      <c r="H557">
        <v>4923.2</v>
      </c>
      <c r="I557">
        <v>4</v>
      </c>
    </row>
    <row r="558" spans="1:9" x14ac:dyDescent="0.3">
      <c r="A558" t="s">
        <v>573</v>
      </c>
      <c r="B558" t="s">
        <v>10</v>
      </c>
      <c r="C558" t="s">
        <v>14</v>
      </c>
      <c r="D558">
        <v>32</v>
      </c>
      <c r="E558" s="1">
        <v>41873</v>
      </c>
      <c r="F558">
        <v>3.43</v>
      </c>
      <c r="G558">
        <v>10</v>
      </c>
      <c r="H558">
        <v>4893.42</v>
      </c>
      <c r="I558">
        <v>11.2</v>
      </c>
    </row>
    <row r="559" spans="1:9" x14ac:dyDescent="0.3">
      <c r="A559" t="s">
        <v>574</v>
      </c>
      <c r="B559" t="s">
        <v>34</v>
      </c>
      <c r="C559" t="s">
        <v>14</v>
      </c>
      <c r="D559">
        <v>25</v>
      </c>
      <c r="E559" s="1">
        <v>44449</v>
      </c>
      <c r="F559">
        <v>2.7</v>
      </c>
      <c r="G559">
        <v>0</v>
      </c>
      <c r="H559">
        <v>13585.31</v>
      </c>
      <c r="I559">
        <v>4.0999999999999996</v>
      </c>
    </row>
    <row r="560" spans="1:9" x14ac:dyDescent="0.3">
      <c r="A560" t="s">
        <v>575</v>
      </c>
      <c r="B560" t="s">
        <v>10</v>
      </c>
      <c r="C560" t="s">
        <v>14</v>
      </c>
      <c r="D560">
        <v>58</v>
      </c>
      <c r="E560" s="1">
        <v>43335</v>
      </c>
      <c r="F560">
        <v>3.1</v>
      </c>
      <c r="G560">
        <v>10</v>
      </c>
      <c r="H560">
        <v>14544.4</v>
      </c>
      <c r="I560">
        <v>7.2</v>
      </c>
    </row>
    <row r="561" spans="1:9" x14ac:dyDescent="0.3">
      <c r="A561" t="s">
        <v>576</v>
      </c>
      <c r="B561" t="s">
        <v>18</v>
      </c>
      <c r="C561" t="s">
        <v>11</v>
      </c>
      <c r="D561">
        <v>44</v>
      </c>
      <c r="E561" s="1">
        <v>45138</v>
      </c>
      <c r="F561">
        <v>2.76</v>
      </c>
      <c r="G561">
        <v>2</v>
      </c>
      <c r="H561">
        <v>12624.25</v>
      </c>
      <c r="I561">
        <v>2.2999999999999998</v>
      </c>
    </row>
    <row r="562" spans="1:9" x14ac:dyDescent="0.3">
      <c r="A562" t="s">
        <v>577</v>
      </c>
      <c r="B562" t="s">
        <v>16</v>
      </c>
      <c r="C562" t="s">
        <v>14</v>
      </c>
      <c r="D562">
        <v>49</v>
      </c>
      <c r="E562" s="1">
        <v>42758</v>
      </c>
      <c r="F562">
        <v>4.6399999999999997</v>
      </c>
      <c r="G562">
        <v>15</v>
      </c>
      <c r="H562">
        <v>11130.42</v>
      </c>
      <c r="I562">
        <v>8.8000000000000007</v>
      </c>
    </row>
    <row r="563" spans="1:9" x14ac:dyDescent="0.3">
      <c r="A563" t="s">
        <v>578</v>
      </c>
      <c r="B563" t="s">
        <v>24</v>
      </c>
      <c r="C563" t="s">
        <v>14</v>
      </c>
      <c r="D563">
        <v>26</v>
      </c>
      <c r="E563" s="1">
        <v>40397</v>
      </c>
      <c r="F563">
        <v>2.09</v>
      </c>
      <c r="G563">
        <v>3</v>
      </c>
      <c r="H563">
        <v>12661.39</v>
      </c>
      <c r="I563">
        <v>15.2</v>
      </c>
    </row>
    <row r="564" spans="1:9" x14ac:dyDescent="0.3">
      <c r="A564" t="s">
        <v>579</v>
      </c>
      <c r="B564" t="s">
        <v>16</v>
      </c>
      <c r="C564" t="s">
        <v>14</v>
      </c>
      <c r="D564">
        <v>32</v>
      </c>
      <c r="E564" s="1">
        <v>41815</v>
      </c>
      <c r="F564">
        <v>1.72</v>
      </c>
      <c r="G564">
        <v>1</v>
      </c>
      <c r="H564">
        <v>10744.7</v>
      </c>
      <c r="I564">
        <v>11.4</v>
      </c>
    </row>
    <row r="565" spans="1:9" x14ac:dyDescent="0.3">
      <c r="A565" t="s">
        <v>580</v>
      </c>
      <c r="B565" t="s">
        <v>24</v>
      </c>
      <c r="C565" t="s">
        <v>11</v>
      </c>
      <c r="D565">
        <v>39</v>
      </c>
      <c r="E565" s="1">
        <v>41766</v>
      </c>
      <c r="F565">
        <v>4.96</v>
      </c>
      <c r="G565">
        <v>11</v>
      </c>
      <c r="H565">
        <v>4432.57</v>
      </c>
      <c r="I565">
        <v>11.5</v>
      </c>
    </row>
    <row r="566" spans="1:9" x14ac:dyDescent="0.3">
      <c r="A566" t="s">
        <v>581</v>
      </c>
      <c r="B566" t="s">
        <v>10</v>
      </c>
      <c r="C566" t="s">
        <v>14</v>
      </c>
      <c r="D566">
        <v>60</v>
      </c>
      <c r="E566" s="1">
        <v>43828</v>
      </c>
      <c r="F566">
        <v>4.38</v>
      </c>
      <c r="G566">
        <v>9</v>
      </c>
      <c r="H566">
        <v>8793.85</v>
      </c>
      <c r="I566">
        <v>5.8</v>
      </c>
    </row>
    <row r="567" spans="1:9" x14ac:dyDescent="0.3">
      <c r="A567" t="s">
        <v>582</v>
      </c>
      <c r="B567" t="s">
        <v>34</v>
      </c>
      <c r="C567" t="s">
        <v>11</v>
      </c>
      <c r="D567">
        <v>37</v>
      </c>
      <c r="E567" s="1">
        <v>40573</v>
      </c>
      <c r="F567">
        <v>1.83</v>
      </c>
      <c r="G567">
        <v>1</v>
      </c>
      <c r="H567">
        <v>7578.14</v>
      </c>
      <c r="I567">
        <v>14.8</v>
      </c>
    </row>
    <row r="568" spans="1:9" x14ac:dyDescent="0.3">
      <c r="A568" t="s">
        <v>583</v>
      </c>
      <c r="B568" t="s">
        <v>13</v>
      </c>
      <c r="C568" t="s">
        <v>14</v>
      </c>
      <c r="D568">
        <v>44</v>
      </c>
      <c r="E568" s="1">
        <v>44013</v>
      </c>
      <c r="F568">
        <v>3.71</v>
      </c>
      <c r="G568">
        <v>7</v>
      </c>
      <c r="H568">
        <v>14665.2</v>
      </c>
      <c r="I568">
        <v>5.3</v>
      </c>
    </row>
    <row r="569" spans="1:9" x14ac:dyDescent="0.3">
      <c r="A569" t="s">
        <v>584</v>
      </c>
      <c r="B569" t="s">
        <v>10</v>
      </c>
      <c r="C569" t="s">
        <v>14</v>
      </c>
      <c r="D569">
        <v>53</v>
      </c>
      <c r="E569" s="1">
        <v>41454</v>
      </c>
      <c r="F569">
        <v>3</v>
      </c>
      <c r="G569">
        <v>13</v>
      </c>
      <c r="H569">
        <v>12021.55</v>
      </c>
      <c r="I569">
        <v>12.4</v>
      </c>
    </row>
    <row r="570" spans="1:9" x14ac:dyDescent="0.3">
      <c r="A570" t="s">
        <v>585</v>
      </c>
      <c r="B570" t="s">
        <v>16</v>
      </c>
      <c r="C570" t="s">
        <v>11</v>
      </c>
      <c r="D570">
        <v>40</v>
      </c>
      <c r="E570" s="1">
        <v>43123</v>
      </c>
      <c r="F570">
        <v>4.4800000000000004</v>
      </c>
      <c r="G570">
        <v>0</v>
      </c>
      <c r="H570">
        <v>11060.66</v>
      </c>
      <c r="I570">
        <v>7.8</v>
      </c>
    </row>
    <row r="571" spans="1:9" x14ac:dyDescent="0.3">
      <c r="A571" t="s">
        <v>586</v>
      </c>
      <c r="B571" t="s">
        <v>34</v>
      </c>
      <c r="C571" t="s">
        <v>14</v>
      </c>
      <c r="D571">
        <v>32</v>
      </c>
      <c r="E571" s="1">
        <v>41386</v>
      </c>
      <c r="F571">
        <v>2.14</v>
      </c>
      <c r="G571">
        <v>13</v>
      </c>
      <c r="H571">
        <v>7750.16</v>
      </c>
      <c r="I571">
        <v>12.5</v>
      </c>
    </row>
    <row r="572" spans="1:9" x14ac:dyDescent="0.3">
      <c r="A572" t="s">
        <v>587</v>
      </c>
      <c r="B572" t="s">
        <v>34</v>
      </c>
      <c r="C572" t="s">
        <v>14</v>
      </c>
      <c r="D572">
        <v>34</v>
      </c>
      <c r="E572" s="1">
        <v>45779</v>
      </c>
      <c r="F572">
        <v>4.76</v>
      </c>
      <c r="G572">
        <v>15</v>
      </c>
      <c r="H572">
        <v>10161.540000000001</v>
      </c>
      <c r="I572">
        <v>0.5</v>
      </c>
    </row>
    <row r="573" spans="1:9" x14ac:dyDescent="0.3">
      <c r="A573" t="s">
        <v>588</v>
      </c>
      <c r="B573" t="s">
        <v>10</v>
      </c>
      <c r="C573" t="s">
        <v>11</v>
      </c>
      <c r="D573">
        <v>51</v>
      </c>
      <c r="E573" s="1">
        <v>42780</v>
      </c>
      <c r="F573">
        <v>3.47</v>
      </c>
      <c r="G573">
        <v>3</v>
      </c>
      <c r="H573">
        <v>14600.98</v>
      </c>
      <c r="I573">
        <v>8.6999999999999993</v>
      </c>
    </row>
    <row r="574" spans="1:9" x14ac:dyDescent="0.3">
      <c r="A574" t="s">
        <v>589</v>
      </c>
      <c r="B574" t="s">
        <v>18</v>
      </c>
      <c r="C574" t="s">
        <v>14</v>
      </c>
      <c r="D574">
        <v>56</v>
      </c>
      <c r="E574" s="1">
        <v>43020</v>
      </c>
      <c r="F574">
        <v>3.04</v>
      </c>
      <c r="G574">
        <v>8</v>
      </c>
      <c r="H574">
        <v>13707.57</v>
      </c>
      <c r="I574">
        <v>8.1</v>
      </c>
    </row>
    <row r="575" spans="1:9" x14ac:dyDescent="0.3">
      <c r="A575" t="s">
        <v>590</v>
      </c>
      <c r="B575" t="s">
        <v>13</v>
      </c>
      <c r="C575" t="s">
        <v>11</v>
      </c>
      <c r="D575">
        <v>28</v>
      </c>
      <c r="E575" s="1">
        <v>41050</v>
      </c>
      <c r="F575">
        <v>1.67</v>
      </c>
      <c r="G575">
        <v>0</v>
      </c>
      <c r="H575">
        <v>11858.09</v>
      </c>
      <c r="I575">
        <v>13.5</v>
      </c>
    </row>
    <row r="576" spans="1:9" x14ac:dyDescent="0.3">
      <c r="A576" t="s">
        <v>591</v>
      </c>
      <c r="B576" t="s">
        <v>18</v>
      </c>
      <c r="C576" t="s">
        <v>11</v>
      </c>
      <c r="D576">
        <v>23</v>
      </c>
      <c r="E576" s="1">
        <v>43281</v>
      </c>
      <c r="F576">
        <v>2.65</v>
      </c>
      <c r="G576">
        <v>8</v>
      </c>
      <c r="H576">
        <v>8851.42</v>
      </c>
      <c r="I576">
        <v>7.3</v>
      </c>
    </row>
    <row r="577" spans="1:9" x14ac:dyDescent="0.3">
      <c r="A577" t="s">
        <v>592</v>
      </c>
      <c r="B577" t="s">
        <v>18</v>
      </c>
      <c r="C577" t="s">
        <v>11</v>
      </c>
      <c r="D577">
        <v>45</v>
      </c>
      <c r="E577" s="1">
        <v>43952</v>
      </c>
      <c r="F577">
        <v>2.58</v>
      </c>
      <c r="G577">
        <v>8</v>
      </c>
      <c r="H577">
        <v>14051.44</v>
      </c>
      <c r="I577">
        <v>5.5</v>
      </c>
    </row>
    <row r="578" spans="1:9" x14ac:dyDescent="0.3">
      <c r="A578" t="s">
        <v>593</v>
      </c>
      <c r="B578" t="s">
        <v>18</v>
      </c>
      <c r="C578" t="s">
        <v>11</v>
      </c>
      <c r="D578">
        <v>41</v>
      </c>
      <c r="E578" s="1">
        <v>45524</v>
      </c>
      <c r="F578">
        <v>1.5</v>
      </c>
      <c r="G578">
        <v>14</v>
      </c>
      <c r="H578">
        <v>14343.32</v>
      </c>
      <c r="I578">
        <v>1.2</v>
      </c>
    </row>
    <row r="579" spans="1:9" x14ac:dyDescent="0.3">
      <c r="A579" t="s">
        <v>594</v>
      </c>
      <c r="B579" t="s">
        <v>10</v>
      </c>
      <c r="C579" t="s">
        <v>11</v>
      </c>
      <c r="D579">
        <v>27</v>
      </c>
      <c r="E579" s="1">
        <v>40480</v>
      </c>
      <c r="F579">
        <v>4.8899999999999997</v>
      </c>
      <c r="G579">
        <v>14</v>
      </c>
      <c r="H579">
        <v>11714.77</v>
      </c>
      <c r="I579">
        <v>15</v>
      </c>
    </row>
    <row r="580" spans="1:9" x14ac:dyDescent="0.3">
      <c r="A580" t="s">
        <v>595</v>
      </c>
      <c r="B580" t="s">
        <v>13</v>
      </c>
      <c r="C580" t="s">
        <v>14</v>
      </c>
      <c r="D580">
        <v>43</v>
      </c>
      <c r="E580" s="1">
        <v>43613</v>
      </c>
      <c r="F580">
        <v>4.4800000000000004</v>
      </c>
      <c r="G580">
        <v>11</v>
      </c>
      <c r="H580">
        <v>11450.41</v>
      </c>
      <c r="I580">
        <v>6.4</v>
      </c>
    </row>
    <row r="581" spans="1:9" x14ac:dyDescent="0.3">
      <c r="A581" t="s">
        <v>596</v>
      </c>
      <c r="B581" t="s">
        <v>10</v>
      </c>
      <c r="C581" t="s">
        <v>14</v>
      </c>
      <c r="D581">
        <v>44</v>
      </c>
      <c r="E581" s="1">
        <v>42020</v>
      </c>
      <c r="F581">
        <v>4.46</v>
      </c>
      <c r="G581">
        <v>7</v>
      </c>
      <c r="H581">
        <v>10322.89</v>
      </c>
      <c r="I581">
        <v>10.8</v>
      </c>
    </row>
    <row r="582" spans="1:9" x14ac:dyDescent="0.3">
      <c r="A582" t="s">
        <v>597</v>
      </c>
      <c r="B582" t="s">
        <v>16</v>
      </c>
      <c r="C582" t="s">
        <v>11</v>
      </c>
      <c r="D582">
        <v>36</v>
      </c>
      <c r="E582" s="1">
        <v>45933</v>
      </c>
      <c r="F582">
        <v>2.66</v>
      </c>
      <c r="G582">
        <v>9</v>
      </c>
      <c r="H582">
        <v>7395.82</v>
      </c>
      <c r="I582">
        <v>0.1</v>
      </c>
    </row>
    <row r="583" spans="1:9" x14ac:dyDescent="0.3">
      <c r="A583" t="s">
        <v>598</v>
      </c>
      <c r="B583" t="s">
        <v>13</v>
      </c>
      <c r="C583" t="s">
        <v>14</v>
      </c>
      <c r="D583">
        <v>43</v>
      </c>
      <c r="E583" s="1">
        <v>42372</v>
      </c>
      <c r="F583">
        <v>3.44</v>
      </c>
      <c r="G583">
        <v>6</v>
      </c>
      <c r="H583">
        <v>12376.97</v>
      </c>
      <c r="I583">
        <v>9.8000000000000007</v>
      </c>
    </row>
    <row r="584" spans="1:9" x14ac:dyDescent="0.3">
      <c r="A584" t="s">
        <v>599</v>
      </c>
      <c r="B584" t="s">
        <v>13</v>
      </c>
      <c r="C584" t="s">
        <v>14</v>
      </c>
      <c r="D584">
        <v>54</v>
      </c>
      <c r="E584" s="1">
        <v>42364</v>
      </c>
      <c r="F584">
        <v>2.76</v>
      </c>
      <c r="G584">
        <v>1</v>
      </c>
      <c r="H584">
        <v>13287.33</v>
      </c>
      <c r="I584">
        <v>9.9</v>
      </c>
    </row>
    <row r="585" spans="1:9" x14ac:dyDescent="0.3">
      <c r="A585" t="s">
        <v>600</v>
      </c>
      <c r="B585" t="s">
        <v>24</v>
      </c>
      <c r="C585" t="s">
        <v>11</v>
      </c>
      <c r="D585">
        <v>53</v>
      </c>
      <c r="E585" s="1">
        <v>42739</v>
      </c>
      <c r="F585">
        <v>4.7699999999999996</v>
      </c>
      <c r="G585">
        <v>10</v>
      </c>
      <c r="H585">
        <v>7501.47</v>
      </c>
      <c r="I585">
        <v>8.8000000000000007</v>
      </c>
    </row>
    <row r="586" spans="1:9" x14ac:dyDescent="0.3">
      <c r="A586" t="s">
        <v>601</v>
      </c>
      <c r="B586" t="s">
        <v>18</v>
      </c>
      <c r="C586" t="s">
        <v>11</v>
      </c>
      <c r="D586">
        <v>35</v>
      </c>
      <c r="E586" s="1">
        <v>45707</v>
      </c>
      <c r="F586">
        <v>3.06</v>
      </c>
      <c r="G586">
        <v>8</v>
      </c>
      <c r="H586">
        <v>8867</v>
      </c>
      <c r="I586">
        <v>0.7</v>
      </c>
    </row>
    <row r="587" spans="1:9" x14ac:dyDescent="0.3">
      <c r="A587" t="s">
        <v>602</v>
      </c>
      <c r="B587" t="s">
        <v>24</v>
      </c>
      <c r="C587" t="s">
        <v>14</v>
      </c>
      <c r="D587">
        <v>39</v>
      </c>
      <c r="E587" s="1">
        <v>45754</v>
      </c>
      <c r="F587">
        <v>2.61</v>
      </c>
      <c r="G587">
        <v>15</v>
      </c>
      <c r="H587">
        <v>4135.38</v>
      </c>
      <c r="I587">
        <v>0.6</v>
      </c>
    </row>
    <row r="588" spans="1:9" x14ac:dyDescent="0.3">
      <c r="A588" t="s">
        <v>603</v>
      </c>
      <c r="B588" t="s">
        <v>10</v>
      </c>
      <c r="C588" t="s">
        <v>11</v>
      </c>
      <c r="D588">
        <v>26</v>
      </c>
      <c r="E588" s="1">
        <v>44070</v>
      </c>
      <c r="F588">
        <v>3.59</v>
      </c>
      <c r="G588">
        <v>11</v>
      </c>
      <c r="H588">
        <v>4228.6499999999996</v>
      </c>
      <c r="I588">
        <v>5.2</v>
      </c>
    </row>
    <row r="589" spans="1:9" x14ac:dyDescent="0.3">
      <c r="A589" t="s">
        <v>604</v>
      </c>
      <c r="B589" t="s">
        <v>34</v>
      </c>
      <c r="C589" t="s">
        <v>14</v>
      </c>
      <c r="D589">
        <v>46</v>
      </c>
      <c r="E589" s="1">
        <v>42200</v>
      </c>
      <c r="F589">
        <v>5</v>
      </c>
      <c r="G589">
        <v>8</v>
      </c>
      <c r="H589">
        <v>7758.85</v>
      </c>
      <c r="I589">
        <v>10.3</v>
      </c>
    </row>
    <row r="590" spans="1:9" x14ac:dyDescent="0.3">
      <c r="A590" t="s">
        <v>605</v>
      </c>
      <c r="B590" t="s">
        <v>24</v>
      </c>
      <c r="C590" t="s">
        <v>14</v>
      </c>
      <c r="D590">
        <v>59</v>
      </c>
      <c r="E590" s="1">
        <v>42542</v>
      </c>
      <c r="F590">
        <v>3.82</v>
      </c>
      <c r="G590">
        <v>10</v>
      </c>
      <c r="H590">
        <v>13657.48</v>
      </c>
      <c r="I590">
        <v>9.4</v>
      </c>
    </row>
    <row r="591" spans="1:9" x14ac:dyDescent="0.3">
      <c r="A591" t="s">
        <v>606</v>
      </c>
      <c r="B591" t="s">
        <v>34</v>
      </c>
      <c r="C591" t="s">
        <v>11</v>
      </c>
      <c r="D591">
        <v>40</v>
      </c>
      <c r="E591" s="1">
        <v>44281</v>
      </c>
      <c r="F591">
        <v>4.2699999999999996</v>
      </c>
      <c r="G591">
        <v>8</v>
      </c>
      <c r="H591">
        <v>3322.05</v>
      </c>
      <c r="I591">
        <v>4.5999999999999996</v>
      </c>
    </row>
    <row r="592" spans="1:9" x14ac:dyDescent="0.3">
      <c r="A592" t="s">
        <v>607</v>
      </c>
      <c r="B592" t="s">
        <v>24</v>
      </c>
      <c r="C592" t="s">
        <v>11</v>
      </c>
      <c r="D592">
        <v>29</v>
      </c>
      <c r="E592" s="1">
        <v>42405</v>
      </c>
      <c r="F592">
        <v>2.85</v>
      </c>
      <c r="G592">
        <v>14</v>
      </c>
      <c r="H592">
        <v>11638.2</v>
      </c>
      <c r="I592">
        <v>9.6999999999999993</v>
      </c>
    </row>
    <row r="593" spans="1:9" x14ac:dyDescent="0.3">
      <c r="A593" t="s">
        <v>608</v>
      </c>
      <c r="B593" t="s">
        <v>18</v>
      </c>
      <c r="C593" t="s">
        <v>11</v>
      </c>
      <c r="D593">
        <v>56</v>
      </c>
      <c r="E593" s="1">
        <v>44499</v>
      </c>
      <c r="F593">
        <v>2.2999999999999998</v>
      </c>
      <c r="G593">
        <v>7</v>
      </c>
      <c r="H593">
        <v>10605.17</v>
      </c>
      <c r="I593">
        <v>4</v>
      </c>
    </row>
    <row r="594" spans="1:9" x14ac:dyDescent="0.3">
      <c r="A594" t="s">
        <v>609</v>
      </c>
      <c r="B594" t="s">
        <v>16</v>
      </c>
      <c r="C594" t="s">
        <v>11</v>
      </c>
      <c r="D594">
        <v>39</v>
      </c>
      <c r="E594" s="1">
        <v>42227</v>
      </c>
      <c r="F594">
        <v>2.11</v>
      </c>
      <c r="G594">
        <v>13</v>
      </c>
      <c r="H594">
        <v>8711.86</v>
      </c>
      <c r="I594">
        <v>10.199999999999999</v>
      </c>
    </row>
    <row r="595" spans="1:9" x14ac:dyDescent="0.3">
      <c r="A595" t="s">
        <v>610</v>
      </c>
      <c r="B595" t="s">
        <v>18</v>
      </c>
      <c r="C595" t="s">
        <v>14</v>
      </c>
      <c r="D595">
        <v>28</v>
      </c>
      <c r="E595" s="1">
        <v>40617</v>
      </c>
      <c r="F595">
        <v>4.74</v>
      </c>
      <c r="G595">
        <v>1</v>
      </c>
      <c r="H595">
        <v>7280.23</v>
      </c>
      <c r="I595">
        <v>14.6</v>
      </c>
    </row>
    <row r="596" spans="1:9" x14ac:dyDescent="0.3">
      <c r="A596" t="s">
        <v>611</v>
      </c>
      <c r="B596" t="s">
        <v>10</v>
      </c>
      <c r="C596" t="s">
        <v>14</v>
      </c>
      <c r="D596">
        <v>51</v>
      </c>
      <c r="E596" s="1">
        <v>44336</v>
      </c>
      <c r="F596">
        <v>4.08</v>
      </c>
      <c r="G596">
        <v>12</v>
      </c>
      <c r="H596">
        <v>14591.95</v>
      </c>
      <c r="I596">
        <v>4.5</v>
      </c>
    </row>
    <row r="597" spans="1:9" x14ac:dyDescent="0.3">
      <c r="A597" t="s">
        <v>612</v>
      </c>
      <c r="B597" t="s">
        <v>18</v>
      </c>
      <c r="C597" t="s">
        <v>14</v>
      </c>
      <c r="D597">
        <v>46</v>
      </c>
      <c r="E597" s="1">
        <v>43755</v>
      </c>
      <c r="F597">
        <v>4.99</v>
      </c>
      <c r="G597">
        <v>2</v>
      </c>
      <c r="H597">
        <v>5872.03</v>
      </c>
      <c r="I597">
        <v>6</v>
      </c>
    </row>
    <row r="598" spans="1:9" x14ac:dyDescent="0.3">
      <c r="A598" t="s">
        <v>613</v>
      </c>
      <c r="B598" t="s">
        <v>24</v>
      </c>
      <c r="C598" t="s">
        <v>11</v>
      </c>
      <c r="D598">
        <v>43</v>
      </c>
      <c r="E598" s="1">
        <v>42948</v>
      </c>
      <c r="F598">
        <v>2.59</v>
      </c>
      <c r="G598">
        <v>5</v>
      </c>
      <c r="H598">
        <v>13211.22</v>
      </c>
      <c r="I598">
        <v>8.3000000000000007</v>
      </c>
    </row>
    <row r="599" spans="1:9" x14ac:dyDescent="0.3">
      <c r="A599" t="s">
        <v>614</v>
      </c>
      <c r="B599" t="s">
        <v>18</v>
      </c>
      <c r="C599" t="s">
        <v>14</v>
      </c>
      <c r="D599">
        <v>36</v>
      </c>
      <c r="E599" s="1">
        <v>43232</v>
      </c>
      <c r="F599">
        <v>4.5999999999999996</v>
      </c>
      <c r="G599">
        <v>12</v>
      </c>
      <c r="H599">
        <v>4705.63</v>
      </c>
      <c r="I599">
        <v>7.5</v>
      </c>
    </row>
    <row r="600" spans="1:9" x14ac:dyDescent="0.3">
      <c r="A600" t="s">
        <v>615</v>
      </c>
      <c r="B600" t="s">
        <v>24</v>
      </c>
      <c r="C600" t="s">
        <v>11</v>
      </c>
      <c r="D600">
        <v>49</v>
      </c>
      <c r="E600" s="1">
        <v>41780</v>
      </c>
      <c r="F600">
        <v>3.35</v>
      </c>
      <c r="G600">
        <v>13</v>
      </c>
      <c r="H600">
        <v>4207.17</v>
      </c>
      <c r="I600">
        <v>11.5</v>
      </c>
    </row>
    <row r="601" spans="1:9" x14ac:dyDescent="0.3">
      <c r="A601" t="s">
        <v>616</v>
      </c>
      <c r="B601" t="s">
        <v>10</v>
      </c>
      <c r="C601" t="s">
        <v>11</v>
      </c>
      <c r="D601">
        <v>47</v>
      </c>
      <c r="E601" s="1">
        <v>42176</v>
      </c>
      <c r="F601">
        <v>2.88</v>
      </c>
      <c r="G601">
        <v>2</v>
      </c>
      <c r="H601">
        <v>8088.22</v>
      </c>
      <c r="I601">
        <v>10.4</v>
      </c>
    </row>
    <row r="602" spans="1:9" x14ac:dyDescent="0.3">
      <c r="A602" t="s">
        <v>617</v>
      </c>
      <c r="B602" t="s">
        <v>18</v>
      </c>
      <c r="C602" t="s">
        <v>14</v>
      </c>
      <c r="D602">
        <v>45</v>
      </c>
      <c r="E602" s="1">
        <v>42349</v>
      </c>
      <c r="F602">
        <v>2.12</v>
      </c>
      <c r="G602">
        <v>4</v>
      </c>
      <c r="H602">
        <v>12639.77</v>
      </c>
      <c r="I602">
        <v>9.9</v>
      </c>
    </row>
    <row r="603" spans="1:9" x14ac:dyDescent="0.3">
      <c r="A603" t="s">
        <v>618</v>
      </c>
      <c r="B603" t="s">
        <v>10</v>
      </c>
      <c r="C603" t="s">
        <v>11</v>
      </c>
      <c r="D603">
        <v>54</v>
      </c>
      <c r="E603" s="1">
        <v>41285</v>
      </c>
      <c r="F603">
        <v>4.7</v>
      </c>
      <c r="G603">
        <v>7</v>
      </c>
      <c r="H603">
        <v>3163.16</v>
      </c>
      <c r="I603">
        <v>12.8</v>
      </c>
    </row>
    <row r="604" spans="1:9" x14ac:dyDescent="0.3">
      <c r="A604" t="s">
        <v>619</v>
      </c>
      <c r="B604" t="s">
        <v>34</v>
      </c>
      <c r="C604" t="s">
        <v>11</v>
      </c>
      <c r="D604">
        <v>44</v>
      </c>
      <c r="E604" s="1">
        <v>44394</v>
      </c>
      <c r="F604">
        <v>2.82</v>
      </c>
      <c r="G604">
        <v>10</v>
      </c>
      <c r="H604">
        <v>12819.57</v>
      </c>
      <c r="I604">
        <v>4.3</v>
      </c>
    </row>
    <row r="605" spans="1:9" x14ac:dyDescent="0.3">
      <c r="A605" t="s">
        <v>620</v>
      </c>
      <c r="B605" t="s">
        <v>24</v>
      </c>
      <c r="C605" t="s">
        <v>14</v>
      </c>
      <c r="D605">
        <v>57</v>
      </c>
      <c r="E605" s="1">
        <v>42598</v>
      </c>
      <c r="F605">
        <v>3.25</v>
      </c>
      <c r="G605">
        <v>12</v>
      </c>
      <c r="H605">
        <v>3883.3</v>
      </c>
      <c r="I605">
        <v>9.1999999999999993</v>
      </c>
    </row>
    <row r="606" spans="1:9" x14ac:dyDescent="0.3">
      <c r="A606" t="s">
        <v>621</v>
      </c>
      <c r="B606" t="s">
        <v>34</v>
      </c>
      <c r="C606" t="s">
        <v>14</v>
      </c>
      <c r="D606">
        <v>47</v>
      </c>
      <c r="E606" s="1">
        <v>44250</v>
      </c>
      <c r="F606">
        <v>3.58</v>
      </c>
      <c r="G606">
        <v>5</v>
      </c>
      <c r="H606">
        <v>11915.86</v>
      </c>
      <c r="I606">
        <v>4.7</v>
      </c>
    </row>
    <row r="607" spans="1:9" x14ac:dyDescent="0.3">
      <c r="A607" t="s">
        <v>622</v>
      </c>
      <c r="B607" t="s">
        <v>16</v>
      </c>
      <c r="C607" t="s">
        <v>14</v>
      </c>
      <c r="D607">
        <v>58</v>
      </c>
      <c r="E607" s="1">
        <v>42165</v>
      </c>
      <c r="F607">
        <v>2.1</v>
      </c>
      <c r="G607">
        <v>5</v>
      </c>
      <c r="H607">
        <v>12745.44</v>
      </c>
      <c r="I607">
        <v>10.4</v>
      </c>
    </row>
    <row r="608" spans="1:9" x14ac:dyDescent="0.3">
      <c r="A608" t="s">
        <v>623</v>
      </c>
      <c r="B608" t="s">
        <v>24</v>
      </c>
      <c r="C608" t="s">
        <v>14</v>
      </c>
      <c r="D608">
        <v>25</v>
      </c>
      <c r="E608" s="1">
        <v>41287</v>
      </c>
      <c r="F608">
        <v>3.11</v>
      </c>
      <c r="G608">
        <v>4</v>
      </c>
      <c r="H608">
        <v>13271.99</v>
      </c>
      <c r="I608">
        <v>12.8</v>
      </c>
    </row>
    <row r="609" spans="1:9" x14ac:dyDescent="0.3">
      <c r="A609" t="s">
        <v>624</v>
      </c>
      <c r="B609" t="s">
        <v>24</v>
      </c>
      <c r="C609" t="s">
        <v>14</v>
      </c>
      <c r="D609">
        <v>24</v>
      </c>
      <c r="E609" s="1">
        <v>44139</v>
      </c>
      <c r="F609">
        <v>3.33</v>
      </c>
      <c r="G609">
        <v>11</v>
      </c>
      <c r="H609">
        <v>4639.3</v>
      </c>
      <c r="I609">
        <v>5</v>
      </c>
    </row>
    <row r="610" spans="1:9" x14ac:dyDescent="0.3">
      <c r="A610" t="s">
        <v>625</v>
      </c>
      <c r="B610" t="s">
        <v>16</v>
      </c>
      <c r="C610" t="s">
        <v>14</v>
      </c>
      <c r="D610">
        <v>29</v>
      </c>
      <c r="E610" s="1">
        <v>42743</v>
      </c>
      <c r="F610">
        <v>3.63</v>
      </c>
      <c r="G610">
        <v>3</v>
      </c>
      <c r="H610">
        <v>9166.17</v>
      </c>
      <c r="I610">
        <v>8.8000000000000007</v>
      </c>
    </row>
    <row r="611" spans="1:9" x14ac:dyDescent="0.3">
      <c r="A611" t="s">
        <v>626</v>
      </c>
      <c r="B611" t="s">
        <v>24</v>
      </c>
      <c r="C611" t="s">
        <v>14</v>
      </c>
      <c r="D611">
        <v>31</v>
      </c>
      <c r="E611" s="1">
        <v>43146</v>
      </c>
      <c r="F611">
        <v>2.2999999999999998</v>
      </c>
      <c r="G611">
        <v>8</v>
      </c>
      <c r="H611">
        <v>6492.8</v>
      </c>
      <c r="I611">
        <v>7.7</v>
      </c>
    </row>
    <row r="612" spans="1:9" x14ac:dyDescent="0.3">
      <c r="A612" t="s">
        <v>627</v>
      </c>
      <c r="B612" t="s">
        <v>18</v>
      </c>
      <c r="C612" t="s">
        <v>14</v>
      </c>
      <c r="D612">
        <v>37</v>
      </c>
      <c r="E612" s="1">
        <v>41304</v>
      </c>
      <c r="F612">
        <v>4.63</v>
      </c>
      <c r="G612">
        <v>11</v>
      </c>
      <c r="H612">
        <v>4346.5200000000004</v>
      </c>
      <c r="I612">
        <v>12.8</v>
      </c>
    </row>
    <row r="613" spans="1:9" x14ac:dyDescent="0.3">
      <c r="A613" t="s">
        <v>628</v>
      </c>
      <c r="B613" t="s">
        <v>24</v>
      </c>
      <c r="C613" t="s">
        <v>14</v>
      </c>
      <c r="D613">
        <v>30</v>
      </c>
      <c r="E613" s="1">
        <v>43447</v>
      </c>
      <c r="F613">
        <v>4.1399999999999997</v>
      </c>
      <c r="G613">
        <v>0</v>
      </c>
      <c r="H613">
        <v>3110.49</v>
      </c>
      <c r="I613">
        <v>6.9</v>
      </c>
    </row>
    <row r="614" spans="1:9" x14ac:dyDescent="0.3">
      <c r="A614" t="s">
        <v>629</v>
      </c>
      <c r="B614" t="s">
        <v>13</v>
      </c>
      <c r="C614" t="s">
        <v>11</v>
      </c>
      <c r="D614">
        <v>34</v>
      </c>
      <c r="E614" s="1">
        <v>41209</v>
      </c>
      <c r="F614">
        <v>3.89</v>
      </c>
      <c r="G614">
        <v>6</v>
      </c>
      <c r="H614">
        <v>8193.31</v>
      </c>
      <c r="I614">
        <v>13</v>
      </c>
    </row>
    <row r="615" spans="1:9" x14ac:dyDescent="0.3">
      <c r="A615" t="s">
        <v>630</v>
      </c>
      <c r="B615" t="s">
        <v>34</v>
      </c>
      <c r="C615" t="s">
        <v>14</v>
      </c>
      <c r="D615">
        <v>32</v>
      </c>
      <c r="E615" s="1">
        <v>42955</v>
      </c>
      <c r="F615">
        <v>4.7300000000000004</v>
      </c>
      <c r="G615">
        <v>0</v>
      </c>
      <c r="H615">
        <v>14192.23</v>
      </c>
      <c r="I615">
        <v>8.1999999999999993</v>
      </c>
    </row>
    <row r="616" spans="1:9" x14ac:dyDescent="0.3">
      <c r="A616" t="s">
        <v>631</v>
      </c>
      <c r="B616" t="s">
        <v>18</v>
      </c>
      <c r="C616" t="s">
        <v>14</v>
      </c>
      <c r="D616">
        <v>41</v>
      </c>
      <c r="E616" s="1">
        <v>42466</v>
      </c>
      <c r="F616">
        <v>4.5199999999999996</v>
      </c>
      <c r="G616">
        <v>7</v>
      </c>
      <c r="H616">
        <v>11136.54</v>
      </c>
      <c r="I616">
        <v>9.6</v>
      </c>
    </row>
    <row r="617" spans="1:9" x14ac:dyDescent="0.3">
      <c r="A617" t="s">
        <v>632</v>
      </c>
      <c r="B617" t="s">
        <v>16</v>
      </c>
      <c r="C617" t="s">
        <v>11</v>
      </c>
      <c r="D617">
        <v>47</v>
      </c>
      <c r="E617" s="1">
        <v>44377</v>
      </c>
      <c r="F617">
        <v>4.67</v>
      </c>
      <c r="G617">
        <v>6</v>
      </c>
      <c r="H617">
        <v>7618.82</v>
      </c>
      <c r="I617">
        <v>4.3</v>
      </c>
    </row>
    <row r="618" spans="1:9" x14ac:dyDescent="0.3">
      <c r="A618" t="s">
        <v>633</v>
      </c>
      <c r="B618" t="s">
        <v>24</v>
      </c>
      <c r="C618" t="s">
        <v>11</v>
      </c>
      <c r="D618">
        <v>33</v>
      </c>
      <c r="E618" s="1">
        <v>44665</v>
      </c>
      <c r="F618">
        <v>4.9800000000000004</v>
      </c>
      <c r="G618">
        <v>9</v>
      </c>
      <c r="H618">
        <v>5213.25</v>
      </c>
      <c r="I618">
        <v>3.6</v>
      </c>
    </row>
    <row r="619" spans="1:9" x14ac:dyDescent="0.3">
      <c r="A619" t="s">
        <v>634</v>
      </c>
      <c r="B619" t="s">
        <v>13</v>
      </c>
      <c r="C619" t="s">
        <v>11</v>
      </c>
      <c r="D619">
        <v>45</v>
      </c>
      <c r="E619" s="1">
        <v>42779</v>
      </c>
      <c r="F619">
        <v>2.11</v>
      </c>
      <c r="G619">
        <v>11</v>
      </c>
      <c r="H619">
        <v>9343.2900000000009</v>
      </c>
      <c r="I619">
        <v>8.6999999999999993</v>
      </c>
    </row>
    <row r="620" spans="1:9" x14ac:dyDescent="0.3">
      <c r="A620" t="s">
        <v>635</v>
      </c>
      <c r="B620" t="s">
        <v>34</v>
      </c>
      <c r="C620" t="s">
        <v>14</v>
      </c>
      <c r="D620">
        <v>36</v>
      </c>
      <c r="E620" s="1">
        <v>45841</v>
      </c>
      <c r="F620">
        <v>3.79</v>
      </c>
      <c r="G620">
        <v>12</v>
      </c>
      <c r="H620">
        <v>13385.69</v>
      </c>
      <c r="I620">
        <v>0.3</v>
      </c>
    </row>
    <row r="621" spans="1:9" x14ac:dyDescent="0.3">
      <c r="A621" t="s">
        <v>636</v>
      </c>
      <c r="B621" t="s">
        <v>24</v>
      </c>
      <c r="C621" t="s">
        <v>14</v>
      </c>
      <c r="D621">
        <v>40</v>
      </c>
      <c r="E621" s="1">
        <v>44649</v>
      </c>
      <c r="F621">
        <v>2.93</v>
      </c>
      <c r="G621">
        <v>2</v>
      </c>
      <c r="H621">
        <v>13817.76</v>
      </c>
      <c r="I621">
        <v>3.6</v>
      </c>
    </row>
    <row r="622" spans="1:9" x14ac:dyDescent="0.3">
      <c r="A622" t="s">
        <v>637</v>
      </c>
      <c r="B622" t="s">
        <v>10</v>
      </c>
      <c r="C622" t="s">
        <v>11</v>
      </c>
      <c r="D622">
        <v>22</v>
      </c>
      <c r="E622" s="1">
        <v>43689</v>
      </c>
      <c r="F622">
        <v>4.5599999999999996</v>
      </c>
      <c r="G622">
        <v>3</v>
      </c>
      <c r="H622">
        <v>8532.4</v>
      </c>
      <c r="I622">
        <v>6.2</v>
      </c>
    </row>
    <row r="623" spans="1:9" x14ac:dyDescent="0.3">
      <c r="A623" t="s">
        <v>638</v>
      </c>
      <c r="B623" t="s">
        <v>34</v>
      </c>
      <c r="C623" t="s">
        <v>14</v>
      </c>
      <c r="D623">
        <v>40</v>
      </c>
      <c r="E623" s="1">
        <v>43705</v>
      </c>
      <c r="F623">
        <v>4.53</v>
      </c>
      <c r="G623">
        <v>9</v>
      </c>
      <c r="H623">
        <v>11126.04</v>
      </c>
      <c r="I623">
        <v>6.2</v>
      </c>
    </row>
    <row r="624" spans="1:9" x14ac:dyDescent="0.3">
      <c r="A624" t="s">
        <v>639</v>
      </c>
      <c r="B624" t="s">
        <v>18</v>
      </c>
      <c r="C624" t="s">
        <v>14</v>
      </c>
      <c r="D624">
        <v>41</v>
      </c>
      <c r="E624" s="1">
        <v>44269</v>
      </c>
      <c r="F624">
        <v>1.96</v>
      </c>
      <c r="G624">
        <v>4</v>
      </c>
      <c r="H624">
        <v>8479.5499999999993</v>
      </c>
      <c r="I624">
        <v>4.5999999999999996</v>
      </c>
    </row>
    <row r="625" spans="1:9" x14ac:dyDescent="0.3">
      <c r="A625" t="s">
        <v>640</v>
      </c>
      <c r="B625" t="s">
        <v>24</v>
      </c>
      <c r="C625" t="s">
        <v>11</v>
      </c>
      <c r="D625">
        <v>60</v>
      </c>
      <c r="E625" s="1">
        <v>45119</v>
      </c>
      <c r="F625">
        <v>2.35</v>
      </c>
      <c r="G625">
        <v>15</v>
      </c>
      <c r="H625">
        <v>14557.19</v>
      </c>
      <c r="I625">
        <v>2.2999999999999998</v>
      </c>
    </row>
    <row r="626" spans="1:9" x14ac:dyDescent="0.3">
      <c r="A626" t="s">
        <v>641</v>
      </c>
      <c r="B626" t="s">
        <v>16</v>
      </c>
      <c r="C626" t="s">
        <v>14</v>
      </c>
      <c r="D626">
        <v>58</v>
      </c>
      <c r="E626" s="1">
        <v>42337</v>
      </c>
      <c r="F626">
        <v>4.37</v>
      </c>
      <c r="G626">
        <v>4</v>
      </c>
      <c r="H626">
        <v>14093.37</v>
      </c>
      <c r="I626">
        <v>9.9</v>
      </c>
    </row>
    <row r="627" spans="1:9" x14ac:dyDescent="0.3">
      <c r="A627" t="s">
        <v>642</v>
      </c>
      <c r="B627" t="s">
        <v>24</v>
      </c>
      <c r="C627" t="s">
        <v>11</v>
      </c>
      <c r="D627">
        <v>42</v>
      </c>
      <c r="E627" s="1">
        <v>41691</v>
      </c>
      <c r="F627">
        <v>1.53</v>
      </c>
      <c r="G627">
        <v>12</v>
      </c>
      <c r="H627">
        <v>11098.1</v>
      </c>
      <c r="I627">
        <v>11.7</v>
      </c>
    </row>
    <row r="628" spans="1:9" x14ac:dyDescent="0.3">
      <c r="A628" t="s">
        <v>643</v>
      </c>
      <c r="B628" t="s">
        <v>34</v>
      </c>
      <c r="C628" t="s">
        <v>11</v>
      </c>
      <c r="D628">
        <v>34</v>
      </c>
      <c r="E628" s="1">
        <v>45734</v>
      </c>
      <c r="F628">
        <v>2.89</v>
      </c>
      <c r="G628">
        <v>14</v>
      </c>
      <c r="H628">
        <v>13790</v>
      </c>
      <c r="I628">
        <v>0.6</v>
      </c>
    </row>
    <row r="629" spans="1:9" x14ac:dyDescent="0.3">
      <c r="A629" t="s">
        <v>644</v>
      </c>
      <c r="B629" t="s">
        <v>18</v>
      </c>
      <c r="C629" t="s">
        <v>11</v>
      </c>
      <c r="D629">
        <v>22</v>
      </c>
      <c r="E629" s="1">
        <v>42582</v>
      </c>
      <c r="F629">
        <v>2.58</v>
      </c>
      <c r="G629">
        <v>2</v>
      </c>
      <c r="H629">
        <v>6513.15</v>
      </c>
      <c r="I629">
        <v>9.3000000000000007</v>
      </c>
    </row>
    <row r="630" spans="1:9" x14ac:dyDescent="0.3">
      <c r="A630" t="s">
        <v>645</v>
      </c>
      <c r="B630" t="s">
        <v>34</v>
      </c>
      <c r="C630" t="s">
        <v>11</v>
      </c>
      <c r="D630">
        <v>27</v>
      </c>
      <c r="E630" s="1">
        <v>40755</v>
      </c>
      <c r="F630">
        <v>2.71</v>
      </c>
      <c r="G630">
        <v>12</v>
      </c>
      <c r="H630">
        <v>7945.09</v>
      </c>
      <c r="I630">
        <v>14.3</v>
      </c>
    </row>
    <row r="631" spans="1:9" x14ac:dyDescent="0.3">
      <c r="A631" t="s">
        <v>646</v>
      </c>
      <c r="B631" t="s">
        <v>10</v>
      </c>
      <c r="C631" t="s">
        <v>11</v>
      </c>
      <c r="D631">
        <v>60</v>
      </c>
      <c r="E631" s="1">
        <v>40642</v>
      </c>
      <c r="F631">
        <v>2.29</v>
      </c>
      <c r="G631">
        <v>3</v>
      </c>
      <c r="H631">
        <v>4408.58</v>
      </c>
      <c r="I631">
        <v>14.6</v>
      </c>
    </row>
    <row r="632" spans="1:9" x14ac:dyDescent="0.3">
      <c r="A632" t="s">
        <v>647</v>
      </c>
      <c r="B632" t="s">
        <v>18</v>
      </c>
      <c r="C632" t="s">
        <v>14</v>
      </c>
      <c r="D632">
        <v>45</v>
      </c>
      <c r="E632" s="1">
        <v>43272</v>
      </c>
      <c r="F632">
        <v>3.99</v>
      </c>
      <c r="G632">
        <v>11</v>
      </c>
      <c r="H632">
        <v>5624.42</v>
      </c>
      <c r="I632">
        <v>7.4</v>
      </c>
    </row>
    <row r="633" spans="1:9" x14ac:dyDescent="0.3">
      <c r="A633" t="s">
        <v>648</v>
      </c>
      <c r="B633" t="s">
        <v>13</v>
      </c>
      <c r="C633" t="s">
        <v>14</v>
      </c>
      <c r="D633">
        <v>40</v>
      </c>
      <c r="E633" s="1">
        <v>42284</v>
      </c>
      <c r="F633">
        <v>3.01</v>
      </c>
      <c r="G633">
        <v>13</v>
      </c>
      <c r="H633">
        <v>8599.31</v>
      </c>
      <c r="I633">
        <v>10.1</v>
      </c>
    </row>
    <row r="634" spans="1:9" x14ac:dyDescent="0.3">
      <c r="A634" t="s">
        <v>649</v>
      </c>
      <c r="B634" t="s">
        <v>24</v>
      </c>
      <c r="C634" t="s">
        <v>14</v>
      </c>
      <c r="D634">
        <v>32</v>
      </c>
      <c r="E634" s="1">
        <v>40994</v>
      </c>
      <c r="F634">
        <v>2.35</v>
      </c>
      <c r="G634">
        <v>1</v>
      </c>
      <c r="H634">
        <v>13561.68</v>
      </c>
      <c r="I634">
        <v>13.6</v>
      </c>
    </row>
    <row r="635" spans="1:9" x14ac:dyDescent="0.3">
      <c r="A635" t="s">
        <v>650</v>
      </c>
      <c r="B635" t="s">
        <v>16</v>
      </c>
      <c r="C635" t="s">
        <v>14</v>
      </c>
      <c r="D635">
        <v>53</v>
      </c>
      <c r="E635" s="1">
        <v>45426</v>
      </c>
      <c r="F635">
        <v>3.94</v>
      </c>
      <c r="G635">
        <v>1</v>
      </c>
      <c r="H635">
        <v>11747.1</v>
      </c>
      <c r="I635">
        <v>1.5</v>
      </c>
    </row>
    <row r="636" spans="1:9" x14ac:dyDescent="0.3">
      <c r="A636" t="s">
        <v>651</v>
      </c>
      <c r="B636" t="s">
        <v>18</v>
      </c>
      <c r="C636" t="s">
        <v>14</v>
      </c>
      <c r="D636">
        <v>49</v>
      </c>
      <c r="E636" s="1">
        <v>42540</v>
      </c>
      <c r="F636">
        <v>4.59</v>
      </c>
      <c r="G636">
        <v>12</v>
      </c>
      <c r="H636">
        <v>5992.89</v>
      </c>
      <c r="I636">
        <v>9.4</v>
      </c>
    </row>
    <row r="637" spans="1:9" x14ac:dyDescent="0.3">
      <c r="A637" t="s">
        <v>652</v>
      </c>
      <c r="B637" t="s">
        <v>24</v>
      </c>
      <c r="C637" t="s">
        <v>11</v>
      </c>
      <c r="D637">
        <v>55</v>
      </c>
      <c r="E637" s="1">
        <v>44827</v>
      </c>
      <c r="F637">
        <v>1.85</v>
      </c>
      <c r="G637">
        <v>11</v>
      </c>
      <c r="H637">
        <v>14121.55</v>
      </c>
      <c r="I637">
        <v>3.1</v>
      </c>
    </row>
    <row r="638" spans="1:9" x14ac:dyDescent="0.3">
      <c r="A638" t="s">
        <v>653</v>
      </c>
      <c r="B638" t="s">
        <v>10</v>
      </c>
      <c r="C638" t="s">
        <v>14</v>
      </c>
      <c r="D638">
        <v>31</v>
      </c>
      <c r="E638" s="1">
        <v>44359</v>
      </c>
      <c r="F638">
        <v>4.78</v>
      </c>
      <c r="G638">
        <v>11</v>
      </c>
      <c r="H638">
        <v>5123.8500000000004</v>
      </c>
      <c r="I638">
        <v>4.4000000000000004</v>
      </c>
    </row>
    <row r="639" spans="1:9" x14ac:dyDescent="0.3">
      <c r="A639" t="s">
        <v>654</v>
      </c>
      <c r="B639" t="s">
        <v>34</v>
      </c>
      <c r="C639" t="s">
        <v>14</v>
      </c>
      <c r="D639">
        <v>57</v>
      </c>
      <c r="E639" s="1">
        <v>44563</v>
      </c>
      <c r="F639">
        <v>4.58</v>
      </c>
      <c r="G639">
        <v>2</v>
      </c>
      <c r="H639">
        <v>5315.76</v>
      </c>
      <c r="I639">
        <v>3.8</v>
      </c>
    </row>
    <row r="640" spans="1:9" x14ac:dyDescent="0.3">
      <c r="A640" t="s">
        <v>655</v>
      </c>
      <c r="B640" t="s">
        <v>10</v>
      </c>
      <c r="C640" t="s">
        <v>11</v>
      </c>
      <c r="D640">
        <v>24</v>
      </c>
      <c r="E640" s="1">
        <v>43267</v>
      </c>
      <c r="F640">
        <v>2.3199999999999998</v>
      </c>
      <c r="G640">
        <v>2</v>
      </c>
      <c r="H640">
        <v>14500.42</v>
      </c>
      <c r="I640">
        <v>7.4</v>
      </c>
    </row>
    <row r="641" spans="1:9" x14ac:dyDescent="0.3">
      <c r="A641" t="s">
        <v>656</v>
      </c>
      <c r="B641" t="s">
        <v>24</v>
      </c>
      <c r="C641" t="s">
        <v>14</v>
      </c>
      <c r="D641">
        <v>37</v>
      </c>
      <c r="E641" s="1">
        <v>44071</v>
      </c>
      <c r="F641">
        <v>2.64</v>
      </c>
      <c r="G641">
        <v>3</v>
      </c>
      <c r="H641">
        <v>9297.02</v>
      </c>
      <c r="I641">
        <v>5.2</v>
      </c>
    </row>
    <row r="642" spans="1:9" x14ac:dyDescent="0.3">
      <c r="A642" t="s">
        <v>657</v>
      </c>
      <c r="B642" t="s">
        <v>34</v>
      </c>
      <c r="C642" t="s">
        <v>14</v>
      </c>
      <c r="D642">
        <v>56</v>
      </c>
      <c r="E642" s="1">
        <v>41659</v>
      </c>
      <c r="F642">
        <v>2.48</v>
      </c>
      <c r="G642">
        <v>4</v>
      </c>
      <c r="H642">
        <v>7402.83</v>
      </c>
      <c r="I642">
        <v>11.8</v>
      </c>
    </row>
    <row r="643" spans="1:9" x14ac:dyDescent="0.3">
      <c r="A643" t="s">
        <v>658</v>
      </c>
      <c r="B643" t="s">
        <v>24</v>
      </c>
      <c r="C643" t="s">
        <v>14</v>
      </c>
      <c r="D643">
        <v>43</v>
      </c>
      <c r="E643" s="1">
        <v>41498</v>
      </c>
      <c r="F643">
        <v>4.17</v>
      </c>
      <c r="G643">
        <v>6</v>
      </c>
      <c r="H643">
        <v>5396.17</v>
      </c>
      <c r="I643">
        <v>12.2</v>
      </c>
    </row>
    <row r="644" spans="1:9" x14ac:dyDescent="0.3">
      <c r="A644" t="s">
        <v>659</v>
      </c>
      <c r="B644" t="s">
        <v>10</v>
      </c>
      <c r="C644" t="s">
        <v>14</v>
      </c>
      <c r="D644">
        <v>32</v>
      </c>
      <c r="E644" s="1">
        <v>43900</v>
      </c>
      <c r="F644">
        <v>3.76</v>
      </c>
      <c r="G644">
        <v>4</v>
      </c>
      <c r="H644">
        <v>5879.01</v>
      </c>
      <c r="I644">
        <v>5.6</v>
      </c>
    </row>
    <row r="645" spans="1:9" x14ac:dyDescent="0.3">
      <c r="A645" t="s">
        <v>660</v>
      </c>
      <c r="B645" t="s">
        <v>24</v>
      </c>
      <c r="C645" t="s">
        <v>11</v>
      </c>
      <c r="D645">
        <v>25</v>
      </c>
      <c r="E645" s="1">
        <v>40713</v>
      </c>
      <c r="F645">
        <v>3.18</v>
      </c>
      <c r="G645">
        <v>2</v>
      </c>
      <c r="H645">
        <v>8474.34</v>
      </c>
      <c r="I645">
        <v>14.4</v>
      </c>
    </row>
    <row r="646" spans="1:9" x14ac:dyDescent="0.3">
      <c r="A646" t="s">
        <v>661</v>
      </c>
      <c r="B646" t="s">
        <v>13</v>
      </c>
      <c r="C646" t="s">
        <v>11</v>
      </c>
      <c r="D646">
        <v>44</v>
      </c>
      <c r="E646" s="1">
        <v>42591</v>
      </c>
      <c r="F646">
        <v>1.85</v>
      </c>
      <c r="G646">
        <v>3</v>
      </c>
      <c r="H646">
        <v>4362.53</v>
      </c>
      <c r="I646">
        <v>9.1999999999999993</v>
      </c>
    </row>
    <row r="647" spans="1:9" x14ac:dyDescent="0.3">
      <c r="A647" t="s">
        <v>662</v>
      </c>
      <c r="B647" t="s">
        <v>16</v>
      </c>
      <c r="C647" t="s">
        <v>11</v>
      </c>
      <c r="D647">
        <v>27</v>
      </c>
      <c r="E647" s="1">
        <v>41988</v>
      </c>
      <c r="F647">
        <v>3.99</v>
      </c>
      <c r="G647">
        <v>15</v>
      </c>
      <c r="H647">
        <v>8540.25</v>
      </c>
      <c r="I647">
        <v>10.9</v>
      </c>
    </row>
    <row r="648" spans="1:9" x14ac:dyDescent="0.3">
      <c r="A648" t="s">
        <v>663</v>
      </c>
      <c r="B648" t="s">
        <v>18</v>
      </c>
      <c r="C648" t="s">
        <v>14</v>
      </c>
      <c r="D648">
        <v>39</v>
      </c>
      <c r="E648" s="1">
        <v>42593</v>
      </c>
      <c r="F648">
        <v>2.4500000000000002</v>
      </c>
      <c r="G648">
        <v>7</v>
      </c>
      <c r="H648">
        <v>9180.68</v>
      </c>
      <c r="I648">
        <v>9.1999999999999993</v>
      </c>
    </row>
    <row r="649" spans="1:9" x14ac:dyDescent="0.3">
      <c r="A649" t="s">
        <v>664</v>
      </c>
      <c r="B649" t="s">
        <v>34</v>
      </c>
      <c r="C649" t="s">
        <v>11</v>
      </c>
      <c r="D649">
        <v>56</v>
      </c>
      <c r="E649" s="1">
        <v>45038</v>
      </c>
      <c r="F649">
        <v>2.85</v>
      </c>
      <c r="G649">
        <v>9</v>
      </c>
      <c r="H649">
        <v>8792.92</v>
      </c>
      <c r="I649">
        <v>2.5</v>
      </c>
    </row>
    <row r="650" spans="1:9" x14ac:dyDescent="0.3">
      <c r="A650" t="s">
        <v>665</v>
      </c>
      <c r="B650" t="s">
        <v>18</v>
      </c>
      <c r="C650" t="s">
        <v>14</v>
      </c>
      <c r="D650">
        <v>22</v>
      </c>
      <c r="E650" s="1">
        <v>44387</v>
      </c>
      <c r="F650">
        <v>4.34</v>
      </c>
      <c r="G650">
        <v>0</v>
      </c>
      <c r="H650">
        <v>5800.68</v>
      </c>
      <c r="I650">
        <v>4.3</v>
      </c>
    </row>
    <row r="651" spans="1:9" x14ac:dyDescent="0.3">
      <c r="A651" t="s">
        <v>666</v>
      </c>
      <c r="B651" t="s">
        <v>13</v>
      </c>
      <c r="C651" t="s">
        <v>11</v>
      </c>
      <c r="D651">
        <v>60</v>
      </c>
      <c r="E651" s="1">
        <v>45606</v>
      </c>
      <c r="F651">
        <v>4.93</v>
      </c>
      <c r="G651">
        <v>6</v>
      </c>
      <c r="H651">
        <v>10524.55</v>
      </c>
      <c r="I651">
        <v>1</v>
      </c>
    </row>
    <row r="652" spans="1:9" x14ac:dyDescent="0.3">
      <c r="A652" t="s">
        <v>667</v>
      </c>
      <c r="B652" t="s">
        <v>24</v>
      </c>
      <c r="C652" t="s">
        <v>14</v>
      </c>
      <c r="D652">
        <v>50</v>
      </c>
      <c r="E652" s="1">
        <v>43308</v>
      </c>
      <c r="F652">
        <v>2.59</v>
      </c>
      <c r="G652">
        <v>4</v>
      </c>
      <c r="H652">
        <v>10753.75</v>
      </c>
      <c r="I652">
        <v>7.3</v>
      </c>
    </row>
    <row r="653" spans="1:9" x14ac:dyDescent="0.3">
      <c r="A653" t="s">
        <v>668</v>
      </c>
      <c r="B653" t="s">
        <v>24</v>
      </c>
      <c r="C653" t="s">
        <v>14</v>
      </c>
      <c r="D653">
        <v>52</v>
      </c>
      <c r="E653" s="1">
        <v>44991</v>
      </c>
      <c r="F653">
        <v>3.01</v>
      </c>
      <c r="G653">
        <v>1</v>
      </c>
      <c r="H653">
        <v>10146.75</v>
      </c>
      <c r="I653">
        <v>2.7</v>
      </c>
    </row>
    <row r="654" spans="1:9" x14ac:dyDescent="0.3">
      <c r="A654" t="s">
        <v>669</v>
      </c>
      <c r="B654" t="s">
        <v>10</v>
      </c>
      <c r="C654" t="s">
        <v>11</v>
      </c>
      <c r="D654">
        <v>44</v>
      </c>
      <c r="E654" s="1">
        <v>42917</v>
      </c>
      <c r="F654">
        <v>1.55</v>
      </c>
      <c r="G654">
        <v>3</v>
      </c>
      <c r="H654">
        <v>13146.96</v>
      </c>
      <c r="I654">
        <v>8.3000000000000007</v>
      </c>
    </row>
    <row r="655" spans="1:9" x14ac:dyDescent="0.3">
      <c r="A655" t="s">
        <v>670</v>
      </c>
      <c r="B655" t="s">
        <v>24</v>
      </c>
      <c r="C655" t="s">
        <v>11</v>
      </c>
      <c r="D655">
        <v>28</v>
      </c>
      <c r="E655" s="1">
        <v>44009</v>
      </c>
      <c r="F655">
        <v>4.05</v>
      </c>
      <c r="G655">
        <v>3</v>
      </c>
      <c r="H655">
        <v>10764.76</v>
      </c>
      <c r="I655">
        <v>5.4</v>
      </c>
    </row>
    <row r="656" spans="1:9" x14ac:dyDescent="0.3">
      <c r="A656" t="s">
        <v>671</v>
      </c>
      <c r="B656" t="s">
        <v>10</v>
      </c>
      <c r="C656" t="s">
        <v>14</v>
      </c>
      <c r="D656">
        <v>42</v>
      </c>
      <c r="E656" s="1">
        <v>41559</v>
      </c>
      <c r="F656">
        <v>4.5599999999999996</v>
      </c>
      <c r="G656">
        <v>7</v>
      </c>
      <c r="H656">
        <v>14254.6</v>
      </c>
      <c r="I656">
        <v>12.1</v>
      </c>
    </row>
    <row r="657" spans="1:9" x14ac:dyDescent="0.3">
      <c r="A657" t="s">
        <v>672</v>
      </c>
      <c r="B657" t="s">
        <v>18</v>
      </c>
      <c r="C657" t="s">
        <v>14</v>
      </c>
      <c r="D657">
        <v>24</v>
      </c>
      <c r="E657" s="1">
        <v>40877</v>
      </c>
      <c r="F657">
        <v>2.4</v>
      </c>
      <c r="G657">
        <v>2</v>
      </c>
      <c r="H657">
        <v>10962.46</v>
      </c>
      <c r="I657">
        <v>13.9</v>
      </c>
    </row>
    <row r="658" spans="1:9" x14ac:dyDescent="0.3">
      <c r="A658" t="s">
        <v>673</v>
      </c>
      <c r="B658" t="s">
        <v>18</v>
      </c>
      <c r="C658" t="s">
        <v>14</v>
      </c>
      <c r="D658">
        <v>33</v>
      </c>
      <c r="E658" s="1">
        <v>41931</v>
      </c>
      <c r="F658">
        <v>3.1</v>
      </c>
      <c r="G658">
        <v>0</v>
      </c>
      <c r="H658">
        <v>11613.16</v>
      </c>
      <c r="I658">
        <v>11</v>
      </c>
    </row>
    <row r="659" spans="1:9" x14ac:dyDescent="0.3">
      <c r="A659" t="s">
        <v>674</v>
      </c>
      <c r="B659" t="s">
        <v>24</v>
      </c>
      <c r="C659" t="s">
        <v>14</v>
      </c>
      <c r="D659">
        <v>26</v>
      </c>
      <c r="E659" s="1">
        <v>41770</v>
      </c>
      <c r="F659">
        <v>3.29</v>
      </c>
      <c r="G659">
        <v>13</v>
      </c>
      <c r="H659">
        <v>11956.07</v>
      </c>
      <c r="I659">
        <v>11.5</v>
      </c>
    </row>
    <row r="660" spans="1:9" x14ac:dyDescent="0.3">
      <c r="A660" t="s">
        <v>675</v>
      </c>
      <c r="B660" t="s">
        <v>18</v>
      </c>
      <c r="C660" t="s">
        <v>11</v>
      </c>
      <c r="D660">
        <v>43</v>
      </c>
      <c r="E660" s="1">
        <v>43032</v>
      </c>
      <c r="F660">
        <v>4.42</v>
      </c>
      <c r="G660">
        <v>4</v>
      </c>
      <c r="H660">
        <v>5816.23</v>
      </c>
      <c r="I660">
        <v>8</v>
      </c>
    </row>
    <row r="661" spans="1:9" x14ac:dyDescent="0.3">
      <c r="A661" t="s">
        <v>676</v>
      </c>
      <c r="B661" t="s">
        <v>24</v>
      </c>
      <c r="C661" t="s">
        <v>14</v>
      </c>
      <c r="D661">
        <v>37</v>
      </c>
      <c r="E661" s="1">
        <v>44573</v>
      </c>
      <c r="F661">
        <v>2.59</v>
      </c>
      <c r="G661">
        <v>11</v>
      </c>
      <c r="H661">
        <v>6595.42</v>
      </c>
      <c r="I661">
        <v>3.8</v>
      </c>
    </row>
    <row r="662" spans="1:9" x14ac:dyDescent="0.3">
      <c r="A662" t="s">
        <v>677</v>
      </c>
      <c r="B662" t="s">
        <v>13</v>
      </c>
      <c r="C662" t="s">
        <v>11</v>
      </c>
      <c r="D662">
        <v>44</v>
      </c>
      <c r="E662" s="1">
        <v>40592</v>
      </c>
      <c r="F662">
        <v>2.13</v>
      </c>
      <c r="G662">
        <v>7</v>
      </c>
      <c r="H662">
        <v>3140.3</v>
      </c>
      <c r="I662">
        <v>14.7</v>
      </c>
    </row>
    <row r="663" spans="1:9" x14ac:dyDescent="0.3">
      <c r="A663" t="s">
        <v>678</v>
      </c>
      <c r="B663" t="s">
        <v>18</v>
      </c>
      <c r="C663" t="s">
        <v>14</v>
      </c>
      <c r="D663">
        <v>52</v>
      </c>
      <c r="E663" s="1">
        <v>44209</v>
      </c>
      <c r="F663">
        <v>3.87</v>
      </c>
      <c r="G663">
        <v>15</v>
      </c>
      <c r="H663">
        <v>7197.69</v>
      </c>
      <c r="I663">
        <v>4.8</v>
      </c>
    </row>
    <row r="664" spans="1:9" x14ac:dyDescent="0.3">
      <c r="A664" t="s">
        <v>679</v>
      </c>
      <c r="B664" t="s">
        <v>18</v>
      </c>
      <c r="C664" t="s">
        <v>14</v>
      </c>
      <c r="D664">
        <v>46</v>
      </c>
      <c r="E664" s="1">
        <v>44190</v>
      </c>
      <c r="F664">
        <v>1.9</v>
      </c>
      <c r="G664">
        <v>2</v>
      </c>
      <c r="H664">
        <v>11519</v>
      </c>
      <c r="I664">
        <v>4.9000000000000004</v>
      </c>
    </row>
    <row r="665" spans="1:9" x14ac:dyDescent="0.3">
      <c r="A665" t="s">
        <v>680</v>
      </c>
      <c r="B665" t="s">
        <v>34</v>
      </c>
      <c r="C665" t="s">
        <v>14</v>
      </c>
      <c r="D665">
        <v>23</v>
      </c>
      <c r="E665" s="1">
        <v>43119</v>
      </c>
      <c r="F665">
        <v>2.94</v>
      </c>
      <c r="G665">
        <v>14</v>
      </c>
      <c r="H665">
        <v>10389.700000000001</v>
      </c>
      <c r="I665">
        <v>7.8</v>
      </c>
    </row>
    <row r="666" spans="1:9" x14ac:dyDescent="0.3">
      <c r="A666" t="s">
        <v>681</v>
      </c>
      <c r="B666" t="s">
        <v>34</v>
      </c>
      <c r="C666" t="s">
        <v>11</v>
      </c>
      <c r="D666">
        <v>48</v>
      </c>
      <c r="E666" s="1">
        <v>42197</v>
      </c>
      <c r="F666">
        <v>4.54</v>
      </c>
      <c r="G666">
        <v>14</v>
      </c>
      <c r="H666">
        <v>11901.69</v>
      </c>
      <c r="I666">
        <v>10.3</v>
      </c>
    </row>
    <row r="667" spans="1:9" x14ac:dyDescent="0.3">
      <c r="A667" t="s">
        <v>682</v>
      </c>
      <c r="B667" t="s">
        <v>13</v>
      </c>
      <c r="C667" t="s">
        <v>11</v>
      </c>
      <c r="D667">
        <v>30</v>
      </c>
      <c r="E667" s="1">
        <v>44857</v>
      </c>
      <c r="F667">
        <v>3.38</v>
      </c>
      <c r="G667">
        <v>0</v>
      </c>
      <c r="H667">
        <v>9325.17</v>
      </c>
      <c r="I667">
        <v>3</v>
      </c>
    </row>
    <row r="668" spans="1:9" x14ac:dyDescent="0.3">
      <c r="A668" t="s">
        <v>683</v>
      </c>
      <c r="B668" t="s">
        <v>18</v>
      </c>
      <c r="C668" t="s">
        <v>11</v>
      </c>
      <c r="D668">
        <v>50</v>
      </c>
      <c r="E668" s="1">
        <v>41377</v>
      </c>
      <c r="F668">
        <v>4.1500000000000004</v>
      </c>
      <c r="G668">
        <v>3</v>
      </c>
      <c r="H668">
        <v>10465.82</v>
      </c>
      <c r="I668">
        <v>12.6</v>
      </c>
    </row>
    <row r="669" spans="1:9" x14ac:dyDescent="0.3">
      <c r="A669" t="s">
        <v>684</v>
      </c>
      <c r="B669" t="s">
        <v>24</v>
      </c>
      <c r="C669" t="s">
        <v>14</v>
      </c>
      <c r="D669">
        <v>48</v>
      </c>
      <c r="E669" s="1">
        <v>41703</v>
      </c>
      <c r="F669">
        <v>2.3199999999999998</v>
      </c>
      <c r="G669">
        <v>2</v>
      </c>
      <c r="H669">
        <v>10484.67</v>
      </c>
      <c r="I669">
        <v>11.7</v>
      </c>
    </row>
    <row r="670" spans="1:9" x14ac:dyDescent="0.3">
      <c r="A670" t="s">
        <v>685</v>
      </c>
      <c r="B670" t="s">
        <v>13</v>
      </c>
      <c r="C670" t="s">
        <v>14</v>
      </c>
      <c r="D670">
        <v>39</v>
      </c>
      <c r="E670" s="1">
        <v>41882</v>
      </c>
      <c r="F670">
        <v>4.84</v>
      </c>
      <c r="G670">
        <v>13</v>
      </c>
      <c r="H670">
        <v>14934.72</v>
      </c>
      <c r="I670">
        <v>11.2</v>
      </c>
    </row>
    <row r="671" spans="1:9" x14ac:dyDescent="0.3">
      <c r="A671" t="s">
        <v>686</v>
      </c>
      <c r="B671" t="s">
        <v>18</v>
      </c>
      <c r="C671" t="s">
        <v>14</v>
      </c>
      <c r="D671">
        <v>36</v>
      </c>
      <c r="E671" s="1">
        <v>45014</v>
      </c>
      <c r="F671">
        <v>4.75</v>
      </c>
      <c r="G671">
        <v>14</v>
      </c>
      <c r="H671">
        <v>9567.24</v>
      </c>
      <c r="I671">
        <v>2.6</v>
      </c>
    </row>
    <row r="672" spans="1:9" x14ac:dyDescent="0.3">
      <c r="A672" t="s">
        <v>687</v>
      </c>
      <c r="B672" t="s">
        <v>16</v>
      </c>
      <c r="C672" t="s">
        <v>14</v>
      </c>
      <c r="D672">
        <v>45</v>
      </c>
      <c r="E672" s="1">
        <v>41183</v>
      </c>
      <c r="F672">
        <v>4.12</v>
      </c>
      <c r="G672">
        <v>4</v>
      </c>
      <c r="H672">
        <v>5321.58</v>
      </c>
      <c r="I672">
        <v>13.1</v>
      </c>
    </row>
    <row r="673" spans="1:9" x14ac:dyDescent="0.3">
      <c r="A673" t="s">
        <v>688</v>
      </c>
      <c r="B673" t="s">
        <v>18</v>
      </c>
      <c r="C673" t="s">
        <v>11</v>
      </c>
      <c r="D673">
        <v>52</v>
      </c>
      <c r="E673" s="1">
        <v>42301</v>
      </c>
      <c r="F673">
        <v>4.9000000000000004</v>
      </c>
      <c r="G673">
        <v>8</v>
      </c>
      <c r="H673">
        <v>3479.12</v>
      </c>
      <c r="I673">
        <v>10</v>
      </c>
    </row>
    <row r="674" spans="1:9" x14ac:dyDescent="0.3">
      <c r="A674" t="s">
        <v>689</v>
      </c>
      <c r="B674" t="s">
        <v>10</v>
      </c>
      <c r="C674" t="s">
        <v>11</v>
      </c>
      <c r="D674">
        <v>42</v>
      </c>
      <c r="E674" s="1">
        <v>41691</v>
      </c>
      <c r="F674">
        <v>2.95</v>
      </c>
      <c r="G674">
        <v>6</v>
      </c>
      <c r="H674">
        <v>4953.67</v>
      </c>
      <c r="I674">
        <v>11.7</v>
      </c>
    </row>
    <row r="675" spans="1:9" x14ac:dyDescent="0.3">
      <c r="A675" t="s">
        <v>690</v>
      </c>
      <c r="B675" t="s">
        <v>24</v>
      </c>
      <c r="C675" t="s">
        <v>11</v>
      </c>
      <c r="D675">
        <v>34</v>
      </c>
      <c r="E675" s="1">
        <v>43808</v>
      </c>
      <c r="F675">
        <v>4.0599999999999996</v>
      </c>
      <c r="G675">
        <v>12</v>
      </c>
      <c r="H675">
        <v>10769.68</v>
      </c>
      <c r="I675">
        <v>5.9</v>
      </c>
    </row>
    <row r="676" spans="1:9" x14ac:dyDescent="0.3">
      <c r="A676" t="s">
        <v>691</v>
      </c>
      <c r="B676" t="s">
        <v>10</v>
      </c>
      <c r="C676" t="s">
        <v>11</v>
      </c>
      <c r="D676">
        <v>35</v>
      </c>
      <c r="E676" s="1">
        <v>40234</v>
      </c>
      <c r="F676">
        <v>4.25</v>
      </c>
      <c r="G676">
        <v>4</v>
      </c>
      <c r="H676">
        <v>4393.51</v>
      </c>
      <c r="I676">
        <v>15.7</v>
      </c>
    </row>
    <row r="677" spans="1:9" x14ac:dyDescent="0.3">
      <c r="A677" t="s">
        <v>692</v>
      </c>
      <c r="B677" t="s">
        <v>10</v>
      </c>
      <c r="C677" t="s">
        <v>14</v>
      </c>
      <c r="D677">
        <v>30</v>
      </c>
      <c r="E677" s="1">
        <v>41969</v>
      </c>
      <c r="F677">
        <v>2.95</v>
      </c>
      <c r="G677">
        <v>15</v>
      </c>
      <c r="H677">
        <v>14830.45</v>
      </c>
      <c r="I677">
        <v>10.9</v>
      </c>
    </row>
    <row r="678" spans="1:9" x14ac:dyDescent="0.3">
      <c r="A678" t="s">
        <v>693</v>
      </c>
      <c r="B678" t="s">
        <v>16</v>
      </c>
      <c r="C678" t="s">
        <v>14</v>
      </c>
      <c r="D678">
        <v>40</v>
      </c>
      <c r="E678" s="1">
        <v>45812</v>
      </c>
      <c r="F678">
        <v>2.36</v>
      </c>
      <c r="G678">
        <v>2</v>
      </c>
      <c r="H678">
        <v>4955.17</v>
      </c>
      <c r="I678">
        <v>0.4</v>
      </c>
    </row>
    <row r="679" spans="1:9" x14ac:dyDescent="0.3">
      <c r="A679" t="s">
        <v>694</v>
      </c>
      <c r="B679" t="s">
        <v>24</v>
      </c>
      <c r="C679" t="s">
        <v>11</v>
      </c>
      <c r="D679">
        <v>53</v>
      </c>
      <c r="E679" s="1">
        <v>42340</v>
      </c>
      <c r="F679">
        <v>1.69</v>
      </c>
      <c r="G679">
        <v>14</v>
      </c>
      <c r="H679">
        <v>7085.36</v>
      </c>
      <c r="I679">
        <v>9.9</v>
      </c>
    </row>
    <row r="680" spans="1:9" x14ac:dyDescent="0.3">
      <c r="A680" t="s">
        <v>695</v>
      </c>
      <c r="B680" t="s">
        <v>24</v>
      </c>
      <c r="C680" t="s">
        <v>11</v>
      </c>
      <c r="D680">
        <v>56</v>
      </c>
      <c r="E680" s="1">
        <v>40500</v>
      </c>
      <c r="F680">
        <v>4.72</v>
      </c>
      <c r="G680">
        <v>13</v>
      </c>
      <c r="H680">
        <v>12739.28</v>
      </c>
      <c r="I680">
        <v>15</v>
      </c>
    </row>
    <row r="681" spans="1:9" x14ac:dyDescent="0.3">
      <c r="A681" t="s">
        <v>696</v>
      </c>
      <c r="B681" t="s">
        <v>10</v>
      </c>
      <c r="C681" t="s">
        <v>11</v>
      </c>
      <c r="D681">
        <v>39</v>
      </c>
      <c r="E681" s="1">
        <v>44926</v>
      </c>
      <c r="F681">
        <v>1.57</v>
      </c>
      <c r="G681">
        <v>13</v>
      </c>
      <c r="H681">
        <v>9667.5400000000009</v>
      </c>
      <c r="I681">
        <v>2.8</v>
      </c>
    </row>
    <row r="682" spans="1:9" x14ac:dyDescent="0.3">
      <c r="A682" t="s">
        <v>697</v>
      </c>
      <c r="B682" t="s">
        <v>18</v>
      </c>
      <c r="C682" t="s">
        <v>11</v>
      </c>
      <c r="D682">
        <v>47</v>
      </c>
      <c r="E682" s="1">
        <v>43508</v>
      </c>
      <c r="F682">
        <v>4.9400000000000004</v>
      </c>
      <c r="G682">
        <v>11</v>
      </c>
      <c r="H682">
        <v>3697.36</v>
      </c>
      <c r="I682">
        <v>6.7</v>
      </c>
    </row>
    <row r="683" spans="1:9" x14ac:dyDescent="0.3">
      <c r="A683" t="s">
        <v>698</v>
      </c>
      <c r="B683" t="s">
        <v>18</v>
      </c>
      <c r="C683" t="s">
        <v>11</v>
      </c>
      <c r="D683">
        <v>53</v>
      </c>
      <c r="E683" s="1">
        <v>42312</v>
      </c>
      <c r="F683">
        <v>4.03</v>
      </c>
      <c r="G683">
        <v>11</v>
      </c>
      <c r="H683">
        <v>11132.04</v>
      </c>
      <c r="I683">
        <v>10</v>
      </c>
    </row>
    <row r="684" spans="1:9" x14ac:dyDescent="0.3">
      <c r="A684" t="s">
        <v>699</v>
      </c>
      <c r="B684" t="s">
        <v>34</v>
      </c>
      <c r="C684" t="s">
        <v>14</v>
      </c>
      <c r="D684">
        <v>39</v>
      </c>
      <c r="E684" s="1">
        <v>43032</v>
      </c>
      <c r="F684">
        <v>2.36</v>
      </c>
      <c r="G684">
        <v>1</v>
      </c>
      <c r="H684">
        <v>13416.84</v>
      </c>
      <c r="I684">
        <v>8</v>
      </c>
    </row>
    <row r="685" spans="1:9" x14ac:dyDescent="0.3">
      <c r="A685" t="s">
        <v>700</v>
      </c>
      <c r="B685" t="s">
        <v>16</v>
      </c>
      <c r="C685" t="s">
        <v>11</v>
      </c>
      <c r="D685">
        <v>30</v>
      </c>
      <c r="E685" s="1">
        <v>40598</v>
      </c>
      <c r="F685">
        <v>4.7699999999999996</v>
      </c>
      <c r="G685">
        <v>0</v>
      </c>
      <c r="H685">
        <v>7270.83</v>
      </c>
      <c r="I685">
        <v>14.7</v>
      </c>
    </row>
    <row r="686" spans="1:9" x14ac:dyDescent="0.3">
      <c r="A686" t="s">
        <v>701</v>
      </c>
      <c r="B686" t="s">
        <v>34</v>
      </c>
      <c r="C686" t="s">
        <v>11</v>
      </c>
      <c r="D686">
        <v>54</v>
      </c>
      <c r="E686" s="1">
        <v>45808</v>
      </c>
      <c r="F686">
        <v>3.61</v>
      </c>
      <c r="G686">
        <v>7</v>
      </c>
      <c r="H686">
        <v>9763.59</v>
      </c>
      <c r="I686">
        <v>0.4</v>
      </c>
    </row>
    <row r="687" spans="1:9" x14ac:dyDescent="0.3">
      <c r="A687" t="s">
        <v>702</v>
      </c>
      <c r="B687" t="s">
        <v>10</v>
      </c>
      <c r="C687" t="s">
        <v>14</v>
      </c>
      <c r="D687">
        <v>55</v>
      </c>
      <c r="E687" s="1">
        <v>44373</v>
      </c>
      <c r="F687">
        <v>4.68</v>
      </c>
      <c r="G687">
        <v>4</v>
      </c>
      <c r="H687">
        <v>12063.61</v>
      </c>
      <c r="I687">
        <v>4.4000000000000004</v>
      </c>
    </row>
    <row r="688" spans="1:9" x14ac:dyDescent="0.3">
      <c r="A688" t="s">
        <v>703</v>
      </c>
      <c r="B688" t="s">
        <v>18</v>
      </c>
      <c r="C688" t="s">
        <v>14</v>
      </c>
      <c r="D688">
        <v>47</v>
      </c>
      <c r="E688" s="1">
        <v>45721</v>
      </c>
      <c r="F688">
        <v>3.67</v>
      </c>
      <c r="G688">
        <v>1</v>
      </c>
      <c r="H688">
        <v>12523.51</v>
      </c>
      <c r="I688">
        <v>0.7</v>
      </c>
    </row>
    <row r="689" spans="1:9" x14ac:dyDescent="0.3">
      <c r="A689" t="s">
        <v>704</v>
      </c>
      <c r="B689" t="s">
        <v>34</v>
      </c>
      <c r="C689" t="s">
        <v>11</v>
      </c>
      <c r="D689">
        <v>43</v>
      </c>
      <c r="E689" s="1">
        <v>44322</v>
      </c>
      <c r="F689">
        <v>2.4900000000000002</v>
      </c>
      <c r="G689">
        <v>11</v>
      </c>
      <c r="H689">
        <v>13977.18</v>
      </c>
      <c r="I689">
        <v>4.5</v>
      </c>
    </row>
    <row r="690" spans="1:9" x14ac:dyDescent="0.3">
      <c r="A690" t="s">
        <v>705</v>
      </c>
      <c r="B690" t="s">
        <v>18</v>
      </c>
      <c r="C690" t="s">
        <v>14</v>
      </c>
      <c r="D690">
        <v>35</v>
      </c>
      <c r="E690" s="1">
        <v>41827</v>
      </c>
      <c r="F690">
        <v>3.41</v>
      </c>
      <c r="G690">
        <v>12</v>
      </c>
      <c r="H690">
        <v>6800.48</v>
      </c>
      <c r="I690">
        <v>11.3</v>
      </c>
    </row>
    <row r="691" spans="1:9" x14ac:dyDescent="0.3">
      <c r="A691" t="s">
        <v>706</v>
      </c>
      <c r="B691" t="s">
        <v>16</v>
      </c>
      <c r="C691" t="s">
        <v>11</v>
      </c>
      <c r="D691">
        <v>56</v>
      </c>
      <c r="E691" s="1">
        <v>44354</v>
      </c>
      <c r="F691">
        <v>1.5</v>
      </c>
      <c r="G691">
        <v>4</v>
      </c>
      <c r="H691">
        <v>4853.84</v>
      </c>
      <c r="I691">
        <v>4.4000000000000004</v>
      </c>
    </row>
    <row r="692" spans="1:9" x14ac:dyDescent="0.3">
      <c r="A692" t="s">
        <v>707</v>
      </c>
      <c r="B692" t="s">
        <v>34</v>
      </c>
      <c r="C692" t="s">
        <v>14</v>
      </c>
      <c r="D692">
        <v>48</v>
      </c>
      <c r="E692" s="1">
        <v>42013</v>
      </c>
      <c r="F692">
        <v>3.03</v>
      </c>
      <c r="G692">
        <v>5</v>
      </c>
      <c r="H692">
        <v>12899.68</v>
      </c>
      <c r="I692">
        <v>10.8</v>
      </c>
    </row>
    <row r="693" spans="1:9" x14ac:dyDescent="0.3">
      <c r="A693" t="s">
        <v>708</v>
      </c>
      <c r="B693" t="s">
        <v>13</v>
      </c>
      <c r="C693" t="s">
        <v>14</v>
      </c>
      <c r="D693">
        <v>23</v>
      </c>
      <c r="E693" s="1">
        <v>44821</v>
      </c>
      <c r="F693">
        <v>4.0199999999999996</v>
      </c>
      <c r="G693">
        <v>0</v>
      </c>
      <c r="H693">
        <v>8803.57</v>
      </c>
      <c r="I693">
        <v>3.1</v>
      </c>
    </row>
    <row r="694" spans="1:9" x14ac:dyDescent="0.3">
      <c r="A694" t="s">
        <v>709</v>
      </c>
      <c r="B694" t="s">
        <v>10</v>
      </c>
      <c r="C694" t="s">
        <v>11</v>
      </c>
      <c r="D694">
        <v>60</v>
      </c>
      <c r="E694" s="1">
        <v>40452</v>
      </c>
      <c r="F694">
        <v>2.4300000000000002</v>
      </c>
      <c r="G694">
        <v>6</v>
      </c>
      <c r="H694">
        <v>10207.469999999999</v>
      </c>
      <c r="I694">
        <v>15.1</v>
      </c>
    </row>
    <row r="695" spans="1:9" x14ac:dyDescent="0.3">
      <c r="A695" t="s">
        <v>710</v>
      </c>
      <c r="B695" t="s">
        <v>34</v>
      </c>
      <c r="C695" t="s">
        <v>14</v>
      </c>
      <c r="D695">
        <v>34</v>
      </c>
      <c r="E695" s="1">
        <v>45945</v>
      </c>
      <c r="F695">
        <v>2.23</v>
      </c>
      <c r="G695">
        <v>5</v>
      </c>
      <c r="H695">
        <v>3751.49</v>
      </c>
      <c r="I695">
        <v>0</v>
      </c>
    </row>
    <row r="696" spans="1:9" x14ac:dyDescent="0.3">
      <c r="A696" t="s">
        <v>711</v>
      </c>
      <c r="B696" t="s">
        <v>10</v>
      </c>
      <c r="C696" t="s">
        <v>11</v>
      </c>
      <c r="D696">
        <v>38</v>
      </c>
      <c r="E696" s="1">
        <v>45302</v>
      </c>
      <c r="F696">
        <v>3.31</v>
      </c>
      <c r="G696">
        <v>13</v>
      </c>
      <c r="H696">
        <v>3720.69</v>
      </c>
      <c r="I696">
        <v>1.8</v>
      </c>
    </row>
    <row r="697" spans="1:9" x14ac:dyDescent="0.3">
      <c r="A697" t="s">
        <v>712</v>
      </c>
      <c r="B697" t="s">
        <v>18</v>
      </c>
      <c r="C697" t="s">
        <v>11</v>
      </c>
      <c r="D697">
        <v>33</v>
      </c>
      <c r="E697" s="1">
        <v>45906</v>
      </c>
      <c r="F697">
        <v>2.29</v>
      </c>
      <c r="G697">
        <v>9</v>
      </c>
      <c r="H697">
        <v>5283.68</v>
      </c>
      <c r="I697">
        <v>0.2</v>
      </c>
    </row>
    <row r="698" spans="1:9" x14ac:dyDescent="0.3">
      <c r="A698" t="s">
        <v>713</v>
      </c>
      <c r="B698" t="s">
        <v>34</v>
      </c>
      <c r="C698" t="s">
        <v>11</v>
      </c>
      <c r="D698">
        <v>24</v>
      </c>
      <c r="E698" s="1">
        <v>43317</v>
      </c>
      <c r="F698">
        <v>3.48</v>
      </c>
      <c r="G698">
        <v>14</v>
      </c>
      <c r="H698">
        <v>7382.87</v>
      </c>
      <c r="I698">
        <v>7.2</v>
      </c>
    </row>
    <row r="699" spans="1:9" x14ac:dyDescent="0.3">
      <c r="A699" t="s">
        <v>714</v>
      </c>
      <c r="B699" t="s">
        <v>16</v>
      </c>
      <c r="C699" t="s">
        <v>11</v>
      </c>
      <c r="D699">
        <v>34</v>
      </c>
      <c r="E699" s="1">
        <v>45615</v>
      </c>
      <c r="F699">
        <v>3.29</v>
      </c>
      <c r="G699">
        <v>12</v>
      </c>
      <c r="H699">
        <v>12678.44</v>
      </c>
      <c r="I699">
        <v>1</v>
      </c>
    </row>
    <row r="700" spans="1:9" x14ac:dyDescent="0.3">
      <c r="A700" t="s">
        <v>715</v>
      </c>
      <c r="B700" t="s">
        <v>24</v>
      </c>
      <c r="C700" t="s">
        <v>14</v>
      </c>
      <c r="D700">
        <v>28</v>
      </c>
      <c r="E700" s="1">
        <v>43292</v>
      </c>
      <c r="F700">
        <v>4.4800000000000004</v>
      </c>
      <c r="G700">
        <v>5</v>
      </c>
      <c r="H700">
        <v>9412.19</v>
      </c>
      <c r="I700">
        <v>7.3</v>
      </c>
    </row>
    <row r="701" spans="1:9" x14ac:dyDescent="0.3">
      <c r="A701" t="s">
        <v>716</v>
      </c>
      <c r="B701" t="s">
        <v>13</v>
      </c>
      <c r="C701" t="s">
        <v>14</v>
      </c>
      <c r="D701">
        <v>49</v>
      </c>
      <c r="E701" s="1">
        <v>44628</v>
      </c>
      <c r="F701">
        <v>3.4</v>
      </c>
      <c r="G701">
        <v>3</v>
      </c>
      <c r="H701">
        <v>5977.15</v>
      </c>
      <c r="I701">
        <v>3.7</v>
      </c>
    </row>
    <row r="702" spans="1:9" x14ac:dyDescent="0.3">
      <c r="A702" t="s">
        <v>717</v>
      </c>
      <c r="B702" t="s">
        <v>10</v>
      </c>
      <c r="C702" t="s">
        <v>14</v>
      </c>
      <c r="D702">
        <v>48</v>
      </c>
      <c r="E702" s="1">
        <v>41392</v>
      </c>
      <c r="F702">
        <v>4.08</v>
      </c>
      <c r="G702">
        <v>2</v>
      </c>
      <c r="H702">
        <v>5526.9</v>
      </c>
      <c r="I702">
        <v>12.5</v>
      </c>
    </row>
    <row r="703" spans="1:9" x14ac:dyDescent="0.3">
      <c r="A703" t="s">
        <v>718</v>
      </c>
      <c r="B703" t="s">
        <v>10</v>
      </c>
      <c r="C703" t="s">
        <v>11</v>
      </c>
      <c r="D703">
        <v>51</v>
      </c>
      <c r="E703" s="1">
        <v>41293</v>
      </c>
      <c r="F703">
        <v>4.6100000000000003</v>
      </c>
      <c r="G703">
        <v>12</v>
      </c>
      <c r="H703">
        <v>7171.09</v>
      </c>
      <c r="I703">
        <v>12.8</v>
      </c>
    </row>
    <row r="704" spans="1:9" x14ac:dyDescent="0.3">
      <c r="A704" t="s">
        <v>719</v>
      </c>
      <c r="B704" t="s">
        <v>13</v>
      </c>
      <c r="C704" t="s">
        <v>14</v>
      </c>
      <c r="D704">
        <v>59</v>
      </c>
      <c r="E704" s="1">
        <v>44698</v>
      </c>
      <c r="F704">
        <v>4.04</v>
      </c>
      <c r="G704">
        <v>11</v>
      </c>
      <c r="H704">
        <v>10823.15</v>
      </c>
      <c r="I704">
        <v>3.5</v>
      </c>
    </row>
    <row r="705" spans="1:9" x14ac:dyDescent="0.3">
      <c r="A705" t="s">
        <v>720</v>
      </c>
      <c r="B705" t="s">
        <v>16</v>
      </c>
      <c r="C705" t="s">
        <v>11</v>
      </c>
      <c r="D705">
        <v>25</v>
      </c>
      <c r="E705" s="1">
        <v>45454</v>
      </c>
      <c r="F705">
        <v>3.88</v>
      </c>
      <c r="G705">
        <v>3</v>
      </c>
      <c r="H705">
        <v>6454.46</v>
      </c>
      <c r="I705">
        <v>1.4</v>
      </c>
    </row>
    <row r="706" spans="1:9" x14ac:dyDescent="0.3">
      <c r="A706" t="s">
        <v>721</v>
      </c>
      <c r="B706" t="s">
        <v>34</v>
      </c>
      <c r="C706" t="s">
        <v>14</v>
      </c>
      <c r="D706">
        <v>51</v>
      </c>
      <c r="E706" s="1">
        <v>41007</v>
      </c>
      <c r="F706">
        <v>3.33</v>
      </c>
      <c r="G706">
        <v>7</v>
      </c>
      <c r="H706">
        <v>4641.17</v>
      </c>
      <c r="I706">
        <v>13.6</v>
      </c>
    </row>
    <row r="707" spans="1:9" x14ac:dyDescent="0.3">
      <c r="A707" t="s">
        <v>722</v>
      </c>
      <c r="B707" t="s">
        <v>13</v>
      </c>
      <c r="C707" t="s">
        <v>14</v>
      </c>
      <c r="D707">
        <v>40</v>
      </c>
      <c r="E707" s="1">
        <v>42033</v>
      </c>
      <c r="F707">
        <v>4.74</v>
      </c>
      <c r="G707">
        <v>15</v>
      </c>
      <c r="H707">
        <v>10516.89</v>
      </c>
      <c r="I707">
        <v>10.8</v>
      </c>
    </row>
    <row r="708" spans="1:9" x14ac:dyDescent="0.3">
      <c r="A708" t="s">
        <v>723</v>
      </c>
      <c r="B708" t="s">
        <v>13</v>
      </c>
      <c r="C708" t="s">
        <v>11</v>
      </c>
      <c r="D708">
        <v>49</v>
      </c>
      <c r="E708" s="1">
        <v>41233</v>
      </c>
      <c r="F708">
        <v>3.22</v>
      </c>
      <c r="G708">
        <v>8</v>
      </c>
      <c r="H708">
        <v>6629.84</v>
      </c>
      <c r="I708">
        <v>13</v>
      </c>
    </row>
    <row r="709" spans="1:9" x14ac:dyDescent="0.3">
      <c r="A709" t="s">
        <v>724</v>
      </c>
      <c r="B709" t="s">
        <v>13</v>
      </c>
      <c r="C709" t="s">
        <v>11</v>
      </c>
      <c r="D709">
        <v>22</v>
      </c>
      <c r="E709" s="1">
        <v>42296</v>
      </c>
      <c r="F709">
        <v>3.57</v>
      </c>
      <c r="G709">
        <v>1</v>
      </c>
      <c r="H709">
        <v>12775.51</v>
      </c>
      <c r="I709">
        <v>10</v>
      </c>
    </row>
    <row r="710" spans="1:9" x14ac:dyDescent="0.3">
      <c r="A710" t="s">
        <v>725</v>
      </c>
      <c r="B710" t="s">
        <v>13</v>
      </c>
      <c r="C710" t="s">
        <v>14</v>
      </c>
      <c r="D710">
        <v>53</v>
      </c>
      <c r="E710" s="1">
        <v>44015</v>
      </c>
      <c r="F710">
        <v>1.58</v>
      </c>
      <c r="G710">
        <v>15</v>
      </c>
      <c r="H710">
        <v>8964.0400000000009</v>
      </c>
      <c r="I710">
        <v>5.3</v>
      </c>
    </row>
    <row r="711" spans="1:9" x14ac:dyDescent="0.3">
      <c r="A711" t="s">
        <v>726</v>
      </c>
      <c r="B711" t="s">
        <v>34</v>
      </c>
      <c r="C711" t="s">
        <v>11</v>
      </c>
      <c r="D711">
        <v>50</v>
      </c>
      <c r="E711" s="1">
        <v>42237</v>
      </c>
      <c r="F711">
        <v>4.66</v>
      </c>
      <c r="G711">
        <v>3</v>
      </c>
      <c r="H711">
        <v>13658.06</v>
      </c>
      <c r="I711">
        <v>10.199999999999999</v>
      </c>
    </row>
    <row r="712" spans="1:9" x14ac:dyDescent="0.3">
      <c r="A712" t="s">
        <v>727</v>
      </c>
      <c r="B712" t="s">
        <v>34</v>
      </c>
      <c r="C712" t="s">
        <v>11</v>
      </c>
      <c r="D712">
        <v>27</v>
      </c>
      <c r="E712" s="1">
        <v>42977</v>
      </c>
      <c r="F712">
        <v>3.63</v>
      </c>
      <c r="G712">
        <v>11</v>
      </c>
      <c r="H712">
        <v>5339.39</v>
      </c>
      <c r="I712">
        <v>8.1999999999999993</v>
      </c>
    </row>
    <row r="713" spans="1:9" x14ac:dyDescent="0.3">
      <c r="A713" t="s">
        <v>728</v>
      </c>
      <c r="B713" t="s">
        <v>24</v>
      </c>
      <c r="C713" t="s">
        <v>14</v>
      </c>
      <c r="D713">
        <v>60</v>
      </c>
      <c r="E713" s="1">
        <v>42382</v>
      </c>
      <c r="F713">
        <v>3.24</v>
      </c>
      <c r="G713">
        <v>15</v>
      </c>
      <c r="H713">
        <v>7478.39</v>
      </c>
      <c r="I713">
        <v>9.8000000000000007</v>
      </c>
    </row>
    <row r="714" spans="1:9" x14ac:dyDescent="0.3">
      <c r="A714" t="s">
        <v>729</v>
      </c>
      <c r="B714" t="s">
        <v>13</v>
      </c>
      <c r="C714" t="s">
        <v>14</v>
      </c>
      <c r="D714">
        <v>26</v>
      </c>
      <c r="E714" s="1">
        <v>41679</v>
      </c>
      <c r="F714">
        <v>4.8</v>
      </c>
      <c r="G714">
        <v>0</v>
      </c>
      <c r="H714">
        <v>4461.3599999999997</v>
      </c>
      <c r="I714">
        <v>11.7</v>
      </c>
    </row>
    <row r="715" spans="1:9" x14ac:dyDescent="0.3">
      <c r="A715" t="s">
        <v>730</v>
      </c>
      <c r="B715" t="s">
        <v>24</v>
      </c>
      <c r="C715" t="s">
        <v>14</v>
      </c>
      <c r="D715">
        <v>34</v>
      </c>
      <c r="E715" s="1">
        <v>41608</v>
      </c>
      <c r="F715">
        <v>2.64</v>
      </c>
      <c r="G715">
        <v>11</v>
      </c>
      <c r="H715">
        <v>10857.79</v>
      </c>
      <c r="I715">
        <v>11.9</v>
      </c>
    </row>
    <row r="716" spans="1:9" x14ac:dyDescent="0.3">
      <c r="A716" t="s">
        <v>731</v>
      </c>
      <c r="B716" t="s">
        <v>24</v>
      </c>
      <c r="C716" t="s">
        <v>11</v>
      </c>
      <c r="D716">
        <v>38</v>
      </c>
      <c r="E716" s="1">
        <v>44571</v>
      </c>
      <c r="F716">
        <v>3.27</v>
      </c>
      <c r="G716">
        <v>1</v>
      </c>
      <c r="H716">
        <v>13110.49</v>
      </c>
      <c r="I716">
        <v>3.8</v>
      </c>
    </row>
    <row r="717" spans="1:9" x14ac:dyDescent="0.3">
      <c r="A717" t="s">
        <v>732</v>
      </c>
      <c r="B717" t="s">
        <v>34</v>
      </c>
      <c r="C717" t="s">
        <v>14</v>
      </c>
      <c r="D717">
        <v>51</v>
      </c>
      <c r="E717" s="1">
        <v>43649</v>
      </c>
      <c r="F717">
        <v>3.11</v>
      </c>
      <c r="G717">
        <v>15</v>
      </c>
      <c r="H717">
        <v>13366.34</v>
      </c>
      <c r="I717">
        <v>6.3</v>
      </c>
    </row>
    <row r="718" spans="1:9" x14ac:dyDescent="0.3">
      <c r="A718" t="s">
        <v>733</v>
      </c>
      <c r="B718" t="s">
        <v>10</v>
      </c>
      <c r="C718" t="s">
        <v>14</v>
      </c>
      <c r="D718">
        <v>43</v>
      </c>
      <c r="E718" s="1">
        <v>42562</v>
      </c>
      <c r="F718">
        <v>1.93</v>
      </c>
      <c r="G718">
        <v>0</v>
      </c>
      <c r="H718">
        <v>4287.59</v>
      </c>
      <c r="I718">
        <v>9.3000000000000007</v>
      </c>
    </row>
    <row r="719" spans="1:9" x14ac:dyDescent="0.3">
      <c r="A719" t="s">
        <v>734</v>
      </c>
      <c r="B719" t="s">
        <v>24</v>
      </c>
      <c r="C719" t="s">
        <v>14</v>
      </c>
      <c r="D719">
        <v>26</v>
      </c>
      <c r="E719" s="1">
        <v>40818</v>
      </c>
      <c r="F719">
        <v>3.16</v>
      </c>
      <c r="G719">
        <v>6</v>
      </c>
      <c r="H719">
        <v>14014.17</v>
      </c>
      <c r="I719">
        <v>14.1</v>
      </c>
    </row>
    <row r="720" spans="1:9" x14ac:dyDescent="0.3">
      <c r="A720" t="s">
        <v>735</v>
      </c>
      <c r="B720" t="s">
        <v>13</v>
      </c>
      <c r="C720" t="s">
        <v>14</v>
      </c>
      <c r="D720">
        <v>41</v>
      </c>
      <c r="E720" s="1">
        <v>44787</v>
      </c>
      <c r="F720">
        <v>2.73</v>
      </c>
      <c r="G720">
        <v>14</v>
      </c>
      <c r="H720">
        <v>12248.26</v>
      </c>
      <c r="I720">
        <v>3.2</v>
      </c>
    </row>
    <row r="721" spans="1:9" x14ac:dyDescent="0.3">
      <c r="A721" t="s">
        <v>736</v>
      </c>
      <c r="B721" t="s">
        <v>16</v>
      </c>
      <c r="C721" t="s">
        <v>11</v>
      </c>
      <c r="D721">
        <v>58</v>
      </c>
      <c r="E721" s="1">
        <v>42773</v>
      </c>
      <c r="F721">
        <v>4.1100000000000003</v>
      </c>
      <c r="G721">
        <v>6</v>
      </c>
      <c r="H721">
        <v>13584.66</v>
      </c>
      <c r="I721">
        <v>8.6999999999999993</v>
      </c>
    </row>
    <row r="722" spans="1:9" x14ac:dyDescent="0.3">
      <c r="A722" t="s">
        <v>737</v>
      </c>
      <c r="B722" t="s">
        <v>24</v>
      </c>
      <c r="C722" t="s">
        <v>14</v>
      </c>
      <c r="D722">
        <v>22</v>
      </c>
      <c r="E722" s="1">
        <v>44924</v>
      </c>
      <c r="F722">
        <v>4.3600000000000003</v>
      </c>
      <c r="G722">
        <v>14</v>
      </c>
      <c r="H722">
        <v>6419.51</v>
      </c>
      <c r="I722">
        <v>2.8</v>
      </c>
    </row>
    <row r="723" spans="1:9" x14ac:dyDescent="0.3">
      <c r="A723" t="s">
        <v>738</v>
      </c>
      <c r="B723" t="s">
        <v>16</v>
      </c>
      <c r="C723" t="s">
        <v>14</v>
      </c>
      <c r="D723">
        <v>40</v>
      </c>
      <c r="E723" s="1">
        <v>43159</v>
      </c>
      <c r="F723">
        <v>4.49</v>
      </c>
      <c r="G723">
        <v>13</v>
      </c>
      <c r="H723">
        <v>11561.91</v>
      </c>
      <c r="I723">
        <v>7.7</v>
      </c>
    </row>
    <row r="724" spans="1:9" x14ac:dyDescent="0.3">
      <c r="A724" t="s">
        <v>739</v>
      </c>
      <c r="B724" t="s">
        <v>10</v>
      </c>
      <c r="C724" t="s">
        <v>14</v>
      </c>
      <c r="D724">
        <v>31</v>
      </c>
      <c r="E724" s="1">
        <v>40530</v>
      </c>
      <c r="F724">
        <v>3.03</v>
      </c>
      <c r="G724">
        <v>6</v>
      </c>
      <c r="H724">
        <v>8268.51</v>
      </c>
      <c r="I724">
        <v>14.9</v>
      </c>
    </row>
    <row r="725" spans="1:9" x14ac:dyDescent="0.3">
      <c r="A725" t="s">
        <v>740</v>
      </c>
      <c r="B725" t="s">
        <v>18</v>
      </c>
      <c r="C725" t="s">
        <v>14</v>
      </c>
      <c r="D725">
        <v>50</v>
      </c>
      <c r="E725" s="1">
        <v>44742</v>
      </c>
      <c r="F725">
        <v>4.9400000000000004</v>
      </c>
      <c r="G725">
        <v>15</v>
      </c>
      <c r="H725">
        <v>8119.56</v>
      </c>
      <c r="I725">
        <v>3.3</v>
      </c>
    </row>
    <row r="726" spans="1:9" x14ac:dyDescent="0.3">
      <c r="A726" t="s">
        <v>741</v>
      </c>
      <c r="B726" t="s">
        <v>10</v>
      </c>
      <c r="C726" t="s">
        <v>14</v>
      </c>
      <c r="D726">
        <v>39</v>
      </c>
      <c r="E726" s="1">
        <v>43918</v>
      </c>
      <c r="F726">
        <v>4.46</v>
      </c>
      <c r="G726">
        <v>13</v>
      </c>
      <c r="H726">
        <v>6660.39</v>
      </c>
      <c r="I726">
        <v>5.6</v>
      </c>
    </row>
    <row r="727" spans="1:9" x14ac:dyDescent="0.3">
      <c r="A727" t="s">
        <v>742</v>
      </c>
      <c r="B727" t="s">
        <v>24</v>
      </c>
      <c r="C727" t="s">
        <v>11</v>
      </c>
      <c r="D727">
        <v>38</v>
      </c>
      <c r="E727" s="1">
        <v>40473</v>
      </c>
      <c r="F727">
        <v>4.32</v>
      </c>
      <c r="G727">
        <v>14</v>
      </c>
      <c r="H727">
        <v>13058.93</v>
      </c>
      <c r="I727">
        <v>15</v>
      </c>
    </row>
    <row r="728" spans="1:9" x14ac:dyDescent="0.3">
      <c r="A728" t="s">
        <v>743</v>
      </c>
      <c r="B728" t="s">
        <v>18</v>
      </c>
      <c r="C728" t="s">
        <v>11</v>
      </c>
      <c r="D728">
        <v>56</v>
      </c>
      <c r="E728" s="1">
        <v>45442</v>
      </c>
      <c r="F728">
        <v>1.69</v>
      </c>
      <c r="G728">
        <v>6</v>
      </c>
      <c r="H728">
        <v>3267.93</v>
      </c>
      <c r="I728">
        <v>1.4</v>
      </c>
    </row>
    <row r="729" spans="1:9" x14ac:dyDescent="0.3">
      <c r="A729" t="s">
        <v>744</v>
      </c>
      <c r="B729" t="s">
        <v>16</v>
      </c>
      <c r="C729" t="s">
        <v>14</v>
      </c>
      <c r="D729">
        <v>27</v>
      </c>
      <c r="E729" s="1">
        <v>45821</v>
      </c>
      <c r="F729">
        <v>3.65</v>
      </c>
      <c r="G729">
        <v>6</v>
      </c>
      <c r="H729">
        <v>6226.08</v>
      </c>
      <c r="I729">
        <v>0.4</v>
      </c>
    </row>
    <row r="730" spans="1:9" x14ac:dyDescent="0.3">
      <c r="A730" t="s">
        <v>745</v>
      </c>
      <c r="B730" t="s">
        <v>10</v>
      </c>
      <c r="C730" t="s">
        <v>14</v>
      </c>
      <c r="D730">
        <v>53</v>
      </c>
      <c r="E730" s="1">
        <v>40820</v>
      </c>
      <c r="F730">
        <v>3.5</v>
      </c>
      <c r="G730">
        <v>1</v>
      </c>
      <c r="H730">
        <v>11773.81</v>
      </c>
      <c r="I730">
        <v>14.1</v>
      </c>
    </row>
    <row r="731" spans="1:9" x14ac:dyDescent="0.3">
      <c r="A731" t="s">
        <v>746</v>
      </c>
      <c r="B731" t="s">
        <v>10</v>
      </c>
      <c r="C731" t="s">
        <v>11</v>
      </c>
      <c r="D731">
        <v>56</v>
      </c>
      <c r="E731" s="1">
        <v>42209</v>
      </c>
      <c r="F731">
        <v>2.4700000000000002</v>
      </c>
      <c r="G731">
        <v>13</v>
      </c>
      <c r="H731">
        <v>10394.16</v>
      </c>
      <c r="I731">
        <v>10.3</v>
      </c>
    </row>
    <row r="732" spans="1:9" x14ac:dyDescent="0.3">
      <c r="A732" t="s">
        <v>747</v>
      </c>
      <c r="B732" t="s">
        <v>10</v>
      </c>
      <c r="C732" t="s">
        <v>14</v>
      </c>
      <c r="D732">
        <v>25</v>
      </c>
      <c r="E732" s="1">
        <v>44410</v>
      </c>
      <c r="F732">
        <v>4.37</v>
      </c>
      <c r="G732">
        <v>4</v>
      </c>
      <c r="H732">
        <v>10887.11</v>
      </c>
      <c r="I732">
        <v>4.3</v>
      </c>
    </row>
    <row r="733" spans="1:9" x14ac:dyDescent="0.3">
      <c r="A733" t="s">
        <v>748</v>
      </c>
      <c r="B733" t="s">
        <v>24</v>
      </c>
      <c r="C733" t="s">
        <v>14</v>
      </c>
      <c r="D733">
        <v>45</v>
      </c>
      <c r="E733" s="1">
        <v>40934</v>
      </c>
      <c r="F733">
        <v>1.55</v>
      </c>
      <c r="G733">
        <v>4</v>
      </c>
      <c r="H733">
        <v>13520.89</v>
      </c>
      <c r="I733">
        <v>13.8</v>
      </c>
    </row>
    <row r="734" spans="1:9" x14ac:dyDescent="0.3">
      <c r="A734" t="s">
        <v>749</v>
      </c>
      <c r="B734" t="s">
        <v>16</v>
      </c>
      <c r="C734" t="s">
        <v>14</v>
      </c>
      <c r="D734">
        <v>57</v>
      </c>
      <c r="E734" s="1">
        <v>44198</v>
      </c>
      <c r="F734">
        <v>3.98</v>
      </c>
      <c r="G734">
        <v>12</v>
      </c>
      <c r="H734">
        <v>12723.83</v>
      </c>
      <c r="I734">
        <v>4.8</v>
      </c>
    </row>
    <row r="735" spans="1:9" x14ac:dyDescent="0.3">
      <c r="A735" t="s">
        <v>750</v>
      </c>
      <c r="B735" t="s">
        <v>10</v>
      </c>
      <c r="C735" t="s">
        <v>14</v>
      </c>
      <c r="D735">
        <v>31</v>
      </c>
      <c r="E735" s="1">
        <v>43892</v>
      </c>
      <c r="F735">
        <v>4.04</v>
      </c>
      <c r="G735">
        <v>11</v>
      </c>
      <c r="H735">
        <v>8334.41</v>
      </c>
      <c r="I735">
        <v>5.7</v>
      </c>
    </row>
    <row r="736" spans="1:9" x14ac:dyDescent="0.3">
      <c r="A736" t="s">
        <v>751</v>
      </c>
      <c r="B736" t="s">
        <v>13</v>
      </c>
      <c r="C736" t="s">
        <v>11</v>
      </c>
      <c r="D736">
        <v>37</v>
      </c>
      <c r="E736" s="1">
        <v>43488</v>
      </c>
      <c r="F736">
        <v>2.13</v>
      </c>
      <c r="G736">
        <v>11</v>
      </c>
      <c r="H736">
        <v>14648.59</v>
      </c>
      <c r="I736">
        <v>6.8</v>
      </c>
    </row>
    <row r="737" spans="1:9" x14ac:dyDescent="0.3">
      <c r="A737" t="s">
        <v>752</v>
      </c>
      <c r="B737" t="s">
        <v>16</v>
      </c>
      <c r="C737" t="s">
        <v>11</v>
      </c>
      <c r="D737">
        <v>22</v>
      </c>
      <c r="E737" s="1">
        <v>40345</v>
      </c>
      <c r="F737">
        <v>1.68</v>
      </c>
      <c r="G737">
        <v>10</v>
      </c>
      <c r="H737">
        <v>10017.15</v>
      </c>
      <c r="I737">
        <v>15.4</v>
      </c>
    </row>
    <row r="738" spans="1:9" x14ac:dyDescent="0.3">
      <c r="A738" t="s">
        <v>753</v>
      </c>
      <c r="B738" t="s">
        <v>18</v>
      </c>
      <c r="C738" t="s">
        <v>14</v>
      </c>
      <c r="D738">
        <v>55</v>
      </c>
      <c r="E738" s="1">
        <v>41261</v>
      </c>
      <c r="F738">
        <v>1.78</v>
      </c>
      <c r="G738">
        <v>13</v>
      </c>
      <c r="H738">
        <v>14998.82</v>
      </c>
      <c r="I738">
        <v>12.9</v>
      </c>
    </row>
    <row r="739" spans="1:9" x14ac:dyDescent="0.3">
      <c r="A739" t="s">
        <v>754</v>
      </c>
      <c r="B739" t="s">
        <v>10</v>
      </c>
      <c r="C739" t="s">
        <v>11</v>
      </c>
      <c r="D739">
        <v>37</v>
      </c>
      <c r="E739" s="1">
        <v>45406</v>
      </c>
      <c r="F739">
        <v>4.24</v>
      </c>
      <c r="G739">
        <v>2</v>
      </c>
      <c r="H739">
        <v>14437.4</v>
      </c>
      <c r="I739">
        <v>1.5</v>
      </c>
    </row>
    <row r="740" spans="1:9" x14ac:dyDescent="0.3">
      <c r="A740" t="s">
        <v>755</v>
      </c>
      <c r="B740" t="s">
        <v>16</v>
      </c>
      <c r="C740" t="s">
        <v>11</v>
      </c>
      <c r="D740">
        <v>43</v>
      </c>
      <c r="E740" s="1">
        <v>43308</v>
      </c>
      <c r="F740">
        <v>3.77</v>
      </c>
      <c r="G740">
        <v>13</v>
      </c>
      <c r="H740">
        <v>5382.62</v>
      </c>
      <c r="I740">
        <v>7.3</v>
      </c>
    </row>
    <row r="741" spans="1:9" x14ac:dyDescent="0.3">
      <c r="A741" t="s">
        <v>756</v>
      </c>
      <c r="B741" t="s">
        <v>34</v>
      </c>
      <c r="C741" t="s">
        <v>14</v>
      </c>
      <c r="D741">
        <v>54</v>
      </c>
      <c r="E741" s="1">
        <v>43975</v>
      </c>
      <c r="F741">
        <v>3.83</v>
      </c>
      <c r="G741">
        <v>6</v>
      </c>
      <c r="H741">
        <v>7016.19</v>
      </c>
      <c r="I741">
        <v>5.4</v>
      </c>
    </row>
    <row r="742" spans="1:9" x14ac:dyDescent="0.3">
      <c r="A742" t="s">
        <v>757</v>
      </c>
      <c r="B742" t="s">
        <v>10</v>
      </c>
      <c r="C742" t="s">
        <v>11</v>
      </c>
      <c r="D742">
        <v>48</v>
      </c>
      <c r="E742" s="1">
        <v>44506</v>
      </c>
      <c r="F742">
        <v>1.55</v>
      </c>
      <c r="G742">
        <v>6</v>
      </c>
      <c r="H742">
        <v>14176.28</v>
      </c>
      <c r="I742">
        <v>4</v>
      </c>
    </row>
    <row r="743" spans="1:9" x14ac:dyDescent="0.3">
      <c r="A743" t="s">
        <v>758</v>
      </c>
      <c r="B743" t="s">
        <v>13</v>
      </c>
      <c r="C743" t="s">
        <v>11</v>
      </c>
      <c r="D743">
        <v>56</v>
      </c>
      <c r="E743" s="1">
        <v>42256</v>
      </c>
      <c r="F743">
        <v>2.8</v>
      </c>
      <c r="G743">
        <v>13</v>
      </c>
      <c r="H743">
        <v>6227.63</v>
      </c>
      <c r="I743">
        <v>10.199999999999999</v>
      </c>
    </row>
    <row r="744" spans="1:9" x14ac:dyDescent="0.3">
      <c r="A744" t="s">
        <v>759</v>
      </c>
      <c r="B744" t="s">
        <v>10</v>
      </c>
      <c r="C744" t="s">
        <v>14</v>
      </c>
      <c r="D744">
        <v>38</v>
      </c>
      <c r="E744" s="1">
        <v>44784</v>
      </c>
      <c r="F744">
        <v>2.79</v>
      </c>
      <c r="G744">
        <v>10</v>
      </c>
      <c r="H744">
        <v>10613.92</v>
      </c>
      <c r="I744">
        <v>3.2</v>
      </c>
    </row>
    <row r="745" spans="1:9" x14ac:dyDescent="0.3">
      <c r="A745" t="s">
        <v>760</v>
      </c>
      <c r="B745" t="s">
        <v>16</v>
      </c>
      <c r="C745" t="s">
        <v>14</v>
      </c>
      <c r="D745">
        <v>47</v>
      </c>
      <c r="E745" s="1">
        <v>42876</v>
      </c>
      <c r="F745">
        <v>2.98</v>
      </c>
      <c r="G745">
        <v>13</v>
      </c>
      <c r="H745">
        <v>12798.38</v>
      </c>
      <c r="I745">
        <v>8.5</v>
      </c>
    </row>
    <row r="746" spans="1:9" x14ac:dyDescent="0.3">
      <c r="A746" t="s">
        <v>761</v>
      </c>
      <c r="B746" t="s">
        <v>24</v>
      </c>
      <c r="C746" t="s">
        <v>11</v>
      </c>
      <c r="D746">
        <v>26</v>
      </c>
      <c r="E746" s="1">
        <v>44715</v>
      </c>
      <c r="F746">
        <v>2.9</v>
      </c>
      <c r="G746">
        <v>13</v>
      </c>
      <c r="H746">
        <v>4465.41</v>
      </c>
      <c r="I746">
        <v>3.4</v>
      </c>
    </row>
    <row r="747" spans="1:9" x14ac:dyDescent="0.3">
      <c r="A747" t="s">
        <v>762</v>
      </c>
      <c r="B747" t="s">
        <v>24</v>
      </c>
      <c r="C747" t="s">
        <v>14</v>
      </c>
      <c r="D747">
        <v>44</v>
      </c>
      <c r="E747" s="1">
        <v>41932</v>
      </c>
      <c r="F747">
        <v>3.63</v>
      </c>
      <c r="G747">
        <v>4</v>
      </c>
      <c r="H747">
        <v>8812.2999999999993</v>
      </c>
      <c r="I747">
        <v>11</v>
      </c>
    </row>
    <row r="748" spans="1:9" x14ac:dyDescent="0.3">
      <c r="A748" t="s">
        <v>763</v>
      </c>
      <c r="B748" t="s">
        <v>34</v>
      </c>
      <c r="C748" t="s">
        <v>14</v>
      </c>
      <c r="D748">
        <v>57</v>
      </c>
      <c r="E748" s="1">
        <v>44139</v>
      </c>
      <c r="F748">
        <v>2.75</v>
      </c>
      <c r="G748">
        <v>15</v>
      </c>
      <c r="H748">
        <v>6995.11</v>
      </c>
      <c r="I748">
        <v>5</v>
      </c>
    </row>
    <row r="749" spans="1:9" x14ac:dyDescent="0.3">
      <c r="A749" t="s">
        <v>764</v>
      </c>
      <c r="B749" t="s">
        <v>16</v>
      </c>
      <c r="C749" t="s">
        <v>14</v>
      </c>
      <c r="D749">
        <v>55</v>
      </c>
      <c r="E749" s="1">
        <v>43202</v>
      </c>
      <c r="F749">
        <v>2.86</v>
      </c>
      <c r="G749">
        <v>4</v>
      </c>
      <c r="H749">
        <v>5459.7</v>
      </c>
      <c r="I749">
        <v>7.6</v>
      </c>
    </row>
    <row r="750" spans="1:9" x14ac:dyDescent="0.3">
      <c r="A750" t="s">
        <v>765</v>
      </c>
      <c r="B750" t="s">
        <v>10</v>
      </c>
      <c r="C750" t="s">
        <v>14</v>
      </c>
      <c r="D750">
        <v>54</v>
      </c>
      <c r="E750" s="1">
        <v>40676</v>
      </c>
      <c r="F750">
        <v>1.9</v>
      </c>
      <c r="G750">
        <v>15</v>
      </c>
      <c r="H750">
        <v>12891.8</v>
      </c>
      <c r="I750">
        <v>14.5</v>
      </c>
    </row>
    <row r="751" spans="1:9" x14ac:dyDescent="0.3">
      <c r="A751" t="s">
        <v>766</v>
      </c>
      <c r="B751" t="s">
        <v>34</v>
      </c>
      <c r="C751" t="s">
        <v>14</v>
      </c>
      <c r="D751">
        <v>49</v>
      </c>
      <c r="E751" s="1">
        <v>41234</v>
      </c>
      <c r="F751">
        <v>2.79</v>
      </c>
      <c r="G751">
        <v>4</v>
      </c>
      <c r="H751">
        <v>13805.75</v>
      </c>
      <c r="I751">
        <v>13</v>
      </c>
    </row>
    <row r="752" spans="1:9" x14ac:dyDescent="0.3">
      <c r="A752" t="s">
        <v>767</v>
      </c>
      <c r="B752" t="s">
        <v>16</v>
      </c>
      <c r="C752" t="s">
        <v>11</v>
      </c>
      <c r="D752">
        <v>52</v>
      </c>
      <c r="E752" s="1">
        <v>45492</v>
      </c>
      <c r="F752">
        <v>4.99</v>
      </c>
      <c r="G752">
        <v>3</v>
      </c>
      <c r="H752">
        <v>12703.77</v>
      </c>
      <c r="I752">
        <v>1.3</v>
      </c>
    </row>
    <row r="753" spans="1:9" x14ac:dyDescent="0.3">
      <c r="A753" t="s">
        <v>768</v>
      </c>
      <c r="B753" t="s">
        <v>34</v>
      </c>
      <c r="C753" t="s">
        <v>11</v>
      </c>
      <c r="D753">
        <v>30</v>
      </c>
      <c r="E753" s="1">
        <v>44572</v>
      </c>
      <c r="F753">
        <v>2.21</v>
      </c>
      <c r="G753">
        <v>13</v>
      </c>
      <c r="H753">
        <v>10842.31</v>
      </c>
      <c r="I753">
        <v>3.8</v>
      </c>
    </row>
    <row r="754" spans="1:9" x14ac:dyDescent="0.3">
      <c r="A754" t="s">
        <v>769</v>
      </c>
      <c r="B754" t="s">
        <v>24</v>
      </c>
      <c r="C754" t="s">
        <v>11</v>
      </c>
      <c r="D754">
        <v>32</v>
      </c>
      <c r="E754" s="1">
        <v>40417</v>
      </c>
      <c r="F754">
        <v>1.65</v>
      </c>
      <c r="G754">
        <v>14</v>
      </c>
      <c r="H754">
        <v>10573.6</v>
      </c>
      <c r="I754">
        <v>15.2</v>
      </c>
    </row>
    <row r="755" spans="1:9" x14ac:dyDescent="0.3">
      <c r="A755" t="s">
        <v>770</v>
      </c>
      <c r="B755" t="s">
        <v>16</v>
      </c>
      <c r="C755" t="s">
        <v>11</v>
      </c>
      <c r="D755">
        <v>25</v>
      </c>
      <c r="E755" s="1">
        <v>41127</v>
      </c>
      <c r="F755">
        <v>2.4</v>
      </c>
      <c r="G755">
        <v>4</v>
      </c>
      <c r="H755">
        <v>5973.63</v>
      </c>
      <c r="I755">
        <v>13.2</v>
      </c>
    </row>
    <row r="756" spans="1:9" x14ac:dyDescent="0.3">
      <c r="A756" t="s">
        <v>771</v>
      </c>
      <c r="B756" t="s">
        <v>16</v>
      </c>
      <c r="C756" t="s">
        <v>11</v>
      </c>
      <c r="D756">
        <v>52</v>
      </c>
      <c r="E756" s="1">
        <v>42473</v>
      </c>
      <c r="F756">
        <v>4.22</v>
      </c>
      <c r="G756">
        <v>4</v>
      </c>
      <c r="H756">
        <v>11052.2</v>
      </c>
      <c r="I756">
        <v>9.6</v>
      </c>
    </row>
    <row r="757" spans="1:9" x14ac:dyDescent="0.3">
      <c r="A757" t="s">
        <v>772</v>
      </c>
      <c r="B757" t="s">
        <v>13</v>
      </c>
      <c r="C757" t="s">
        <v>14</v>
      </c>
      <c r="D757">
        <v>49</v>
      </c>
      <c r="E757" s="1">
        <v>44132</v>
      </c>
      <c r="F757">
        <v>3.86</v>
      </c>
      <c r="G757">
        <v>14</v>
      </c>
      <c r="H757">
        <v>6950.21</v>
      </c>
      <c r="I757">
        <v>5</v>
      </c>
    </row>
    <row r="758" spans="1:9" x14ac:dyDescent="0.3">
      <c r="A758" t="s">
        <v>773</v>
      </c>
      <c r="B758" t="s">
        <v>34</v>
      </c>
      <c r="C758" t="s">
        <v>11</v>
      </c>
      <c r="D758">
        <v>23</v>
      </c>
      <c r="E758" s="1">
        <v>42720</v>
      </c>
      <c r="F758">
        <v>2.95</v>
      </c>
      <c r="G758">
        <v>11</v>
      </c>
      <c r="H758">
        <v>5977.72</v>
      </c>
      <c r="I758">
        <v>8.9</v>
      </c>
    </row>
    <row r="759" spans="1:9" x14ac:dyDescent="0.3">
      <c r="A759" t="s">
        <v>774</v>
      </c>
      <c r="B759" t="s">
        <v>34</v>
      </c>
      <c r="C759" t="s">
        <v>14</v>
      </c>
      <c r="D759">
        <v>31</v>
      </c>
      <c r="E759" s="1">
        <v>41316</v>
      </c>
      <c r="F759">
        <v>2.21</v>
      </c>
      <c r="G759">
        <v>4</v>
      </c>
      <c r="H759">
        <v>5391.01</v>
      </c>
      <c r="I759">
        <v>12.7</v>
      </c>
    </row>
    <row r="760" spans="1:9" x14ac:dyDescent="0.3">
      <c r="A760" t="s">
        <v>775</v>
      </c>
      <c r="B760" t="s">
        <v>13</v>
      </c>
      <c r="C760" t="s">
        <v>14</v>
      </c>
      <c r="D760">
        <v>53</v>
      </c>
      <c r="E760" s="1">
        <v>41027</v>
      </c>
      <c r="F760">
        <v>4.2300000000000004</v>
      </c>
      <c r="G760">
        <v>10</v>
      </c>
      <c r="H760">
        <v>13692.78</v>
      </c>
      <c r="I760">
        <v>13.5</v>
      </c>
    </row>
    <row r="761" spans="1:9" x14ac:dyDescent="0.3">
      <c r="A761" t="s">
        <v>776</v>
      </c>
      <c r="B761" t="s">
        <v>34</v>
      </c>
      <c r="C761" t="s">
        <v>11</v>
      </c>
      <c r="D761">
        <v>44</v>
      </c>
      <c r="E761" s="1">
        <v>42471</v>
      </c>
      <c r="F761">
        <v>4.8499999999999996</v>
      </c>
      <c r="G761">
        <v>9</v>
      </c>
      <c r="H761">
        <v>12074.26</v>
      </c>
      <c r="I761">
        <v>9.6</v>
      </c>
    </row>
    <row r="762" spans="1:9" x14ac:dyDescent="0.3">
      <c r="A762" t="s">
        <v>777</v>
      </c>
      <c r="B762" t="s">
        <v>10</v>
      </c>
      <c r="C762" t="s">
        <v>11</v>
      </c>
      <c r="D762">
        <v>60</v>
      </c>
      <c r="E762" s="1">
        <v>41039</v>
      </c>
      <c r="F762">
        <v>3.88</v>
      </c>
      <c r="G762">
        <v>9</v>
      </c>
      <c r="H762">
        <v>8317.7900000000009</v>
      </c>
      <c r="I762">
        <v>13.5</v>
      </c>
    </row>
    <row r="763" spans="1:9" x14ac:dyDescent="0.3">
      <c r="A763" t="s">
        <v>778</v>
      </c>
      <c r="B763" t="s">
        <v>16</v>
      </c>
      <c r="C763" t="s">
        <v>14</v>
      </c>
      <c r="D763">
        <v>37</v>
      </c>
      <c r="E763" s="1">
        <v>42207</v>
      </c>
      <c r="F763">
        <v>4.41</v>
      </c>
      <c r="G763">
        <v>12</v>
      </c>
      <c r="H763">
        <v>5514.15</v>
      </c>
      <c r="I763">
        <v>10.3</v>
      </c>
    </row>
    <row r="764" spans="1:9" x14ac:dyDescent="0.3">
      <c r="A764" t="s">
        <v>779</v>
      </c>
      <c r="B764" t="s">
        <v>13</v>
      </c>
      <c r="C764" t="s">
        <v>11</v>
      </c>
      <c r="D764">
        <v>55</v>
      </c>
      <c r="E764" s="1">
        <v>41314</v>
      </c>
      <c r="F764">
        <v>3.8</v>
      </c>
      <c r="G764">
        <v>15</v>
      </c>
      <c r="H764">
        <v>11492.09</v>
      </c>
      <c r="I764">
        <v>12.7</v>
      </c>
    </row>
    <row r="765" spans="1:9" x14ac:dyDescent="0.3">
      <c r="A765" t="s">
        <v>780</v>
      </c>
      <c r="B765" t="s">
        <v>16</v>
      </c>
      <c r="C765" t="s">
        <v>14</v>
      </c>
      <c r="D765">
        <v>26</v>
      </c>
      <c r="E765" s="1">
        <v>40953</v>
      </c>
      <c r="F765">
        <v>4.37</v>
      </c>
      <c r="G765">
        <v>7</v>
      </c>
      <c r="H765">
        <v>3520.77</v>
      </c>
      <c r="I765">
        <v>13.7</v>
      </c>
    </row>
    <row r="766" spans="1:9" x14ac:dyDescent="0.3">
      <c r="A766" t="s">
        <v>781</v>
      </c>
      <c r="B766" t="s">
        <v>16</v>
      </c>
      <c r="C766" t="s">
        <v>14</v>
      </c>
      <c r="D766">
        <v>50</v>
      </c>
      <c r="E766" s="1">
        <v>42920</v>
      </c>
      <c r="F766">
        <v>1.52</v>
      </c>
      <c r="G766">
        <v>1</v>
      </c>
      <c r="H766">
        <v>7247.56</v>
      </c>
      <c r="I766">
        <v>8.3000000000000007</v>
      </c>
    </row>
    <row r="767" spans="1:9" x14ac:dyDescent="0.3">
      <c r="A767" t="s">
        <v>782</v>
      </c>
      <c r="B767" t="s">
        <v>16</v>
      </c>
      <c r="C767" t="s">
        <v>14</v>
      </c>
      <c r="D767">
        <v>31</v>
      </c>
      <c r="E767" s="1">
        <v>43201</v>
      </c>
      <c r="F767">
        <v>3.7</v>
      </c>
      <c r="G767">
        <v>15</v>
      </c>
      <c r="H767">
        <v>14568.3</v>
      </c>
      <c r="I767">
        <v>7.6</v>
      </c>
    </row>
    <row r="768" spans="1:9" x14ac:dyDescent="0.3">
      <c r="A768" t="s">
        <v>783</v>
      </c>
      <c r="B768" t="s">
        <v>24</v>
      </c>
      <c r="C768" t="s">
        <v>14</v>
      </c>
      <c r="D768">
        <v>48</v>
      </c>
      <c r="E768" s="1">
        <v>44788</v>
      </c>
      <c r="F768">
        <v>4.13</v>
      </c>
      <c r="G768">
        <v>8</v>
      </c>
      <c r="H768">
        <v>10686.7</v>
      </c>
      <c r="I768">
        <v>3.2</v>
      </c>
    </row>
    <row r="769" spans="1:9" x14ac:dyDescent="0.3">
      <c r="A769" t="s">
        <v>784</v>
      </c>
      <c r="B769" t="s">
        <v>18</v>
      </c>
      <c r="C769" t="s">
        <v>11</v>
      </c>
      <c r="D769">
        <v>60</v>
      </c>
      <c r="E769" s="1">
        <v>45479</v>
      </c>
      <c r="F769">
        <v>3.32</v>
      </c>
      <c r="G769">
        <v>3</v>
      </c>
      <c r="H769">
        <v>6599.78</v>
      </c>
      <c r="I769">
        <v>1.3</v>
      </c>
    </row>
    <row r="770" spans="1:9" x14ac:dyDescent="0.3">
      <c r="A770" t="s">
        <v>785</v>
      </c>
      <c r="B770" t="s">
        <v>34</v>
      </c>
      <c r="C770" t="s">
        <v>14</v>
      </c>
      <c r="D770">
        <v>59</v>
      </c>
      <c r="E770" s="1">
        <v>43307</v>
      </c>
      <c r="F770">
        <v>3.38</v>
      </c>
      <c r="G770">
        <v>13</v>
      </c>
      <c r="H770">
        <v>12548.87</v>
      </c>
      <c r="I770">
        <v>7.3</v>
      </c>
    </row>
    <row r="771" spans="1:9" x14ac:dyDescent="0.3">
      <c r="A771" t="s">
        <v>786</v>
      </c>
      <c r="B771" t="s">
        <v>34</v>
      </c>
      <c r="C771" t="s">
        <v>14</v>
      </c>
      <c r="D771">
        <v>43</v>
      </c>
      <c r="E771" s="1">
        <v>42603</v>
      </c>
      <c r="F771">
        <v>2.64</v>
      </c>
      <c r="G771">
        <v>15</v>
      </c>
      <c r="H771">
        <v>11866.87</v>
      </c>
      <c r="I771">
        <v>9.1999999999999993</v>
      </c>
    </row>
    <row r="772" spans="1:9" x14ac:dyDescent="0.3">
      <c r="A772" t="s">
        <v>787</v>
      </c>
      <c r="B772" t="s">
        <v>34</v>
      </c>
      <c r="C772" t="s">
        <v>14</v>
      </c>
      <c r="D772">
        <v>33</v>
      </c>
      <c r="E772" s="1">
        <v>41503</v>
      </c>
      <c r="F772">
        <v>3.46</v>
      </c>
      <c r="G772">
        <v>15</v>
      </c>
      <c r="H772">
        <v>4409.95</v>
      </c>
      <c r="I772">
        <v>12.2</v>
      </c>
    </row>
    <row r="773" spans="1:9" x14ac:dyDescent="0.3">
      <c r="A773" t="s">
        <v>788</v>
      </c>
      <c r="B773" t="s">
        <v>34</v>
      </c>
      <c r="C773" t="s">
        <v>14</v>
      </c>
      <c r="D773">
        <v>34</v>
      </c>
      <c r="E773" s="1">
        <v>44317</v>
      </c>
      <c r="F773">
        <v>2.74</v>
      </c>
      <c r="G773">
        <v>11</v>
      </c>
      <c r="H773">
        <v>9343.18</v>
      </c>
      <c r="I773">
        <v>4.5</v>
      </c>
    </row>
    <row r="774" spans="1:9" x14ac:dyDescent="0.3">
      <c r="A774" t="s">
        <v>789</v>
      </c>
      <c r="B774" t="s">
        <v>13</v>
      </c>
      <c r="C774" t="s">
        <v>14</v>
      </c>
      <c r="D774">
        <v>24</v>
      </c>
      <c r="E774" s="1">
        <v>41496</v>
      </c>
      <c r="F774">
        <v>3.11</v>
      </c>
      <c r="G774">
        <v>14</v>
      </c>
      <c r="H774">
        <v>3859.72</v>
      </c>
      <c r="I774">
        <v>12.2</v>
      </c>
    </row>
    <row r="775" spans="1:9" x14ac:dyDescent="0.3">
      <c r="A775" t="s">
        <v>790</v>
      </c>
      <c r="B775" t="s">
        <v>24</v>
      </c>
      <c r="C775" t="s">
        <v>11</v>
      </c>
      <c r="D775">
        <v>41</v>
      </c>
      <c r="E775" s="1">
        <v>41619</v>
      </c>
      <c r="F775">
        <v>2.44</v>
      </c>
      <c r="G775">
        <v>12</v>
      </c>
      <c r="H775">
        <v>6406.31</v>
      </c>
      <c r="I775">
        <v>11.9</v>
      </c>
    </row>
    <row r="776" spans="1:9" x14ac:dyDescent="0.3">
      <c r="A776" t="s">
        <v>791</v>
      </c>
      <c r="B776" t="s">
        <v>34</v>
      </c>
      <c r="C776" t="s">
        <v>14</v>
      </c>
      <c r="D776">
        <v>27</v>
      </c>
      <c r="E776" s="1">
        <v>43584</v>
      </c>
      <c r="F776">
        <v>3.21</v>
      </c>
      <c r="G776">
        <v>15</v>
      </c>
      <c r="H776">
        <v>13363.3</v>
      </c>
      <c r="I776">
        <v>6.5</v>
      </c>
    </row>
    <row r="777" spans="1:9" x14ac:dyDescent="0.3">
      <c r="A777" t="s">
        <v>792</v>
      </c>
      <c r="B777" t="s">
        <v>16</v>
      </c>
      <c r="C777" t="s">
        <v>11</v>
      </c>
      <c r="D777">
        <v>60</v>
      </c>
      <c r="E777" s="1">
        <v>41016</v>
      </c>
      <c r="F777">
        <v>2.31</v>
      </c>
      <c r="G777">
        <v>10</v>
      </c>
      <c r="H777">
        <v>7498.77</v>
      </c>
      <c r="I777">
        <v>13.6</v>
      </c>
    </row>
    <row r="778" spans="1:9" x14ac:dyDescent="0.3">
      <c r="A778" t="s">
        <v>793</v>
      </c>
      <c r="B778" t="s">
        <v>16</v>
      </c>
      <c r="C778" t="s">
        <v>14</v>
      </c>
      <c r="D778">
        <v>55</v>
      </c>
      <c r="E778" s="1">
        <v>42224</v>
      </c>
      <c r="F778">
        <v>3.16</v>
      </c>
      <c r="G778">
        <v>11</v>
      </c>
      <c r="H778">
        <v>13945.6</v>
      </c>
      <c r="I778">
        <v>10.199999999999999</v>
      </c>
    </row>
    <row r="779" spans="1:9" x14ac:dyDescent="0.3">
      <c r="A779" t="s">
        <v>794</v>
      </c>
      <c r="B779" t="s">
        <v>10</v>
      </c>
      <c r="C779" t="s">
        <v>11</v>
      </c>
      <c r="D779">
        <v>47</v>
      </c>
      <c r="E779" s="1">
        <v>44775</v>
      </c>
      <c r="F779">
        <v>2.48</v>
      </c>
      <c r="G779">
        <v>8</v>
      </c>
      <c r="H779">
        <v>4403.33</v>
      </c>
      <c r="I779">
        <v>3.3</v>
      </c>
    </row>
    <row r="780" spans="1:9" x14ac:dyDescent="0.3">
      <c r="A780" t="s">
        <v>795</v>
      </c>
      <c r="B780" t="s">
        <v>13</v>
      </c>
      <c r="C780" t="s">
        <v>14</v>
      </c>
      <c r="D780">
        <v>26</v>
      </c>
      <c r="E780" s="1">
        <v>43194</v>
      </c>
      <c r="F780">
        <v>4.8099999999999996</v>
      </c>
      <c r="G780">
        <v>13</v>
      </c>
      <c r="H780">
        <v>3780.51</v>
      </c>
      <c r="I780">
        <v>7.6</v>
      </c>
    </row>
    <row r="781" spans="1:9" x14ac:dyDescent="0.3">
      <c r="A781" t="s">
        <v>796</v>
      </c>
      <c r="B781" t="s">
        <v>10</v>
      </c>
      <c r="C781" t="s">
        <v>11</v>
      </c>
      <c r="D781">
        <v>44</v>
      </c>
      <c r="E781" s="1">
        <v>40277</v>
      </c>
      <c r="F781">
        <v>2.23</v>
      </c>
      <c r="G781">
        <v>12</v>
      </c>
      <c r="H781">
        <v>13679.95</v>
      </c>
      <c r="I781">
        <v>15.6</v>
      </c>
    </row>
    <row r="782" spans="1:9" x14ac:dyDescent="0.3">
      <c r="A782" t="s">
        <v>797</v>
      </c>
      <c r="B782" t="s">
        <v>10</v>
      </c>
      <c r="C782" t="s">
        <v>11</v>
      </c>
      <c r="D782">
        <v>54</v>
      </c>
      <c r="E782" s="1">
        <v>44082</v>
      </c>
      <c r="F782">
        <v>3.09</v>
      </c>
      <c r="G782">
        <v>2</v>
      </c>
      <c r="H782">
        <v>9748.98</v>
      </c>
      <c r="I782">
        <v>5.2</v>
      </c>
    </row>
    <row r="783" spans="1:9" x14ac:dyDescent="0.3">
      <c r="A783" t="s">
        <v>798</v>
      </c>
      <c r="B783" t="s">
        <v>18</v>
      </c>
      <c r="C783" t="s">
        <v>14</v>
      </c>
      <c r="D783">
        <v>41</v>
      </c>
      <c r="E783" s="1">
        <v>45202</v>
      </c>
      <c r="F783">
        <v>2.4300000000000002</v>
      </c>
      <c r="G783">
        <v>14</v>
      </c>
      <c r="H783">
        <v>7391.36</v>
      </c>
      <c r="I783">
        <v>2.1</v>
      </c>
    </row>
    <row r="784" spans="1:9" x14ac:dyDescent="0.3">
      <c r="A784" t="s">
        <v>799</v>
      </c>
      <c r="B784" t="s">
        <v>24</v>
      </c>
      <c r="C784" t="s">
        <v>11</v>
      </c>
      <c r="D784">
        <v>58</v>
      </c>
      <c r="E784" s="1">
        <v>41925</v>
      </c>
      <c r="F784">
        <v>4.96</v>
      </c>
      <c r="G784">
        <v>14</v>
      </c>
      <c r="H784">
        <v>9897.16</v>
      </c>
      <c r="I784">
        <v>11.1</v>
      </c>
    </row>
    <row r="785" spans="1:9" x14ac:dyDescent="0.3">
      <c r="A785" t="s">
        <v>800</v>
      </c>
      <c r="B785" t="s">
        <v>16</v>
      </c>
      <c r="C785" t="s">
        <v>11</v>
      </c>
      <c r="D785">
        <v>39</v>
      </c>
      <c r="E785" s="1">
        <v>42842</v>
      </c>
      <c r="F785">
        <v>3.93</v>
      </c>
      <c r="G785">
        <v>5</v>
      </c>
      <c r="H785">
        <v>11350.39</v>
      </c>
      <c r="I785">
        <v>8.5</v>
      </c>
    </row>
    <row r="786" spans="1:9" x14ac:dyDescent="0.3">
      <c r="A786" t="s">
        <v>801</v>
      </c>
      <c r="B786" t="s">
        <v>16</v>
      </c>
      <c r="C786" t="s">
        <v>11</v>
      </c>
      <c r="D786">
        <v>32</v>
      </c>
      <c r="E786" s="1">
        <v>44618</v>
      </c>
      <c r="F786">
        <v>4.26</v>
      </c>
      <c r="G786">
        <v>11</v>
      </c>
      <c r="H786">
        <v>6931.08</v>
      </c>
      <c r="I786">
        <v>3.7</v>
      </c>
    </row>
    <row r="787" spans="1:9" x14ac:dyDescent="0.3">
      <c r="A787" t="s">
        <v>802</v>
      </c>
      <c r="B787" t="s">
        <v>18</v>
      </c>
      <c r="C787" t="s">
        <v>14</v>
      </c>
      <c r="D787">
        <v>59</v>
      </c>
      <c r="E787" s="1">
        <v>40475</v>
      </c>
      <c r="F787">
        <v>3.21</v>
      </c>
      <c r="G787">
        <v>9</v>
      </c>
      <c r="H787">
        <v>8408.41</v>
      </c>
      <c r="I787">
        <v>15</v>
      </c>
    </row>
    <row r="788" spans="1:9" x14ac:dyDescent="0.3">
      <c r="A788" t="s">
        <v>803</v>
      </c>
      <c r="B788" t="s">
        <v>18</v>
      </c>
      <c r="C788" t="s">
        <v>14</v>
      </c>
      <c r="D788">
        <v>40</v>
      </c>
      <c r="E788" s="1">
        <v>44068</v>
      </c>
      <c r="F788">
        <v>3.54</v>
      </c>
      <c r="G788">
        <v>12</v>
      </c>
      <c r="H788">
        <v>4677.6400000000003</v>
      </c>
      <c r="I788">
        <v>5.2</v>
      </c>
    </row>
    <row r="789" spans="1:9" x14ac:dyDescent="0.3">
      <c r="A789" t="s">
        <v>804</v>
      </c>
      <c r="B789" t="s">
        <v>10</v>
      </c>
      <c r="C789" t="s">
        <v>11</v>
      </c>
      <c r="D789">
        <v>47</v>
      </c>
      <c r="E789" s="1">
        <v>43570</v>
      </c>
      <c r="F789">
        <v>3.35</v>
      </c>
      <c r="G789">
        <v>4</v>
      </c>
      <c r="H789">
        <v>7030.16</v>
      </c>
      <c r="I789">
        <v>6.6</v>
      </c>
    </row>
    <row r="790" spans="1:9" x14ac:dyDescent="0.3">
      <c r="A790" t="s">
        <v>805</v>
      </c>
      <c r="B790" t="s">
        <v>10</v>
      </c>
      <c r="C790" t="s">
        <v>11</v>
      </c>
      <c r="D790">
        <v>30</v>
      </c>
      <c r="E790" s="1">
        <v>44849</v>
      </c>
      <c r="F790">
        <v>1.87</v>
      </c>
      <c r="G790">
        <v>13</v>
      </c>
      <c r="H790">
        <v>12397.64</v>
      </c>
      <c r="I790">
        <v>3</v>
      </c>
    </row>
    <row r="791" spans="1:9" x14ac:dyDescent="0.3">
      <c r="A791" t="s">
        <v>806</v>
      </c>
      <c r="B791" t="s">
        <v>13</v>
      </c>
      <c r="C791" t="s">
        <v>14</v>
      </c>
      <c r="D791">
        <v>22</v>
      </c>
      <c r="E791" s="1">
        <v>40852</v>
      </c>
      <c r="F791">
        <v>3.82</v>
      </c>
      <c r="G791">
        <v>11</v>
      </c>
      <c r="H791">
        <v>3062.17</v>
      </c>
      <c r="I791">
        <v>14</v>
      </c>
    </row>
    <row r="792" spans="1:9" x14ac:dyDescent="0.3">
      <c r="A792" t="s">
        <v>807</v>
      </c>
      <c r="B792" t="s">
        <v>10</v>
      </c>
      <c r="C792" t="s">
        <v>14</v>
      </c>
      <c r="D792">
        <v>32</v>
      </c>
      <c r="E792" s="1">
        <v>40495</v>
      </c>
      <c r="F792">
        <v>2.5099999999999998</v>
      </c>
      <c r="G792">
        <v>11</v>
      </c>
      <c r="H792">
        <v>12703.85</v>
      </c>
      <c r="I792">
        <v>15</v>
      </c>
    </row>
    <row r="793" spans="1:9" x14ac:dyDescent="0.3">
      <c r="A793" t="s">
        <v>808</v>
      </c>
      <c r="B793" t="s">
        <v>34</v>
      </c>
      <c r="C793" t="s">
        <v>11</v>
      </c>
      <c r="D793">
        <v>39</v>
      </c>
      <c r="E793" s="1">
        <v>44812</v>
      </c>
      <c r="F793">
        <v>2.31</v>
      </c>
      <c r="G793">
        <v>0</v>
      </c>
      <c r="H793">
        <v>5090.54</v>
      </c>
      <c r="I793">
        <v>3.2</v>
      </c>
    </row>
    <row r="794" spans="1:9" x14ac:dyDescent="0.3">
      <c r="A794" t="s">
        <v>809</v>
      </c>
      <c r="B794" t="s">
        <v>34</v>
      </c>
      <c r="C794" t="s">
        <v>11</v>
      </c>
      <c r="D794">
        <v>38</v>
      </c>
      <c r="E794" s="1">
        <v>44146</v>
      </c>
      <c r="F794">
        <v>3.5</v>
      </c>
      <c r="G794">
        <v>10</v>
      </c>
      <c r="H794">
        <v>12628.62</v>
      </c>
      <c r="I794">
        <v>5</v>
      </c>
    </row>
    <row r="795" spans="1:9" x14ac:dyDescent="0.3">
      <c r="A795" t="s">
        <v>810</v>
      </c>
      <c r="B795" t="s">
        <v>34</v>
      </c>
      <c r="C795" t="s">
        <v>14</v>
      </c>
      <c r="D795">
        <v>59</v>
      </c>
      <c r="E795" s="1">
        <v>45572</v>
      </c>
      <c r="F795">
        <v>3.24</v>
      </c>
      <c r="G795">
        <v>1</v>
      </c>
      <c r="H795">
        <v>6428.96</v>
      </c>
      <c r="I795">
        <v>1.1000000000000001</v>
      </c>
    </row>
    <row r="796" spans="1:9" x14ac:dyDescent="0.3">
      <c r="A796" t="s">
        <v>811</v>
      </c>
      <c r="B796" t="s">
        <v>10</v>
      </c>
      <c r="C796" t="s">
        <v>11</v>
      </c>
      <c r="D796">
        <v>52</v>
      </c>
      <c r="E796" s="1">
        <v>41746</v>
      </c>
      <c r="F796">
        <v>2.5099999999999998</v>
      </c>
      <c r="G796">
        <v>4</v>
      </c>
      <c r="H796">
        <v>10075.73</v>
      </c>
      <c r="I796">
        <v>11.6</v>
      </c>
    </row>
    <row r="797" spans="1:9" x14ac:dyDescent="0.3">
      <c r="A797" t="s">
        <v>812</v>
      </c>
      <c r="B797" t="s">
        <v>10</v>
      </c>
      <c r="C797" t="s">
        <v>14</v>
      </c>
      <c r="D797">
        <v>45</v>
      </c>
      <c r="E797" s="1">
        <v>40459</v>
      </c>
      <c r="F797">
        <v>2</v>
      </c>
      <c r="G797">
        <v>9</v>
      </c>
      <c r="H797">
        <v>8438.67</v>
      </c>
      <c r="I797">
        <v>15.1</v>
      </c>
    </row>
    <row r="798" spans="1:9" x14ac:dyDescent="0.3">
      <c r="A798" t="s">
        <v>813</v>
      </c>
      <c r="B798" t="s">
        <v>34</v>
      </c>
      <c r="C798" t="s">
        <v>11</v>
      </c>
      <c r="D798">
        <v>35</v>
      </c>
      <c r="E798" s="1">
        <v>45316</v>
      </c>
      <c r="F798">
        <v>3.26</v>
      </c>
      <c r="G798">
        <v>11</v>
      </c>
      <c r="H798">
        <v>3315.71</v>
      </c>
      <c r="I798">
        <v>1.8</v>
      </c>
    </row>
    <row r="799" spans="1:9" x14ac:dyDescent="0.3">
      <c r="A799" t="s">
        <v>814</v>
      </c>
      <c r="B799" t="s">
        <v>10</v>
      </c>
      <c r="C799" t="s">
        <v>11</v>
      </c>
      <c r="D799">
        <v>53</v>
      </c>
      <c r="E799" s="1">
        <v>40256</v>
      </c>
      <c r="F799">
        <v>2.5299999999999998</v>
      </c>
      <c r="G799">
        <v>14</v>
      </c>
      <c r="H799">
        <v>11028.5</v>
      </c>
      <c r="I799">
        <v>15.6</v>
      </c>
    </row>
    <row r="800" spans="1:9" x14ac:dyDescent="0.3">
      <c r="A800" t="s">
        <v>815</v>
      </c>
      <c r="B800" t="s">
        <v>24</v>
      </c>
      <c r="C800" t="s">
        <v>11</v>
      </c>
      <c r="D800">
        <v>60</v>
      </c>
      <c r="E800" s="1">
        <v>45656</v>
      </c>
      <c r="F800">
        <v>3.81</v>
      </c>
      <c r="G800">
        <v>0</v>
      </c>
      <c r="H800">
        <v>13489.77</v>
      </c>
      <c r="I800">
        <v>0.8</v>
      </c>
    </row>
    <row r="801" spans="1:9" x14ac:dyDescent="0.3">
      <c r="A801" t="s">
        <v>816</v>
      </c>
      <c r="B801" t="s">
        <v>34</v>
      </c>
      <c r="C801" t="s">
        <v>11</v>
      </c>
      <c r="D801">
        <v>52</v>
      </c>
      <c r="E801" s="1">
        <v>44184</v>
      </c>
      <c r="F801">
        <v>1.53</v>
      </c>
      <c r="G801">
        <v>14</v>
      </c>
      <c r="H801">
        <v>4139.43</v>
      </c>
      <c r="I801">
        <v>4.9000000000000004</v>
      </c>
    </row>
    <row r="802" spans="1:9" x14ac:dyDescent="0.3">
      <c r="A802" t="s">
        <v>817</v>
      </c>
      <c r="B802" t="s">
        <v>16</v>
      </c>
      <c r="C802" t="s">
        <v>14</v>
      </c>
      <c r="D802">
        <v>49</v>
      </c>
      <c r="E802" s="1">
        <v>44948</v>
      </c>
      <c r="F802">
        <v>3.61</v>
      </c>
      <c r="G802">
        <v>3</v>
      </c>
      <c r="H802">
        <v>13644.1</v>
      </c>
      <c r="I802">
        <v>2.8</v>
      </c>
    </row>
    <row r="803" spans="1:9" x14ac:dyDescent="0.3">
      <c r="A803" t="s">
        <v>818</v>
      </c>
      <c r="B803" t="s">
        <v>18</v>
      </c>
      <c r="C803" t="s">
        <v>14</v>
      </c>
      <c r="D803">
        <v>30</v>
      </c>
      <c r="E803" s="1">
        <v>42253</v>
      </c>
      <c r="F803">
        <v>3.8</v>
      </c>
      <c r="G803">
        <v>14</v>
      </c>
      <c r="H803">
        <v>14704.11</v>
      </c>
      <c r="I803">
        <v>10.199999999999999</v>
      </c>
    </row>
    <row r="804" spans="1:9" x14ac:dyDescent="0.3">
      <c r="A804" t="s">
        <v>819</v>
      </c>
      <c r="B804" t="s">
        <v>18</v>
      </c>
      <c r="C804" t="s">
        <v>11</v>
      </c>
      <c r="D804">
        <v>24</v>
      </c>
      <c r="E804" s="1">
        <v>41950</v>
      </c>
      <c r="F804">
        <v>2.0099999999999998</v>
      </c>
      <c r="G804">
        <v>14</v>
      </c>
      <c r="H804">
        <v>9675.23</v>
      </c>
      <c r="I804">
        <v>11</v>
      </c>
    </row>
    <row r="805" spans="1:9" x14ac:dyDescent="0.3">
      <c r="A805" t="s">
        <v>820</v>
      </c>
      <c r="B805" t="s">
        <v>34</v>
      </c>
      <c r="C805" t="s">
        <v>14</v>
      </c>
      <c r="D805">
        <v>55</v>
      </c>
      <c r="E805" s="1">
        <v>42137</v>
      </c>
      <c r="F805">
        <v>4.63</v>
      </c>
      <c r="G805">
        <v>12</v>
      </c>
      <c r="H805">
        <v>10256.52</v>
      </c>
      <c r="I805">
        <v>10.5</v>
      </c>
    </row>
    <row r="806" spans="1:9" x14ac:dyDescent="0.3">
      <c r="A806" t="s">
        <v>821</v>
      </c>
      <c r="B806" t="s">
        <v>18</v>
      </c>
      <c r="C806" t="s">
        <v>14</v>
      </c>
      <c r="D806">
        <v>60</v>
      </c>
      <c r="E806" s="1">
        <v>41484</v>
      </c>
      <c r="F806">
        <v>1.58</v>
      </c>
      <c r="G806">
        <v>10</v>
      </c>
      <c r="H806">
        <v>7035.33</v>
      </c>
      <c r="I806">
        <v>12.3</v>
      </c>
    </row>
    <row r="807" spans="1:9" x14ac:dyDescent="0.3">
      <c r="A807" t="s">
        <v>822</v>
      </c>
      <c r="B807" t="s">
        <v>18</v>
      </c>
      <c r="C807" t="s">
        <v>11</v>
      </c>
      <c r="D807">
        <v>41</v>
      </c>
      <c r="E807" s="1">
        <v>42690</v>
      </c>
      <c r="F807">
        <v>2.4</v>
      </c>
      <c r="G807">
        <v>8</v>
      </c>
      <c r="H807">
        <v>14120.58</v>
      </c>
      <c r="I807">
        <v>9</v>
      </c>
    </row>
    <row r="808" spans="1:9" x14ac:dyDescent="0.3">
      <c r="A808" t="s">
        <v>823</v>
      </c>
      <c r="B808" t="s">
        <v>16</v>
      </c>
      <c r="C808" t="s">
        <v>14</v>
      </c>
      <c r="D808">
        <v>59</v>
      </c>
      <c r="E808" s="1">
        <v>45080</v>
      </c>
      <c r="F808">
        <v>4.67</v>
      </c>
      <c r="G808">
        <v>10</v>
      </c>
      <c r="H808">
        <v>11532.07</v>
      </c>
      <c r="I808">
        <v>2.4</v>
      </c>
    </row>
    <row r="809" spans="1:9" x14ac:dyDescent="0.3">
      <c r="A809" t="s">
        <v>824</v>
      </c>
      <c r="B809" t="s">
        <v>13</v>
      </c>
      <c r="C809" t="s">
        <v>14</v>
      </c>
      <c r="D809">
        <v>60</v>
      </c>
      <c r="E809" s="1">
        <v>41808</v>
      </c>
      <c r="F809">
        <v>1.76</v>
      </c>
      <c r="G809">
        <v>4</v>
      </c>
      <c r="H809">
        <v>6483.43</v>
      </c>
      <c r="I809">
        <v>11.4</v>
      </c>
    </row>
    <row r="810" spans="1:9" x14ac:dyDescent="0.3">
      <c r="A810" t="s">
        <v>825</v>
      </c>
      <c r="B810" t="s">
        <v>34</v>
      </c>
      <c r="C810" t="s">
        <v>11</v>
      </c>
      <c r="D810">
        <v>29</v>
      </c>
      <c r="E810" s="1">
        <v>41352</v>
      </c>
      <c r="F810">
        <v>3.31</v>
      </c>
      <c r="G810">
        <v>11</v>
      </c>
      <c r="H810">
        <v>5003.28</v>
      </c>
      <c r="I810">
        <v>12.6</v>
      </c>
    </row>
    <row r="811" spans="1:9" x14ac:dyDescent="0.3">
      <c r="A811" t="s">
        <v>826</v>
      </c>
      <c r="B811" t="s">
        <v>18</v>
      </c>
      <c r="C811" t="s">
        <v>14</v>
      </c>
      <c r="D811">
        <v>52</v>
      </c>
      <c r="E811" s="1">
        <v>43454</v>
      </c>
      <c r="F811">
        <v>3.4</v>
      </c>
      <c r="G811">
        <v>2</v>
      </c>
      <c r="H811">
        <v>8484.5</v>
      </c>
      <c r="I811">
        <v>6.9</v>
      </c>
    </row>
    <row r="812" spans="1:9" x14ac:dyDescent="0.3">
      <c r="A812" t="s">
        <v>827</v>
      </c>
      <c r="B812" t="s">
        <v>34</v>
      </c>
      <c r="C812" t="s">
        <v>11</v>
      </c>
      <c r="D812">
        <v>49</v>
      </c>
      <c r="E812" s="1">
        <v>44889</v>
      </c>
      <c r="F812">
        <v>3.9</v>
      </c>
      <c r="G812">
        <v>13</v>
      </c>
      <c r="H812">
        <v>7514.31</v>
      </c>
      <c r="I812">
        <v>2.9</v>
      </c>
    </row>
    <row r="813" spans="1:9" x14ac:dyDescent="0.3">
      <c r="A813" t="s">
        <v>828</v>
      </c>
      <c r="B813" t="s">
        <v>16</v>
      </c>
      <c r="C813" t="s">
        <v>11</v>
      </c>
      <c r="D813">
        <v>42</v>
      </c>
      <c r="E813" s="1">
        <v>45931</v>
      </c>
      <c r="F813">
        <v>3.85</v>
      </c>
      <c r="G813">
        <v>6</v>
      </c>
      <c r="H813">
        <v>6329.96</v>
      </c>
      <c r="I813">
        <v>0.1</v>
      </c>
    </row>
    <row r="814" spans="1:9" x14ac:dyDescent="0.3">
      <c r="A814" t="s">
        <v>829</v>
      </c>
      <c r="B814" t="s">
        <v>18</v>
      </c>
      <c r="C814" t="s">
        <v>14</v>
      </c>
      <c r="D814">
        <v>49</v>
      </c>
      <c r="E814" s="1">
        <v>40609</v>
      </c>
      <c r="F814">
        <v>3.55</v>
      </c>
      <c r="G814">
        <v>14</v>
      </c>
      <c r="H814">
        <v>3645.64</v>
      </c>
      <c r="I814">
        <v>14.7</v>
      </c>
    </row>
    <row r="815" spans="1:9" x14ac:dyDescent="0.3">
      <c r="A815" t="s">
        <v>830</v>
      </c>
      <c r="B815" t="s">
        <v>10</v>
      </c>
      <c r="C815" t="s">
        <v>11</v>
      </c>
      <c r="D815">
        <v>23</v>
      </c>
      <c r="E815" s="1">
        <v>40707</v>
      </c>
      <c r="F815">
        <v>4.53</v>
      </c>
      <c r="G815">
        <v>10</v>
      </c>
      <c r="H815">
        <v>7112.66</v>
      </c>
      <c r="I815">
        <v>14.4</v>
      </c>
    </row>
    <row r="816" spans="1:9" x14ac:dyDescent="0.3">
      <c r="A816" t="s">
        <v>831</v>
      </c>
      <c r="B816" t="s">
        <v>10</v>
      </c>
      <c r="C816" t="s">
        <v>11</v>
      </c>
      <c r="D816">
        <v>55</v>
      </c>
      <c r="E816" s="1">
        <v>41101</v>
      </c>
      <c r="F816">
        <v>1.52</v>
      </c>
      <c r="G816">
        <v>14</v>
      </c>
      <c r="H816">
        <v>12779.87</v>
      </c>
      <c r="I816">
        <v>13.3</v>
      </c>
    </row>
    <row r="817" spans="1:9" x14ac:dyDescent="0.3">
      <c r="A817" t="s">
        <v>832</v>
      </c>
      <c r="B817" t="s">
        <v>10</v>
      </c>
      <c r="C817" t="s">
        <v>11</v>
      </c>
      <c r="D817">
        <v>34</v>
      </c>
      <c r="E817" s="1">
        <v>44156</v>
      </c>
      <c r="F817">
        <v>1.67</v>
      </c>
      <c r="G817">
        <v>11</v>
      </c>
      <c r="H817">
        <v>13473.52</v>
      </c>
      <c r="I817">
        <v>4.9000000000000004</v>
      </c>
    </row>
    <row r="818" spans="1:9" x14ac:dyDescent="0.3">
      <c r="A818" t="s">
        <v>833</v>
      </c>
      <c r="B818" t="s">
        <v>24</v>
      </c>
      <c r="C818" t="s">
        <v>11</v>
      </c>
      <c r="D818">
        <v>52</v>
      </c>
      <c r="E818" s="1">
        <v>41666</v>
      </c>
      <c r="F818">
        <v>4.45</v>
      </c>
      <c r="G818">
        <v>7</v>
      </c>
      <c r="H818">
        <v>7753.63</v>
      </c>
      <c r="I818">
        <v>11.8</v>
      </c>
    </row>
    <row r="819" spans="1:9" x14ac:dyDescent="0.3">
      <c r="A819" t="s">
        <v>834</v>
      </c>
      <c r="B819" t="s">
        <v>10</v>
      </c>
      <c r="C819" t="s">
        <v>11</v>
      </c>
      <c r="D819">
        <v>27</v>
      </c>
      <c r="E819" s="1">
        <v>41900</v>
      </c>
      <c r="F819">
        <v>3.22</v>
      </c>
      <c r="G819">
        <v>14</v>
      </c>
      <c r="H819">
        <v>5412.29</v>
      </c>
      <c r="I819">
        <v>11.1</v>
      </c>
    </row>
    <row r="820" spans="1:9" x14ac:dyDescent="0.3">
      <c r="A820" t="s">
        <v>835</v>
      </c>
      <c r="B820" t="s">
        <v>10</v>
      </c>
      <c r="C820" t="s">
        <v>14</v>
      </c>
      <c r="D820">
        <v>56</v>
      </c>
      <c r="E820" s="1">
        <v>43872</v>
      </c>
      <c r="F820">
        <v>2.11</v>
      </c>
      <c r="G820">
        <v>0</v>
      </c>
      <c r="H820">
        <v>5868.16</v>
      </c>
      <c r="I820">
        <v>5.7</v>
      </c>
    </row>
    <row r="821" spans="1:9" x14ac:dyDescent="0.3">
      <c r="A821" t="s">
        <v>836</v>
      </c>
      <c r="B821" t="s">
        <v>16</v>
      </c>
      <c r="C821" t="s">
        <v>11</v>
      </c>
      <c r="D821">
        <v>38</v>
      </c>
      <c r="E821" s="1">
        <v>40229</v>
      </c>
      <c r="F821">
        <v>2.17</v>
      </c>
      <c r="G821">
        <v>9</v>
      </c>
      <c r="H821">
        <v>9088.18</v>
      </c>
      <c r="I821">
        <v>15.7</v>
      </c>
    </row>
    <row r="822" spans="1:9" x14ac:dyDescent="0.3">
      <c r="A822" t="s">
        <v>837</v>
      </c>
      <c r="B822" t="s">
        <v>16</v>
      </c>
      <c r="C822" t="s">
        <v>14</v>
      </c>
      <c r="D822">
        <v>45</v>
      </c>
      <c r="E822" s="1">
        <v>40615</v>
      </c>
      <c r="F822">
        <v>3.21</v>
      </c>
      <c r="G822">
        <v>12</v>
      </c>
      <c r="H822">
        <v>3055.43</v>
      </c>
      <c r="I822">
        <v>14.6</v>
      </c>
    </row>
    <row r="823" spans="1:9" x14ac:dyDescent="0.3">
      <c r="A823" t="s">
        <v>838</v>
      </c>
      <c r="B823" t="s">
        <v>24</v>
      </c>
      <c r="C823" t="s">
        <v>14</v>
      </c>
      <c r="D823">
        <v>35</v>
      </c>
      <c r="E823" s="1">
        <v>44933</v>
      </c>
      <c r="F823">
        <v>2.58</v>
      </c>
      <c r="G823">
        <v>13</v>
      </c>
      <c r="H823">
        <v>14707.36</v>
      </c>
      <c r="I823">
        <v>2.8</v>
      </c>
    </row>
    <row r="824" spans="1:9" x14ac:dyDescent="0.3">
      <c r="A824" t="s">
        <v>839</v>
      </c>
      <c r="B824" t="s">
        <v>16</v>
      </c>
      <c r="C824" t="s">
        <v>11</v>
      </c>
      <c r="D824">
        <v>59</v>
      </c>
      <c r="E824" s="1">
        <v>45887</v>
      </c>
      <c r="F824">
        <v>4.17</v>
      </c>
      <c r="G824">
        <v>3</v>
      </c>
      <c r="H824">
        <v>14604.37</v>
      </c>
      <c r="I824">
        <v>0.2</v>
      </c>
    </row>
    <row r="825" spans="1:9" x14ac:dyDescent="0.3">
      <c r="A825" t="s">
        <v>840</v>
      </c>
      <c r="B825" t="s">
        <v>16</v>
      </c>
      <c r="C825" t="s">
        <v>14</v>
      </c>
      <c r="D825">
        <v>33</v>
      </c>
      <c r="E825" s="1">
        <v>45136</v>
      </c>
      <c r="F825">
        <v>3.99</v>
      </c>
      <c r="G825">
        <v>0</v>
      </c>
      <c r="H825">
        <v>9825.83</v>
      </c>
      <c r="I825">
        <v>2.2999999999999998</v>
      </c>
    </row>
    <row r="826" spans="1:9" x14ac:dyDescent="0.3">
      <c r="A826" t="s">
        <v>841</v>
      </c>
      <c r="B826" t="s">
        <v>16</v>
      </c>
      <c r="C826" t="s">
        <v>14</v>
      </c>
      <c r="D826">
        <v>60</v>
      </c>
      <c r="E826" s="1">
        <v>43937</v>
      </c>
      <c r="F826">
        <v>2.64</v>
      </c>
      <c r="G826">
        <v>12</v>
      </c>
      <c r="H826">
        <v>7328.31</v>
      </c>
      <c r="I826">
        <v>5.5</v>
      </c>
    </row>
    <row r="827" spans="1:9" x14ac:dyDescent="0.3">
      <c r="A827" t="s">
        <v>842</v>
      </c>
      <c r="B827" t="s">
        <v>24</v>
      </c>
      <c r="C827" t="s">
        <v>11</v>
      </c>
      <c r="D827">
        <v>48</v>
      </c>
      <c r="E827" s="1">
        <v>43218</v>
      </c>
      <c r="F827">
        <v>4.7300000000000004</v>
      </c>
      <c r="G827">
        <v>12</v>
      </c>
      <c r="H827">
        <v>5179.67</v>
      </c>
      <c r="I827">
        <v>7.5</v>
      </c>
    </row>
    <row r="828" spans="1:9" x14ac:dyDescent="0.3">
      <c r="A828" t="s">
        <v>843</v>
      </c>
      <c r="B828" t="s">
        <v>34</v>
      </c>
      <c r="C828" t="s">
        <v>14</v>
      </c>
      <c r="D828">
        <v>24</v>
      </c>
      <c r="E828" s="1">
        <v>43556</v>
      </c>
      <c r="F828">
        <v>2.16</v>
      </c>
      <c r="G828">
        <v>14</v>
      </c>
      <c r="H828">
        <v>13117.72</v>
      </c>
      <c r="I828">
        <v>6.6</v>
      </c>
    </row>
    <row r="829" spans="1:9" x14ac:dyDescent="0.3">
      <c r="A829" t="s">
        <v>844</v>
      </c>
      <c r="B829" t="s">
        <v>34</v>
      </c>
      <c r="C829" t="s">
        <v>14</v>
      </c>
      <c r="D829">
        <v>56</v>
      </c>
      <c r="E829" s="1">
        <v>43965</v>
      </c>
      <c r="F829">
        <v>3.11</v>
      </c>
      <c r="G829">
        <v>2</v>
      </c>
      <c r="H829">
        <v>4294.87</v>
      </c>
      <c r="I829">
        <v>5.5</v>
      </c>
    </row>
    <row r="830" spans="1:9" x14ac:dyDescent="0.3">
      <c r="A830" t="s">
        <v>845</v>
      </c>
      <c r="B830" t="s">
        <v>13</v>
      </c>
      <c r="C830" t="s">
        <v>14</v>
      </c>
      <c r="D830">
        <v>45</v>
      </c>
      <c r="E830" s="1">
        <v>42224</v>
      </c>
      <c r="F830">
        <v>2.5</v>
      </c>
      <c r="G830">
        <v>9</v>
      </c>
      <c r="H830">
        <v>13568.85</v>
      </c>
      <c r="I830">
        <v>10.199999999999999</v>
      </c>
    </row>
    <row r="831" spans="1:9" x14ac:dyDescent="0.3">
      <c r="A831" t="s">
        <v>846</v>
      </c>
      <c r="B831" t="s">
        <v>13</v>
      </c>
      <c r="C831" t="s">
        <v>14</v>
      </c>
      <c r="D831">
        <v>58</v>
      </c>
      <c r="E831" s="1">
        <v>43531</v>
      </c>
      <c r="F831">
        <v>1.84</v>
      </c>
      <c r="G831">
        <v>13</v>
      </c>
      <c r="H831">
        <v>13378.14</v>
      </c>
      <c r="I831">
        <v>6.7</v>
      </c>
    </row>
    <row r="832" spans="1:9" x14ac:dyDescent="0.3">
      <c r="A832" t="s">
        <v>847</v>
      </c>
      <c r="B832" t="s">
        <v>13</v>
      </c>
      <c r="C832" t="s">
        <v>14</v>
      </c>
      <c r="D832">
        <v>24</v>
      </c>
      <c r="E832" s="1">
        <v>44986</v>
      </c>
      <c r="F832">
        <v>2.46</v>
      </c>
      <c r="G832">
        <v>12</v>
      </c>
      <c r="H832">
        <v>3151.79</v>
      </c>
      <c r="I832">
        <v>2.7</v>
      </c>
    </row>
    <row r="833" spans="1:9" x14ac:dyDescent="0.3">
      <c r="A833" t="s">
        <v>848</v>
      </c>
      <c r="B833" t="s">
        <v>18</v>
      </c>
      <c r="C833" t="s">
        <v>14</v>
      </c>
      <c r="D833">
        <v>46</v>
      </c>
      <c r="E833" s="1">
        <v>42979</v>
      </c>
      <c r="F833">
        <v>4.28</v>
      </c>
      <c r="G833">
        <v>6</v>
      </c>
      <c r="H833">
        <v>3231.04</v>
      </c>
      <c r="I833">
        <v>8.1999999999999993</v>
      </c>
    </row>
    <row r="834" spans="1:9" x14ac:dyDescent="0.3">
      <c r="A834" t="s">
        <v>849</v>
      </c>
      <c r="B834" t="s">
        <v>16</v>
      </c>
      <c r="C834" t="s">
        <v>11</v>
      </c>
      <c r="D834">
        <v>55</v>
      </c>
      <c r="E834" s="1">
        <v>44658</v>
      </c>
      <c r="F834">
        <v>3.37</v>
      </c>
      <c r="G834">
        <v>3</v>
      </c>
      <c r="H834">
        <v>13976.07</v>
      </c>
      <c r="I834">
        <v>3.6</v>
      </c>
    </row>
    <row r="835" spans="1:9" x14ac:dyDescent="0.3">
      <c r="A835" t="s">
        <v>850</v>
      </c>
      <c r="B835" t="s">
        <v>16</v>
      </c>
      <c r="C835" t="s">
        <v>11</v>
      </c>
      <c r="D835">
        <v>24</v>
      </c>
      <c r="E835" s="1">
        <v>44479</v>
      </c>
      <c r="F835">
        <v>3.91</v>
      </c>
      <c r="G835">
        <v>13</v>
      </c>
      <c r="H835">
        <v>3149.95</v>
      </c>
      <c r="I835">
        <v>4.0999999999999996</v>
      </c>
    </row>
    <row r="836" spans="1:9" x14ac:dyDescent="0.3">
      <c r="A836" t="s">
        <v>851</v>
      </c>
      <c r="B836" t="s">
        <v>24</v>
      </c>
      <c r="C836" t="s">
        <v>11</v>
      </c>
      <c r="D836">
        <v>45</v>
      </c>
      <c r="E836" s="1">
        <v>45904</v>
      </c>
      <c r="F836">
        <v>3.78</v>
      </c>
      <c r="G836">
        <v>0</v>
      </c>
      <c r="H836">
        <v>12672.74</v>
      </c>
      <c r="I836">
        <v>0.2</v>
      </c>
    </row>
    <row r="837" spans="1:9" x14ac:dyDescent="0.3">
      <c r="A837" t="s">
        <v>852</v>
      </c>
      <c r="B837" t="s">
        <v>16</v>
      </c>
      <c r="C837" t="s">
        <v>14</v>
      </c>
      <c r="D837">
        <v>40</v>
      </c>
      <c r="E837" s="1">
        <v>41425</v>
      </c>
      <c r="F837">
        <v>4.3600000000000003</v>
      </c>
      <c r="G837">
        <v>10</v>
      </c>
      <c r="H837">
        <v>11739.09</v>
      </c>
      <c r="I837">
        <v>12.4</v>
      </c>
    </row>
    <row r="838" spans="1:9" x14ac:dyDescent="0.3">
      <c r="A838" t="s">
        <v>853</v>
      </c>
      <c r="B838" t="s">
        <v>34</v>
      </c>
      <c r="C838" t="s">
        <v>11</v>
      </c>
      <c r="D838">
        <v>48</v>
      </c>
      <c r="E838" s="1">
        <v>42287</v>
      </c>
      <c r="F838">
        <v>2.34</v>
      </c>
      <c r="G838">
        <v>10</v>
      </c>
      <c r="H838">
        <v>6901.57</v>
      </c>
      <c r="I838">
        <v>10.1</v>
      </c>
    </row>
    <row r="839" spans="1:9" x14ac:dyDescent="0.3">
      <c r="A839" t="s">
        <v>854</v>
      </c>
      <c r="B839" t="s">
        <v>13</v>
      </c>
      <c r="C839" t="s">
        <v>11</v>
      </c>
      <c r="D839">
        <v>56</v>
      </c>
      <c r="E839" s="1">
        <v>44894</v>
      </c>
      <c r="F839">
        <v>4.1500000000000004</v>
      </c>
      <c r="G839">
        <v>9</v>
      </c>
      <c r="H839">
        <v>7871.94</v>
      </c>
      <c r="I839">
        <v>2.9</v>
      </c>
    </row>
    <row r="840" spans="1:9" x14ac:dyDescent="0.3">
      <c r="A840" t="s">
        <v>855</v>
      </c>
      <c r="B840" t="s">
        <v>16</v>
      </c>
      <c r="C840" t="s">
        <v>14</v>
      </c>
      <c r="D840">
        <v>22</v>
      </c>
      <c r="E840" s="1">
        <v>43692</v>
      </c>
      <c r="F840">
        <v>2.39</v>
      </c>
      <c r="G840">
        <v>0</v>
      </c>
      <c r="H840">
        <v>5354.46</v>
      </c>
      <c r="I840">
        <v>6.2</v>
      </c>
    </row>
    <row r="841" spans="1:9" x14ac:dyDescent="0.3">
      <c r="A841" t="s">
        <v>856</v>
      </c>
      <c r="B841" t="s">
        <v>16</v>
      </c>
      <c r="C841" t="s">
        <v>11</v>
      </c>
      <c r="D841">
        <v>34</v>
      </c>
      <c r="E841" s="1">
        <v>44057</v>
      </c>
      <c r="F841">
        <v>2.46</v>
      </c>
      <c r="G841">
        <v>4</v>
      </c>
      <c r="H841">
        <v>6655.59</v>
      </c>
      <c r="I841">
        <v>5.2</v>
      </c>
    </row>
    <row r="842" spans="1:9" x14ac:dyDescent="0.3">
      <c r="A842" t="s">
        <v>857</v>
      </c>
      <c r="B842" t="s">
        <v>16</v>
      </c>
      <c r="C842" t="s">
        <v>14</v>
      </c>
      <c r="D842">
        <v>49</v>
      </c>
      <c r="E842" s="1">
        <v>44079</v>
      </c>
      <c r="F842">
        <v>4.42</v>
      </c>
      <c r="G842">
        <v>5</v>
      </c>
      <c r="H842">
        <v>8083.32</v>
      </c>
      <c r="I842">
        <v>5.2</v>
      </c>
    </row>
    <row r="843" spans="1:9" x14ac:dyDescent="0.3">
      <c r="A843" t="s">
        <v>858</v>
      </c>
      <c r="B843" t="s">
        <v>16</v>
      </c>
      <c r="C843" t="s">
        <v>14</v>
      </c>
      <c r="D843">
        <v>49</v>
      </c>
      <c r="E843" s="1">
        <v>41274</v>
      </c>
      <c r="F843">
        <v>3.43</v>
      </c>
      <c r="G843">
        <v>8</v>
      </c>
      <c r="H843">
        <v>14134.6</v>
      </c>
      <c r="I843">
        <v>12.8</v>
      </c>
    </row>
    <row r="844" spans="1:9" x14ac:dyDescent="0.3">
      <c r="A844" t="s">
        <v>859</v>
      </c>
      <c r="B844" t="s">
        <v>18</v>
      </c>
      <c r="C844" t="s">
        <v>14</v>
      </c>
      <c r="D844">
        <v>33</v>
      </c>
      <c r="E844" s="1">
        <v>40206</v>
      </c>
      <c r="F844">
        <v>1.68</v>
      </c>
      <c r="G844">
        <v>12</v>
      </c>
      <c r="H844">
        <v>8968.7800000000007</v>
      </c>
      <c r="I844">
        <v>15.8</v>
      </c>
    </row>
    <row r="845" spans="1:9" x14ac:dyDescent="0.3">
      <c r="A845" t="s">
        <v>860</v>
      </c>
      <c r="B845" t="s">
        <v>16</v>
      </c>
      <c r="C845" t="s">
        <v>14</v>
      </c>
      <c r="D845">
        <v>44</v>
      </c>
      <c r="E845" s="1">
        <v>45385</v>
      </c>
      <c r="F845">
        <v>3.46</v>
      </c>
      <c r="G845">
        <v>12</v>
      </c>
      <c r="H845">
        <v>3343.47</v>
      </c>
      <c r="I845">
        <v>1.6</v>
      </c>
    </row>
    <row r="846" spans="1:9" x14ac:dyDescent="0.3">
      <c r="A846" t="s">
        <v>861</v>
      </c>
      <c r="B846" t="s">
        <v>16</v>
      </c>
      <c r="C846" t="s">
        <v>14</v>
      </c>
      <c r="D846">
        <v>27</v>
      </c>
      <c r="E846" s="1">
        <v>45524</v>
      </c>
      <c r="F846">
        <v>1.51</v>
      </c>
      <c r="G846">
        <v>2</v>
      </c>
      <c r="H846">
        <v>13322.79</v>
      </c>
      <c r="I846">
        <v>1.2</v>
      </c>
    </row>
    <row r="847" spans="1:9" x14ac:dyDescent="0.3">
      <c r="A847" t="s">
        <v>862</v>
      </c>
      <c r="B847" t="s">
        <v>34</v>
      </c>
      <c r="C847" t="s">
        <v>14</v>
      </c>
      <c r="D847">
        <v>35</v>
      </c>
      <c r="E847" s="1">
        <v>43092</v>
      </c>
      <c r="F847">
        <v>3.17</v>
      </c>
      <c r="G847">
        <v>5</v>
      </c>
      <c r="H847">
        <v>6104.3</v>
      </c>
      <c r="I847">
        <v>7.9</v>
      </c>
    </row>
    <row r="848" spans="1:9" x14ac:dyDescent="0.3">
      <c r="A848" t="s">
        <v>863</v>
      </c>
      <c r="B848" t="s">
        <v>18</v>
      </c>
      <c r="C848" t="s">
        <v>14</v>
      </c>
      <c r="D848">
        <v>52</v>
      </c>
      <c r="E848" s="1">
        <v>43964</v>
      </c>
      <c r="F848">
        <v>3.25</v>
      </c>
      <c r="G848">
        <v>5</v>
      </c>
      <c r="H848">
        <v>5004.3599999999997</v>
      </c>
      <c r="I848">
        <v>5.5</v>
      </c>
    </row>
    <row r="849" spans="1:9" x14ac:dyDescent="0.3">
      <c r="A849" t="s">
        <v>864</v>
      </c>
      <c r="B849" t="s">
        <v>13</v>
      </c>
      <c r="C849" t="s">
        <v>14</v>
      </c>
      <c r="D849">
        <v>36</v>
      </c>
      <c r="E849" s="1">
        <v>41844</v>
      </c>
      <c r="F849">
        <v>2.46</v>
      </c>
      <c r="G849">
        <v>10</v>
      </c>
      <c r="H849">
        <v>7880.73</v>
      </c>
      <c r="I849">
        <v>11.3</v>
      </c>
    </row>
    <row r="850" spans="1:9" x14ac:dyDescent="0.3">
      <c r="A850" t="s">
        <v>865</v>
      </c>
      <c r="B850" t="s">
        <v>16</v>
      </c>
      <c r="C850" t="s">
        <v>11</v>
      </c>
      <c r="D850">
        <v>33</v>
      </c>
      <c r="E850" s="1">
        <v>42968</v>
      </c>
      <c r="F850">
        <v>4.49</v>
      </c>
      <c r="G850">
        <v>7</v>
      </c>
      <c r="H850">
        <v>9044.84</v>
      </c>
      <c r="I850">
        <v>8.1999999999999993</v>
      </c>
    </row>
    <row r="851" spans="1:9" x14ac:dyDescent="0.3">
      <c r="A851" t="s">
        <v>866</v>
      </c>
      <c r="B851" t="s">
        <v>16</v>
      </c>
      <c r="C851" t="s">
        <v>14</v>
      </c>
      <c r="D851">
        <v>46</v>
      </c>
      <c r="E851" s="1">
        <v>45249</v>
      </c>
      <c r="F851">
        <v>1.85</v>
      </c>
      <c r="G851">
        <v>6</v>
      </c>
      <c r="H851">
        <v>14093.17</v>
      </c>
      <c r="I851">
        <v>2</v>
      </c>
    </row>
    <row r="852" spans="1:9" x14ac:dyDescent="0.3">
      <c r="A852" t="s">
        <v>867</v>
      </c>
      <c r="B852" t="s">
        <v>18</v>
      </c>
      <c r="C852" t="s">
        <v>11</v>
      </c>
      <c r="D852">
        <v>23</v>
      </c>
      <c r="E852" s="1">
        <v>44414</v>
      </c>
      <c r="F852">
        <v>3.7</v>
      </c>
      <c r="G852">
        <v>5</v>
      </c>
      <c r="H852">
        <v>11343.5</v>
      </c>
      <c r="I852">
        <v>4.2</v>
      </c>
    </row>
    <row r="853" spans="1:9" x14ac:dyDescent="0.3">
      <c r="A853" t="s">
        <v>868</v>
      </c>
      <c r="B853" t="s">
        <v>18</v>
      </c>
      <c r="C853" t="s">
        <v>11</v>
      </c>
      <c r="D853">
        <v>44</v>
      </c>
      <c r="E853" s="1">
        <v>40784</v>
      </c>
      <c r="F853">
        <v>4.7300000000000004</v>
      </c>
      <c r="G853">
        <v>2</v>
      </c>
      <c r="H853">
        <v>13356.31</v>
      </c>
      <c r="I853">
        <v>14.2</v>
      </c>
    </row>
    <row r="854" spans="1:9" x14ac:dyDescent="0.3">
      <c r="A854" t="s">
        <v>869</v>
      </c>
      <c r="B854" t="s">
        <v>18</v>
      </c>
      <c r="C854" t="s">
        <v>14</v>
      </c>
      <c r="D854">
        <v>54</v>
      </c>
      <c r="E854" s="1">
        <v>44806</v>
      </c>
      <c r="F854">
        <v>3.06</v>
      </c>
      <c r="G854">
        <v>13</v>
      </c>
      <c r="H854">
        <v>14936.96</v>
      </c>
      <c r="I854">
        <v>3.2</v>
      </c>
    </row>
    <row r="855" spans="1:9" x14ac:dyDescent="0.3">
      <c r="A855" t="s">
        <v>870</v>
      </c>
      <c r="B855" t="s">
        <v>16</v>
      </c>
      <c r="C855" t="s">
        <v>14</v>
      </c>
      <c r="D855">
        <v>53</v>
      </c>
      <c r="E855" s="1">
        <v>45308</v>
      </c>
      <c r="F855">
        <v>2.33</v>
      </c>
      <c r="G855">
        <v>2</v>
      </c>
      <c r="H855">
        <v>13766.88</v>
      </c>
      <c r="I855">
        <v>1.8</v>
      </c>
    </row>
    <row r="856" spans="1:9" x14ac:dyDescent="0.3">
      <c r="A856" t="s">
        <v>871</v>
      </c>
      <c r="B856" t="s">
        <v>10</v>
      </c>
      <c r="C856" t="s">
        <v>11</v>
      </c>
      <c r="D856">
        <v>23</v>
      </c>
      <c r="E856" s="1">
        <v>42619</v>
      </c>
      <c r="F856">
        <v>3.85</v>
      </c>
      <c r="G856">
        <v>0</v>
      </c>
      <c r="H856">
        <v>5871.49</v>
      </c>
      <c r="I856">
        <v>9.1999999999999993</v>
      </c>
    </row>
    <row r="857" spans="1:9" x14ac:dyDescent="0.3">
      <c r="A857" t="s">
        <v>872</v>
      </c>
      <c r="B857" t="s">
        <v>10</v>
      </c>
      <c r="C857" t="s">
        <v>14</v>
      </c>
      <c r="D857">
        <v>59</v>
      </c>
      <c r="E857" s="1">
        <v>41889</v>
      </c>
      <c r="F857">
        <v>4.1900000000000004</v>
      </c>
      <c r="G857">
        <v>7</v>
      </c>
      <c r="H857">
        <v>6643.71</v>
      </c>
      <c r="I857">
        <v>11.2</v>
      </c>
    </row>
    <row r="858" spans="1:9" x14ac:dyDescent="0.3">
      <c r="A858" t="s">
        <v>873</v>
      </c>
      <c r="B858" t="s">
        <v>24</v>
      </c>
      <c r="C858" t="s">
        <v>11</v>
      </c>
      <c r="D858">
        <v>51</v>
      </c>
      <c r="E858" s="1">
        <v>44500</v>
      </c>
      <c r="F858">
        <v>1.98</v>
      </c>
      <c r="G858">
        <v>13</v>
      </c>
      <c r="H858">
        <v>4446.55</v>
      </c>
      <c r="I858">
        <v>4</v>
      </c>
    </row>
    <row r="859" spans="1:9" x14ac:dyDescent="0.3">
      <c r="A859" t="s">
        <v>874</v>
      </c>
      <c r="B859" t="s">
        <v>13</v>
      </c>
      <c r="C859" t="s">
        <v>14</v>
      </c>
      <c r="D859">
        <v>42</v>
      </c>
      <c r="E859" s="1">
        <v>45765</v>
      </c>
      <c r="F859">
        <v>4.74</v>
      </c>
      <c r="G859">
        <v>11</v>
      </c>
      <c r="H859">
        <v>3491.61</v>
      </c>
      <c r="I859">
        <v>0.5</v>
      </c>
    </row>
    <row r="860" spans="1:9" x14ac:dyDescent="0.3">
      <c r="A860" t="s">
        <v>875</v>
      </c>
      <c r="B860" t="s">
        <v>24</v>
      </c>
      <c r="C860" t="s">
        <v>14</v>
      </c>
      <c r="D860">
        <v>50</v>
      </c>
      <c r="E860" s="1">
        <v>43693</v>
      </c>
      <c r="F860">
        <v>4.22</v>
      </c>
      <c r="G860">
        <v>7</v>
      </c>
      <c r="H860">
        <v>4533.45</v>
      </c>
      <c r="I860">
        <v>6.2</v>
      </c>
    </row>
    <row r="861" spans="1:9" x14ac:dyDescent="0.3">
      <c r="A861" t="s">
        <v>876</v>
      </c>
      <c r="B861" t="s">
        <v>18</v>
      </c>
      <c r="C861" t="s">
        <v>14</v>
      </c>
      <c r="D861">
        <v>45</v>
      </c>
      <c r="E861" s="1">
        <v>44823</v>
      </c>
      <c r="F861">
        <v>2.2599999999999998</v>
      </c>
      <c r="G861">
        <v>7</v>
      </c>
      <c r="H861">
        <v>10812.27</v>
      </c>
      <c r="I861">
        <v>3.1</v>
      </c>
    </row>
    <row r="862" spans="1:9" x14ac:dyDescent="0.3">
      <c r="A862" t="s">
        <v>877</v>
      </c>
      <c r="B862" t="s">
        <v>10</v>
      </c>
      <c r="C862" t="s">
        <v>14</v>
      </c>
      <c r="D862">
        <v>26</v>
      </c>
      <c r="E862" s="1">
        <v>41933</v>
      </c>
      <c r="F862">
        <v>3.73</v>
      </c>
      <c r="G862">
        <v>14</v>
      </c>
      <c r="H862">
        <v>4424.92</v>
      </c>
      <c r="I862">
        <v>11</v>
      </c>
    </row>
    <row r="863" spans="1:9" x14ac:dyDescent="0.3">
      <c r="A863" t="s">
        <v>878</v>
      </c>
      <c r="B863" t="s">
        <v>24</v>
      </c>
      <c r="C863" t="s">
        <v>14</v>
      </c>
      <c r="D863">
        <v>46</v>
      </c>
      <c r="E863" s="1">
        <v>40959</v>
      </c>
      <c r="F863">
        <v>2.95</v>
      </c>
      <c r="G863">
        <v>0</v>
      </c>
      <c r="H863">
        <v>14804.58</v>
      </c>
      <c r="I863">
        <v>13.7</v>
      </c>
    </row>
    <row r="864" spans="1:9" x14ac:dyDescent="0.3">
      <c r="A864" t="s">
        <v>879</v>
      </c>
      <c r="B864" t="s">
        <v>34</v>
      </c>
      <c r="C864" t="s">
        <v>11</v>
      </c>
      <c r="D864">
        <v>55</v>
      </c>
      <c r="E864" s="1">
        <v>45731</v>
      </c>
      <c r="F864">
        <v>2.72</v>
      </c>
      <c r="G864">
        <v>6</v>
      </c>
      <c r="H864">
        <v>13872.58</v>
      </c>
      <c r="I864">
        <v>0.6</v>
      </c>
    </row>
    <row r="865" spans="1:9" x14ac:dyDescent="0.3">
      <c r="A865" t="s">
        <v>880</v>
      </c>
      <c r="B865" t="s">
        <v>13</v>
      </c>
      <c r="C865" t="s">
        <v>11</v>
      </c>
      <c r="D865">
        <v>40</v>
      </c>
      <c r="E865" s="1">
        <v>43825</v>
      </c>
      <c r="F865">
        <v>3.72</v>
      </c>
      <c r="G865">
        <v>2</v>
      </c>
      <c r="H865">
        <v>13491.06</v>
      </c>
      <c r="I865">
        <v>5.9</v>
      </c>
    </row>
    <row r="866" spans="1:9" x14ac:dyDescent="0.3">
      <c r="A866" t="s">
        <v>881</v>
      </c>
      <c r="B866" t="s">
        <v>13</v>
      </c>
      <c r="C866" t="s">
        <v>14</v>
      </c>
      <c r="D866">
        <v>37</v>
      </c>
      <c r="E866" s="1">
        <v>40941</v>
      </c>
      <c r="F866">
        <v>2.52</v>
      </c>
      <c r="G866">
        <v>7</v>
      </c>
      <c r="H866">
        <v>8705</v>
      </c>
      <c r="I866">
        <v>13.8</v>
      </c>
    </row>
    <row r="867" spans="1:9" x14ac:dyDescent="0.3">
      <c r="A867" t="s">
        <v>882</v>
      </c>
      <c r="B867" t="s">
        <v>34</v>
      </c>
      <c r="C867" t="s">
        <v>14</v>
      </c>
      <c r="D867">
        <v>25</v>
      </c>
      <c r="E867" s="1">
        <v>42340</v>
      </c>
      <c r="F867">
        <v>4.9800000000000004</v>
      </c>
      <c r="G867">
        <v>2</v>
      </c>
      <c r="H867">
        <v>12598.62</v>
      </c>
      <c r="I867">
        <v>9.9</v>
      </c>
    </row>
    <row r="868" spans="1:9" x14ac:dyDescent="0.3">
      <c r="A868" t="s">
        <v>883</v>
      </c>
      <c r="B868" t="s">
        <v>34</v>
      </c>
      <c r="C868" t="s">
        <v>11</v>
      </c>
      <c r="D868">
        <v>43</v>
      </c>
      <c r="E868" s="1">
        <v>44426</v>
      </c>
      <c r="F868">
        <v>4.78</v>
      </c>
      <c r="G868">
        <v>7</v>
      </c>
      <c r="H868">
        <v>9389.4599999999991</v>
      </c>
      <c r="I868">
        <v>4.2</v>
      </c>
    </row>
    <row r="869" spans="1:9" x14ac:dyDescent="0.3">
      <c r="A869" t="s">
        <v>884</v>
      </c>
      <c r="B869" t="s">
        <v>16</v>
      </c>
      <c r="C869" t="s">
        <v>11</v>
      </c>
      <c r="D869">
        <v>37</v>
      </c>
      <c r="E869" s="1">
        <v>44317</v>
      </c>
      <c r="F869">
        <v>3</v>
      </c>
      <c r="G869">
        <v>6</v>
      </c>
      <c r="H869">
        <v>14649.85</v>
      </c>
      <c r="I869">
        <v>4.5</v>
      </c>
    </row>
    <row r="870" spans="1:9" x14ac:dyDescent="0.3">
      <c r="A870" t="s">
        <v>885</v>
      </c>
      <c r="B870" t="s">
        <v>18</v>
      </c>
      <c r="C870" t="s">
        <v>14</v>
      </c>
      <c r="D870">
        <v>24</v>
      </c>
      <c r="E870" s="1">
        <v>43062</v>
      </c>
      <c r="F870">
        <v>3.56</v>
      </c>
      <c r="G870">
        <v>9</v>
      </c>
      <c r="H870">
        <v>10844.52</v>
      </c>
      <c r="I870">
        <v>7.9</v>
      </c>
    </row>
    <row r="871" spans="1:9" x14ac:dyDescent="0.3">
      <c r="A871" t="s">
        <v>886</v>
      </c>
      <c r="B871" t="s">
        <v>24</v>
      </c>
      <c r="C871" t="s">
        <v>11</v>
      </c>
      <c r="D871">
        <v>48</v>
      </c>
      <c r="E871" s="1">
        <v>44187</v>
      </c>
      <c r="F871">
        <v>3.97</v>
      </c>
      <c r="G871">
        <v>14</v>
      </c>
      <c r="H871">
        <v>7138.36</v>
      </c>
      <c r="I871">
        <v>4.9000000000000004</v>
      </c>
    </row>
    <row r="872" spans="1:9" x14ac:dyDescent="0.3">
      <c r="A872" t="s">
        <v>887</v>
      </c>
      <c r="B872" t="s">
        <v>13</v>
      </c>
      <c r="C872" t="s">
        <v>11</v>
      </c>
      <c r="D872">
        <v>54</v>
      </c>
      <c r="E872" s="1">
        <v>41382</v>
      </c>
      <c r="F872">
        <v>4.66</v>
      </c>
      <c r="G872">
        <v>11</v>
      </c>
      <c r="H872">
        <v>12873.98</v>
      </c>
      <c r="I872">
        <v>12.5</v>
      </c>
    </row>
    <row r="873" spans="1:9" x14ac:dyDescent="0.3">
      <c r="A873" t="s">
        <v>888</v>
      </c>
      <c r="B873" t="s">
        <v>24</v>
      </c>
      <c r="C873" t="s">
        <v>14</v>
      </c>
      <c r="D873">
        <v>59</v>
      </c>
      <c r="E873" s="1">
        <v>43705</v>
      </c>
      <c r="F873">
        <v>2.35</v>
      </c>
      <c r="G873">
        <v>0</v>
      </c>
      <c r="H873">
        <v>14950.32</v>
      </c>
      <c r="I873">
        <v>6.2</v>
      </c>
    </row>
    <row r="874" spans="1:9" x14ac:dyDescent="0.3">
      <c r="A874" t="s">
        <v>889</v>
      </c>
      <c r="B874" t="s">
        <v>13</v>
      </c>
      <c r="C874" t="s">
        <v>11</v>
      </c>
      <c r="D874">
        <v>35</v>
      </c>
      <c r="E874" s="1">
        <v>41105</v>
      </c>
      <c r="F874">
        <v>1.62</v>
      </c>
      <c r="G874">
        <v>7</v>
      </c>
      <c r="H874">
        <v>8388.7999999999993</v>
      </c>
      <c r="I874">
        <v>13.3</v>
      </c>
    </row>
    <row r="875" spans="1:9" x14ac:dyDescent="0.3">
      <c r="A875" t="s">
        <v>890</v>
      </c>
      <c r="B875" t="s">
        <v>24</v>
      </c>
      <c r="C875" t="s">
        <v>11</v>
      </c>
      <c r="D875">
        <v>47</v>
      </c>
      <c r="E875" s="1">
        <v>45675</v>
      </c>
      <c r="F875">
        <v>4.32</v>
      </c>
      <c r="G875">
        <v>7</v>
      </c>
      <c r="H875">
        <v>4626.32</v>
      </c>
      <c r="I875">
        <v>0.8</v>
      </c>
    </row>
    <row r="876" spans="1:9" x14ac:dyDescent="0.3">
      <c r="A876" t="s">
        <v>891</v>
      </c>
      <c r="B876" t="s">
        <v>34</v>
      </c>
      <c r="C876" t="s">
        <v>11</v>
      </c>
      <c r="D876">
        <v>22</v>
      </c>
      <c r="E876" s="1">
        <v>41040</v>
      </c>
      <c r="F876">
        <v>3.65</v>
      </c>
      <c r="G876">
        <v>12</v>
      </c>
      <c r="H876">
        <v>6696.6</v>
      </c>
      <c r="I876">
        <v>13.5</v>
      </c>
    </row>
    <row r="877" spans="1:9" x14ac:dyDescent="0.3">
      <c r="A877" t="s">
        <v>892</v>
      </c>
      <c r="B877" t="s">
        <v>13</v>
      </c>
      <c r="C877" t="s">
        <v>14</v>
      </c>
      <c r="D877">
        <v>53</v>
      </c>
      <c r="E877" s="1">
        <v>41077</v>
      </c>
      <c r="F877">
        <v>2.16</v>
      </c>
      <c r="G877">
        <v>8</v>
      </c>
      <c r="H877">
        <v>6515.2</v>
      </c>
      <c r="I877">
        <v>13.4</v>
      </c>
    </row>
    <row r="878" spans="1:9" x14ac:dyDescent="0.3">
      <c r="A878" t="s">
        <v>893</v>
      </c>
      <c r="B878" t="s">
        <v>16</v>
      </c>
      <c r="C878" t="s">
        <v>11</v>
      </c>
      <c r="D878">
        <v>38</v>
      </c>
      <c r="E878" s="1">
        <v>42344</v>
      </c>
      <c r="F878">
        <v>1.67</v>
      </c>
      <c r="G878">
        <v>8</v>
      </c>
      <c r="H878">
        <v>4276.96</v>
      </c>
      <c r="I878">
        <v>9.9</v>
      </c>
    </row>
    <row r="879" spans="1:9" x14ac:dyDescent="0.3">
      <c r="A879" t="s">
        <v>894</v>
      </c>
      <c r="B879" t="s">
        <v>16</v>
      </c>
      <c r="C879" t="s">
        <v>11</v>
      </c>
      <c r="D879">
        <v>27</v>
      </c>
      <c r="E879" s="1">
        <v>40421</v>
      </c>
      <c r="F879">
        <v>1.8</v>
      </c>
      <c r="G879">
        <v>14</v>
      </c>
      <c r="H879">
        <v>6027.94</v>
      </c>
      <c r="I879">
        <v>15.2</v>
      </c>
    </row>
    <row r="880" spans="1:9" x14ac:dyDescent="0.3">
      <c r="A880" t="s">
        <v>895</v>
      </c>
      <c r="B880" t="s">
        <v>24</v>
      </c>
      <c r="C880" t="s">
        <v>14</v>
      </c>
      <c r="D880">
        <v>39</v>
      </c>
      <c r="E880" s="1">
        <v>40807</v>
      </c>
      <c r="F880">
        <v>4.3099999999999996</v>
      </c>
      <c r="G880">
        <v>11</v>
      </c>
      <c r="H880">
        <v>6653.78</v>
      </c>
      <c r="I880">
        <v>14.1</v>
      </c>
    </row>
    <row r="881" spans="1:9" x14ac:dyDescent="0.3">
      <c r="A881" t="s">
        <v>896</v>
      </c>
      <c r="B881" t="s">
        <v>24</v>
      </c>
      <c r="C881" t="s">
        <v>14</v>
      </c>
      <c r="D881">
        <v>28</v>
      </c>
      <c r="E881" s="1">
        <v>42220</v>
      </c>
      <c r="F881">
        <v>4.7</v>
      </c>
      <c r="G881">
        <v>15</v>
      </c>
      <c r="H881">
        <v>8776.66</v>
      </c>
      <c r="I881">
        <v>10.3</v>
      </c>
    </row>
    <row r="882" spans="1:9" x14ac:dyDescent="0.3">
      <c r="A882" t="s">
        <v>897</v>
      </c>
      <c r="B882" t="s">
        <v>10</v>
      </c>
      <c r="C882" t="s">
        <v>14</v>
      </c>
      <c r="D882">
        <v>28</v>
      </c>
      <c r="E882" s="1">
        <v>42007</v>
      </c>
      <c r="F882">
        <v>3.71</v>
      </c>
      <c r="G882">
        <v>9</v>
      </c>
      <c r="H882">
        <v>13574.1</v>
      </c>
      <c r="I882">
        <v>10.8</v>
      </c>
    </row>
    <row r="883" spans="1:9" x14ac:dyDescent="0.3">
      <c r="A883" t="s">
        <v>898</v>
      </c>
      <c r="B883" t="s">
        <v>24</v>
      </c>
      <c r="C883" t="s">
        <v>11</v>
      </c>
      <c r="D883">
        <v>40</v>
      </c>
      <c r="E883" s="1">
        <v>41066</v>
      </c>
      <c r="F883">
        <v>4.76</v>
      </c>
      <c r="G883">
        <v>13</v>
      </c>
      <c r="H883">
        <v>5543.1</v>
      </c>
      <c r="I883">
        <v>13.4</v>
      </c>
    </row>
    <row r="884" spans="1:9" x14ac:dyDescent="0.3">
      <c r="A884" t="s">
        <v>899</v>
      </c>
      <c r="B884" t="s">
        <v>13</v>
      </c>
      <c r="C884" t="s">
        <v>14</v>
      </c>
      <c r="D884">
        <v>41</v>
      </c>
      <c r="E884" s="1">
        <v>40619</v>
      </c>
      <c r="F884">
        <v>1.94</v>
      </c>
      <c r="G884">
        <v>4</v>
      </c>
      <c r="H884">
        <v>13578.05</v>
      </c>
      <c r="I884">
        <v>14.6</v>
      </c>
    </row>
    <row r="885" spans="1:9" x14ac:dyDescent="0.3">
      <c r="A885" t="s">
        <v>900</v>
      </c>
      <c r="B885" t="s">
        <v>34</v>
      </c>
      <c r="C885" t="s">
        <v>14</v>
      </c>
      <c r="D885">
        <v>28</v>
      </c>
      <c r="E885" s="1">
        <v>40554</v>
      </c>
      <c r="F885">
        <v>3.53</v>
      </c>
      <c r="G885">
        <v>0</v>
      </c>
      <c r="H885">
        <v>5268.87</v>
      </c>
      <c r="I885">
        <v>14.8</v>
      </c>
    </row>
    <row r="886" spans="1:9" x14ac:dyDescent="0.3">
      <c r="A886" t="s">
        <v>901</v>
      </c>
      <c r="B886" t="s">
        <v>34</v>
      </c>
      <c r="C886" t="s">
        <v>11</v>
      </c>
      <c r="D886">
        <v>40</v>
      </c>
      <c r="E886" s="1">
        <v>43745</v>
      </c>
      <c r="F886">
        <v>4.58</v>
      </c>
      <c r="G886">
        <v>8</v>
      </c>
      <c r="H886">
        <v>7602.68</v>
      </c>
      <c r="I886">
        <v>6.1</v>
      </c>
    </row>
    <row r="887" spans="1:9" x14ac:dyDescent="0.3">
      <c r="A887" t="s">
        <v>902</v>
      </c>
      <c r="B887" t="s">
        <v>24</v>
      </c>
      <c r="C887" t="s">
        <v>11</v>
      </c>
      <c r="D887">
        <v>39</v>
      </c>
      <c r="E887" s="1">
        <v>41316</v>
      </c>
      <c r="F887">
        <v>1.67</v>
      </c>
      <c r="G887">
        <v>15</v>
      </c>
      <c r="H887">
        <v>3826.07</v>
      </c>
      <c r="I887">
        <v>12.7</v>
      </c>
    </row>
    <row r="888" spans="1:9" x14ac:dyDescent="0.3">
      <c r="A888" t="s">
        <v>903</v>
      </c>
      <c r="B888" t="s">
        <v>24</v>
      </c>
      <c r="C888" t="s">
        <v>11</v>
      </c>
      <c r="D888">
        <v>58</v>
      </c>
      <c r="E888" s="1">
        <v>43811</v>
      </c>
      <c r="F888">
        <v>2.27</v>
      </c>
      <c r="G888">
        <v>11</v>
      </c>
      <c r="H888">
        <v>7151.78</v>
      </c>
      <c r="I888">
        <v>5.9</v>
      </c>
    </row>
    <row r="889" spans="1:9" x14ac:dyDescent="0.3">
      <c r="A889" t="s">
        <v>904</v>
      </c>
      <c r="B889" t="s">
        <v>13</v>
      </c>
      <c r="C889" t="s">
        <v>11</v>
      </c>
      <c r="D889">
        <v>38</v>
      </c>
      <c r="E889" s="1">
        <v>42637</v>
      </c>
      <c r="F889">
        <v>4.22</v>
      </c>
      <c r="G889">
        <v>8</v>
      </c>
      <c r="H889">
        <v>14766.22</v>
      </c>
      <c r="I889">
        <v>9.1</v>
      </c>
    </row>
    <row r="890" spans="1:9" x14ac:dyDescent="0.3">
      <c r="A890" t="s">
        <v>905</v>
      </c>
      <c r="B890" t="s">
        <v>24</v>
      </c>
      <c r="C890" t="s">
        <v>11</v>
      </c>
      <c r="D890">
        <v>48</v>
      </c>
      <c r="E890" s="1">
        <v>42428</v>
      </c>
      <c r="F890">
        <v>3.49</v>
      </c>
      <c r="G890">
        <v>15</v>
      </c>
      <c r="H890">
        <v>7651.64</v>
      </c>
      <c r="I890">
        <v>9.6999999999999993</v>
      </c>
    </row>
    <row r="891" spans="1:9" x14ac:dyDescent="0.3">
      <c r="A891" t="s">
        <v>906</v>
      </c>
      <c r="B891" t="s">
        <v>13</v>
      </c>
      <c r="C891" t="s">
        <v>14</v>
      </c>
      <c r="D891">
        <v>35</v>
      </c>
      <c r="E891" s="1">
        <v>42221</v>
      </c>
      <c r="F891">
        <v>3.8</v>
      </c>
      <c r="G891">
        <v>2</v>
      </c>
      <c r="H891">
        <v>9255.36</v>
      </c>
      <c r="I891">
        <v>10.199999999999999</v>
      </c>
    </row>
    <row r="892" spans="1:9" x14ac:dyDescent="0.3">
      <c r="A892" t="s">
        <v>907</v>
      </c>
      <c r="B892" t="s">
        <v>10</v>
      </c>
      <c r="C892" t="s">
        <v>11</v>
      </c>
      <c r="D892">
        <v>34</v>
      </c>
      <c r="E892" s="1">
        <v>44874</v>
      </c>
      <c r="F892">
        <v>2.75</v>
      </c>
      <c r="G892">
        <v>13</v>
      </c>
      <c r="H892">
        <v>14437.55</v>
      </c>
      <c r="I892">
        <v>3</v>
      </c>
    </row>
    <row r="893" spans="1:9" x14ac:dyDescent="0.3">
      <c r="A893" t="s">
        <v>908</v>
      </c>
      <c r="B893" t="s">
        <v>16</v>
      </c>
      <c r="C893" t="s">
        <v>14</v>
      </c>
      <c r="D893">
        <v>53</v>
      </c>
      <c r="E893" s="1">
        <v>40716</v>
      </c>
      <c r="F893">
        <v>4.4800000000000004</v>
      </c>
      <c r="G893">
        <v>10</v>
      </c>
      <c r="H893">
        <v>10605.55</v>
      </c>
      <c r="I893">
        <v>14.4</v>
      </c>
    </row>
    <row r="894" spans="1:9" x14ac:dyDescent="0.3">
      <c r="A894" t="s">
        <v>909</v>
      </c>
      <c r="B894" t="s">
        <v>34</v>
      </c>
      <c r="C894" t="s">
        <v>14</v>
      </c>
      <c r="D894">
        <v>49</v>
      </c>
      <c r="E894" s="1">
        <v>40768</v>
      </c>
      <c r="F894">
        <v>3.25</v>
      </c>
      <c r="G894">
        <v>7</v>
      </c>
      <c r="H894">
        <v>10775.47</v>
      </c>
      <c r="I894">
        <v>14.2</v>
      </c>
    </row>
    <row r="895" spans="1:9" x14ac:dyDescent="0.3">
      <c r="A895" t="s">
        <v>910</v>
      </c>
      <c r="B895" t="s">
        <v>10</v>
      </c>
      <c r="C895" t="s">
        <v>11</v>
      </c>
      <c r="D895">
        <v>59</v>
      </c>
      <c r="E895" s="1">
        <v>43943</v>
      </c>
      <c r="F895">
        <v>1.73</v>
      </c>
      <c r="G895">
        <v>4</v>
      </c>
      <c r="H895">
        <v>5294.77</v>
      </c>
      <c r="I895">
        <v>5.5</v>
      </c>
    </row>
    <row r="896" spans="1:9" x14ac:dyDescent="0.3">
      <c r="A896" t="s">
        <v>911</v>
      </c>
      <c r="B896" t="s">
        <v>24</v>
      </c>
      <c r="C896" t="s">
        <v>11</v>
      </c>
      <c r="D896">
        <v>51</v>
      </c>
      <c r="E896" s="1">
        <v>40444</v>
      </c>
      <c r="F896">
        <v>2.38</v>
      </c>
      <c r="G896">
        <v>13</v>
      </c>
      <c r="H896">
        <v>4006.12</v>
      </c>
      <c r="I896">
        <v>15.1</v>
      </c>
    </row>
    <row r="897" spans="1:9" x14ac:dyDescent="0.3">
      <c r="A897" t="s">
        <v>912</v>
      </c>
      <c r="B897" t="s">
        <v>34</v>
      </c>
      <c r="C897" t="s">
        <v>11</v>
      </c>
      <c r="D897">
        <v>22</v>
      </c>
      <c r="E897" s="1">
        <v>42927</v>
      </c>
      <c r="F897">
        <v>2.78</v>
      </c>
      <c r="G897">
        <v>3</v>
      </c>
      <c r="H897">
        <v>6119.02</v>
      </c>
      <c r="I897">
        <v>8.3000000000000007</v>
      </c>
    </row>
    <row r="898" spans="1:9" x14ac:dyDescent="0.3">
      <c r="A898" t="s">
        <v>913</v>
      </c>
      <c r="B898" t="s">
        <v>18</v>
      </c>
      <c r="C898" t="s">
        <v>14</v>
      </c>
      <c r="D898">
        <v>35</v>
      </c>
      <c r="E898" s="1">
        <v>41851</v>
      </c>
      <c r="F898">
        <v>4.92</v>
      </c>
      <c r="G898">
        <v>3</v>
      </c>
      <c r="H898">
        <v>12715.26</v>
      </c>
      <c r="I898">
        <v>11.3</v>
      </c>
    </row>
    <row r="899" spans="1:9" x14ac:dyDescent="0.3">
      <c r="A899" t="s">
        <v>914</v>
      </c>
      <c r="B899" t="s">
        <v>34</v>
      </c>
      <c r="C899" t="s">
        <v>14</v>
      </c>
      <c r="D899">
        <v>53</v>
      </c>
      <c r="E899" s="1">
        <v>41372</v>
      </c>
      <c r="F899">
        <v>4.8</v>
      </c>
      <c r="G899">
        <v>1</v>
      </c>
      <c r="H899">
        <v>11288.41</v>
      </c>
      <c r="I899">
        <v>12.6</v>
      </c>
    </row>
    <row r="900" spans="1:9" x14ac:dyDescent="0.3">
      <c r="A900" t="s">
        <v>915</v>
      </c>
      <c r="B900" t="s">
        <v>34</v>
      </c>
      <c r="C900" t="s">
        <v>11</v>
      </c>
      <c r="D900">
        <v>28</v>
      </c>
      <c r="E900" s="1">
        <v>42293</v>
      </c>
      <c r="F900">
        <v>2.25</v>
      </c>
      <c r="G900">
        <v>11</v>
      </c>
      <c r="H900">
        <v>4321.47</v>
      </c>
      <c r="I900">
        <v>10.1</v>
      </c>
    </row>
    <row r="901" spans="1:9" x14ac:dyDescent="0.3">
      <c r="A901" t="s">
        <v>916</v>
      </c>
      <c r="B901" t="s">
        <v>10</v>
      </c>
      <c r="C901" t="s">
        <v>11</v>
      </c>
      <c r="D901">
        <v>40</v>
      </c>
      <c r="E901" s="1">
        <v>45638</v>
      </c>
      <c r="F901">
        <v>4.37</v>
      </c>
      <c r="G901">
        <v>5</v>
      </c>
      <c r="H901">
        <v>9401.58</v>
      </c>
      <c r="I901">
        <v>0.9</v>
      </c>
    </row>
    <row r="902" spans="1:9" x14ac:dyDescent="0.3">
      <c r="A902" t="s">
        <v>917</v>
      </c>
      <c r="B902" t="s">
        <v>24</v>
      </c>
      <c r="C902" t="s">
        <v>14</v>
      </c>
      <c r="D902">
        <v>37</v>
      </c>
      <c r="E902" s="1">
        <v>40800</v>
      </c>
      <c r="F902">
        <v>4.83</v>
      </c>
      <c r="G902">
        <v>4</v>
      </c>
      <c r="H902">
        <v>9910.86</v>
      </c>
      <c r="I902">
        <v>14.1</v>
      </c>
    </row>
    <row r="903" spans="1:9" x14ac:dyDescent="0.3">
      <c r="A903" t="s">
        <v>918</v>
      </c>
      <c r="B903" t="s">
        <v>16</v>
      </c>
      <c r="C903" t="s">
        <v>14</v>
      </c>
      <c r="D903">
        <v>56</v>
      </c>
      <c r="E903" s="1">
        <v>41556</v>
      </c>
      <c r="F903">
        <v>4.6399999999999997</v>
      </c>
      <c r="G903">
        <v>7</v>
      </c>
      <c r="H903">
        <v>9618.8799999999992</v>
      </c>
      <c r="I903">
        <v>12.1</v>
      </c>
    </row>
    <row r="904" spans="1:9" x14ac:dyDescent="0.3">
      <c r="A904" t="s">
        <v>919</v>
      </c>
      <c r="B904" t="s">
        <v>10</v>
      </c>
      <c r="C904" t="s">
        <v>14</v>
      </c>
      <c r="D904">
        <v>60</v>
      </c>
      <c r="E904" s="1">
        <v>41538</v>
      </c>
      <c r="F904">
        <v>2.5</v>
      </c>
      <c r="G904">
        <v>14</v>
      </c>
      <c r="H904">
        <v>7237.56</v>
      </c>
      <c r="I904">
        <v>12.1</v>
      </c>
    </row>
    <row r="905" spans="1:9" x14ac:dyDescent="0.3">
      <c r="A905" t="s">
        <v>920</v>
      </c>
      <c r="B905" t="s">
        <v>13</v>
      </c>
      <c r="C905" t="s">
        <v>11</v>
      </c>
      <c r="D905">
        <v>42</v>
      </c>
      <c r="E905" s="1">
        <v>43077</v>
      </c>
      <c r="F905">
        <v>1.67</v>
      </c>
      <c r="G905">
        <v>1</v>
      </c>
      <c r="H905">
        <v>9415.7999999999993</v>
      </c>
      <c r="I905">
        <v>7.9</v>
      </c>
    </row>
    <row r="906" spans="1:9" x14ac:dyDescent="0.3">
      <c r="A906" t="s">
        <v>921</v>
      </c>
      <c r="B906" t="s">
        <v>18</v>
      </c>
      <c r="C906" t="s">
        <v>14</v>
      </c>
      <c r="D906">
        <v>46</v>
      </c>
      <c r="E906" s="1">
        <v>40437</v>
      </c>
      <c r="F906">
        <v>4.58</v>
      </c>
      <c r="G906">
        <v>8</v>
      </c>
      <c r="H906">
        <v>10021.879999999999</v>
      </c>
      <c r="I906">
        <v>15.1</v>
      </c>
    </row>
    <row r="907" spans="1:9" x14ac:dyDescent="0.3">
      <c r="A907" t="s">
        <v>922</v>
      </c>
      <c r="B907" t="s">
        <v>10</v>
      </c>
      <c r="C907" t="s">
        <v>14</v>
      </c>
      <c r="D907">
        <v>43</v>
      </c>
      <c r="E907" s="1">
        <v>41813</v>
      </c>
      <c r="F907">
        <v>3.17</v>
      </c>
      <c r="G907">
        <v>13</v>
      </c>
      <c r="H907">
        <v>13289.24</v>
      </c>
      <c r="I907">
        <v>11.4</v>
      </c>
    </row>
    <row r="908" spans="1:9" x14ac:dyDescent="0.3">
      <c r="A908" t="s">
        <v>923</v>
      </c>
      <c r="B908" t="s">
        <v>16</v>
      </c>
      <c r="C908" t="s">
        <v>11</v>
      </c>
      <c r="D908">
        <v>32</v>
      </c>
      <c r="E908" s="1">
        <v>41345</v>
      </c>
      <c r="F908">
        <v>2.9</v>
      </c>
      <c r="G908">
        <v>6</v>
      </c>
      <c r="H908">
        <v>8933.18</v>
      </c>
      <c r="I908">
        <v>12.6</v>
      </c>
    </row>
    <row r="909" spans="1:9" x14ac:dyDescent="0.3">
      <c r="A909" t="s">
        <v>924</v>
      </c>
      <c r="B909" t="s">
        <v>34</v>
      </c>
      <c r="C909" t="s">
        <v>14</v>
      </c>
      <c r="D909">
        <v>27</v>
      </c>
      <c r="E909" s="1">
        <v>42427</v>
      </c>
      <c r="F909">
        <v>2.09</v>
      </c>
      <c r="G909">
        <v>4</v>
      </c>
      <c r="H909">
        <v>9112.01</v>
      </c>
      <c r="I909">
        <v>9.6999999999999993</v>
      </c>
    </row>
    <row r="910" spans="1:9" x14ac:dyDescent="0.3">
      <c r="A910" t="s">
        <v>925</v>
      </c>
      <c r="B910" t="s">
        <v>13</v>
      </c>
      <c r="C910" t="s">
        <v>14</v>
      </c>
      <c r="D910">
        <v>27</v>
      </c>
      <c r="E910" s="1">
        <v>44788</v>
      </c>
      <c r="F910">
        <v>1.73</v>
      </c>
      <c r="G910">
        <v>0</v>
      </c>
      <c r="H910">
        <v>10123.01</v>
      </c>
      <c r="I910">
        <v>3.2</v>
      </c>
    </row>
    <row r="911" spans="1:9" x14ac:dyDescent="0.3">
      <c r="A911" t="s">
        <v>926</v>
      </c>
      <c r="B911" t="s">
        <v>34</v>
      </c>
      <c r="C911" t="s">
        <v>14</v>
      </c>
      <c r="D911">
        <v>37</v>
      </c>
      <c r="E911" s="1">
        <v>45830</v>
      </c>
      <c r="F911">
        <v>2.5099999999999998</v>
      </c>
      <c r="G911">
        <v>1</v>
      </c>
      <c r="H911">
        <v>12460.68</v>
      </c>
      <c r="I911">
        <v>0.4</v>
      </c>
    </row>
    <row r="912" spans="1:9" x14ac:dyDescent="0.3">
      <c r="A912" t="s">
        <v>927</v>
      </c>
      <c r="B912" t="s">
        <v>34</v>
      </c>
      <c r="C912" t="s">
        <v>14</v>
      </c>
      <c r="D912">
        <v>32</v>
      </c>
      <c r="E912" s="1">
        <v>45708</v>
      </c>
      <c r="F912">
        <v>1.71</v>
      </c>
      <c r="G912">
        <v>4</v>
      </c>
      <c r="H912">
        <v>5591.86</v>
      </c>
      <c r="I912">
        <v>0.7</v>
      </c>
    </row>
    <row r="913" spans="1:9" x14ac:dyDescent="0.3">
      <c r="A913" t="s">
        <v>928</v>
      </c>
      <c r="B913" t="s">
        <v>16</v>
      </c>
      <c r="C913" t="s">
        <v>11</v>
      </c>
      <c r="D913">
        <v>60</v>
      </c>
      <c r="E913" s="1">
        <v>45553</v>
      </c>
      <c r="F913">
        <v>3.25</v>
      </c>
      <c r="G913">
        <v>0</v>
      </c>
      <c r="H913">
        <v>10741.88</v>
      </c>
      <c r="I913">
        <v>1.1000000000000001</v>
      </c>
    </row>
    <row r="914" spans="1:9" x14ac:dyDescent="0.3">
      <c r="A914" t="s">
        <v>929</v>
      </c>
      <c r="B914" t="s">
        <v>13</v>
      </c>
      <c r="C914" t="s">
        <v>11</v>
      </c>
      <c r="D914">
        <v>42</v>
      </c>
      <c r="E914" s="1">
        <v>41817</v>
      </c>
      <c r="F914">
        <v>3.52</v>
      </c>
      <c r="G914">
        <v>13</v>
      </c>
      <c r="H914">
        <v>4308.75</v>
      </c>
      <c r="I914">
        <v>11.4</v>
      </c>
    </row>
    <row r="915" spans="1:9" x14ac:dyDescent="0.3">
      <c r="A915" t="s">
        <v>930</v>
      </c>
      <c r="B915" t="s">
        <v>34</v>
      </c>
      <c r="C915" t="s">
        <v>11</v>
      </c>
      <c r="D915">
        <v>56</v>
      </c>
      <c r="E915" s="1">
        <v>45422</v>
      </c>
      <c r="F915">
        <v>3.44</v>
      </c>
      <c r="G915">
        <v>10</v>
      </c>
      <c r="H915">
        <v>13703.82</v>
      </c>
      <c r="I915">
        <v>1.5</v>
      </c>
    </row>
    <row r="916" spans="1:9" x14ac:dyDescent="0.3">
      <c r="A916" t="s">
        <v>931</v>
      </c>
      <c r="B916" t="s">
        <v>16</v>
      </c>
      <c r="C916" t="s">
        <v>11</v>
      </c>
      <c r="D916">
        <v>54</v>
      </c>
      <c r="E916" s="1">
        <v>45328</v>
      </c>
      <c r="F916">
        <v>4.37</v>
      </c>
      <c r="G916">
        <v>14</v>
      </c>
      <c r="H916">
        <v>13112.37</v>
      </c>
      <c r="I916">
        <v>1.7</v>
      </c>
    </row>
    <row r="917" spans="1:9" x14ac:dyDescent="0.3">
      <c r="A917" t="s">
        <v>932</v>
      </c>
      <c r="B917" t="s">
        <v>24</v>
      </c>
      <c r="C917" t="s">
        <v>11</v>
      </c>
      <c r="D917">
        <v>58</v>
      </c>
      <c r="E917" s="1">
        <v>43342</v>
      </c>
      <c r="F917">
        <v>4.5599999999999996</v>
      </c>
      <c r="G917">
        <v>2</v>
      </c>
      <c r="H917">
        <v>8188.09</v>
      </c>
      <c r="I917">
        <v>7.2</v>
      </c>
    </row>
    <row r="918" spans="1:9" x14ac:dyDescent="0.3">
      <c r="A918" t="s">
        <v>933</v>
      </c>
      <c r="B918" t="s">
        <v>10</v>
      </c>
      <c r="C918" t="s">
        <v>11</v>
      </c>
      <c r="D918">
        <v>47</v>
      </c>
      <c r="E918" s="1">
        <v>42511</v>
      </c>
      <c r="F918">
        <v>3.96</v>
      </c>
      <c r="G918">
        <v>3</v>
      </c>
      <c r="H918">
        <v>8975.9699999999993</v>
      </c>
      <c r="I918">
        <v>9.5</v>
      </c>
    </row>
    <row r="919" spans="1:9" x14ac:dyDescent="0.3">
      <c r="A919" t="s">
        <v>934</v>
      </c>
      <c r="B919" t="s">
        <v>18</v>
      </c>
      <c r="C919" t="s">
        <v>11</v>
      </c>
      <c r="D919">
        <v>39</v>
      </c>
      <c r="E919" s="1">
        <v>43895</v>
      </c>
      <c r="F919">
        <v>1.97</v>
      </c>
      <c r="G919">
        <v>10</v>
      </c>
      <c r="H919">
        <v>6258.49</v>
      </c>
      <c r="I919">
        <v>5.7</v>
      </c>
    </row>
    <row r="920" spans="1:9" x14ac:dyDescent="0.3">
      <c r="A920" t="s">
        <v>935</v>
      </c>
      <c r="B920" t="s">
        <v>10</v>
      </c>
      <c r="C920" t="s">
        <v>14</v>
      </c>
      <c r="D920">
        <v>22</v>
      </c>
      <c r="E920" s="1">
        <v>45578</v>
      </c>
      <c r="F920">
        <v>4.12</v>
      </c>
      <c r="G920">
        <v>5</v>
      </c>
      <c r="H920">
        <v>12669.51</v>
      </c>
      <c r="I920">
        <v>1.1000000000000001</v>
      </c>
    </row>
    <row r="921" spans="1:9" x14ac:dyDescent="0.3">
      <c r="A921" t="s">
        <v>936</v>
      </c>
      <c r="B921" t="s">
        <v>18</v>
      </c>
      <c r="C921" t="s">
        <v>14</v>
      </c>
      <c r="D921">
        <v>24</v>
      </c>
      <c r="E921" s="1">
        <v>42054</v>
      </c>
      <c r="F921">
        <v>3.03</v>
      </c>
      <c r="G921">
        <v>0</v>
      </c>
      <c r="H921">
        <v>9593.14</v>
      </c>
      <c r="I921">
        <v>10.7</v>
      </c>
    </row>
    <row r="922" spans="1:9" x14ac:dyDescent="0.3">
      <c r="A922" t="s">
        <v>937</v>
      </c>
      <c r="B922" t="s">
        <v>16</v>
      </c>
      <c r="C922" t="s">
        <v>14</v>
      </c>
      <c r="D922">
        <v>39</v>
      </c>
      <c r="E922" s="1">
        <v>43555</v>
      </c>
      <c r="F922">
        <v>3</v>
      </c>
      <c r="G922">
        <v>15</v>
      </c>
      <c r="H922">
        <v>9207.02</v>
      </c>
      <c r="I922">
        <v>6.6</v>
      </c>
    </row>
    <row r="923" spans="1:9" x14ac:dyDescent="0.3">
      <c r="A923" t="s">
        <v>938</v>
      </c>
      <c r="B923" t="s">
        <v>10</v>
      </c>
      <c r="C923" t="s">
        <v>14</v>
      </c>
      <c r="D923">
        <v>44</v>
      </c>
      <c r="E923" s="1">
        <v>43175</v>
      </c>
      <c r="F923">
        <v>4.17</v>
      </c>
      <c r="G923">
        <v>12</v>
      </c>
      <c r="H923">
        <v>8587.7900000000009</v>
      </c>
      <c r="I923">
        <v>7.6</v>
      </c>
    </row>
    <row r="924" spans="1:9" x14ac:dyDescent="0.3">
      <c r="A924" t="s">
        <v>939</v>
      </c>
      <c r="B924" t="s">
        <v>16</v>
      </c>
      <c r="C924" t="s">
        <v>11</v>
      </c>
      <c r="D924">
        <v>58</v>
      </c>
      <c r="E924" s="1">
        <v>44185</v>
      </c>
      <c r="F924">
        <v>3.23</v>
      </c>
      <c r="G924">
        <v>3</v>
      </c>
      <c r="H924">
        <v>8276.4500000000007</v>
      </c>
      <c r="I924">
        <v>4.9000000000000004</v>
      </c>
    </row>
    <row r="925" spans="1:9" x14ac:dyDescent="0.3">
      <c r="A925" t="s">
        <v>940</v>
      </c>
      <c r="B925" t="s">
        <v>16</v>
      </c>
      <c r="C925" t="s">
        <v>14</v>
      </c>
      <c r="D925">
        <v>56</v>
      </c>
      <c r="E925" s="1">
        <v>44360</v>
      </c>
      <c r="F925">
        <v>4.68</v>
      </c>
      <c r="G925">
        <v>0</v>
      </c>
      <c r="H925">
        <v>12316.86</v>
      </c>
      <c r="I925">
        <v>4.4000000000000004</v>
      </c>
    </row>
    <row r="926" spans="1:9" x14ac:dyDescent="0.3">
      <c r="A926" t="s">
        <v>941</v>
      </c>
      <c r="B926" t="s">
        <v>18</v>
      </c>
      <c r="C926" t="s">
        <v>14</v>
      </c>
      <c r="D926">
        <v>48</v>
      </c>
      <c r="E926" s="1">
        <v>41469</v>
      </c>
      <c r="F926">
        <v>1.67</v>
      </c>
      <c r="G926">
        <v>11</v>
      </c>
      <c r="H926">
        <v>11329.95</v>
      </c>
      <c r="I926">
        <v>12.3</v>
      </c>
    </row>
    <row r="927" spans="1:9" x14ac:dyDescent="0.3">
      <c r="A927" t="s">
        <v>942</v>
      </c>
      <c r="B927" t="s">
        <v>18</v>
      </c>
      <c r="C927" t="s">
        <v>14</v>
      </c>
      <c r="D927">
        <v>50</v>
      </c>
      <c r="E927" s="1">
        <v>44660</v>
      </c>
      <c r="F927">
        <v>5</v>
      </c>
      <c r="G927">
        <v>14</v>
      </c>
      <c r="H927">
        <v>7350.31</v>
      </c>
      <c r="I927">
        <v>3.6</v>
      </c>
    </row>
    <row r="928" spans="1:9" x14ac:dyDescent="0.3">
      <c r="A928" t="s">
        <v>943</v>
      </c>
      <c r="B928" t="s">
        <v>18</v>
      </c>
      <c r="C928" t="s">
        <v>14</v>
      </c>
      <c r="D928">
        <v>40</v>
      </c>
      <c r="E928" s="1">
        <v>44612</v>
      </c>
      <c r="F928">
        <v>4.9000000000000004</v>
      </c>
      <c r="G928">
        <v>13</v>
      </c>
      <c r="H928">
        <v>14590.63</v>
      </c>
      <c r="I928">
        <v>3.7</v>
      </c>
    </row>
    <row r="929" spans="1:9" x14ac:dyDescent="0.3">
      <c r="A929" t="s">
        <v>944</v>
      </c>
      <c r="B929" t="s">
        <v>24</v>
      </c>
      <c r="C929" t="s">
        <v>14</v>
      </c>
      <c r="D929">
        <v>40</v>
      </c>
      <c r="E929" s="1">
        <v>43848</v>
      </c>
      <c r="F929">
        <v>3.96</v>
      </c>
      <c r="G929">
        <v>12</v>
      </c>
      <c r="H929">
        <v>11463.75</v>
      </c>
      <c r="I929">
        <v>5.8</v>
      </c>
    </row>
    <row r="930" spans="1:9" x14ac:dyDescent="0.3">
      <c r="A930" t="s">
        <v>945</v>
      </c>
      <c r="B930" t="s">
        <v>24</v>
      </c>
      <c r="C930" t="s">
        <v>14</v>
      </c>
      <c r="D930">
        <v>38</v>
      </c>
      <c r="E930" s="1">
        <v>45549</v>
      </c>
      <c r="F930">
        <v>4.66</v>
      </c>
      <c r="G930">
        <v>4</v>
      </c>
      <c r="H930">
        <v>6795.45</v>
      </c>
      <c r="I930">
        <v>1.1000000000000001</v>
      </c>
    </row>
    <row r="931" spans="1:9" x14ac:dyDescent="0.3">
      <c r="A931" t="s">
        <v>946</v>
      </c>
      <c r="B931" t="s">
        <v>10</v>
      </c>
      <c r="C931" t="s">
        <v>11</v>
      </c>
      <c r="D931">
        <v>29</v>
      </c>
      <c r="E931" s="1">
        <v>40190</v>
      </c>
      <c r="F931">
        <v>1.7</v>
      </c>
      <c r="G931">
        <v>3</v>
      </c>
      <c r="H931">
        <v>10801.73</v>
      </c>
      <c r="I931">
        <v>15.8</v>
      </c>
    </row>
    <row r="932" spans="1:9" x14ac:dyDescent="0.3">
      <c r="A932" t="s">
        <v>947</v>
      </c>
      <c r="B932" t="s">
        <v>18</v>
      </c>
      <c r="C932" t="s">
        <v>11</v>
      </c>
      <c r="D932">
        <v>27</v>
      </c>
      <c r="E932" s="1">
        <v>44540</v>
      </c>
      <c r="F932">
        <v>2.34</v>
      </c>
      <c r="G932">
        <v>6</v>
      </c>
      <c r="H932">
        <v>10730.69</v>
      </c>
      <c r="I932">
        <v>3.9</v>
      </c>
    </row>
    <row r="933" spans="1:9" x14ac:dyDescent="0.3">
      <c r="A933" t="s">
        <v>948</v>
      </c>
      <c r="B933" t="s">
        <v>10</v>
      </c>
      <c r="C933" t="s">
        <v>14</v>
      </c>
      <c r="D933">
        <v>23</v>
      </c>
      <c r="E933" s="1">
        <v>42569</v>
      </c>
      <c r="F933">
        <v>2.65</v>
      </c>
      <c r="G933">
        <v>5</v>
      </c>
      <c r="H933">
        <v>8098.19</v>
      </c>
      <c r="I933">
        <v>9.3000000000000007</v>
      </c>
    </row>
    <row r="934" spans="1:9" x14ac:dyDescent="0.3">
      <c r="A934" t="s">
        <v>949</v>
      </c>
      <c r="B934" t="s">
        <v>16</v>
      </c>
      <c r="C934" t="s">
        <v>11</v>
      </c>
      <c r="D934">
        <v>33</v>
      </c>
      <c r="E934" s="1">
        <v>44404</v>
      </c>
      <c r="F934">
        <v>2.06</v>
      </c>
      <c r="G934">
        <v>14</v>
      </c>
      <c r="H934">
        <v>4660.32</v>
      </c>
      <c r="I934">
        <v>4.3</v>
      </c>
    </row>
    <row r="935" spans="1:9" x14ac:dyDescent="0.3">
      <c r="A935" t="s">
        <v>950</v>
      </c>
      <c r="B935" t="s">
        <v>24</v>
      </c>
      <c r="C935" t="s">
        <v>14</v>
      </c>
      <c r="D935">
        <v>39</v>
      </c>
      <c r="E935" s="1">
        <v>45894</v>
      </c>
      <c r="F935">
        <v>3.17</v>
      </c>
      <c r="G935">
        <v>12</v>
      </c>
      <c r="H935">
        <v>7912.29</v>
      </c>
      <c r="I935">
        <v>0.2</v>
      </c>
    </row>
    <row r="936" spans="1:9" x14ac:dyDescent="0.3">
      <c r="A936" t="s">
        <v>951</v>
      </c>
      <c r="B936" t="s">
        <v>24</v>
      </c>
      <c r="C936" t="s">
        <v>11</v>
      </c>
      <c r="D936">
        <v>45</v>
      </c>
      <c r="E936" s="1">
        <v>40549</v>
      </c>
      <c r="F936">
        <v>3.97</v>
      </c>
      <c r="G936">
        <v>12</v>
      </c>
      <c r="H936">
        <v>7832.94</v>
      </c>
      <c r="I936">
        <v>14.8</v>
      </c>
    </row>
    <row r="937" spans="1:9" x14ac:dyDescent="0.3">
      <c r="A937" t="s">
        <v>952</v>
      </c>
      <c r="B937" t="s">
        <v>24</v>
      </c>
      <c r="C937" t="s">
        <v>11</v>
      </c>
      <c r="D937">
        <v>49</v>
      </c>
      <c r="E937" s="1">
        <v>45296</v>
      </c>
      <c r="F937">
        <v>1.83</v>
      </c>
      <c r="G937">
        <v>13</v>
      </c>
      <c r="H937">
        <v>11129.02</v>
      </c>
      <c r="I937">
        <v>1.8</v>
      </c>
    </row>
    <row r="938" spans="1:9" x14ac:dyDescent="0.3">
      <c r="A938" t="s">
        <v>953</v>
      </c>
      <c r="B938" t="s">
        <v>16</v>
      </c>
      <c r="C938" t="s">
        <v>11</v>
      </c>
      <c r="D938">
        <v>54</v>
      </c>
      <c r="E938" s="1">
        <v>42245</v>
      </c>
      <c r="F938">
        <v>3.14</v>
      </c>
      <c r="G938">
        <v>2</v>
      </c>
      <c r="H938">
        <v>10553.92</v>
      </c>
      <c r="I938">
        <v>10.199999999999999</v>
      </c>
    </row>
    <row r="939" spans="1:9" x14ac:dyDescent="0.3">
      <c r="A939" t="s">
        <v>954</v>
      </c>
      <c r="B939" t="s">
        <v>16</v>
      </c>
      <c r="C939" t="s">
        <v>11</v>
      </c>
      <c r="D939">
        <v>33</v>
      </c>
      <c r="E939" s="1">
        <v>43319</v>
      </c>
      <c r="F939">
        <v>2.37</v>
      </c>
      <c r="G939">
        <v>15</v>
      </c>
      <c r="H939">
        <v>11306.21</v>
      </c>
      <c r="I939">
        <v>7.2</v>
      </c>
    </row>
    <row r="940" spans="1:9" x14ac:dyDescent="0.3">
      <c r="A940" t="s">
        <v>955</v>
      </c>
      <c r="B940" t="s">
        <v>34</v>
      </c>
      <c r="C940" t="s">
        <v>11</v>
      </c>
      <c r="D940">
        <v>28</v>
      </c>
      <c r="E940" s="1">
        <v>40189</v>
      </c>
      <c r="F940">
        <v>2.16</v>
      </c>
      <c r="G940">
        <v>2</v>
      </c>
      <c r="H940">
        <v>8385.8700000000008</v>
      </c>
      <c r="I940">
        <v>15.8</v>
      </c>
    </row>
    <row r="941" spans="1:9" x14ac:dyDescent="0.3">
      <c r="A941" t="s">
        <v>956</v>
      </c>
      <c r="B941" t="s">
        <v>18</v>
      </c>
      <c r="C941" t="s">
        <v>14</v>
      </c>
      <c r="D941">
        <v>50</v>
      </c>
      <c r="E941" s="1">
        <v>43351</v>
      </c>
      <c r="F941">
        <v>2.75</v>
      </c>
      <c r="G941">
        <v>5</v>
      </c>
      <c r="H941">
        <v>13492.17</v>
      </c>
      <c r="I941">
        <v>7.2</v>
      </c>
    </row>
    <row r="942" spans="1:9" x14ac:dyDescent="0.3">
      <c r="A942" t="s">
        <v>957</v>
      </c>
      <c r="B942" t="s">
        <v>10</v>
      </c>
      <c r="C942" t="s">
        <v>11</v>
      </c>
      <c r="D942">
        <v>26</v>
      </c>
      <c r="E942" s="1">
        <v>45406</v>
      </c>
      <c r="F942">
        <v>4.33</v>
      </c>
      <c r="G942">
        <v>9</v>
      </c>
      <c r="H942">
        <v>3854.37</v>
      </c>
      <c r="I942">
        <v>1.5</v>
      </c>
    </row>
    <row r="943" spans="1:9" x14ac:dyDescent="0.3">
      <c r="A943" t="s">
        <v>958</v>
      </c>
      <c r="B943" t="s">
        <v>16</v>
      </c>
      <c r="C943" t="s">
        <v>14</v>
      </c>
      <c r="D943">
        <v>55</v>
      </c>
      <c r="E943" s="1">
        <v>43254</v>
      </c>
      <c r="F943">
        <v>4.37</v>
      </c>
      <c r="G943">
        <v>13</v>
      </c>
      <c r="H943">
        <v>9494.0400000000009</v>
      </c>
      <c r="I943">
        <v>7.4</v>
      </c>
    </row>
    <row r="944" spans="1:9" x14ac:dyDescent="0.3">
      <c r="A944" t="s">
        <v>959</v>
      </c>
      <c r="B944" t="s">
        <v>10</v>
      </c>
      <c r="C944" t="s">
        <v>11</v>
      </c>
      <c r="D944">
        <v>38</v>
      </c>
      <c r="E944" s="1">
        <v>41184</v>
      </c>
      <c r="F944">
        <v>4.59</v>
      </c>
      <c r="G944">
        <v>9</v>
      </c>
      <c r="H944">
        <v>14149.03</v>
      </c>
      <c r="I944">
        <v>13.1</v>
      </c>
    </row>
    <row r="945" spans="1:9" x14ac:dyDescent="0.3">
      <c r="A945" t="s">
        <v>960</v>
      </c>
      <c r="B945" t="s">
        <v>13</v>
      </c>
      <c r="C945" t="s">
        <v>11</v>
      </c>
      <c r="D945">
        <v>52</v>
      </c>
      <c r="E945" s="1">
        <v>45181</v>
      </c>
      <c r="F945">
        <v>2.83</v>
      </c>
      <c r="G945">
        <v>7</v>
      </c>
      <c r="H945">
        <v>4010.74</v>
      </c>
      <c r="I945">
        <v>2.1</v>
      </c>
    </row>
    <row r="946" spans="1:9" x14ac:dyDescent="0.3">
      <c r="A946" t="s">
        <v>961</v>
      </c>
      <c r="B946" t="s">
        <v>10</v>
      </c>
      <c r="C946" t="s">
        <v>11</v>
      </c>
      <c r="D946">
        <v>29</v>
      </c>
      <c r="E946" s="1">
        <v>40422</v>
      </c>
      <c r="F946">
        <v>4.95</v>
      </c>
      <c r="G946">
        <v>13</v>
      </c>
      <c r="H946">
        <v>5066.32</v>
      </c>
      <c r="I946">
        <v>15.2</v>
      </c>
    </row>
    <row r="947" spans="1:9" x14ac:dyDescent="0.3">
      <c r="A947" t="s">
        <v>962</v>
      </c>
      <c r="B947" t="s">
        <v>16</v>
      </c>
      <c r="C947" t="s">
        <v>14</v>
      </c>
      <c r="D947">
        <v>34</v>
      </c>
      <c r="E947" s="1">
        <v>43041</v>
      </c>
      <c r="F947">
        <v>4.82</v>
      </c>
      <c r="G947">
        <v>0</v>
      </c>
      <c r="H947">
        <v>11414.25</v>
      </c>
      <c r="I947">
        <v>8</v>
      </c>
    </row>
    <row r="948" spans="1:9" x14ac:dyDescent="0.3">
      <c r="A948" t="s">
        <v>963</v>
      </c>
      <c r="B948" t="s">
        <v>18</v>
      </c>
      <c r="C948" t="s">
        <v>14</v>
      </c>
      <c r="D948">
        <v>59</v>
      </c>
      <c r="E948" s="1">
        <v>42901</v>
      </c>
      <c r="F948">
        <v>3.73</v>
      </c>
      <c r="G948">
        <v>8</v>
      </c>
      <c r="H948">
        <v>3020.18</v>
      </c>
      <c r="I948">
        <v>8.4</v>
      </c>
    </row>
    <row r="949" spans="1:9" x14ac:dyDescent="0.3">
      <c r="A949" t="s">
        <v>964</v>
      </c>
      <c r="B949" t="s">
        <v>16</v>
      </c>
      <c r="C949" t="s">
        <v>14</v>
      </c>
      <c r="D949">
        <v>35</v>
      </c>
      <c r="E949" s="1">
        <v>45360</v>
      </c>
      <c r="F949">
        <v>2.8</v>
      </c>
      <c r="G949">
        <v>11</v>
      </c>
      <c r="H949">
        <v>13589.37</v>
      </c>
      <c r="I949">
        <v>1.6</v>
      </c>
    </row>
    <row r="950" spans="1:9" x14ac:dyDescent="0.3">
      <c r="A950" t="s">
        <v>965</v>
      </c>
      <c r="B950" t="s">
        <v>13</v>
      </c>
      <c r="C950" t="s">
        <v>14</v>
      </c>
      <c r="D950">
        <v>57</v>
      </c>
      <c r="E950" s="1">
        <v>43849</v>
      </c>
      <c r="F950">
        <v>2.3199999999999998</v>
      </c>
      <c r="G950">
        <v>13</v>
      </c>
      <c r="H950">
        <v>13330.23</v>
      </c>
      <c r="I950">
        <v>5.8</v>
      </c>
    </row>
    <row r="951" spans="1:9" x14ac:dyDescent="0.3">
      <c r="A951" t="s">
        <v>966</v>
      </c>
      <c r="B951" t="s">
        <v>10</v>
      </c>
      <c r="C951" t="s">
        <v>14</v>
      </c>
      <c r="D951">
        <v>46</v>
      </c>
      <c r="E951" s="1">
        <v>44136</v>
      </c>
      <c r="F951">
        <v>3.52</v>
      </c>
      <c r="G951">
        <v>4</v>
      </c>
      <c r="H951">
        <v>14351.43</v>
      </c>
      <c r="I951">
        <v>5</v>
      </c>
    </row>
    <row r="952" spans="1:9" x14ac:dyDescent="0.3">
      <c r="A952" t="s">
        <v>967</v>
      </c>
      <c r="B952" t="s">
        <v>24</v>
      </c>
      <c r="C952" t="s">
        <v>11</v>
      </c>
      <c r="D952">
        <v>59</v>
      </c>
      <c r="E952" s="1">
        <v>44276</v>
      </c>
      <c r="F952">
        <v>4.0199999999999996</v>
      </c>
      <c r="G952">
        <v>7</v>
      </c>
      <c r="H952">
        <v>14456.44</v>
      </c>
      <c r="I952">
        <v>4.5999999999999996</v>
      </c>
    </row>
    <row r="953" spans="1:9" x14ac:dyDescent="0.3">
      <c r="A953" t="s">
        <v>968</v>
      </c>
      <c r="B953" t="s">
        <v>10</v>
      </c>
      <c r="C953" t="s">
        <v>14</v>
      </c>
      <c r="D953">
        <v>26</v>
      </c>
      <c r="E953" s="1">
        <v>45794</v>
      </c>
      <c r="F953">
        <v>1.84</v>
      </c>
      <c r="G953">
        <v>10</v>
      </c>
      <c r="H953">
        <v>5436.32</v>
      </c>
      <c r="I953">
        <v>0.5</v>
      </c>
    </row>
    <row r="954" spans="1:9" x14ac:dyDescent="0.3">
      <c r="A954" t="s">
        <v>969</v>
      </c>
      <c r="B954" t="s">
        <v>24</v>
      </c>
      <c r="C954" t="s">
        <v>14</v>
      </c>
      <c r="D954">
        <v>36</v>
      </c>
      <c r="E954" s="1">
        <v>45632</v>
      </c>
      <c r="F954">
        <v>4.54</v>
      </c>
      <c r="G954">
        <v>2</v>
      </c>
      <c r="H954">
        <v>10302.19</v>
      </c>
      <c r="I954">
        <v>0.9</v>
      </c>
    </row>
    <row r="955" spans="1:9" x14ac:dyDescent="0.3">
      <c r="A955" t="s">
        <v>970</v>
      </c>
      <c r="B955" t="s">
        <v>16</v>
      </c>
      <c r="C955" t="s">
        <v>14</v>
      </c>
      <c r="D955">
        <v>34</v>
      </c>
      <c r="E955" s="1">
        <v>44139</v>
      </c>
      <c r="F955">
        <v>2.3199999999999998</v>
      </c>
      <c r="G955">
        <v>10</v>
      </c>
      <c r="H955">
        <v>14329.1</v>
      </c>
      <c r="I955">
        <v>5</v>
      </c>
    </row>
    <row r="956" spans="1:9" x14ac:dyDescent="0.3">
      <c r="A956" t="s">
        <v>971</v>
      </c>
      <c r="B956" t="s">
        <v>10</v>
      </c>
      <c r="C956" t="s">
        <v>14</v>
      </c>
      <c r="D956">
        <v>31</v>
      </c>
      <c r="E956" s="1">
        <v>42526</v>
      </c>
      <c r="F956">
        <v>1.57</v>
      </c>
      <c r="G956">
        <v>7</v>
      </c>
      <c r="H956">
        <v>7394.96</v>
      </c>
      <c r="I956">
        <v>9.4</v>
      </c>
    </row>
    <row r="957" spans="1:9" x14ac:dyDescent="0.3">
      <c r="A957" t="s">
        <v>972</v>
      </c>
      <c r="B957" t="s">
        <v>13</v>
      </c>
      <c r="C957" t="s">
        <v>11</v>
      </c>
      <c r="D957">
        <v>58</v>
      </c>
      <c r="E957" s="1">
        <v>45545</v>
      </c>
      <c r="F957">
        <v>4.12</v>
      </c>
      <c r="G957">
        <v>14</v>
      </c>
      <c r="H957">
        <v>5225.2299999999996</v>
      </c>
      <c r="I957">
        <v>1.1000000000000001</v>
      </c>
    </row>
    <row r="958" spans="1:9" x14ac:dyDescent="0.3">
      <c r="A958" t="s">
        <v>973</v>
      </c>
      <c r="B958" t="s">
        <v>18</v>
      </c>
      <c r="C958" t="s">
        <v>14</v>
      </c>
      <c r="D958">
        <v>37</v>
      </c>
      <c r="E958" s="1">
        <v>43087</v>
      </c>
      <c r="F958">
        <v>4.78</v>
      </c>
      <c r="G958">
        <v>11</v>
      </c>
      <c r="H958">
        <v>4708.3500000000004</v>
      </c>
      <c r="I958">
        <v>7.9</v>
      </c>
    </row>
    <row r="959" spans="1:9" x14ac:dyDescent="0.3">
      <c r="A959" t="s">
        <v>974</v>
      </c>
      <c r="B959" t="s">
        <v>13</v>
      </c>
      <c r="C959" t="s">
        <v>11</v>
      </c>
      <c r="D959">
        <v>29</v>
      </c>
      <c r="E959" s="1">
        <v>45826</v>
      </c>
      <c r="F959">
        <v>1.74</v>
      </c>
      <c r="G959">
        <v>11</v>
      </c>
      <c r="H959">
        <v>11452.81</v>
      </c>
      <c r="I959">
        <v>0.4</v>
      </c>
    </row>
    <row r="960" spans="1:9" x14ac:dyDescent="0.3">
      <c r="A960" t="s">
        <v>975</v>
      </c>
      <c r="B960" t="s">
        <v>10</v>
      </c>
      <c r="C960" t="s">
        <v>11</v>
      </c>
      <c r="D960">
        <v>54</v>
      </c>
      <c r="E960" s="1">
        <v>45625</v>
      </c>
      <c r="F960">
        <v>2.67</v>
      </c>
      <c r="G960">
        <v>11</v>
      </c>
      <c r="H960">
        <v>3282.24</v>
      </c>
      <c r="I960">
        <v>0.9</v>
      </c>
    </row>
    <row r="961" spans="1:9" x14ac:dyDescent="0.3">
      <c r="A961" t="s">
        <v>976</v>
      </c>
      <c r="B961" t="s">
        <v>13</v>
      </c>
      <c r="C961" t="s">
        <v>11</v>
      </c>
      <c r="D961">
        <v>27</v>
      </c>
      <c r="E961" s="1">
        <v>43426</v>
      </c>
      <c r="F961">
        <v>2.11</v>
      </c>
      <c r="G961">
        <v>12</v>
      </c>
      <c r="H961">
        <v>7492.81</v>
      </c>
      <c r="I961">
        <v>6.9</v>
      </c>
    </row>
    <row r="962" spans="1:9" x14ac:dyDescent="0.3">
      <c r="A962" t="s">
        <v>977</v>
      </c>
      <c r="B962" t="s">
        <v>24</v>
      </c>
      <c r="C962" t="s">
        <v>11</v>
      </c>
      <c r="D962">
        <v>51</v>
      </c>
      <c r="E962" s="1">
        <v>42479</v>
      </c>
      <c r="F962">
        <v>4.88</v>
      </c>
      <c r="G962">
        <v>0</v>
      </c>
      <c r="H962">
        <v>3074.3</v>
      </c>
      <c r="I962">
        <v>9.5</v>
      </c>
    </row>
    <row r="963" spans="1:9" x14ac:dyDescent="0.3">
      <c r="A963" t="s">
        <v>978</v>
      </c>
      <c r="B963" t="s">
        <v>13</v>
      </c>
      <c r="C963" t="s">
        <v>14</v>
      </c>
      <c r="D963">
        <v>49</v>
      </c>
      <c r="E963" s="1">
        <v>41094</v>
      </c>
      <c r="F963">
        <v>2.83</v>
      </c>
      <c r="G963">
        <v>13</v>
      </c>
      <c r="H963">
        <v>7665.75</v>
      </c>
      <c r="I963">
        <v>13.3</v>
      </c>
    </row>
    <row r="964" spans="1:9" x14ac:dyDescent="0.3">
      <c r="A964" t="s">
        <v>979</v>
      </c>
      <c r="B964" t="s">
        <v>10</v>
      </c>
      <c r="C964" t="s">
        <v>11</v>
      </c>
      <c r="D964">
        <v>39</v>
      </c>
      <c r="E964" s="1">
        <v>44039</v>
      </c>
      <c r="F964">
        <v>3.51</v>
      </c>
      <c r="G964">
        <v>8</v>
      </c>
      <c r="H964">
        <v>3005.11</v>
      </c>
      <c r="I964">
        <v>5.3</v>
      </c>
    </row>
    <row r="965" spans="1:9" x14ac:dyDescent="0.3">
      <c r="A965" t="s">
        <v>980</v>
      </c>
      <c r="B965" t="s">
        <v>24</v>
      </c>
      <c r="C965" t="s">
        <v>14</v>
      </c>
      <c r="D965">
        <v>22</v>
      </c>
      <c r="E965" s="1">
        <v>45305</v>
      </c>
      <c r="F965">
        <v>4.91</v>
      </c>
      <c r="G965">
        <v>7</v>
      </c>
      <c r="H965">
        <v>8150.16</v>
      </c>
      <c r="I965">
        <v>1.8</v>
      </c>
    </row>
    <row r="966" spans="1:9" x14ac:dyDescent="0.3">
      <c r="A966" t="s">
        <v>981</v>
      </c>
      <c r="B966" t="s">
        <v>16</v>
      </c>
      <c r="C966" t="s">
        <v>14</v>
      </c>
      <c r="D966">
        <v>50</v>
      </c>
      <c r="E966" s="1">
        <v>45593</v>
      </c>
      <c r="F966">
        <v>4.8</v>
      </c>
      <c r="G966">
        <v>0</v>
      </c>
      <c r="H966">
        <v>14813.76</v>
      </c>
      <c r="I966">
        <v>1</v>
      </c>
    </row>
    <row r="967" spans="1:9" x14ac:dyDescent="0.3">
      <c r="A967" t="s">
        <v>982</v>
      </c>
      <c r="B967" t="s">
        <v>24</v>
      </c>
      <c r="C967" t="s">
        <v>14</v>
      </c>
      <c r="D967">
        <v>48</v>
      </c>
      <c r="E967" s="1">
        <v>42964</v>
      </c>
      <c r="F967">
        <v>1.9</v>
      </c>
      <c r="G967">
        <v>12</v>
      </c>
      <c r="H967">
        <v>13860.79</v>
      </c>
      <c r="I967">
        <v>8.1999999999999993</v>
      </c>
    </row>
    <row r="968" spans="1:9" x14ac:dyDescent="0.3">
      <c r="A968" t="s">
        <v>983</v>
      </c>
      <c r="B968" t="s">
        <v>34</v>
      </c>
      <c r="C968" t="s">
        <v>11</v>
      </c>
      <c r="D968">
        <v>37</v>
      </c>
      <c r="E968" s="1">
        <v>43899</v>
      </c>
      <c r="F968">
        <v>4.22</v>
      </c>
      <c r="G968">
        <v>5</v>
      </c>
      <c r="H968">
        <v>13167.22</v>
      </c>
      <c r="I968">
        <v>5.7</v>
      </c>
    </row>
    <row r="969" spans="1:9" x14ac:dyDescent="0.3">
      <c r="A969" t="s">
        <v>984</v>
      </c>
      <c r="B969" t="s">
        <v>34</v>
      </c>
      <c r="C969" t="s">
        <v>11</v>
      </c>
      <c r="D969">
        <v>39</v>
      </c>
      <c r="E969" s="1">
        <v>41973</v>
      </c>
      <c r="F969">
        <v>4.2</v>
      </c>
      <c r="G969">
        <v>12</v>
      </c>
      <c r="H969">
        <v>14325.42</v>
      </c>
      <c r="I969">
        <v>10.9</v>
      </c>
    </row>
    <row r="970" spans="1:9" x14ac:dyDescent="0.3">
      <c r="A970" t="s">
        <v>985</v>
      </c>
      <c r="B970" t="s">
        <v>18</v>
      </c>
      <c r="C970" t="s">
        <v>11</v>
      </c>
      <c r="D970">
        <v>49</v>
      </c>
      <c r="E970" s="1">
        <v>43359</v>
      </c>
      <c r="F970">
        <v>3.92</v>
      </c>
      <c r="G970">
        <v>4</v>
      </c>
      <c r="H970">
        <v>9183.5300000000007</v>
      </c>
      <c r="I970">
        <v>7.1</v>
      </c>
    </row>
    <row r="971" spans="1:9" x14ac:dyDescent="0.3">
      <c r="A971" t="s">
        <v>986</v>
      </c>
      <c r="B971" t="s">
        <v>10</v>
      </c>
      <c r="C971" t="s">
        <v>14</v>
      </c>
      <c r="D971">
        <v>49</v>
      </c>
      <c r="E971" s="1">
        <v>44063</v>
      </c>
      <c r="F971">
        <v>3.26</v>
      </c>
      <c r="G971">
        <v>6</v>
      </c>
      <c r="H971">
        <v>11210.06</v>
      </c>
      <c r="I971">
        <v>5.2</v>
      </c>
    </row>
    <row r="972" spans="1:9" x14ac:dyDescent="0.3">
      <c r="A972" t="s">
        <v>987</v>
      </c>
      <c r="B972" t="s">
        <v>34</v>
      </c>
      <c r="C972" t="s">
        <v>11</v>
      </c>
      <c r="D972">
        <v>29</v>
      </c>
      <c r="E972" s="1">
        <v>41476</v>
      </c>
      <c r="F972">
        <v>2.23</v>
      </c>
      <c r="G972">
        <v>0</v>
      </c>
      <c r="H972">
        <v>8588.83</v>
      </c>
      <c r="I972">
        <v>12.3</v>
      </c>
    </row>
    <row r="973" spans="1:9" x14ac:dyDescent="0.3">
      <c r="A973" t="s">
        <v>988</v>
      </c>
      <c r="B973" t="s">
        <v>34</v>
      </c>
      <c r="C973" t="s">
        <v>11</v>
      </c>
      <c r="D973">
        <v>28</v>
      </c>
      <c r="E973" s="1">
        <v>41724</v>
      </c>
      <c r="F973">
        <v>3.19</v>
      </c>
      <c r="G973">
        <v>8</v>
      </c>
      <c r="H973">
        <v>8348.5</v>
      </c>
      <c r="I973">
        <v>11.6</v>
      </c>
    </row>
    <row r="974" spans="1:9" x14ac:dyDescent="0.3">
      <c r="A974" t="s">
        <v>989</v>
      </c>
      <c r="B974" t="s">
        <v>24</v>
      </c>
      <c r="C974" t="s">
        <v>14</v>
      </c>
      <c r="D974">
        <v>23</v>
      </c>
      <c r="E974" s="1">
        <v>44332</v>
      </c>
      <c r="F974">
        <v>4.03</v>
      </c>
      <c r="G974">
        <v>6</v>
      </c>
      <c r="H974">
        <v>12277.82</v>
      </c>
      <c r="I974">
        <v>4.5</v>
      </c>
    </row>
    <row r="975" spans="1:9" x14ac:dyDescent="0.3">
      <c r="A975" t="s">
        <v>990</v>
      </c>
      <c r="B975" t="s">
        <v>13</v>
      </c>
      <c r="C975" t="s">
        <v>14</v>
      </c>
      <c r="D975">
        <v>49</v>
      </c>
      <c r="E975" s="1">
        <v>43476</v>
      </c>
      <c r="F975">
        <v>3.11</v>
      </c>
      <c r="G975">
        <v>10</v>
      </c>
      <c r="H975">
        <v>3496.58</v>
      </c>
      <c r="I975">
        <v>6.8</v>
      </c>
    </row>
    <row r="976" spans="1:9" x14ac:dyDescent="0.3">
      <c r="A976" t="s">
        <v>991</v>
      </c>
      <c r="B976" t="s">
        <v>10</v>
      </c>
      <c r="C976" t="s">
        <v>11</v>
      </c>
      <c r="D976">
        <v>34</v>
      </c>
      <c r="E976" s="1">
        <v>44221</v>
      </c>
      <c r="F976">
        <v>1.79</v>
      </c>
      <c r="G976">
        <v>8</v>
      </c>
      <c r="H976">
        <v>3267.29</v>
      </c>
      <c r="I976">
        <v>4.8</v>
      </c>
    </row>
    <row r="977" spans="1:9" x14ac:dyDescent="0.3">
      <c r="A977" t="s">
        <v>992</v>
      </c>
      <c r="B977" t="s">
        <v>13</v>
      </c>
      <c r="C977" t="s">
        <v>14</v>
      </c>
      <c r="D977">
        <v>35</v>
      </c>
      <c r="E977" s="1">
        <v>44070</v>
      </c>
      <c r="F977">
        <v>3.3</v>
      </c>
      <c r="G977">
        <v>7</v>
      </c>
      <c r="H977">
        <v>5714.23</v>
      </c>
      <c r="I977">
        <v>5.2</v>
      </c>
    </row>
    <row r="978" spans="1:9" x14ac:dyDescent="0.3">
      <c r="A978" t="s">
        <v>993</v>
      </c>
      <c r="B978" t="s">
        <v>13</v>
      </c>
      <c r="C978" t="s">
        <v>14</v>
      </c>
      <c r="D978">
        <v>46</v>
      </c>
      <c r="E978" s="1">
        <v>40516</v>
      </c>
      <c r="F978">
        <v>4.24</v>
      </c>
      <c r="G978">
        <v>15</v>
      </c>
      <c r="H978">
        <v>7280</v>
      </c>
      <c r="I978">
        <v>14.9</v>
      </c>
    </row>
    <row r="979" spans="1:9" x14ac:dyDescent="0.3">
      <c r="A979" t="s">
        <v>994</v>
      </c>
      <c r="B979" t="s">
        <v>16</v>
      </c>
      <c r="C979" t="s">
        <v>11</v>
      </c>
      <c r="D979">
        <v>32</v>
      </c>
      <c r="E979" s="1">
        <v>40687</v>
      </c>
      <c r="F979">
        <v>2.97</v>
      </c>
      <c r="G979">
        <v>0</v>
      </c>
      <c r="H979">
        <v>3524.26</v>
      </c>
      <c r="I979">
        <v>14.5</v>
      </c>
    </row>
    <row r="980" spans="1:9" x14ac:dyDescent="0.3">
      <c r="A980" t="s">
        <v>995</v>
      </c>
      <c r="B980" t="s">
        <v>10</v>
      </c>
      <c r="C980" t="s">
        <v>14</v>
      </c>
      <c r="D980">
        <v>38</v>
      </c>
      <c r="E980" s="1">
        <v>45057</v>
      </c>
      <c r="F980">
        <v>3.96</v>
      </c>
      <c r="G980">
        <v>7</v>
      </c>
      <c r="H980">
        <v>13613.85</v>
      </c>
      <c r="I980">
        <v>2.5</v>
      </c>
    </row>
    <row r="981" spans="1:9" x14ac:dyDescent="0.3">
      <c r="A981" t="s">
        <v>996</v>
      </c>
      <c r="B981" t="s">
        <v>13</v>
      </c>
      <c r="C981" t="s">
        <v>14</v>
      </c>
      <c r="D981">
        <v>55</v>
      </c>
      <c r="E981" s="1">
        <v>42179</v>
      </c>
      <c r="F981">
        <v>4.2300000000000004</v>
      </c>
      <c r="G981">
        <v>8</v>
      </c>
      <c r="H981">
        <v>11399.16</v>
      </c>
      <c r="I981">
        <v>10.4</v>
      </c>
    </row>
    <row r="982" spans="1:9" x14ac:dyDescent="0.3">
      <c r="A982" t="s">
        <v>997</v>
      </c>
      <c r="B982" t="s">
        <v>13</v>
      </c>
      <c r="C982" t="s">
        <v>11</v>
      </c>
      <c r="D982">
        <v>54</v>
      </c>
      <c r="E982" s="1">
        <v>41063</v>
      </c>
      <c r="F982">
        <v>3.33</v>
      </c>
      <c r="G982">
        <v>11</v>
      </c>
      <c r="H982">
        <v>3980.61</v>
      </c>
      <c r="I982">
        <v>13.4</v>
      </c>
    </row>
    <row r="983" spans="1:9" x14ac:dyDescent="0.3">
      <c r="A983" t="s">
        <v>998</v>
      </c>
      <c r="B983" t="s">
        <v>16</v>
      </c>
      <c r="C983" t="s">
        <v>11</v>
      </c>
      <c r="D983">
        <v>37</v>
      </c>
      <c r="E983" s="1">
        <v>43333</v>
      </c>
      <c r="F983">
        <v>3.23</v>
      </c>
      <c r="G983">
        <v>10</v>
      </c>
      <c r="H983">
        <v>3896.03</v>
      </c>
      <c r="I983">
        <v>7.2</v>
      </c>
    </row>
    <row r="984" spans="1:9" x14ac:dyDescent="0.3">
      <c r="A984" t="s">
        <v>999</v>
      </c>
      <c r="B984" t="s">
        <v>18</v>
      </c>
      <c r="C984" t="s">
        <v>11</v>
      </c>
      <c r="D984">
        <v>33</v>
      </c>
      <c r="E984" s="1">
        <v>43552</v>
      </c>
      <c r="F984">
        <v>3.38</v>
      </c>
      <c r="G984">
        <v>8</v>
      </c>
      <c r="H984">
        <v>5183.62</v>
      </c>
      <c r="I984">
        <v>6.6</v>
      </c>
    </row>
    <row r="985" spans="1:9" x14ac:dyDescent="0.3">
      <c r="A985" t="s">
        <v>1000</v>
      </c>
      <c r="B985" t="s">
        <v>13</v>
      </c>
      <c r="C985" t="s">
        <v>11</v>
      </c>
      <c r="D985">
        <v>38</v>
      </c>
      <c r="E985" s="1">
        <v>42803</v>
      </c>
      <c r="F985">
        <v>2.41</v>
      </c>
      <c r="G985">
        <v>11</v>
      </c>
      <c r="H985">
        <v>5036.96</v>
      </c>
      <c r="I985">
        <v>8.6999999999999993</v>
      </c>
    </row>
    <row r="986" spans="1:9" x14ac:dyDescent="0.3">
      <c r="A986" t="s">
        <v>1001</v>
      </c>
      <c r="B986" t="s">
        <v>10</v>
      </c>
      <c r="C986" t="s">
        <v>11</v>
      </c>
      <c r="D986">
        <v>49</v>
      </c>
      <c r="E986" s="1">
        <v>45114</v>
      </c>
      <c r="F986">
        <v>2.0699999999999998</v>
      </c>
      <c r="G986">
        <v>2</v>
      </c>
      <c r="H986">
        <v>3034.91</v>
      </c>
      <c r="I986">
        <v>2.2999999999999998</v>
      </c>
    </row>
    <row r="987" spans="1:9" x14ac:dyDescent="0.3">
      <c r="A987" t="s">
        <v>1002</v>
      </c>
      <c r="B987" t="s">
        <v>18</v>
      </c>
      <c r="C987" t="s">
        <v>11</v>
      </c>
      <c r="D987">
        <v>59</v>
      </c>
      <c r="E987" s="1">
        <v>40292</v>
      </c>
      <c r="F987">
        <v>4.57</v>
      </c>
      <c r="G987">
        <v>4</v>
      </c>
      <c r="H987">
        <v>11034.49</v>
      </c>
      <c r="I987">
        <v>15.5</v>
      </c>
    </row>
    <row r="988" spans="1:9" x14ac:dyDescent="0.3">
      <c r="A988" t="s">
        <v>1003</v>
      </c>
      <c r="B988" t="s">
        <v>34</v>
      </c>
      <c r="C988" t="s">
        <v>14</v>
      </c>
      <c r="D988">
        <v>57</v>
      </c>
      <c r="E988" s="1">
        <v>45444</v>
      </c>
      <c r="F988">
        <v>3.5</v>
      </c>
      <c r="G988">
        <v>0</v>
      </c>
      <c r="H988">
        <v>12234.87</v>
      </c>
      <c r="I988">
        <v>1.4</v>
      </c>
    </row>
    <row r="989" spans="1:9" x14ac:dyDescent="0.3">
      <c r="A989" t="s">
        <v>1004</v>
      </c>
      <c r="B989" t="s">
        <v>34</v>
      </c>
      <c r="C989" t="s">
        <v>14</v>
      </c>
      <c r="D989">
        <v>43</v>
      </c>
      <c r="E989" s="1">
        <v>45409</v>
      </c>
      <c r="F989">
        <v>2.5499999999999998</v>
      </c>
      <c r="G989">
        <v>5</v>
      </c>
      <c r="H989">
        <v>14100.91</v>
      </c>
      <c r="I989">
        <v>1.5</v>
      </c>
    </row>
    <row r="990" spans="1:9" x14ac:dyDescent="0.3">
      <c r="A990" t="s">
        <v>1005</v>
      </c>
      <c r="B990" t="s">
        <v>10</v>
      </c>
      <c r="C990" t="s">
        <v>11</v>
      </c>
      <c r="D990">
        <v>32</v>
      </c>
      <c r="E990" s="1">
        <v>43286</v>
      </c>
      <c r="F990">
        <v>3.21</v>
      </c>
      <c r="G990">
        <v>2</v>
      </c>
      <c r="H990">
        <v>12575.85</v>
      </c>
      <c r="I990">
        <v>7.3</v>
      </c>
    </row>
    <row r="991" spans="1:9" x14ac:dyDescent="0.3">
      <c r="A991" t="s">
        <v>1006</v>
      </c>
      <c r="B991" t="s">
        <v>13</v>
      </c>
      <c r="C991" t="s">
        <v>11</v>
      </c>
      <c r="D991">
        <v>50</v>
      </c>
      <c r="E991" s="1">
        <v>43270</v>
      </c>
      <c r="F991">
        <v>4.38</v>
      </c>
      <c r="G991">
        <v>5</v>
      </c>
      <c r="H991">
        <v>9753.39</v>
      </c>
      <c r="I991">
        <v>7.4</v>
      </c>
    </row>
    <row r="992" spans="1:9" x14ac:dyDescent="0.3">
      <c r="A992" t="s">
        <v>1007</v>
      </c>
      <c r="B992" t="s">
        <v>10</v>
      </c>
      <c r="C992" t="s">
        <v>14</v>
      </c>
      <c r="D992">
        <v>25</v>
      </c>
      <c r="E992" s="1">
        <v>44660</v>
      </c>
      <c r="F992">
        <v>3.77</v>
      </c>
      <c r="G992">
        <v>7</v>
      </c>
      <c r="H992">
        <v>8890.9599999999991</v>
      </c>
      <c r="I992">
        <v>3.6</v>
      </c>
    </row>
    <row r="993" spans="1:9" x14ac:dyDescent="0.3">
      <c r="A993" t="s">
        <v>1008</v>
      </c>
      <c r="B993" t="s">
        <v>24</v>
      </c>
      <c r="C993" t="s">
        <v>14</v>
      </c>
      <c r="D993">
        <v>53</v>
      </c>
      <c r="E993" s="1">
        <v>44758</v>
      </c>
      <c r="F993">
        <v>3.38</v>
      </c>
      <c r="G993">
        <v>13</v>
      </c>
      <c r="H993">
        <v>12754.69</v>
      </c>
      <c r="I993">
        <v>3.3</v>
      </c>
    </row>
    <row r="994" spans="1:9" x14ac:dyDescent="0.3">
      <c r="A994" t="s">
        <v>1009</v>
      </c>
      <c r="B994" t="s">
        <v>24</v>
      </c>
      <c r="C994" t="s">
        <v>11</v>
      </c>
      <c r="D994">
        <v>49</v>
      </c>
      <c r="E994" s="1">
        <v>44823</v>
      </c>
      <c r="F994">
        <v>3.3</v>
      </c>
      <c r="G994">
        <v>13</v>
      </c>
      <c r="H994">
        <v>3088.36</v>
      </c>
      <c r="I994">
        <v>3.1</v>
      </c>
    </row>
    <row r="995" spans="1:9" x14ac:dyDescent="0.3">
      <c r="A995" t="s">
        <v>1010</v>
      </c>
      <c r="B995" t="s">
        <v>16</v>
      </c>
      <c r="C995" t="s">
        <v>11</v>
      </c>
      <c r="D995">
        <v>60</v>
      </c>
      <c r="E995" s="1">
        <v>42964</v>
      </c>
      <c r="F995">
        <v>4.6900000000000004</v>
      </c>
      <c r="G995">
        <v>4</v>
      </c>
      <c r="H995">
        <v>5763.87</v>
      </c>
      <c r="I995">
        <v>8.1999999999999993</v>
      </c>
    </row>
    <row r="996" spans="1:9" x14ac:dyDescent="0.3">
      <c r="A996" t="s">
        <v>1011</v>
      </c>
      <c r="B996" t="s">
        <v>34</v>
      </c>
      <c r="C996" t="s">
        <v>11</v>
      </c>
      <c r="D996">
        <v>60</v>
      </c>
      <c r="E996" s="1">
        <v>42542</v>
      </c>
      <c r="F996">
        <v>4.97</v>
      </c>
      <c r="G996">
        <v>8</v>
      </c>
      <c r="H996">
        <v>13162.27</v>
      </c>
      <c r="I996">
        <v>9.4</v>
      </c>
    </row>
    <row r="997" spans="1:9" x14ac:dyDescent="0.3">
      <c r="A997" t="s">
        <v>1012</v>
      </c>
      <c r="B997" t="s">
        <v>34</v>
      </c>
      <c r="C997" t="s">
        <v>11</v>
      </c>
      <c r="D997">
        <v>50</v>
      </c>
      <c r="E997" s="1">
        <v>44956</v>
      </c>
      <c r="F997">
        <v>2.72</v>
      </c>
      <c r="G997">
        <v>11</v>
      </c>
      <c r="H997">
        <v>9819.4500000000007</v>
      </c>
      <c r="I997">
        <v>2.8</v>
      </c>
    </row>
    <row r="998" spans="1:9" x14ac:dyDescent="0.3">
      <c r="A998" t="s">
        <v>1013</v>
      </c>
      <c r="B998" t="s">
        <v>24</v>
      </c>
      <c r="C998" t="s">
        <v>11</v>
      </c>
      <c r="D998">
        <v>44</v>
      </c>
      <c r="E998" s="1">
        <v>43128</v>
      </c>
      <c r="F998">
        <v>4.5599999999999996</v>
      </c>
      <c r="G998">
        <v>2</v>
      </c>
      <c r="H998">
        <v>13029.83</v>
      </c>
      <c r="I998">
        <v>7.8</v>
      </c>
    </row>
    <row r="999" spans="1:9" x14ac:dyDescent="0.3">
      <c r="A999" t="s">
        <v>1014</v>
      </c>
      <c r="B999" t="s">
        <v>13</v>
      </c>
      <c r="C999" t="s">
        <v>14</v>
      </c>
      <c r="D999">
        <v>56</v>
      </c>
      <c r="E999" s="1">
        <v>44075</v>
      </c>
      <c r="F999">
        <v>2.2599999999999998</v>
      </c>
      <c r="G999">
        <v>14</v>
      </c>
      <c r="H999">
        <v>5462.45</v>
      </c>
      <c r="I999">
        <v>5.2</v>
      </c>
    </row>
    <row r="1000" spans="1:9" x14ac:dyDescent="0.3">
      <c r="A1000" t="s">
        <v>1015</v>
      </c>
      <c r="B1000" t="s">
        <v>24</v>
      </c>
      <c r="C1000" t="s">
        <v>14</v>
      </c>
      <c r="D1000">
        <v>55</v>
      </c>
      <c r="E1000" s="1">
        <v>45360</v>
      </c>
      <c r="F1000">
        <v>1.67</v>
      </c>
      <c r="G1000">
        <v>12</v>
      </c>
      <c r="H1000">
        <v>4135.55</v>
      </c>
      <c r="I1000">
        <v>1.6</v>
      </c>
    </row>
    <row r="1001" spans="1:9" x14ac:dyDescent="0.3">
      <c r="A1001" t="s">
        <v>1016</v>
      </c>
      <c r="B1001" t="s">
        <v>10</v>
      </c>
      <c r="C1001" t="s">
        <v>11</v>
      </c>
      <c r="D1001">
        <v>56</v>
      </c>
      <c r="E1001" s="1">
        <v>41529</v>
      </c>
      <c r="F1001">
        <v>4.12</v>
      </c>
      <c r="G1001">
        <v>0</v>
      </c>
      <c r="H1001">
        <v>7267.64</v>
      </c>
      <c r="I1001">
        <v>12.1</v>
      </c>
    </row>
    <row r="1002" spans="1:9" x14ac:dyDescent="0.3">
      <c r="A1002" t="s">
        <v>1017</v>
      </c>
      <c r="B1002" t="s">
        <v>34</v>
      </c>
      <c r="C1002" t="s">
        <v>14</v>
      </c>
      <c r="D1002">
        <v>27</v>
      </c>
      <c r="E1002" s="1">
        <v>41004</v>
      </c>
      <c r="F1002">
        <v>4.8899999999999997</v>
      </c>
      <c r="G1002">
        <v>6</v>
      </c>
      <c r="H1002">
        <v>10293.39</v>
      </c>
      <c r="I1002">
        <v>13.6</v>
      </c>
    </row>
    <row r="1003" spans="1:9" x14ac:dyDescent="0.3">
      <c r="A1003" t="s">
        <v>1018</v>
      </c>
      <c r="B1003" t="s">
        <v>16</v>
      </c>
      <c r="C1003" t="s">
        <v>14</v>
      </c>
      <c r="D1003">
        <v>24</v>
      </c>
      <c r="E1003" s="1">
        <v>45155</v>
      </c>
      <c r="F1003">
        <v>3.72</v>
      </c>
      <c r="G1003">
        <v>9</v>
      </c>
      <c r="H1003">
        <v>10648.67</v>
      </c>
      <c r="I1003">
        <v>2.2000000000000002</v>
      </c>
    </row>
    <row r="1004" spans="1:9" x14ac:dyDescent="0.3">
      <c r="A1004" t="s">
        <v>1019</v>
      </c>
      <c r="B1004" t="s">
        <v>24</v>
      </c>
      <c r="C1004" t="s">
        <v>11</v>
      </c>
      <c r="D1004">
        <v>24</v>
      </c>
      <c r="E1004" s="1">
        <v>45855</v>
      </c>
      <c r="F1004">
        <v>2.78</v>
      </c>
      <c r="G1004">
        <v>2</v>
      </c>
      <c r="H1004">
        <v>13038.38</v>
      </c>
      <c r="I1004">
        <v>0.3</v>
      </c>
    </row>
    <row r="1005" spans="1:9" x14ac:dyDescent="0.3">
      <c r="A1005" t="s">
        <v>1020</v>
      </c>
      <c r="B1005" t="s">
        <v>13</v>
      </c>
      <c r="C1005" t="s">
        <v>11</v>
      </c>
      <c r="D1005">
        <v>50</v>
      </c>
      <c r="E1005" s="1">
        <v>40911</v>
      </c>
      <c r="F1005">
        <v>4.2699999999999996</v>
      </c>
      <c r="G1005">
        <v>15</v>
      </c>
      <c r="H1005">
        <v>4688.62</v>
      </c>
      <c r="I1005">
        <v>13.8</v>
      </c>
    </row>
    <row r="1006" spans="1:9" x14ac:dyDescent="0.3">
      <c r="A1006" t="s">
        <v>1021</v>
      </c>
      <c r="B1006" t="s">
        <v>16</v>
      </c>
      <c r="C1006" t="s">
        <v>14</v>
      </c>
      <c r="D1006">
        <v>31</v>
      </c>
      <c r="E1006" s="1">
        <v>45474</v>
      </c>
      <c r="F1006">
        <v>3.41</v>
      </c>
      <c r="G1006">
        <v>3</v>
      </c>
      <c r="H1006">
        <v>12302.55</v>
      </c>
      <c r="I1006">
        <v>1.3</v>
      </c>
    </row>
    <row r="1007" spans="1:9" x14ac:dyDescent="0.3">
      <c r="A1007" t="s">
        <v>1022</v>
      </c>
      <c r="B1007" t="s">
        <v>34</v>
      </c>
      <c r="C1007" t="s">
        <v>14</v>
      </c>
      <c r="D1007">
        <v>37</v>
      </c>
      <c r="E1007" s="1">
        <v>44659</v>
      </c>
      <c r="F1007">
        <v>2.73</v>
      </c>
      <c r="G1007">
        <v>7</v>
      </c>
      <c r="H1007">
        <v>13681.59</v>
      </c>
      <c r="I1007">
        <v>3.6</v>
      </c>
    </row>
    <row r="1008" spans="1:9" x14ac:dyDescent="0.3">
      <c r="A1008" t="s">
        <v>1023</v>
      </c>
      <c r="B1008" t="s">
        <v>18</v>
      </c>
      <c r="C1008" t="s">
        <v>14</v>
      </c>
      <c r="D1008">
        <v>48</v>
      </c>
      <c r="E1008" s="1">
        <v>43386</v>
      </c>
      <c r="F1008">
        <v>2.2599999999999998</v>
      </c>
      <c r="G1008">
        <v>12</v>
      </c>
      <c r="H1008">
        <v>10031.17</v>
      </c>
      <c r="I1008">
        <v>7.1</v>
      </c>
    </row>
    <row r="1009" spans="1:9" x14ac:dyDescent="0.3">
      <c r="A1009" t="s">
        <v>1024</v>
      </c>
      <c r="B1009" t="s">
        <v>34</v>
      </c>
      <c r="C1009" t="s">
        <v>14</v>
      </c>
      <c r="D1009">
        <v>30</v>
      </c>
      <c r="E1009" s="1">
        <v>41047</v>
      </c>
      <c r="F1009">
        <v>4.28</v>
      </c>
      <c r="G1009">
        <v>13</v>
      </c>
      <c r="H1009">
        <v>6195.88</v>
      </c>
      <c r="I1009">
        <v>13.5</v>
      </c>
    </row>
    <row r="1010" spans="1:9" x14ac:dyDescent="0.3">
      <c r="A1010" t="s">
        <v>1025</v>
      </c>
      <c r="B1010" t="s">
        <v>34</v>
      </c>
      <c r="C1010" t="s">
        <v>14</v>
      </c>
      <c r="D1010">
        <v>60</v>
      </c>
      <c r="E1010" s="1">
        <v>44903</v>
      </c>
      <c r="F1010">
        <v>4.46</v>
      </c>
      <c r="G1010">
        <v>15</v>
      </c>
      <c r="H1010">
        <v>12387.42</v>
      </c>
      <c r="I1010">
        <v>2.9</v>
      </c>
    </row>
    <row r="1011" spans="1:9" x14ac:dyDescent="0.3">
      <c r="A1011" t="s">
        <v>1026</v>
      </c>
      <c r="B1011" t="s">
        <v>10</v>
      </c>
      <c r="C1011" t="s">
        <v>11</v>
      </c>
      <c r="D1011">
        <v>51</v>
      </c>
      <c r="E1011" s="1">
        <v>42668</v>
      </c>
      <c r="F1011">
        <v>3.66</v>
      </c>
      <c r="G1011">
        <v>8</v>
      </c>
      <c r="H1011">
        <v>14372.3</v>
      </c>
      <c r="I1011">
        <v>9</v>
      </c>
    </row>
    <row r="1012" spans="1:9" x14ac:dyDescent="0.3">
      <c r="A1012" t="s">
        <v>1027</v>
      </c>
      <c r="B1012" t="s">
        <v>34</v>
      </c>
      <c r="C1012" t="s">
        <v>11</v>
      </c>
      <c r="D1012">
        <v>52</v>
      </c>
      <c r="E1012" s="1">
        <v>40347</v>
      </c>
      <c r="F1012">
        <v>2.81</v>
      </c>
      <c r="G1012">
        <v>12</v>
      </c>
      <c r="H1012">
        <v>6145.48</v>
      </c>
      <c r="I1012">
        <v>15.4</v>
      </c>
    </row>
    <row r="1013" spans="1:9" x14ac:dyDescent="0.3">
      <c r="A1013" t="s">
        <v>1028</v>
      </c>
      <c r="B1013" t="s">
        <v>10</v>
      </c>
      <c r="C1013" t="s">
        <v>14</v>
      </c>
      <c r="D1013">
        <v>46</v>
      </c>
      <c r="E1013" s="1">
        <v>43934</v>
      </c>
      <c r="F1013">
        <v>3.62</v>
      </c>
      <c r="G1013">
        <v>8</v>
      </c>
      <c r="H1013">
        <v>7512.49</v>
      </c>
      <c r="I1013">
        <v>5.6</v>
      </c>
    </row>
    <row r="1014" spans="1:9" x14ac:dyDescent="0.3">
      <c r="A1014" t="s">
        <v>1029</v>
      </c>
      <c r="B1014" t="s">
        <v>34</v>
      </c>
      <c r="C1014" t="s">
        <v>14</v>
      </c>
      <c r="D1014">
        <v>44</v>
      </c>
      <c r="E1014" s="1">
        <v>44688</v>
      </c>
      <c r="F1014">
        <v>2.31</v>
      </c>
      <c r="G1014">
        <v>8</v>
      </c>
      <c r="H1014">
        <v>7295.78</v>
      </c>
      <c r="I1014">
        <v>3.5</v>
      </c>
    </row>
    <row r="1015" spans="1:9" x14ac:dyDescent="0.3">
      <c r="A1015" t="s">
        <v>1030</v>
      </c>
      <c r="B1015" t="s">
        <v>24</v>
      </c>
      <c r="C1015" t="s">
        <v>14</v>
      </c>
      <c r="D1015">
        <v>26</v>
      </c>
      <c r="E1015" s="1">
        <v>44661</v>
      </c>
      <c r="F1015">
        <v>4.47</v>
      </c>
      <c r="G1015">
        <v>1</v>
      </c>
      <c r="H1015">
        <v>3661.88</v>
      </c>
      <c r="I1015">
        <v>3.6</v>
      </c>
    </row>
    <row r="1016" spans="1:9" x14ac:dyDescent="0.3">
      <c r="A1016" t="s">
        <v>1031</v>
      </c>
      <c r="B1016" t="s">
        <v>34</v>
      </c>
      <c r="C1016" t="s">
        <v>14</v>
      </c>
      <c r="D1016">
        <v>58</v>
      </c>
      <c r="E1016" s="1">
        <v>42806</v>
      </c>
      <c r="F1016">
        <v>4.68</v>
      </c>
      <c r="G1016">
        <v>15</v>
      </c>
      <c r="H1016">
        <v>11406.69</v>
      </c>
      <c r="I1016">
        <v>8.6</v>
      </c>
    </row>
    <row r="1017" spans="1:9" x14ac:dyDescent="0.3">
      <c r="A1017" t="s">
        <v>1032</v>
      </c>
      <c r="B1017" t="s">
        <v>34</v>
      </c>
      <c r="C1017" t="s">
        <v>11</v>
      </c>
      <c r="D1017">
        <v>47</v>
      </c>
      <c r="E1017" s="1">
        <v>45518</v>
      </c>
      <c r="F1017">
        <v>3.78</v>
      </c>
      <c r="G1017">
        <v>9</v>
      </c>
      <c r="H1017">
        <v>3770.43</v>
      </c>
      <c r="I1017">
        <v>1.2</v>
      </c>
    </row>
    <row r="1018" spans="1:9" x14ac:dyDescent="0.3">
      <c r="A1018" t="s">
        <v>1033</v>
      </c>
      <c r="B1018" t="s">
        <v>13</v>
      </c>
      <c r="C1018" t="s">
        <v>14</v>
      </c>
      <c r="D1018">
        <v>48</v>
      </c>
      <c r="E1018" s="1">
        <v>45625</v>
      </c>
      <c r="F1018">
        <v>3.11</v>
      </c>
      <c r="G1018">
        <v>1</v>
      </c>
      <c r="H1018">
        <v>5133.6400000000003</v>
      </c>
      <c r="I1018">
        <v>0.9</v>
      </c>
    </row>
    <row r="1019" spans="1:9" x14ac:dyDescent="0.3">
      <c r="A1019" t="s">
        <v>1034</v>
      </c>
      <c r="B1019" t="s">
        <v>16</v>
      </c>
      <c r="C1019" t="s">
        <v>14</v>
      </c>
      <c r="D1019">
        <v>46</v>
      </c>
      <c r="E1019" s="1">
        <v>44974</v>
      </c>
      <c r="F1019">
        <v>4.5599999999999996</v>
      </c>
      <c r="G1019">
        <v>4</v>
      </c>
      <c r="H1019">
        <v>9744.07</v>
      </c>
      <c r="I1019">
        <v>2.7</v>
      </c>
    </row>
    <row r="1020" spans="1:9" x14ac:dyDescent="0.3">
      <c r="A1020" t="s">
        <v>1035</v>
      </c>
      <c r="B1020" t="s">
        <v>18</v>
      </c>
      <c r="C1020" t="s">
        <v>14</v>
      </c>
      <c r="D1020">
        <v>24</v>
      </c>
      <c r="E1020" s="1">
        <v>45006</v>
      </c>
      <c r="F1020">
        <v>1.8</v>
      </c>
      <c r="G1020">
        <v>15</v>
      </c>
      <c r="H1020">
        <v>11440.44</v>
      </c>
      <c r="I1020">
        <v>2.6</v>
      </c>
    </row>
    <row r="1021" spans="1:9" x14ac:dyDescent="0.3">
      <c r="A1021" t="s">
        <v>1036</v>
      </c>
      <c r="B1021" t="s">
        <v>13</v>
      </c>
      <c r="C1021" t="s">
        <v>11</v>
      </c>
      <c r="D1021">
        <v>42</v>
      </c>
      <c r="E1021" s="1">
        <v>40197</v>
      </c>
      <c r="F1021">
        <v>1.57</v>
      </c>
      <c r="G1021">
        <v>1</v>
      </c>
      <c r="H1021">
        <v>6861.05</v>
      </c>
      <c r="I1021">
        <v>15.8</v>
      </c>
    </row>
    <row r="1022" spans="1:9" x14ac:dyDescent="0.3">
      <c r="A1022" t="s">
        <v>1037</v>
      </c>
      <c r="B1022" t="s">
        <v>24</v>
      </c>
      <c r="C1022" t="s">
        <v>14</v>
      </c>
      <c r="D1022">
        <v>42</v>
      </c>
      <c r="E1022" s="1">
        <v>43561</v>
      </c>
      <c r="F1022">
        <v>3.81</v>
      </c>
      <c r="G1022">
        <v>5</v>
      </c>
      <c r="H1022">
        <v>10400.969999999999</v>
      </c>
      <c r="I1022">
        <v>6.6</v>
      </c>
    </row>
    <row r="1023" spans="1:9" x14ac:dyDescent="0.3">
      <c r="A1023" t="s">
        <v>1038</v>
      </c>
      <c r="B1023" t="s">
        <v>24</v>
      </c>
      <c r="C1023" t="s">
        <v>14</v>
      </c>
      <c r="D1023">
        <v>27</v>
      </c>
      <c r="E1023" s="1">
        <v>42818</v>
      </c>
      <c r="F1023">
        <v>4.8600000000000003</v>
      </c>
      <c r="G1023">
        <v>0</v>
      </c>
      <c r="H1023">
        <v>10712.55</v>
      </c>
      <c r="I1023">
        <v>8.6</v>
      </c>
    </row>
    <row r="1024" spans="1:9" x14ac:dyDescent="0.3">
      <c r="A1024" t="s">
        <v>1039</v>
      </c>
      <c r="B1024" t="s">
        <v>16</v>
      </c>
      <c r="C1024" t="s">
        <v>14</v>
      </c>
      <c r="D1024">
        <v>35</v>
      </c>
      <c r="E1024" s="1">
        <v>45210</v>
      </c>
      <c r="F1024">
        <v>3.43</v>
      </c>
      <c r="G1024">
        <v>14</v>
      </c>
      <c r="H1024">
        <v>11489.26</v>
      </c>
      <c r="I1024">
        <v>2.1</v>
      </c>
    </row>
    <row r="1025" spans="1:9" x14ac:dyDescent="0.3">
      <c r="A1025" t="s">
        <v>1040</v>
      </c>
      <c r="B1025" t="s">
        <v>13</v>
      </c>
      <c r="C1025" t="s">
        <v>11</v>
      </c>
      <c r="D1025">
        <v>22</v>
      </c>
      <c r="E1025" s="1">
        <v>40651</v>
      </c>
      <c r="F1025">
        <v>2.68</v>
      </c>
      <c r="G1025">
        <v>0</v>
      </c>
      <c r="H1025">
        <v>8090.24</v>
      </c>
      <c r="I1025">
        <v>14.6</v>
      </c>
    </row>
    <row r="1026" spans="1:9" x14ac:dyDescent="0.3">
      <c r="A1026" t="s">
        <v>1041</v>
      </c>
      <c r="B1026" t="s">
        <v>34</v>
      </c>
      <c r="C1026" t="s">
        <v>14</v>
      </c>
      <c r="D1026">
        <v>29</v>
      </c>
      <c r="E1026" s="1">
        <v>44797</v>
      </c>
      <c r="F1026">
        <v>4.5599999999999996</v>
      </c>
      <c r="G1026">
        <v>13</v>
      </c>
      <c r="H1026">
        <v>14287.93</v>
      </c>
      <c r="I1026">
        <v>3.2</v>
      </c>
    </row>
    <row r="1027" spans="1:9" x14ac:dyDescent="0.3">
      <c r="A1027" t="s">
        <v>1042</v>
      </c>
      <c r="B1027" t="s">
        <v>34</v>
      </c>
      <c r="C1027" t="s">
        <v>11</v>
      </c>
      <c r="D1027">
        <v>36</v>
      </c>
      <c r="E1027" s="1">
        <v>43211</v>
      </c>
      <c r="F1027">
        <v>3.28</v>
      </c>
      <c r="G1027">
        <v>15</v>
      </c>
      <c r="H1027">
        <v>11562.41</v>
      </c>
      <c r="I1027">
        <v>7.5</v>
      </c>
    </row>
    <row r="1028" spans="1:9" x14ac:dyDescent="0.3">
      <c r="A1028" t="s">
        <v>1043</v>
      </c>
      <c r="B1028" t="s">
        <v>24</v>
      </c>
      <c r="C1028" t="s">
        <v>11</v>
      </c>
      <c r="D1028">
        <v>36</v>
      </c>
      <c r="E1028" s="1">
        <v>43125</v>
      </c>
      <c r="F1028">
        <v>3.91</v>
      </c>
      <c r="G1028">
        <v>1</v>
      </c>
      <c r="H1028">
        <v>5484.47</v>
      </c>
      <c r="I1028">
        <v>7.8</v>
      </c>
    </row>
    <row r="1029" spans="1:9" x14ac:dyDescent="0.3">
      <c r="A1029" t="s">
        <v>1044</v>
      </c>
      <c r="B1029" t="s">
        <v>18</v>
      </c>
      <c r="C1029" t="s">
        <v>14</v>
      </c>
      <c r="D1029">
        <v>40</v>
      </c>
      <c r="E1029" s="1">
        <v>41635</v>
      </c>
      <c r="F1029">
        <v>3.79</v>
      </c>
      <c r="G1029">
        <v>11</v>
      </c>
      <c r="H1029">
        <v>12437.04</v>
      </c>
      <c r="I1029">
        <v>11.9</v>
      </c>
    </row>
    <row r="1030" spans="1:9" x14ac:dyDescent="0.3">
      <c r="A1030" t="s">
        <v>1045</v>
      </c>
      <c r="B1030" t="s">
        <v>13</v>
      </c>
      <c r="C1030" t="s">
        <v>14</v>
      </c>
      <c r="D1030">
        <v>30</v>
      </c>
      <c r="E1030" s="1">
        <v>45517</v>
      </c>
      <c r="F1030">
        <v>1.93</v>
      </c>
      <c r="G1030">
        <v>6</v>
      </c>
      <c r="H1030">
        <v>8891.02</v>
      </c>
      <c r="I1030">
        <v>1.2</v>
      </c>
    </row>
    <row r="1031" spans="1:9" x14ac:dyDescent="0.3">
      <c r="A1031" t="s">
        <v>1046</v>
      </c>
      <c r="B1031" t="s">
        <v>10</v>
      </c>
      <c r="C1031" t="s">
        <v>11</v>
      </c>
      <c r="D1031">
        <v>52</v>
      </c>
      <c r="E1031" s="1">
        <v>42842</v>
      </c>
      <c r="F1031">
        <v>3.7</v>
      </c>
      <c r="G1031">
        <v>6</v>
      </c>
      <c r="H1031">
        <v>10713.71</v>
      </c>
      <c r="I1031">
        <v>8.5</v>
      </c>
    </row>
    <row r="1032" spans="1:9" x14ac:dyDescent="0.3">
      <c r="A1032" t="s">
        <v>1047</v>
      </c>
      <c r="B1032" t="s">
        <v>16</v>
      </c>
      <c r="C1032" t="s">
        <v>14</v>
      </c>
      <c r="D1032">
        <v>41</v>
      </c>
      <c r="E1032" s="1">
        <v>40953</v>
      </c>
      <c r="F1032">
        <v>2.7</v>
      </c>
      <c r="G1032">
        <v>12</v>
      </c>
      <c r="H1032">
        <v>14971.36</v>
      </c>
      <c r="I1032">
        <v>13.7</v>
      </c>
    </row>
    <row r="1033" spans="1:9" x14ac:dyDescent="0.3">
      <c r="A1033" t="s">
        <v>1048</v>
      </c>
      <c r="B1033" t="s">
        <v>13</v>
      </c>
      <c r="C1033" t="s">
        <v>11</v>
      </c>
      <c r="D1033">
        <v>34</v>
      </c>
      <c r="E1033" s="1">
        <v>42660</v>
      </c>
      <c r="F1033">
        <v>1.67</v>
      </c>
      <c r="G1033">
        <v>14</v>
      </c>
      <c r="H1033">
        <v>10743.13</v>
      </c>
      <c r="I1033">
        <v>9</v>
      </c>
    </row>
    <row r="1034" spans="1:9" x14ac:dyDescent="0.3">
      <c r="A1034" t="s">
        <v>1049</v>
      </c>
      <c r="B1034" t="s">
        <v>13</v>
      </c>
      <c r="C1034" t="s">
        <v>14</v>
      </c>
      <c r="D1034">
        <v>52</v>
      </c>
      <c r="E1034" s="1">
        <v>41902</v>
      </c>
      <c r="F1034">
        <v>4.68</v>
      </c>
      <c r="G1034">
        <v>11</v>
      </c>
      <c r="H1034">
        <v>12644.45</v>
      </c>
      <c r="I1034">
        <v>11.1</v>
      </c>
    </row>
    <row r="1035" spans="1:9" x14ac:dyDescent="0.3">
      <c r="A1035" t="s">
        <v>1050</v>
      </c>
      <c r="B1035" t="s">
        <v>10</v>
      </c>
      <c r="C1035" t="s">
        <v>14</v>
      </c>
      <c r="D1035">
        <v>35</v>
      </c>
      <c r="E1035" s="1">
        <v>43184</v>
      </c>
      <c r="F1035">
        <v>4.57</v>
      </c>
      <c r="G1035">
        <v>4</v>
      </c>
      <c r="H1035">
        <v>13229.03</v>
      </c>
      <c r="I1035">
        <v>7.6</v>
      </c>
    </row>
    <row r="1036" spans="1:9" x14ac:dyDescent="0.3">
      <c r="A1036" t="s">
        <v>1051</v>
      </c>
      <c r="B1036" t="s">
        <v>10</v>
      </c>
      <c r="C1036" t="s">
        <v>11</v>
      </c>
      <c r="D1036">
        <v>23</v>
      </c>
      <c r="E1036" s="1">
        <v>43591</v>
      </c>
      <c r="F1036">
        <v>4.17</v>
      </c>
      <c r="G1036">
        <v>4</v>
      </c>
      <c r="H1036">
        <v>9901.11</v>
      </c>
      <c r="I1036">
        <v>6.5</v>
      </c>
    </row>
    <row r="1037" spans="1:9" x14ac:dyDescent="0.3">
      <c r="A1037" t="s">
        <v>1052</v>
      </c>
      <c r="B1037" t="s">
        <v>13</v>
      </c>
      <c r="C1037" t="s">
        <v>11</v>
      </c>
      <c r="D1037">
        <v>50</v>
      </c>
      <c r="E1037" s="1">
        <v>41064</v>
      </c>
      <c r="F1037">
        <v>2.14</v>
      </c>
      <c r="G1037">
        <v>10</v>
      </c>
      <c r="H1037">
        <v>3853.07</v>
      </c>
      <c r="I1037">
        <v>13.4</v>
      </c>
    </row>
    <row r="1038" spans="1:9" x14ac:dyDescent="0.3">
      <c r="A1038" t="s">
        <v>1053</v>
      </c>
      <c r="B1038" t="s">
        <v>34</v>
      </c>
      <c r="C1038" t="s">
        <v>14</v>
      </c>
      <c r="D1038">
        <v>57</v>
      </c>
      <c r="E1038" s="1">
        <v>43911</v>
      </c>
      <c r="F1038">
        <v>2.2400000000000002</v>
      </c>
      <c r="G1038">
        <v>1</v>
      </c>
      <c r="H1038">
        <v>6873.5</v>
      </c>
      <c r="I1038">
        <v>5.6</v>
      </c>
    </row>
    <row r="1039" spans="1:9" x14ac:dyDescent="0.3">
      <c r="A1039" t="s">
        <v>1054</v>
      </c>
      <c r="B1039" t="s">
        <v>24</v>
      </c>
      <c r="C1039" t="s">
        <v>14</v>
      </c>
      <c r="D1039">
        <v>28</v>
      </c>
      <c r="E1039" s="1">
        <v>43589</v>
      </c>
      <c r="F1039">
        <v>4.32</v>
      </c>
      <c r="G1039">
        <v>12</v>
      </c>
      <c r="H1039">
        <v>5628.67</v>
      </c>
      <c r="I1039">
        <v>6.5</v>
      </c>
    </row>
    <row r="1040" spans="1:9" x14ac:dyDescent="0.3">
      <c r="A1040" t="s">
        <v>1055</v>
      </c>
      <c r="B1040" t="s">
        <v>10</v>
      </c>
      <c r="C1040" t="s">
        <v>11</v>
      </c>
      <c r="D1040">
        <v>54</v>
      </c>
      <c r="E1040" s="1">
        <v>42686</v>
      </c>
      <c r="F1040">
        <v>2.17</v>
      </c>
      <c r="G1040">
        <v>7</v>
      </c>
      <c r="H1040">
        <v>10294.719999999999</v>
      </c>
      <c r="I1040">
        <v>9</v>
      </c>
    </row>
    <row r="1041" spans="1:9" x14ac:dyDescent="0.3">
      <c r="A1041" t="s">
        <v>1056</v>
      </c>
      <c r="B1041" t="s">
        <v>18</v>
      </c>
      <c r="C1041" t="s">
        <v>11</v>
      </c>
      <c r="D1041">
        <v>51</v>
      </c>
      <c r="E1041" s="1">
        <v>41684</v>
      </c>
      <c r="F1041">
        <v>1.82</v>
      </c>
      <c r="G1041">
        <v>1</v>
      </c>
      <c r="H1041">
        <v>11337.01</v>
      </c>
      <c r="I1041">
        <v>11.7</v>
      </c>
    </row>
    <row r="1042" spans="1:9" x14ac:dyDescent="0.3">
      <c r="A1042" t="s">
        <v>1057</v>
      </c>
      <c r="B1042" t="s">
        <v>13</v>
      </c>
      <c r="C1042" t="s">
        <v>14</v>
      </c>
      <c r="D1042">
        <v>51</v>
      </c>
      <c r="E1042" s="1">
        <v>44949</v>
      </c>
      <c r="F1042">
        <v>2.89</v>
      </c>
      <c r="G1042">
        <v>2</v>
      </c>
      <c r="H1042">
        <v>10824.83</v>
      </c>
      <c r="I1042">
        <v>2.8</v>
      </c>
    </row>
    <row r="1043" spans="1:9" x14ac:dyDescent="0.3">
      <c r="A1043" t="s">
        <v>1058</v>
      </c>
      <c r="B1043" t="s">
        <v>18</v>
      </c>
      <c r="C1043" t="s">
        <v>11</v>
      </c>
      <c r="D1043">
        <v>54</v>
      </c>
      <c r="E1043" s="1">
        <v>41641</v>
      </c>
      <c r="F1043">
        <v>1.69</v>
      </c>
      <c r="G1043">
        <v>15</v>
      </c>
      <c r="H1043">
        <v>5332.61</v>
      </c>
      <c r="I1043">
        <v>11.8</v>
      </c>
    </row>
    <row r="1044" spans="1:9" x14ac:dyDescent="0.3">
      <c r="A1044" t="s">
        <v>1059</v>
      </c>
      <c r="B1044" t="s">
        <v>18</v>
      </c>
      <c r="C1044" t="s">
        <v>11</v>
      </c>
      <c r="D1044">
        <v>27</v>
      </c>
      <c r="E1044" s="1">
        <v>43367</v>
      </c>
      <c r="F1044">
        <v>2.76</v>
      </c>
      <c r="G1044">
        <v>11</v>
      </c>
      <c r="H1044">
        <v>8133.59</v>
      </c>
      <c r="I1044">
        <v>7.1</v>
      </c>
    </row>
    <row r="1045" spans="1:9" x14ac:dyDescent="0.3">
      <c r="A1045" t="s">
        <v>1060</v>
      </c>
      <c r="B1045" t="s">
        <v>18</v>
      </c>
      <c r="C1045" t="s">
        <v>11</v>
      </c>
      <c r="D1045">
        <v>43</v>
      </c>
      <c r="E1045" s="1">
        <v>45885</v>
      </c>
      <c r="F1045">
        <v>3.37</v>
      </c>
      <c r="G1045">
        <v>13</v>
      </c>
      <c r="H1045">
        <v>11581.33</v>
      </c>
      <c r="I1045">
        <v>0.2</v>
      </c>
    </row>
    <row r="1046" spans="1:9" x14ac:dyDescent="0.3">
      <c r="A1046" t="s">
        <v>1061</v>
      </c>
      <c r="B1046" t="s">
        <v>34</v>
      </c>
      <c r="C1046" t="s">
        <v>14</v>
      </c>
      <c r="D1046">
        <v>46</v>
      </c>
      <c r="E1046" s="1">
        <v>40338</v>
      </c>
      <c r="F1046">
        <v>4.4800000000000004</v>
      </c>
      <c r="G1046">
        <v>7</v>
      </c>
      <c r="H1046">
        <v>9811.09</v>
      </c>
      <c r="I1046">
        <v>15.4</v>
      </c>
    </row>
    <row r="1047" spans="1:9" x14ac:dyDescent="0.3">
      <c r="A1047" t="s">
        <v>1062</v>
      </c>
      <c r="B1047" t="s">
        <v>13</v>
      </c>
      <c r="C1047" t="s">
        <v>14</v>
      </c>
      <c r="D1047">
        <v>46</v>
      </c>
      <c r="E1047" s="1">
        <v>44212</v>
      </c>
      <c r="F1047">
        <v>2.72</v>
      </c>
      <c r="G1047">
        <v>5</v>
      </c>
      <c r="H1047">
        <v>4290.38</v>
      </c>
      <c r="I1047">
        <v>4.8</v>
      </c>
    </row>
    <row r="1048" spans="1:9" x14ac:dyDescent="0.3">
      <c r="A1048" t="s">
        <v>1063</v>
      </c>
      <c r="B1048" t="s">
        <v>13</v>
      </c>
      <c r="C1048" t="s">
        <v>14</v>
      </c>
      <c r="D1048">
        <v>60</v>
      </c>
      <c r="E1048" s="1">
        <v>41433</v>
      </c>
      <c r="F1048">
        <v>4.05</v>
      </c>
      <c r="G1048">
        <v>8</v>
      </c>
      <c r="H1048">
        <v>10978.77</v>
      </c>
      <c r="I1048">
        <v>12.4</v>
      </c>
    </row>
    <row r="1049" spans="1:9" x14ac:dyDescent="0.3">
      <c r="A1049" t="s">
        <v>1064</v>
      </c>
      <c r="B1049" t="s">
        <v>13</v>
      </c>
      <c r="C1049" t="s">
        <v>11</v>
      </c>
      <c r="D1049">
        <v>39</v>
      </c>
      <c r="E1049" s="1">
        <v>42742</v>
      </c>
      <c r="F1049">
        <v>3.98</v>
      </c>
      <c r="G1049">
        <v>5</v>
      </c>
      <c r="H1049">
        <v>14868.56</v>
      </c>
      <c r="I1049">
        <v>8.8000000000000007</v>
      </c>
    </row>
    <row r="1050" spans="1:9" x14ac:dyDescent="0.3">
      <c r="A1050" t="s">
        <v>1065</v>
      </c>
      <c r="B1050" t="s">
        <v>10</v>
      </c>
      <c r="C1050" t="s">
        <v>11</v>
      </c>
      <c r="D1050">
        <v>23</v>
      </c>
      <c r="E1050" s="1">
        <v>44628</v>
      </c>
      <c r="F1050">
        <v>1.98</v>
      </c>
      <c r="G1050">
        <v>5</v>
      </c>
      <c r="H1050">
        <v>6616.3</v>
      </c>
      <c r="I1050">
        <v>3.7</v>
      </c>
    </row>
    <row r="1051" spans="1:9" x14ac:dyDescent="0.3">
      <c r="A1051" t="s">
        <v>1066</v>
      </c>
      <c r="B1051" t="s">
        <v>10</v>
      </c>
      <c r="C1051" t="s">
        <v>11</v>
      </c>
      <c r="D1051">
        <v>48</v>
      </c>
      <c r="E1051" s="1">
        <v>45476</v>
      </c>
      <c r="F1051">
        <v>1.84</v>
      </c>
      <c r="G1051">
        <v>15</v>
      </c>
      <c r="H1051">
        <v>7534.03</v>
      </c>
      <c r="I1051">
        <v>1.3</v>
      </c>
    </row>
    <row r="1052" spans="1:9" x14ac:dyDescent="0.3">
      <c r="A1052" t="s">
        <v>1067</v>
      </c>
      <c r="B1052" t="s">
        <v>10</v>
      </c>
      <c r="C1052" t="s">
        <v>14</v>
      </c>
      <c r="D1052">
        <v>59</v>
      </c>
      <c r="E1052" s="1">
        <v>43626</v>
      </c>
      <c r="F1052">
        <v>4.37</v>
      </c>
      <c r="G1052">
        <v>0</v>
      </c>
      <c r="H1052">
        <v>13065.38</v>
      </c>
      <c r="I1052">
        <v>6.4</v>
      </c>
    </row>
    <row r="1053" spans="1:9" x14ac:dyDescent="0.3">
      <c r="A1053" t="s">
        <v>1068</v>
      </c>
      <c r="B1053" t="s">
        <v>13</v>
      </c>
      <c r="C1053" t="s">
        <v>11</v>
      </c>
      <c r="D1053">
        <v>25</v>
      </c>
      <c r="E1053" s="1">
        <v>40972</v>
      </c>
      <c r="F1053">
        <v>3.53</v>
      </c>
      <c r="G1053">
        <v>14</v>
      </c>
      <c r="H1053">
        <v>14421.95</v>
      </c>
      <c r="I1053">
        <v>13.7</v>
      </c>
    </row>
    <row r="1054" spans="1:9" x14ac:dyDescent="0.3">
      <c r="A1054" t="s">
        <v>1069</v>
      </c>
      <c r="B1054" t="s">
        <v>24</v>
      </c>
      <c r="C1054" t="s">
        <v>11</v>
      </c>
      <c r="D1054">
        <v>25</v>
      </c>
      <c r="E1054" s="1">
        <v>45890</v>
      </c>
      <c r="F1054">
        <v>3.08</v>
      </c>
      <c r="G1054">
        <v>10</v>
      </c>
      <c r="H1054">
        <v>10245.209999999999</v>
      </c>
      <c r="I1054">
        <v>0.2</v>
      </c>
    </row>
    <row r="1055" spans="1:9" x14ac:dyDescent="0.3">
      <c r="A1055" t="s">
        <v>1070</v>
      </c>
      <c r="B1055" t="s">
        <v>13</v>
      </c>
      <c r="C1055" t="s">
        <v>14</v>
      </c>
      <c r="D1055">
        <v>51</v>
      </c>
      <c r="E1055" s="1">
        <v>40566</v>
      </c>
      <c r="F1055">
        <v>2.8</v>
      </c>
      <c r="G1055">
        <v>1</v>
      </c>
      <c r="H1055">
        <v>5816.79</v>
      </c>
      <c r="I1055">
        <v>14.8</v>
      </c>
    </row>
    <row r="1056" spans="1:9" x14ac:dyDescent="0.3">
      <c r="A1056" t="s">
        <v>1071</v>
      </c>
      <c r="B1056" t="s">
        <v>18</v>
      </c>
      <c r="C1056" t="s">
        <v>11</v>
      </c>
      <c r="D1056">
        <v>44</v>
      </c>
      <c r="E1056" s="1">
        <v>45664</v>
      </c>
      <c r="F1056">
        <v>4.24</v>
      </c>
      <c r="G1056">
        <v>4</v>
      </c>
      <c r="H1056">
        <v>3538.45</v>
      </c>
      <c r="I1056">
        <v>0.8</v>
      </c>
    </row>
    <row r="1057" spans="1:9" x14ac:dyDescent="0.3">
      <c r="A1057" t="s">
        <v>1072</v>
      </c>
      <c r="B1057" t="s">
        <v>34</v>
      </c>
      <c r="C1057" t="s">
        <v>14</v>
      </c>
      <c r="D1057">
        <v>35</v>
      </c>
      <c r="E1057" s="1">
        <v>45857</v>
      </c>
      <c r="F1057">
        <v>2.75</v>
      </c>
      <c r="G1057">
        <v>7</v>
      </c>
      <c r="H1057">
        <v>10780.79</v>
      </c>
      <c r="I1057">
        <v>0.3</v>
      </c>
    </row>
    <row r="1058" spans="1:9" x14ac:dyDescent="0.3">
      <c r="A1058" t="s">
        <v>1073</v>
      </c>
      <c r="B1058" t="s">
        <v>16</v>
      </c>
      <c r="C1058" t="s">
        <v>11</v>
      </c>
      <c r="D1058">
        <v>51</v>
      </c>
      <c r="E1058" s="1">
        <v>41452</v>
      </c>
      <c r="F1058">
        <v>3.69</v>
      </c>
      <c r="G1058">
        <v>10</v>
      </c>
      <c r="H1058">
        <v>4794.21</v>
      </c>
      <c r="I1058">
        <v>12.4</v>
      </c>
    </row>
    <row r="1059" spans="1:9" x14ac:dyDescent="0.3">
      <c r="A1059" t="s">
        <v>1074</v>
      </c>
      <c r="B1059" t="s">
        <v>34</v>
      </c>
      <c r="C1059" t="s">
        <v>11</v>
      </c>
      <c r="D1059">
        <v>51</v>
      </c>
      <c r="E1059" s="1">
        <v>43359</v>
      </c>
      <c r="F1059">
        <v>4.58</v>
      </c>
      <c r="G1059">
        <v>15</v>
      </c>
      <c r="H1059">
        <v>12861.88</v>
      </c>
      <c r="I1059">
        <v>7.1</v>
      </c>
    </row>
    <row r="1060" spans="1:9" x14ac:dyDescent="0.3">
      <c r="A1060" t="s">
        <v>1075</v>
      </c>
      <c r="B1060" t="s">
        <v>18</v>
      </c>
      <c r="C1060" t="s">
        <v>11</v>
      </c>
      <c r="D1060">
        <v>27</v>
      </c>
      <c r="E1060" s="1">
        <v>43349</v>
      </c>
      <c r="F1060">
        <v>4.63</v>
      </c>
      <c r="G1060">
        <v>8</v>
      </c>
      <c r="H1060">
        <v>13982.98</v>
      </c>
      <c r="I1060">
        <v>7.2</v>
      </c>
    </row>
    <row r="1061" spans="1:9" x14ac:dyDescent="0.3">
      <c r="A1061" t="s">
        <v>1076</v>
      </c>
      <c r="B1061" t="s">
        <v>18</v>
      </c>
      <c r="C1061" t="s">
        <v>11</v>
      </c>
      <c r="D1061">
        <v>51</v>
      </c>
      <c r="E1061" s="1">
        <v>43072</v>
      </c>
      <c r="F1061">
        <v>3.89</v>
      </c>
      <c r="G1061">
        <v>4</v>
      </c>
      <c r="H1061">
        <v>12829.59</v>
      </c>
      <c r="I1061">
        <v>7.9</v>
      </c>
    </row>
    <row r="1062" spans="1:9" x14ac:dyDescent="0.3">
      <c r="A1062" t="s">
        <v>1077</v>
      </c>
      <c r="B1062" t="s">
        <v>24</v>
      </c>
      <c r="C1062" t="s">
        <v>11</v>
      </c>
      <c r="D1062">
        <v>25</v>
      </c>
      <c r="E1062" s="1">
        <v>45188</v>
      </c>
      <c r="F1062">
        <v>4.67</v>
      </c>
      <c r="G1062">
        <v>11</v>
      </c>
      <c r="H1062">
        <v>8362.8799999999992</v>
      </c>
      <c r="I1062">
        <v>2.1</v>
      </c>
    </row>
    <row r="1063" spans="1:9" x14ac:dyDescent="0.3">
      <c r="A1063" t="s">
        <v>1078</v>
      </c>
      <c r="B1063" t="s">
        <v>24</v>
      </c>
      <c r="C1063" t="s">
        <v>14</v>
      </c>
      <c r="D1063">
        <v>24</v>
      </c>
      <c r="E1063" s="1">
        <v>44381</v>
      </c>
      <c r="F1063">
        <v>1.55</v>
      </c>
      <c r="G1063">
        <v>8</v>
      </c>
      <c r="H1063">
        <v>5870.01</v>
      </c>
      <c r="I1063">
        <v>4.3</v>
      </c>
    </row>
    <row r="1064" spans="1:9" x14ac:dyDescent="0.3">
      <c r="A1064" t="s">
        <v>1079</v>
      </c>
      <c r="B1064" t="s">
        <v>13</v>
      </c>
      <c r="C1064" t="s">
        <v>11</v>
      </c>
      <c r="D1064">
        <v>39</v>
      </c>
      <c r="E1064" s="1">
        <v>45592</v>
      </c>
      <c r="F1064">
        <v>1.7</v>
      </c>
      <c r="G1064">
        <v>4</v>
      </c>
      <c r="H1064">
        <v>13857.86</v>
      </c>
      <c r="I1064">
        <v>1</v>
      </c>
    </row>
    <row r="1065" spans="1:9" x14ac:dyDescent="0.3">
      <c r="A1065" t="s">
        <v>1080</v>
      </c>
      <c r="B1065" t="s">
        <v>34</v>
      </c>
      <c r="C1065" t="s">
        <v>11</v>
      </c>
      <c r="D1065">
        <v>25</v>
      </c>
      <c r="E1065" s="1">
        <v>44120</v>
      </c>
      <c r="F1065">
        <v>4.38</v>
      </c>
      <c r="G1065">
        <v>12</v>
      </c>
      <c r="H1065">
        <v>5932.77</v>
      </c>
      <c r="I1065">
        <v>5</v>
      </c>
    </row>
    <row r="1066" spans="1:9" x14ac:dyDescent="0.3">
      <c r="A1066" t="s">
        <v>1081</v>
      </c>
      <c r="B1066" t="s">
        <v>16</v>
      </c>
      <c r="C1066" t="s">
        <v>14</v>
      </c>
      <c r="D1066">
        <v>28</v>
      </c>
      <c r="E1066" s="1">
        <v>44581</v>
      </c>
      <c r="F1066">
        <v>2.4300000000000002</v>
      </c>
      <c r="G1066">
        <v>9</v>
      </c>
      <c r="H1066">
        <v>10296.1</v>
      </c>
      <c r="I1066">
        <v>3.8</v>
      </c>
    </row>
    <row r="1067" spans="1:9" x14ac:dyDescent="0.3">
      <c r="A1067" t="s">
        <v>1082</v>
      </c>
      <c r="B1067" t="s">
        <v>16</v>
      </c>
      <c r="C1067" t="s">
        <v>11</v>
      </c>
      <c r="D1067">
        <v>55</v>
      </c>
      <c r="E1067" s="1">
        <v>40828</v>
      </c>
      <c r="F1067">
        <v>3.98</v>
      </c>
      <c r="G1067">
        <v>15</v>
      </c>
      <c r="H1067">
        <v>14391.04</v>
      </c>
      <c r="I1067">
        <v>14.1</v>
      </c>
    </row>
    <row r="1068" spans="1:9" x14ac:dyDescent="0.3">
      <c r="A1068" t="s">
        <v>1083</v>
      </c>
      <c r="B1068" t="s">
        <v>34</v>
      </c>
      <c r="C1068" t="s">
        <v>11</v>
      </c>
      <c r="D1068">
        <v>58</v>
      </c>
      <c r="E1068" s="1">
        <v>45143</v>
      </c>
      <c r="F1068">
        <v>2.46</v>
      </c>
      <c r="G1068">
        <v>8</v>
      </c>
      <c r="H1068">
        <v>14056.07</v>
      </c>
      <c r="I1068">
        <v>2.2000000000000002</v>
      </c>
    </row>
    <row r="1069" spans="1:9" x14ac:dyDescent="0.3">
      <c r="A1069" t="s">
        <v>1084</v>
      </c>
      <c r="B1069" t="s">
        <v>16</v>
      </c>
      <c r="C1069" t="s">
        <v>14</v>
      </c>
      <c r="D1069">
        <v>48</v>
      </c>
      <c r="E1069" s="1">
        <v>44048</v>
      </c>
      <c r="F1069">
        <v>4.5</v>
      </c>
      <c r="G1069">
        <v>0</v>
      </c>
      <c r="H1069">
        <v>11707.86</v>
      </c>
      <c r="I1069">
        <v>5.2</v>
      </c>
    </row>
    <row r="1070" spans="1:9" x14ac:dyDescent="0.3">
      <c r="A1070" t="s">
        <v>1085</v>
      </c>
      <c r="B1070" t="s">
        <v>34</v>
      </c>
      <c r="C1070" t="s">
        <v>14</v>
      </c>
      <c r="D1070">
        <v>56</v>
      </c>
      <c r="E1070" s="1">
        <v>40798</v>
      </c>
      <c r="F1070">
        <v>2.81</v>
      </c>
      <c r="G1070">
        <v>1</v>
      </c>
      <c r="H1070">
        <v>13594.06</v>
      </c>
      <c r="I1070">
        <v>14.1</v>
      </c>
    </row>
    <row r="1071" spans="1:9" x14ac:dyDescent="0.3">
      <c r="A1071" t="s">
        <v>1086</v>
      </c>
      <c r="B1071" t="s">
        <v>24</v>
      </c>
      <c r="C1071" t="s">
        <v>11</v>
      </c>
      <c r="D1071">
        <v>28</v>
      </c>
      <c r="E1071" s="1">
        <v>43512</v>
      </c>
      <c r="F1071">
        <v>4.21</v>
      </c>
      <c r="G1071">
        <v>12</v>
      </c>
      <c r="H1071">
        <v>14345.48</v>
      </c>
      <c r="I1071">
        <v>6.7</v>
      </c>
    </row>
    <row r="1072" spans="1:9" x14ac:dyDescent="0.3">
      <c r="A1072" t="s">
        <v>1087</v>
      </c>
      <c r="B1072" t="s">
        <v>24</v>
      </c>
      <c r="C1072" t="s">
        <v>14</v>
      </c>
      <c r="D1072">
        <v>48</v>
      </c>
      <c r="E1072" s="1">
        <v>43267</v>
      </c>
      <c r="F1072">
        <v>4.5599999999999996</v>
      </c>
      <c r="G1072">
        <v>8</v>
      </c>
      <c r="H1072">
        <v>9667.19</v>
      </c>
      <c r="I1072">
        <v>7.4</v>
      </c>
    </row>
    <row r="1073" spans="1:9" x14ac:dyDescent="0.3">
      <c r="A1073" t="s">
        <v>1088</v>
      </c>
      <c r="B1073" t="s">
        <v>34</v>
      </c>
      <c r="C1073" t="s">
        <v>14</v>
      </c>
      <c r="D1073">
        <v>22</v>
      </c>
      <c r="E1073" s="1">
        <v>42377</v>
      </c>
      <c r="F1073">
        <v>2.95</v>
      </c>
      <c r="G1073">
        <v>9</v>
      </c>
      <c r="H1073">
        <v>6420.33</v>
      </c>
      <c r="I1073">
        <v>9.8000000000000007</v>
      </c>
    </row>
    <row r="1074" spans="1:9" x14ac:dyDescent="0.3">
      <c r="A1074" t="s">
        <v>1089</v>
      </c>
      <c r="B1074" t="s">
        <v>24</v>
      </c>
      <c r="C1074" t="s">
        <v>11</v>
      </c>
      <c r="D1074">
        <v>31</v>
      </c>
      <c r="E1074" s="1">
        <v>43521</v>
      </c>
      <c r="F1074">
        <v>2.11</v>
      </c>
      <c r="G1074">
        <v>11</v>
      </c>
      <c r="H1074">
        <v>4671.1099999999997</v>
      </c>
      <c r="I1074">
        <v>6.7</v>
      </c>
    </row>
    <row r="1075" spans="1:9" x14ac:dyDescent="0.3">
      <c r="A1075" t="s">
        <v>1090</v>
      </c>
      <c r="B1075" t="s">
        <v>16</v>
      </c>
      <c r="C1075" t="s">
        <v>11</v>
      </c>
      <c r="D1075">
        <v>29</v>
      </c>
      <c r="E1075" s="1">
        <v>41779</v>
      </c>
      <c r="F1075">
        <v>4.67</v>
      </c>
      <c r="G1075">
        <v>15</v>
      </c>
      <c r="H1075">
        <v>13480.41</v>
      </c>
      <c r="I1075">
        <v>11.5</v>
      </c>
    </row>
    <row r="1076" spans="1:9" x14ac:dyDescent="0.3">
      <c r="A1076" t="s">
        <v>1091</v>
      </c>
      <c r="B1076" t="s">
        <v>18</v>
      </c>
      <c r="C1076" t="s">
        <v>11</v>
      </c>
      <c r="D1076">
        <v>46</v>
      </c>
      <c r="E1076" s="1">
        <v>42961</v>
      </c>
      <c r="F1076">
        <v>3.97</v>
      </c>
      <c r="G1076">
        <v>14</v>
      </c>
      <c r="H1076">
        <v>7306.24</v>
      </c>
      <c r="I1076">
        <v>8.1999999999999993</v>
      </c>
    </row>
    <row r="1077" spans="1:9" x14ac:dyDescent="0.3">
      <c r="A1077" t="s">
        <v>1092</v>
      </c>
      <c r="B1077" t="s">
        <v>10</v>
      </c>
      <c r="C1077" t="s">
        <v>14</v>
      </c>
      <c r="D1077">
        <v>36</v>
      </c>
      <c r="E1077" s="1">
        <v>44184</v>
      </c>
      <c r="F1077">
        <v>3.56</v>
      </c>
      <c r="G1077">
        <v>5</v>
      </c>
      <c r="H1077">
        <v>13209.31</v>
      </c>
      <c r="I1077">
        <v>4.9000000000000004</v>
      </c>
    </row>
    <row r="1078" spans="1:9" x14ac:dyDescent="0.3">
      <c r="A1078" t="s">
        <v>1093</v>
      </c>
      <c r="B1078" t="s">
        <v>13</v>
      </c>
      <c r="C1078" t="s">
        <v>11</v>
      </c>
      <c r="D1078">
        <v>34</v>
      </c>
      <c r="E1078" s="1">
        <v>41061</v>
      </c>
      <c r="F1078">
        <v>2.2000000000000002</v>
      </c>
      <c r="G1078">
        <v>14</v>
      </c>
      <c r="H1078">
        <v>12711.51</v>
      </c>
      <c r="I1078">
        <v>13.4</v>
      </c>
    </row>
    <row r="1079" spans="1:9" x14ac:dyDescent="0.3">
      <c r="A1079" t="s">
        <v>1094</v>
      </c>
      <c r="B1079" t="s">
        <v>10</v>
      </c>
      <c r="C1079" t="s">
        <v>11</v>
      </c>
      <c r="D1079">
        <v>54</v>
      </c>
      <c r="E1079" s="1">
        <v>40913</v>
      </c>
      <c r="F1079">
        <v>3.19</v>
      </c>
      <c r="G1079">
        <v>14</v>
      </c>
      <c r="H1079">
        <v>12157.03</v>
      </c>
      <c r="I1079">
        <v>13.8</v>
      </c>
    </row>
    <row r="1080" spans="1:9" x14ac:dyDescent="0.3">
      <c r="A1080" t="s">
        <v>1095</v>
      </c>
      <c r="B1080" t="s">
        <v>13</v>
      </c>
      <c r="C1080" t="s">
        <v>14</v>
      </c>
      <c r="D1080">
        <v>32</v>
      </c>
      <c r="E1080" s="1">
        <v>40744</v>
      </c>
      <c r="F1080">
        <v>3.98</v>
      </c>
      <c r="G1080">
        <v>10</v>
      </c>
      <c r="H1080">
        <v>6813.45</v>
      </c>
      <c r="I1080">
        <v>14.3</v>
      </c>
    </row>
    <row r="1081" spans="1:9" x14ac:dyDescent="0.3">
      <c r="A1081" t="s">
        <v>1096</v>
      </c>
      <c r="B1081" t="s">
        <v>16</v>
      </c>
      <c r="C1081" t="s">
        <v>11</v>
      </c>
      <c r="D1081">
        <v>59</v>
      </c>
      <c r="E1081" s="1">
        <v>41230</v>
      </c>
      <c r="F1081">
        <v>1.52</v>
      </c>
      <c r="G1081">
        <v>8</v>
      </c>
      <c r="H1081">
        <v>14241.63</v>
      </c>
      <c r="I1081">
        <v>13</v>
      </c>
    </row>
    <row r="1082" spans="1:9" x14ac:dyDescent="0.3">
      <c r="A1082" t="s">
        <v>1097</v>
      </c>
      <c r="B1082" t="s">
        <v>13</v>
      </c>
      <c r="C1082" t="s">
        <v>14</v>
      </c>
      <c r="D1082">
        <v>36</v>
      </c>
      <c r="E1082" s="1">
        <v>45400</v>
      </c>
      <c r="F1082">
        <v>2.1800000000000002</v>
      </c>
      <c r="G1082">
        <v>1</v>
      </c>
      <c r="H1082">
        <v>10131.790000000001</v>
      </c>
      <c r="I1082">
        <v>1.5</v>
      </c>
    </row>
    <row r="1083" spans="1:9" x14ac:dyDescent="0.3">
      <c r="A1083" t="s">
        <v>1098</v>
      </c>
      <c r="B1083" t="s">
        <v>10</v>
      </c>
      <c r="C1083" t="s">
        <v>14</v>
      </c>
      <c r="D1083">
        <v>31</v>
      </c>
      <c r="E1083" s="1">
        <v>45917</v>
      </c>
      <c r="F1083">
        <v>3.51</v>
      </c>
      <c r="G1083">
        <v>6</v>
      </c>
      <c r="H1083">
        <v>10125.15</v>
      </c>
      <c r="I1083">
        <v>0.1</v>
      </c>
    </row>
    <row r="1084" spans="1:9" x14ac:dyDescent="0.3">
      <c r="A1084" t="s">
        <v>1099</v>
      </c>
      <c r="B1084" t="s">
        <v>24</v>
      </c>
      <c r="C1084" t="s">
        <v>11</v>
      </c>
      <c r="D1084">
        <v>58</v>
      </c>
      <c r="E1084" s="1">
        <v>42164</v>
      </c>
      <c r="F1084">
        <v>3.27</v>
      </c>
      <c r="G1084">
        <v>0</v>
      </c>
      <c r="H1084">
        <v>12427.87</v>
      </c>
      <c r="I1084">
        <v>10.4</v>
      </c>
    </row>
    <row r="1085" spans="1:9" x14ac:dyDescent="0.3">
      <c r="A1085" t="s">
        <v>1100</v>
      </c>
      <c r="B1085" t="s">
        <v>24</v>
      </c>
      <c r="C1085" t="s">
        <v>14</v>
      </c>
      <c r="D1085">
        <v>40</v>
      </c>
      <c r="E1085" s="1">
        <v>41755</v>
      </c>
      <c r="F1085">
        <v>4.13</v>
      </c>
      <c r="G1085">
        <v>14</v>
      </c>
      <c r="H1085">
        <v>10943.38</v>
      </c>
      <c r="I1085">
        <v>11.5</v>
      </c>
    </row>
    <row r="1086" spans="1:9" x14ac:dyDescent="0.3">
      <c r="A1086" t="s">
        <v>1101</v>
      </c>
      <c r="B1086" t="s">
        <v>34</v>
      </c>
      <c r="C1086" t="s">
        <v>11</v>
      </c>
      <c r="D1086">
        <v>55</v>
      </c>
      <c r="E1086" s="1">
        <v>44286</v>
      </c>
      <c r="F1086">
        <v>1.9</v>
      </c>
      <c r="G1086">
        <v>8</v>
      </c>
      <c r="H1086">
        <v>8730.08</v>
      </c>
      <c r="I1086">
        <v>4.5999999999999996</v>
      </c>
    </row>
    <row r="1087" spans="1:9" x14ac:dyDescent="0.3">
      <c r="A1087" t="s">
        <v>1102</v>
      </c>
      <c r="B1087" t="s">
        <v>18</v>
      </c>
      <c r="C1087" t="s">
        <v>14</v>
      </c>
      <c r="D1087">
        <v>60</v>
      </c>
      <c r="E1087" s="1">
        <v>44536</v>
      </c>
      <c r="F1087">
        <v>3.07</v>
      </c>
      <c r="G1087">
        <v>14</v>
      </c>
      <c r="H1087">
        <v>7104.25</v>
      </c>
      <c r="I1087">
        <v>3.9</v>
      </c>
    </row>
    <row r="1088" spans="1:9" x14ac:dyDescent="0.3">
      <c r="A1088" t="s">
        <v>1103</v>
      </c>
      <c r="B1088" t="s">
        <v>13</v>
      </c>
      <c r="C1088" t="s">
        <v>11</v>
      </c>
      <c r="D1088">
        <v>39</v>
      </c>
      <c r="E1088" s="1">
        <v>43113</v>
      </c>
      <c r="F1088">
        <v>1.54</v>
      </c>
      <c r="G1088">
        <v>3</v>
      </c>
      <c r="H1088">
        <v>4158.99</v>
      </c>
      <c r="I1088">
        <v>7.8</v>
      </c>
    </row>
    <row r="1089" spans="1:9" x14ac:dyDescent="0.3">
      <c r="A1089" t="s">
        <v>1104</v>
      </c>
      <c r="B1089" t="s">
        <v>24</v>
      </c>
      <c r="C1089" t="s">
        <v>11</v>
      </c>
      <c r="D1089">
        <v>32</v>
      </c>
      <c r="E1089" s="1">
        <v>42122</v>
      </c>
      <c r="F1089">
        <v>3.45</v>
      </c>
      <c r="G1089">
        <v>5</v>
      </c>
      <c r="H1089">
        <v>4983.13</v>
      </c>
      <c r="I1089">
        <v>10.5</v>
      </c>
    </row>
    <row r="1090" spans="1:9" x14ac:dyDescent="0.3">
      <c r="A1090" t="s">
        <v>1105</v>
      </c>
      <c r="B1090" t="s">
        <v>16</v>
      </c>
      <c r="C1090" t="s">
        <v>11</v>
      </c>
      <c r="D1090">
        <v>22</v>
      </c>
      <c r="E1090" s="1">
        <v>43912</v>
      </c>
      <c r="F1090">
        <v>2.25</v>
      </c>
      <c r="G1090">
        <v>7</v>
      </c>
      <c r="H1090">
        <v>5991.28</v>
      </c>
      <c r="I1090">
        <v>5.6</v>
      </c>
    </row>
    <row r="1091" spans="1:9" x14ac:dyDescent="0.3">
      <c r="A1091" t="s">
        <v>1106</v>
      </c>
      <c r="B1091" t="s">
        <v>16</v>
      </c>
      <c r="C1091" t="s">
        <v>14</v>
      </c>
      <c r="D1091">
        <v>50</v>
      </c>
      <c r="E1091" s="1">
        <v>40796</v>
      </c>
      <c r="F1091">
        <v>2.61</v>
      </c>
      <c r="G1091">
        <v>6</v>
      </c>
      <c r="H1091">
        <v>9141.02</v>
      </c>
      <c r="I1091">
        <v>14.2</v>
      </c>
    </row>
    <row r="1092" spans="1:9" x14ac:dyDescent="0.3">
      <c r="A1092" t="s">
        <v>1107</v>
      </c>
      <c r="B1092" t="s">
        <v>24</v>
      </c>
      <c r="C1092" t="s">
        <v>11</v>
      </c>
      <c r="D1092">
        <v>55</v>
      </c>
      <c r="E1092" s="1">
        <v>40240</v>
      </c>
      <c r="F1092">
        <v>2.71</v>
      </c>
      <c r="G1092">
        <v>8</v>
      </c>
      <c r="H1092">
        <v>5056.32</v>
      </c>
      <c r="I1092">
        <v>15.7</v>
      </c>
    </row>
    <row r="1093" spans="1:9" x14ac:dyDescent="0.3">
      <c r="A1093" t="s">
        <v>1108</v>
      </c>
      <c r="B1093" t="s">
        <v>13</v>
      </c>
      <c r="C1093" t="s">
        <v>14</v>
      </c>
      <c r="D1093">
        <v>53</v>
      </c>
      <c r="E1093" s="1">
        <v>40914</v>
      </c>
      <c r="F1093">
        <v>4.1100000000000003</v>
      </c>
      <c r="G1093">
        <v>11</v>
      </c>
      <c r="H1093">
        <v>13159.32</v>
      </c>
      <c r="I1093">
        <v>13.8</v>
      </c>
    </row>
    <row r="1094" spans="1:9" x14ac:dyDescent="0.3">
      <c r="A1094" t="s">
        <v>1109</v>
      </c>
      <c r="B1094" t="s">
        <v>10</v>
      </c>
      <c r="C1094" t="s">
        <v>14</v>
      </c>
      <c r="D1094">
        <v>24</v>
      </c>
      <c r="E1094" s="1">
        <v>44470</v>
      </c>
      <c r="F1094">
        <v>3.09</v>
      </c>
      <c r="G1094">
        <v>6</v>
      </c>
      <c r="H1094">
        <v>10987.31</v>
      </c>
      <c r="I1094">
        <v>4.0999999999999996</v>
      </c>
    </row>
    <row r="1095" spans="1:9" x14ac:dyDescent="0.3">
      <c r="A1095" t="s">
        <v>1110</v>
      </c>
      <c r="B1095" t="s">
        <v>24</v>
      </c>
      <c r="C1095" t="s">
        <v>14</v>
      </c>
      <c r="D1095">
        <v>40</v>
      </c>
      <c r="E1095" s="1">
        <v>43703</v>
      </c>
      <c r="F1095">
        <v>1.67</v>
      </c>
      <c r="G1095">
        <v>11</v>
      </c>
      <c r="H1095">
        <v>8821.0499999999993</v>
      </c>
      <c r="I1095">
        <v>6.2</v>
      </c>
    </row>
    <row r="1096" spans="1:9" x14ac:dyDescent="0.3">
      <c r="A1096" t="s">
        <v>1111</v>
      </c>
      <c r="B1096" t="s">
        <v>34</v>
      </c>
      <c r="C1096" t="s">
        <v>14</v>
      </c>
      <c r="D1096">
        <v>43</v>
      </c>
      <c r="E1096" s="1">
        <v>41197</v>
      </c>
      <c r="F1096">
        <v>4.26</v>
      </c>
      <c r="G1096">
        <v>10</v>
      </c>
      <c r="H1096">
        <v>9889.94</v>
      </c>
      <c r="I1096">
        <v>13.1</v>
      </c>
    </row>
    <row r="1097" spans="1:9" x14ac:dyDescent="0.3">
      <c r="A1097" t="s">
        <v>1112</v>
      </c>
      <c r="B1097" t="s">
        <v>18</v>
      </c>
      <c r="C1097" t="s">
        <v>14</v>
      </c>
      <c r="D1097">
        <v>48</v>
      </c>
      <c r="E1097" s="1">
        <v>42136</v>
      </c>
      <c r="F1097">
        <v>2.64</v>
      </c>
      <c r="G1097">
        <v>8</v>
      </c>
      <c r="H1097">
        <v>14319.07</v>
      </c>
      <c r="I1097">
        <v>10.5</v>
      </c>
    </row>
    <row r="1098" spans="1:9" x14ac:dyDescent="0.3">
      <c r="A1098" t="s">
        <v>1113</v>
      </c>
      <c r="B1098" t="s">
        <v>34</v>
      </c>
      <c r="C1098" t="s">
        <v>14</v>
      </c>
      <c r="D1098">
        <v>44</v>
      </c>
      <c r="E1098" s="1">
        <v>44511</v>
      </c>
      <c r="F1098">
        <v>3.43</v>
      </c>
      <c r="G1098">
        <v>15</v>
      </c>
      <c r="H1098">
        <v>5380.81</v>
      </c>
      <c r="I1098">
        <v>4</v>
      </c>
    </row>
    <row r="1099" spans="1:9" x14ac:dyDescent="0.3">
      <c r="A1099" t="s">
        <v>1114</v>
      </c>
      <c r="B1099" t="s">
        <v>10</v>
      </c>
      <c r="C1099" t="s">
        <v>11</v>
      </c>
      <c r="D1099">
        <v>33</v>
      </c>
      <c r="E1099" s="1">
        <v>42288</v>
      </c>
      <c r="F1099">
        <v>3.22</v>
      </c>
      <c r="G1099">
        <v>14</v>
      </c>
      <c r="H1099">
        <v>8380.2800000000007</v>
      </c>
      <c r="I1099">
        <v>10.1</v>
      </c>
    </row>
    <row r="1100" spans="1:9" x14ac:dyDescent="0.3">
      <c r="A1100" t="s">
        <v>1115</v>
      </c>
      <c r="B1100" t="s">
        <v>24</v>
      </c>
      <c r="C1100" t="s">
        <v>11</v>
      </c>
      <c r="D1100">
        <v>59</v>
      </c>
      <c r="E1100" s="1">
        <v>42134</v>
      </c>
      <c r="F1100">
        <v>1.9</v>
      </c>
      <c r="G1100">
        <v>10</v>
      </c>
      <c r="H1100">
        <v>4393.57</v>
      </c>
      <c r="I1100">
        <v>10.5</v>
      </c>
    </row>
    <row r="1101" spans="1:9" x14ac:dyDescent="0.3">
      <c r="A1101" t="s">
        <v>1116</v>
      </c>
      <c r="B1101" t="s">
        <v>34</v>
      </c>
      <c r="C1101" t="s">
        <v>14</v>
      </c>
      <c r="D1101">
        <v>39</v>
      </c>
      <c r="E1101" s="1">
        <v>45567</v>
      </c>
      <c r="F1101">
        <v>2.19</v>
      </c>
      <c r="G1101">
        <v>8</v>
      </c>
      <c r="H1101">
        <v>12374.1</v>
      </c>
      <c r="I1101">
        <v>1.1000000000000001</v>
      </c>
    </row>
    <row r="1102" spans="1:9" x14ac:dyDescent="0.3">
      <c r="A1102" t="s">
        <v>1117</v>
      </c>
      <c r="B1102" t="s">
        <v>16</v>
      </c>
      <c r="C1102" t="s">
        <v>11</v>
      </c>
      <c r="D1102">
        <v>35</v>
      </c>
      <c r="E1102" s="1">
        <v>42196</v>
      </c>
      <c r="F1102">
        <v>1.99</v>
      </c>
      <c r="G1102">
        <v>14</v>
      </c>
      <c r="H1102">
        <v>11917.38</v>
      </c>
      <c r="I1102">
        <v>10.3</v>
      </c>
    </row>
    <row r="1103" spans="1:9" x14ac:dyDescent="0.3">
      <c r="A1103" t="s">
        <v>1118</v>
      </c>
      <c r="B1103" t="s">
        <v>16</v>
      </c>
      <c r="C1103" t="s">
        <v>11</v>
      </c>
      <c r="D1103">
        <v>59</v>
      </c>
      <c r="E1103" s="1">
        <v>45528</v>
      </c>
      <c r="F1103">
        <v>2.72</v>
      </c>
      <c r="G1103">
        <v>11</v>
      </c>
      <c r="H1103">
        <v>3423.02</v>
      </c>
      <c r="I1103">
        <v>1.2</v>
      </c>
    </row>
    <row r="1104" spans="1:9" x14ac:dyDescent="0.3">
      <c r="A1104" t="s">
        <v>1119</v>
      </c>
      <c r="B1104" t="s">
        <v>13</v>
      </c>
      <c r="C1104" t="s">
        <v>11</v>
      </c>
      <c r="D1104">
        <v>51</v>
      </c>
      <c r="E1104" s="1">
        <v>44603</v>
      </c>
      <c r="F1104">
        <v>2.79</v>
      </c>
      <c r="G1104">
        <v>6</v>
      </c>
      <c r="H1104">
        <v>10747.46</v>
      </c>
      <c r="I1104">
        <v>3.7</v>
      </c>
    </row>
    <row r="1105" spans="1:9" x14ac:dyDescent="0.3">
      <c r="A1105" t="s">
        <v>1120</v>
      </c>
      <c r="B1105" t="s">
        <v>10</v>
      </c>
      <c r="C1105" t="s">
        <v>11</v>
      </c>
      <c r="D1105">
        <v>29</v>
      </c>
      <c r="E1105" s="1">
        <v>43193</v>
      </c>
      <c r="F1105">
        <v>2.4500000000000002</v>
      </c>
      <c r="G1105">
        <v>14</v>
      </c>
      <c r="H1105">
        <v>9427.33</v>
      </c>
      <c r="I1105">
        <v>7.6</v>
      </c>
    </row>
    <row r="1106" spans="1:9" x14ac:dyDescent="0.3">
      <c r="A1106" t="s">
        <v>1121</v>
      </c>
      <c r="B1106" t="s">
        <v>34</v>
      </c>
      <c r="C1106" t="s">
        <v>11</v>
      </c>
      <c r="D1106">
        <v>26</v>
      </c>
      <c r="E1106" s="1">
        <v>44061</v>
      </c>
      <c r="F1106">
        <v>4.1100000000000003</v>
      </c>
      <c r="G1106">
        <v>4</v>
      </c>
      <c r="H1106">
        <v>7993.7</v>
      </c>
      <c r="I1106">
        <v>5.2</v>
      </c>
    </row>
    <row r="1107" spans="1:9" x14ac:dyDescent="0.3">
      <c r="A1107" t="s">
        <v>1122</v>
      </c>
      <c r="B1107" t="s">
        <v>16</v>
      </c>
      <c r="C1107" t="s">
        <v>11</v>
      </c>
      <c r="D1107">
        <v>60</v>
      </c>
      <c r="E1107" s="1">
        <v>40717</v>
      </c>
      <c r="F1107">
        <v>3.72</v>
      </c>
      <c r="G1107">
        <v>11</v>
      </c>
      <c r="H1107">
        <v>4075.35</v>
      </c>
      <c r="I1107">
        <v>14.4</v>
      </c>
    </row>
    <row r="1108" spans="1:9" x14ac:dyDescent="0.3">
      <c r="A1108" t="s">
        <v>1123</v>
      </c>
      <c r="B1108" t="s">
        <v>34</v>
      </c>
      <c r="C1108" t="s">
        <v>11</v>
      </c>
      <c r="D1108">
        <v>55</v>
      </c>
      <c r="E1108" s="1">
        <v>44065</v>
      </c>
      <c r="F1108">
        <v>2.93</v>
      </c>
      <c r="G1108">
        <v>2</v>
      </c>
      <c r="H1108">
        <v>14672.99</v>
      </c>
      <c r="I1108">
        <v>5.2</v>
      </c>
    </row>
    <row r="1109" spans="1:9" x14ac:dyDescent="0.3">
      <c r="A1109" t="s">
        <v>1124</v>
      </c>
      <c r="B1109" t="s">
        <v>34</v>
      </c>
      <c r="C1109" t="s">
        <v>14</v>
      </c>
      <c r="D1109">
        <v>52</v>
      </c>
      <c r="E1109" s="1">
        <v>43334</v>
      </c>
      <c r="F1109">
        <v>4.41</v>
      </c>
      <c r="G1109">
        <v>7</v>
      </c>
      <c r="H1109">
        <v>3819.77</v>
      </c>
      <c r="I1109">
        <v>7.2</v>
      </c>
    </row>
    <row r="1110" spans="1:9" x14ac:dyDescent="0.3">
      <c r="A1110" t="s">
        <v>1125</v>
      </c>
      <c r="B1110" t="s">
        <v>24</v>
      </c>
      <c r="C1110" t="s">
        <v>14</v>
      </c>
      <c r="D1110">
        <v>28</v>
      </c>
      <c r="E1110" s="1">
        <v>42437</v>
      </c>
      <c r="F1110">
        <v>2.2000000000000002</v>
      </c>
      <c r="G1110">
        <v>15</v>
      </c>
      <c r="H1110">
        <v>14872.76</v>
      </c>
      <c r="I1110">
        <v>9.6999999999999993</v>
      </c>
    </row>
    <row r="1111" spans="1:9" x14ac:dyDescent="0.3">
      <c r="A1111" t="s">
        <v>1126</v>
      </c>
      <c r="B1111" t="s">
        <v>16</v>
      </c>
      <c r="C1111" t="s">
        <v>14</v>
      </c>
      <c r="D1111">
        <v>50</v>
      </c>
      <c r="E1111" s="1">
        <v>41186</v>
      </c>
      <c r="F1111">
        <v>4.24</v>
      </c>
      <c r="G1111">
        <v>11</v>
      </c>
      <c r="H1111">
        <v>6284.02</v>
      </c>
      <c r="I1111">
        <v>13.1</v>
      </c>
    </row>
    <row r="1112" spans="1:9" x14ac:dyDescent="0.3">
      <c r="A1112" t="s">
        <v>1127</v>
      </c>
      <c r="B1112" t="s">
        <v>10</v>
      </c>
      <c r="C1112" t="s">
        <v>11</v>
      </c>
      <c r="D1112">
        <v>33</v>
      </c>
      <c r="E1112" s="1">
        <v>42233</v>
      </c>
      <c r="F1112">
        <v>3.66</v>
      </c>
      <c r="G1112">
        <v>1</v>
      </c>
      <c r="H1112">
        <v>4497.6400000000003</v>
      </c>
      <c r="I1112">
        <v>10.199999999999999</v>
      </c>
    </row>
    <row r="1113" spans="1:9" x14ac:dyDescent="0.3">
      <c r="A1113" t="s">
        <v>1128</v>
      </c>
      <c r="B1113" t="s">
        <v>18</v>
      </c>
      <c r="C1113" t="s">
        <v>14</v>
      </c>
      <c r="D1113">
        <v>57</v>
      </c>
      <c r="E1113" s="1">
        <v>44863</v>
      </c>
      <c r="F1113">
        <v>2.02</v>
      </c>
      <c r="G1113">
        <v>8</v>
      </c>
      <c r="H1113">
        <v>7938.59</v>
      </c>
      <c r="I1113">
        <v>3</v>
      </c>
    </row>
    <row r="1114" spans="1:9" x14ac:dyDescent="0.3">
      <c r="A1114" t="s">
        <v>1129</v>
      </c>
      <c r="B1114" t="s">
        <v>10</v>
      </c>
      <c r="C1114" t="s">
        <v>14</v>
      </c>
      <c r="D1114">
        <v>52</v>
      </c>
      <c r="E1114" s="1">
        <v>43087</v>
      </c>
      <c r="F1114">
        <v>3.64</v>
      </c>
      <c r="G1114">
        <v>11</v>
      </c>
      <c r="H1114">
        <v>7717.98</v>
      </c>
      <c r="I1114">
        <v>7.9</v>
      </c>
    </row>
    <row r="1115" spans="1:9" x14ac:dyDescent="0.3">
      <c r="A1115" t="s">
        <v>1130</v>
      </c>
      <c r="B1115" t="s">
        <v>34</v>
      </c>
      <c r="C1115" t="s">
        <v>14</v>
      </c>
      <c r="D1115">
        <v>41</v>
      </c>
      <c r="E1115" s="1">
        <v>44519</v>
      </c>
      <c r="F1115">
        <v>4.12</v>
      </c>
      <c r="G1115">
        <v>13</v>
      </c>
      <c r="H1115">
        <v>3824.3</v>
      </c>
      <c r="I1115">
        <v>4</v>
      </c>
    </row>
    <row r="1116" spans="1:9" x14ac:dyDescent="0.3">
      <c r="A1116" t="s">
        <v>1131</v>
      </c>
      <c r="B1116" t="s">
        <v>13</v>
      </c>
      <c r="C1116" t="s">
        <v>11</v>
      </c>
      <c r="D1116">
        <v>48</v>
      </c>
      <c r="E1116" s="1">
        <v>41147</v>
      </c>
      <c r="F1116">
        <v>3.6</v>
      </c>
      <c r="G1116">
        <v>15</v>
      </c>
      <c r="H1116">
        <v>4296.28</v>
      </c>
      <c r="I1116">
        <v>13.2</v>
      </c>
    </row>
    <row r="1117" spans="1:9" x14ac:dyDescent="0.3">
      <c r="A1117" t="s">
        <v>1132</v>
      </c>
      <c r="B1117" t="s">
        <v>18</v>
      </c>
      <c r="C1117" t="s">
        <v>11</v>
      </c>
      <c r="D1117">
        <v>59</v>
      </c>
      <c r="E1117" s="1">
        <v>44531</v>
      </c>
      <c r="F1117">
        <v>3.83</v>
      </c>
      <c r="G1117">
        <v>7</v>
      </c>
      <c r="H1117">
        <v>9602.34</v>
      </c>
      <c r="I1117">
        <v>3.9</v>
      </c>
    </row>
    <row r="1118" spans="1:9" x14ac:dyDescent="0.3">
      <c r="A1118" t="s">
        <v>1133</v>
      </c>
      <c r="B1118" t="s">
        <v>18</v>
      </c>
      <c r="C1118" t="s">
        <v>11</v>
      </c>
      <c r="D1118">
        <v>60</v>
      </c>
      <c r="E1118" s="1">
        <v>43200</v>
      </c>
      <c r="F1118">
        <v>2.72</v>
      </c>
      <c r="G1118">
        <v>3</v>
      </c>
      <c r="H1118">
        <v>10015.76</v>
      </c>
      <c r="I1118">
        <v>7.6</v>
      </c>
    </row>
    <row r="1119" spans="1:9" x14ac:dyDescent="0.3">
      <c r="A1119" t="s">
        <v>1134</v>
      </c>
      <c r="B1119" t="s">
        <v>24</v>
      </c>
      <c r="C1119" t="s">
        <v>14</v>
      </c>
      <c r="D1119">
        <v>46</v>
      </c>
      <c r="E1119" s="1">
        <v>41442</v>
      </c>
      <c r="F1119">
        <v>2.62</v>
      </c>
      <c r="G1119">
        <v>11</v>
      </c>
      <c r="H1119">
        <v>6515.43</v>
      </c>
      <c r="I1119">
        <v>12.4</v>
      </c>
    </row>
    <row r="1120" spans="1:9" x14ac:dyDescent="0.3">
      <c r="A1120" t="s">
        <v>1135</v>
      </c>
      <c r="B1120" t="s">
        <v>24</v>
      </c>
      <c r="C1120" t="s">
        <v>11</v>
      </c>
      <c r="D1120">
        <v>57</v>
      </c>
      <c r="E1120" s="1">
        <v>44709</v>
      </c>
      <c r="F1120">
        <v>3.62</v>
      </c>
      <c r="G1120">
        <v>13</v>
      </c>
      <c r="H1120">
        <v>10309.98</v>
      </c>
      <c r="I1120">
        <v>3.4</v>
      </c>
    </row>
    <row r="1121" spans="1:9" x14ac:dyDescent="0.3">
      <c r="A1121" t="s">
        <v>1136</v>
      </c>
      <c r="B1121" t="s">
        <v>34</v>
      </c>
      <c r="C1121" t="s">
        <v>11</v>
      </c>
      <c r="D1121">
        <v>34</v>
      </c>
      <c r="E1121" s="1">
        <v>43022</v>
      </c>
      <c r="F1121">
        <v>4.43</v>
      </c>
      <c r="G1121">
        <v>9</v>
      </c>
      <c r="H1121">
        <v>4337.21</v>
      </c>
      <c r="I1121">
        <v>8.1</v>
      </c>
    </row>
    <row r="1122" spans="1:9" x14ac:dyDescent="0.3">
      <c r="A1122" t="s">
        <v>1137</v>
      </c>
      <c r="B1122" t="s">
        <v>34</v>
      </c>
      <c r="C1122" t="s">
        <v>14</v>
      </c>
      <c r="D1122">
        <v>35</v>
      </c>
      <c r="E1122" s="1">
        <v>43893</v>
      </c>
      <c r="F1122">
        <v>2.38</v>
      </c>
      <c r="G1122">
        <v>15</v>
      </c>
      <c r="H1122">
        <v>9744.14</v>
      </c>
      <c r="I1122">
        <v>5.7</v>
      </c>
    </row>
    <row r="1123" spans="1:9" x14ac:dyDescent="0.3">
      <c r="A1123" t="s">
        <v>1138</v>
      </c>
      <c r="B1123" t="s">
        <v>18</v>
      </c>
      <c r="C1123" t="s">
        <v>11</v>
      </c>
      <c r="D1123">
        <v>51</v>
      </c>
      <c r="E1123" s="1">
        <v>41121</v>
      </c>
      <c r="F1123">
        <v>3.42</v>
      </c>
      <c r="G1123">
        <v>10</v>
      </c>
      <c r="H1123">
        <v>4915.8500000000004</v>
      </c>
      <c r="I1123">
        <v>13.3</v>
      </c>
    </row>
    <row r="1124" spans="1:9" x14ac:dyDescent="0.3">
      <c r="A1124" t="s">
        <v>1139</v>
      </c>
      <c r="B1124" t="s">
        <v>34</v>
      </c>
      <c r="C1124" t="s">
        <v>11</v>
      </c>
      <c r="D1124">
        <v>56</v>
      </c>
      <c r="E1124" s="1">
        <v>40283</v>
      </c>
      <c r="F1124">
        <v>4.26</v>
      </c>
      <c r="G1124">
        <v>6</v>
      </c>
      <c r="H1124">
        <v>6901.31</v>
      </c>
      <c r="I1124">
        <v>15.6</v>
      </c>
    </row>
    <row r="1125" spans="1:9" x14ac:dyDescent="0.3">
      <c r="A1125" t="s">
        <v>1140</v>
      </c>
      <c r="B1125" t="s">
        <v>24</v>
      </c>
      <c r="C1125" t="s">
        <v>14</v>
      </c>
      <c r="D1125">
        <v>45</v>
      </c>
      <c r="E1125" s="1">
        <v>43456</v>
      </c>
      <c r="F1125">
        <v>1.65</v>
      </c>
      <c r="G1125">
        <v>3</v>
      </c>
      <c r="H1125">
        <v>12475.06</v>
      </c>
      <c r="I1125">
        <v>6.9</v>
      </c>
    </row>
    <row r="1126" spans="1:9" x14ac:dyDescent="0.3">
      <c r="A1126" t="s">
        <v>1141</v>
      </c>
      <c r="B1126" t="s">
        <v>24</v>
      </c>
      <c r="C1126" t="s">
        <v>14</v>
      </c>
      <c r="D1126">
        <v>49</v>
      </c>
      <c r="E1126" s="1">
        <v>40494</v>
      </c>
      <c r="F1126">
        <v>3.37</v>
      </c>
      <c r="G1126">
        <v>1</v>
      </c>
      <c r="H1126">
        <v>14351.73</v>
      </c>
      <c r="I1126">
        <v>15</v>
      </c>
    </row>
    <row r="1127" spans="1:9" x14ac:dyDescent="0.3">
      <c r="A1127" t="s">
        <v>1142</v>
      </c>
      <c r="B1127" t="s">
        <v>13</v>
      </c>
      <c r="C1127" t="s">
        <v>11</v>
      </c>
      <c r="D1127">
        <v>60</v>
      </c>
      <c r="E1127" s="1">
        <v>40871</v>
      </c>
      <c r="F1127">
        <v>3.64</v>
      </c>
      <c r="G1127">
        <v>15</v>
      </c>
      <c r="H1127">
        <v>11032.5</v>
      </c>
      <c r="I1127">
        <v>13.9</v>
      </c>
    </row>
    <row r="1128" spans="1:9" x14ac:dyDescent="0.3">
      <c r="A1128" t="s">
        <v>1143</v>
      </c>
      <c r="B1128" t="s">
        <v>18</v>
      </c>
      <c r="C1128" t="s">
        <v>14</v>
      </c>
      <c r="D1128">
        <v>51</v>
      </c>
      <c r="E1128" s="1">
        <v>40361</v>
      </c>
      <c r="F1128">
        <v>2.23</v>
      </c>
      <c r="G1128">
        <v>6</v>
      </c>
      <c r="H1128">
        <v>9243.67</v>
      </c>
      <c r="I1128">
        <v>15.3</v>
      </c>
    </row>
    <row r="1129" spans="1:9" x14ac:dyDescent="0.3">
      <c r="A1129" t="s">
        <v>1144</v>
      </c>
      <c r="B1129" t="s">
        <v>16</v>
      </c>
      <c r="C1129" t="s">
        <v>14</v>
      </c>
      <c r="D1129">
        <v>27</v>
      </c>
      <c r="E1129" s="1">
        <v>43187</v>
      </c>
      <c r="F1129">
        <v>2.99</v>
      </c>
      <c r="G1129">
        <v>2</v>
      </c>
      <c r="H1129">
        <v>8159.64</v>
      </c>
      <c r="I1129">
        <v>7.6</v>
      </c>
    </row>
    <row r="1130" spans="1:9" x14ac:dyDescent="0.3">
      <c r="A1130" t="s">
        <v>1145</v>
      </c>
      <c r="B1130" t="s">
        <v>24</v>
      </c>
      <c r="C1130" t="s">
        <v>14</v>
      </c>
      <c r="D1130">
        <v>56</v>
      </c>
      <c r="E1130" s="1">
        <v>45349</v>
      </c>
      <c r="F1130">
        <v>2.41</v>
      </c>
      <c r="G1130">
        <v>12</v>
      </c>
      <c r="H1130">
        <v>7290.3</v>
      </c>
      <c r="I1130">
        <v>1.7</v>
      </c>
    </row>
    <row r="1131" spans="1:9" x14ac:dyDescent="0.3">
      <c r="A1131" t="s">
        <v>1146</v>
      </c>
      <c r="B1131" t="s">
        <v>34</v>
      </c>
      <c r="C1131" t="s">
        <v>11</v>
      </c>
      <c r="D1131">
        <v>29</v>
      </c>
      <c r="E1131" s="1">
        <v>45271</v>
      </c>
      <c r="F1131">
        <v>3.7</v>
      </c>
      <c r="G1131">
        <v>9</v>
      </c>
      <c r="H1131">
        <v>3657.24</v>
      </c>
      <c r="I1131">
        <v>1.9</v>
      </c>
    </row>
    <row r="1132" spans="1:9" x14ac:dyDescent="0.3">
      <c r="A1132" t="s">
        <v>1147</v>
      </c>
      <c r="B1132" t="s">
        <v>18</v>
      </c>
      <c r="C1132" t="s">
        <v>11</v>
      </c>
      <c r="D1132">
        <v>26</v>
      </c>
      <c r="E1132" s="1">
        <v>45564</v>
      </c>
      <c r="F1132">
        <v>2.76</v>
      </c>
      <c r="G1132">
        <v>5</v>
      </c>
      <c r="H1132">
        <v>10804.16</v>
      </c>
      <c r="I1132">
        <v>1.1000000000000001</v>
      </c>
    </row>
    <row r="1133" spans="1:9" x14ac:dyDescent="0.3">
      <c r="A1133" t="s">
        <v>1148</v>
      </c>
      <c r="B1133" t="s">
        <v>13</v>
      </c>
      <c r="C1133" t="s">
        <v>11</v>
      </c>
      <c r="D1133">
        <v>49</v>
      </c>
      <c r="E1133" s="1">
        <v>45638</v>
      </c>
      <c r="F1133">
        <v>4.22</v>
      </c>
      <c r="G1133">
        <v>14</v>
      </c>
      <c r="H1133">
        <v>9014.2900000000009</v>
      </c>
      <c r="I1133">
        <v>0.9</v>
      </c>
    </row>
    <row r="1134" spans="1:9" x14ac:dyDescent="0.3">
      <c r="A1134" t="s">
        <v>1149</v>
      </c>
      <c r="B1134" t="s">
        <v>18</v>
      </c>
      <c r="C1134" t="s">
        <v>14</v>
      </c>
      <c r="D1134">
        <v>41</v>
      </c>
      <c r="E1134" s="1">
        <v>42946</v>
      </c>
      <c r="F1134">
        <v>2.59</v>
      </c>
      <c r="G1134">
        <v>3</v>
      </c>
      <c r="H1134">
        <v>11192.91</v>
      </c>
      <c r="I1134">
        <v>8.3000000000000007</v>
      </c>
    </row>
    <row r="1135" spans="1:9" x14ac:dyDescent="0.3">
      <c r="A1135" t="s">
        <v>1150</v>
      </c>
      <c r="B1135" t="s">
        <v>16</v>
      </c>
      <c r="C1135" t="s">
        <v>11</v>
      </c>
      <c r="D1135">
        <v>23</v>
      </c>
      <c r="E1135" s="1">
        <v>41713</v>
      </c>
      <c r="F1135">
        <v>4.37</v>
      </c>
      <c r="G1135">
        <v>4</v>
      </c>
      <c r="H1135">
        <v>3218.49</v>
      </c>
      <c r="I1135">
        <v>11.6</v>
      </c>
    </row>
    <row r="1136" spans="1:9" x14ac:dyDescent="0.3">
      <c r="A1136" t="s">
        <v>1151</v>
      </c>
      <c r="B1136" t="s">
        <v>24</v>
      </c>
      <c r="C1136" t="s">
        <v>11</v>
      </c>
      <c r="D1136">
        <v>29</v>
      </c>
      <c r="E1136" s="1">
        <v>44902</v>
      </c>
      <c r="F1136">
        <v>3.62</v>
      </c>
      <c r="G1136">
        <v>10</v>
      </c>
      <c r="H1136">
        <v>9769.3799999999992</v>
      </c>
      <c r="I1136">
        <v>2.9</v>
      </c>
    </row>
    <row r="1137" spans="1:9" x14ac:dyDescent="0.3">
      <c r="A1137" t="s">
        <v>1152</v>
      </c>
      <c r="B1137" t="s">
        <v>18</v>
      </c>
      <c r="C1137" t="s">
        <v>11</v>
      </c>
      <c r="D1137">
        <v>32</v>
      </c>
      <c r="E1137" s="1">
        <v>43021</v>
      </c>
      <c r="F1137">
        <v>3.83</v>
      </c>
      <c r="G1137">
        <v>13</v>
      </c>
      <c r="H1137">
        <v>8940.02</v>
      </c>
      <c r="I1137">
        <v>8.1</v>
      </c>
    </row>
    <row r="1138" spans="1:9" x14ac:dyDescent="0.3">
      <c r="A1138" t="s">
        <v>1153</v>
      </c>
      <c r="B1138" t="s">
        <v>10</v>
      </c>
      <c r="C1138" t="s">
        <v>14</v>
      </c>
      <c r="D1138">
        <v>32</v>
      </c>
      <c r="E1138" s="1">
        <v>45286</v>
      </c>
      <c r="F1138">
        <v>4.2699999999999996</v>
      </c>
      <c r="G1138">
        <v>13</v>
      </c>
      <c r="H1138">
        <v>10615.56</v>
      </c>
      <c r="I1138">
        <v>1.9</v>
      </c>
    </row>
    <row r="1139" spans="1:9" x14ac:dyDescent="0.3">
      <c r="A1139" t="s">
        <v>1154</v>
      </c>
      <c r="B1139" t="s">
        <v>10</v>
      </c>
      <c r="C1139" t="s">
        <v>11</v>
      </c>
      <c r="D1139">
        <v>52</v>
      </c>
      <c r="E1139" s="1">
        <v>40496</v>
      </c>
      <c r="F1139">
        <v>4.88</v>
      </c>
      <c r="G1139">
        <v>0</v>
      </c>
      <c r="H1139">
        <v>7909.7</v>
      </c>
      <c r="I1139">
        <v>15</v>
      </c>
    </row>
    <row r="1140" spans="1:9" x14ac:dyDescent="0.3">
      <c r="A1140" t="s">
        <v>1155</v>
      </c>
      <c r="B1140" t="s">
        <v>18</v>
      </c>
      <c r="C1140" t="s">
        <v>14</v>
      </c>
      <c r="D1140">
        <v>35</v>
      </c>
      <c r="E1140" s="1">
        <v>44193</v>
      </c>
      <c r="F1140">
        <v>2.38</v>
      </c>
      <c r="G1140">
        <v>5</v>
      </c>
      <c r="H1140">
        <v>5644.18</v>
      </c>
      <c r="I1140">
        <v>4.8</v>
      </c>
    </row>
    <row r="1141" spans="1:9" x14ac:dyDescent="0.3">
      <c r="A1141" t="s">
        <v>1156</v>
      </c>
      <c r="B1141" t="s">
        <v>24</v>
      </c>
      <c r="C1141" t="s">
        <v>14</v>
      </c>
      <c r="D1141">
        <v>39</v>
      </c>
      <c r="E1141" s="1">
        <v>44160</v>
      </c>
      <c r="F1141">
        <v>2.48</v>
      </c>
      <c r="G1141">
        <v>3</v>
      </c>
      <c r="H1141">
        <v>7155.14</v>
      </c>
      <c r="I1141">
        <v>4.9000000000000004</v>
      </c>
    </row>
    <row r="1142" spans="1:9" x14ac:dyDescent="0.3">
      <c r="A1142" t="s">
        <v>1157</v>
      </c>
      <c r="B1142" t="s">
        <v>13</v>
      </c>
      <c r="C1142" t="s">
        <v>14</v>
      </c>
      <c r="D1142">
        <v>44</v>
      </c>
      <c r="E1142" s="1">
        <v>41314</v>
      </c>
      <c r="F1142">
        <v>2.5</v>
      </c>
      <c r="G1142">
        <v>6</v>
      </c>
      <c r="H1142">
        <v>10615.69</v>
      </c>
      <c r="I1142">
        <v>12.7</v>
      </c>
    </row>
    <row r="1143" spans="1:9" x14ac:dyDescent="0.3">
      <c r="A1143" t="s">
        <v>1158</v>
      </c>
      <c r="B1143" t="s">
        <v>10</v>
      </c>
      <c r="C1143" t="s">
        <v>14</v>
      </c>
      <c r="D1143">
        <v>52</v>
      </c>
      <c r="E1143" s="1">
        <v>42721</v>
      </c>
      <c r="F1143">
        <v>3.32</v>
      </c>
      <c r="G1143">
        <v>4</v>
      </c>
      <c r="H1143">
        <v>7379.63</v>
      </c>
      <c r="I1143">
        <v>8.9</v>
      </c>
    </row>
    <row r="1144" spans="1:9" x14ac:dyDescent="0.3">
      <c r="A1144" t="s">
        <v>1159</v>
      </c>
      <c r="B1144" t="s">
        <v>16</v>
      </c>
      <c r="C1144" t="s">
        <v>11</v>
      </c>
      <c r="D1144">
        <v>53</v>
      </c>
      <c r="E1144" s="1">
        <v>40593</v>
      </c>
      <c r="F1144">
        <v>4.0999999999999996</v>
      </c>
      <c r="G1144">
        <v>2</v>
      </c>
      <c r="H1144">
        <v>11127.4</v>
      </c>
      <c r="I1144">
        <v>14.7</v>
      </c>
    </row>
    <row r="1145" spans="1:9" x14ac:dyDescent="0.3">
      <c r="A1145" t="s">
        <v>1160</v>
      </c>
      <c r="B1145" t="s">
        <v>34</v>
      </c>
      <c r="C1145" t="s">
        <v>11</v>
      </c>
      <c r="D1145">
        <v>53</v>
      </c>
      <c r="E1145" s="1">
        <v>41687</v>
      </c>
      <c r="F1145">
        <v>2.73</v>
      </c>
      <c r="G1145">
        <v>2</v>
      </c>
      <c r="H1145">
        <v>3676.48</v>
      </c>
      <c r="I1145">
        <v>11.7</v>
      </c>
    </row>
    <row r="1146" spans="1:9" x14ac:dyDescent="0.3">
      <c r="A1146" t="s">
        <v>1161</v>
      </c>
      <c r="B1146" t="s">
        <v>24</v>
      </c>
      <c r="C1146" t="s">
        <v>11</v>
      </c>
      <c r="D1146">
        <v>30</v>
      </c>
      <c r="E1146" s="1">
        <v>43926</v>
      </c>
      <c r="F1146">
        <v>2.79</v>
      </c>
      <c r="G1146">
        <v>11</v>
      </c>
      <c r="H1146">
        <v>8636.81</v>
      </c>
      <c r="I1146">
        <v>5.6</v>
      </c>
    </row>
    <row r="1147" spans="1:9" x14ac:dyDescent="0.3">
      <c r="A1147" t="s">
        <v>1162</v>
      </c>
      <c r="B1147" t="s">
        <v>16</v>
      </c>
      <c r="C1147" t="s">
        <v>11</v>
      </c>
      <c r="D1147">
        <v>39</v>
      </c>
      <c r="E1147" s="1">
        <v>44091</v>
      </c>
      <c r="F1147">
        <v>2.66</v>
      </c>
      <c r="G1147">
        <v>15</v>
      </c>
      <c r="H1147">
        <v>12525.58</v>
      </c>
      <c r="I1147">
        <v>5.0999999999999996</v>
      </c>
    </row>
    <row r="1148" spans="1:9" x14ac:dyDescent="0.3">
      <c r="A1148" t="s">
        <v>1163</v>
      </c>
      <c r="B1148" t="s">
        <v>13</v>
      </c>
      <c r="C1148" t="s">
        <v>11</v>
      </c>
      <c r="D1148">
        <v>58</v>
      </c>
      <c r="E1148" s="1">
        <v>42609</v>
      </c>
      <c r="F1148">
        <v>4.7300000000000004</v>
      </c>
      <c r="G1148">
        <v>2</v>
      </c>
      <c r="H1148">
        <v>12375.34</v>
      </c>
      <c r="I1148">
        <v>9.1999999999999993</v>
      </c>
    </row>
    <row r="1149" spans="1:9" x14ac:dyDescent="0.3">
      <c r="A1149" t="s">
        <v>1164</v>
      </c>
      <c r="B1149" t="s">
        <v>18</v>
      </c>
      <c r="C1149" t="s">
        <v>14</v>
      </c>
      <c r="D1149">
        <v>36</v>
      </c>
      <c r="E1149" s="1">
        <v>41296</v>
      </c>
      <c r="F1149">
        <v>2.25</v>
      </c>
      <c r="G1149">
        <v>6</v>
      </c>
      <c r="H1149">
        <v>8879.3700000000008</v>
      </c>
      <c r="I1149">
        <v>12.8</v>
      </c>
    </row>
    <row r="1150" spans="1:9" x14ac:dyDescent="0.3">
      <c r="A1150" t="s">
        <v>1165</v>
      </c>
      <c r="B1150" t="s">
        <v>18</v>
      </c>
      <c r="C1150" t="s">
        <v>14</v>
      </c>
      <c r="D1150">
        <v>38</v>
      </c>
      <c r="E1150" s="1">
        <v>44113</v>
      </c>
      <c r="F1150">
        <v>2.06</v>
      </c>
      <c r="G1150">
        <v>8</v>
      </c>
      <c r="H1150">
        <v>11568.34</v>
      </c>
      <c r="I1150">
        <v>5.0999999999999996</v>
      </c>
    </row>
    <row r="1151" spans="1:9" x14ac:dyDescent="0.3">
      <c r="A1151" t="s">
        <v>1166</v>
      </c>
      <c r="B1151" t="s">
        <v>13</v>
      </c>
      <c r="C1151" t="s">
        <v>14</v>
      </c>
      <c r="D1151">
        <v>22</v>
      </c>
      <c r="E1151" s="1">
        <v>42093</v>
      </c>
      <c r="F1151">
        <v>2.95</v>
      </c>
      <c r="G1151">
        <v>11</v>
      </c>
      <c r="H1151">
        <v>3527.04</v>
      </c>
      <c r="I1151">
        <v>10.6</v>
      </c>
    </row>
    <row r="1152" spans="1:9" x14ac:dyDescent="0.3">
      <c r="A1152" t="s">
        <v>1167</v>
      </c>
      <c r="B1152" t="s">
        <v>18</v>
      </c>
      <c r="C1152" t="s">
        <v>14</v>
      </c>
      <c r="D1152">
        <v>37</v>
      </c>
      <c r="E1152" s="1">
        <v>41575</v>
      </c>
      <c r="F1152">
        <v>3.38</v>
      </c>
      <c r="G1152">
        <v>13</v>
      </c>
      <c r="H1152">
        <v>7094</v>
      </c>
      <c r="I1152">
        <v>12</v>
      </c>
    </row>
    <row r="1153" spans="1:9" x14ac:dyDescent="0.3">
      <c r="A1153" t="s">
        <v>1168</v>
      </c>
      <c r="B1153" t="s">
        <v>13</v>
      </c>
      <c r="C1153" t="s">
        <v>14</v>
      </c>
      <c r="D1153">
        <v>56</v>
      </c>
      <c r="E1153" s="1">
        <v>45391</v>
      </c>
      <c r="F1153">
        <v>3.86</v>
      </c>
      <c r="G1153">
        <v>11</v>
      </c>
      <c r="H1153">
        <v>8218.86</v>
      </c>
      <c r="I1153">
        <v>1.6</v>
      </c>
    </row>
    <row r="1154" spans="1:9" x14ac:dyDescent="0.3">
      <c r="A1154" t="s">
        <v>1169</v>
      </c>
      <c r="B1154" t="s">
        <v>10</v>
      </c>
      <c r="C1154" t="s">
        <v>11</v>
      </c>
      <c r="D1154">
        <v>39</v>
      </c>
      <c r="E1154" s="1">
        <v>44035</v>
      </c>
      <c r="F1154">
        <v>1.77</v>
      </c>
      <c r="G1154">
        <v>14</v>
      </c>
      <c r="H1154">
        <v>3904.3</v>
      </c>
      <c r="I1154">
        <v>5.3</v>
      </c>
    </row>
    <row r="1155" spans="1:9" x14ac:dyDescent="0.3">
      <c r="A1155" t="s">
        <v>1170</v>
      </c>
      <c r="B1155" t="s">
        <v>16</v>
      </c>
      <c r="C1155" t="s">
        <v>14</v>
      </c>
      <c r="D1155">
        <v>24</v>
      </c>
      <c r="E1155" s="1">
        <v>43581</v>
      </c>
      <c r="F1155">
        <v>2.99</v>
      </c>
      <c r="G1155">
        <v>1</v>
      </c>
      <c r="H1155">
        <v>7413.97</v>
      </c>
      <c r="I1155">
        <v>6.5</v>
      </c>
    </row>
    <row r="1156" spans="1:9" x14ac:dyDescent="0.3">
      <c r="A1156" t="s">
        <v>1171</v>
      </c>
      <c r="B1156" t="s">
        <v>10</v>
      </c>
      <c r="C1156" t="s">
        <v>14</v>
      </c>
      <c r="D1156">
        <v>57</v>
      </c>
      <c r="E1156" s="1">
        <v>44876</v>
      </c>
      <c r="F1156">
        <v>4.1900000000000004</v>
      </c>
      <c r="G1156">
        <v>7</v>
      </c>
      <c r="H1156">
        <v>3538</v>
      </c>
      <c r="I1156">
        <v>3</v>
      </c>
    </row>
    <row r="1157" spans="1:9" x14ac:dyDescent="0.3">
      <c r="A1157" t="s">
        <v>1172</v>
      </c>
      <c r="B1157" t="s">
        <v>24</v>
      </c>
      <c r="C1157" t="s">
        <v>11</v>
      </c>
      <c r="D1157">
        <v>53</v>
      </c>
      <c r="E1157" s="1">
        <v>40438</v>
      </c>
      <c r="F1157">
        <v>1.89</v>
      </c>
      <c r="G1157">
        <v>2</v>
      </c>
      <c r="H1157">
        <v>9149.5</v>
      </c>
      <c r="I1157">
        <v>15.1</v>
      </c>
    </row>
    <row r="1158" spans="1:9" x14ac:dyDescent="0.3">
      <c r="A1158" t="s">
        <v>1173</v>
      </c>
      <c r="B1158" t="s">
        <v>13</v>
      </c>
      <c r="C1158" t="s">
        <v>14</v>
      </c>
      <c r="D1158">
        <v>50</v>
      </c>
      <c r="E1158" s="1">
        <v>42842</v>
      </c>
      <c r="F1158">
        <v>4.72</v>
      </c>
      <c r="G1158">
        <v>4</v>
      </c>
      <c r="H1158">
        <v>6570.79</v>
      </c>
      <c r="I1158">
        <v>8.5</v>
      </c>
    </row>
    <row r="1159" spans="1:9" x14ac:dyDescent="0.3">
      <c r="A1159" t="s">
        <v>1174</v>
      </c>
      <c r="B1159" t="s">
        <v>34</v>
      </c>
      <c r="C1159" t="s">
        <v>11</v>
      </c>
      <c r="D1159">
        <v>51</v>
      </c>
      <c r="E1159" s="1">
        <v>41686</v>
      </c>
      <c r="F1159">
        <v>2.0299999999999998</v>
      </c>
      <c r="G1159">
        <v>7</v>
      </c>
      <c r="H1159">
        <v>3344.26</v>
      </c>
      <c r="I1159">
        <v>11.7</v>
      </c>
    </row>
    <row r="1160" spans="1:9" x14ac:dyDescent="0.3">
      <c r="A1160" t="s">
        <v>1175</v>
      </c>
      <c r="B1160" t="s">
        <v>24</v>
      </c>
      <c r="C1160" t="s">
        <v>11</v>
      </c>
      <c r="D1160">
        <v>40</v>
      </c>
      <c r="E1160" s="1">
        <v>41810</v>
      </c>
      <c r="F1160">
        <v>3.36</v>
      </c>
      <c r="G1160">
        <v>9</v>
      </c>
      <c r="H1160">
        <v>12263.95</v>
      </c>
      <c r="I1160">
        <v>11.4</v>
      </c>
    </row>
    <row r="1161" spans="1:9" x14ac:dyDescent="0.3">
      <c r="A1161" t="s">
        <v>1176</v>
      </c>
      <c r="B1161" t="s">
        <v>10</v>
      </c>
      <c r="C1161" t="s">
        <v>11</v>
      </c>
      <c r="D1161">
        <v>44</v>
      </c>
      <c r="E1161" s="1">
        <v>40338</v>
      </c>
      <c r="F1161">
        <v>3.02</v>
      </c>
      <c r="G1161">
        <v>13</v>
      </c>
      <c r="H1161">
        <v>3185.75</v>
      </c>
      <c r="I1161">
        <v>15.4</v>
      </c>
    </row>
    <row r="1162" spans="1:9" x14ac:dyDescent="0.3">
      <c r="A1162" t="s">
        <v>1177</v>
      </c>
      <c r="B1162" t="s">
        <v>16</v>
      </c>
      <c r="C1162" t="s">
        <v>11</v>
      </c>
      <c r="D1162">
        <v>52</v>
      </c>
      <c r="E1162" s="1">
        <v>45315</v>
      </c>
      <c r="F1162">
        <v>1.68</v>
      </c>
      <c r="G1162">
        <v>0</v>
      </c>
      <c r="H1162">
        <v>3465.03</v>
      </c>
      <c r="I1162">
        <v>1.8</v>
      </c>
    </row>
    <row r="1163" spans="1:9" x14ac:dyDescent="0.3">
      <c r="A1163" t="s">
        <v>1178</v>
      </c>
      <c r="B1163" t="s">
        <v>24</v>
      </c>
      <c r="C1163" t="s">
        <v>14</v>
      </c>
      <c r="D1163">
        <v>35</v>
      </c>
      <c r="E1163" s="1">
        <v>44591</v>
      </c>
      <c r="F1163">
        <v>1.93</v>
      </c>
      <c r="G1163">
        <v>12</v>
      </c>
      <c r="H1163">
        <v>14835.53</v>
      </c>
      <c r="I1163">
        <v>3.8</v>
      </c>
    </row>
    <row r="1164" spans="1:9" x14ac:dyDescent="0.3">
      <c r="A1164" t="s">
        <v>1179</v>
      </c>
      <c r="B1164" t="s">
        <v>10</v>
      </c>
      <c r="C1164" t="s">
        <v>14</v>
      </c>
      <c r="D1164">
        <v>28</v>
      </c>
      <c r="E1164" s="1">
        <v>43745</v>
      </c>
      <c r="F1164">
        <v>3.87</v>
      </c>
      <c r="G1164">
        <v>0</v>
      </c>
      <c r="H1164">
        <v>12496.23</v>
      </c>
      <c r="I1164">
        <v>6.1</v>
      </c>
    </row>
    <row r="1165" spans="1:9" x14ac:dyDescent="0.3">
      <c r="A1165" t="s">
        <v>1180</v>
      </c>
      <c r="B1165" t="s">
        <v>16</v>
      </c>
      <c r="C1165" t="s">
        <v>11</v>
      </c>
      <c r="D1165">
        <v>24</v>
      </c>
      <c r="E1165" s="1">
        <v>41818</v>
      </c>
      <c r="F1165">
        <v>3.15</v>
      </c>
      <c r="G1165">
        <v>2</v>
      </c>
      <c r="H1165">
        <v>9893.5499999999993</v>
      </c>
      <c r="I1165">
        <v>11.4</v>
      </c>
    </row>
    <row r="1166" spans="1:9" x14ac:dyDescent="0.3">
      <c r="A1166" t="s">
        <v>1181</v>
      </c>
      <c r="B1166" t="s">
        <v>13</v>
      </c>
      <c r="C1166" t="s">
        <v>11</v>
      </c>
      <c r="D1166">
        <v>37</v>
      </c>
      <c r="E1166" s="1">
        <v>44012</v>
      </c>
      <c r="F1166">
        <v>1.74</v>
      </c>
      <c r="G1166">
        <v>11</v>
      </c>
      <c r="H1166">
        <v>10685.29</v>
      </c>
      <c r="I1166">
        <v>5.3</v>
      </c>
    </row>
    <row r="1167" spans="1:9" x14ac:dyDescent="0.3">
      <c r="A1167" t="s">
        <v>1182</v>
      </c>
      <c r="B1167" t="s">
        <v>34</v>
      </c>
      <c r="C1167" t="s">
        <v>14</v>
      </c>
      <c r="D1167">
        <v>54</v>
      </c>
      <c r="E1167" s="1">
        <v>43059</v>
      </c>
      <c r="F1167">
        <v>3.3</v>
      </c>
      <c r="G1167">
        <v>13</v>
      </c>
      <c r="H1167">
        <v>11609.08</v>
      </c>
      <c r="I1167">
        <v>8</v>
      </c>
    </row>
    <row r="1168" spans="1:9" x14ac:dyDescent="0.3">
      <c r="A1168" t="s">
        <v>1183</v>
      </c>
      <c r="B1168" t="s">
        <v>18</v>
      </c>
      <c r="C1168" t="s">
        <v>14</v>
      </c>
      <c r="D1168">
        <v>36</v>
      </c>
      <c r="E1168" s="1">
        <v>40928</v>
      </c>
      <c r="F1168">
        <v>2.64</v>
      </c>
      <c r="G1168">
        <v>6</v>
      </c>
      <c r="H1168">
        <v>7823.68</v>
      </c>
      <c r="I1168">
        <v>13.8</v>
      </c>
    </row>
    <row r="1169" spans="1:9" x14ac:dyDescent="0.3">
      <c r="A1169" t="s">
        <v>1184</v>
      </c>
      <c r="B1169" t="s">
        <v>16</v>
      </c>
      <c r="C1169" t="s">
        <v>11</v>
      </c>
      <c r="D1169">
        <v>27</v>
      </c>
      <c r="E1169" s="1">
        <v>41582</v>
      </c>
      <c r="F1169">
        <v>3.46</v>
      </c>
      <c r="G1169">
        <v>8</v>
      </c>
      <c r="H1169">
        <v>7047.24</v>
      </c>
      <c r="I1169">
        <v>12</v>
      </c>
    </row>
    <row r="1170" spans="1:9" x14ac:dyDescent="0.3">
      <c r="A1170" t="s">
        <v>1185</v>
      </c>
      <c r="B1170" t="s">
        <v>34</v>
      </c>
      <c r="C1170" t="s">
        <v>11</v>
      </c>
      <c r="D1170">
        <v>34</v>
      </c>
      <c r="E1170" s="1">
        <v>43541</v>
      </c>
      <c r="F1170">
        <v>3.01</v>
      </c>
      <c r="G1170">
        <v>13</v>
      </c>
      <c r="H1170">
        <v>14315.04</v>
      </c>
      <c r="I1170">
        <v>6.6</v>
      </c>
    </row>
    <row r="1171" spans="1:9" x14ac:dyDescent="0.3">
      <c r="A1171" t="s">
        <v>1186</v>
      </c>
      <c r="B1171" t="s">
        <v>13</v>
      </c>
      <c r="C1171" t="s">
        <v>14</v>
      </c>
      <c r="D1171">
        <v>36</v>
      </c>
      <c r="E1171" s="1">
        <v>44828</v>
      </c>
      <c r="F1171">
        <v>2.0699999999999998</v>
      </c>
      <c r="G1171">
        <v>13</v>
      </c>
      <c r="H1171">
        <v>9353.93</v>
      </c>
      <c r="I1171">
        <v>3.1</v>
      </c>
    </row>
    <row r="1172" spans="1:9" x14ac:dyDescent="0.3">
      <c r="A1172" t="s">
        <v>1187</v>
      </c>
      <c r="B1172" t="s">
        <v>13</v>
      </c>
      <c r="C1172" t="s">
        <v>14</v>
      </c>
      <c r="D1172">
        <v>43</v>
      </c>
      <c r="E1172" s="1">
        <v>44006</v>
      </c>
      <c r="F1172">
        <v>3.13</v>
      </c>
      <c r="G1172">
        <v>11</v>
      </c>
      <c r="H1172">
        <v>11341.29</v>
      </c>
      <c r="I1172">
        <v>5.4</v>
      </c>
    </row>
    <row r="1173" spans="1:9" x14ac:dyDescent="0.3">
      <c r="A1173" t="s">
        <v>1188</v>
      </c>
      <c r="B1173" t="s">
        <v>13</v>
      </c>
      <c r="C1173" t="s">
        <v>11</v>
      </c>
      <c r="D1173">
        <v>41</v>
      </c>
      <c r="E1173" s="1">
        <v>45521</v>
      </c>
      <c r="F1173">
        <v>4.99</v>
      </c>
      <c r="G1173">
        <v>1</v>
      </c>
      <c r="H1173">
        <v>14498.3</v>
      </c>
      <c r="I1173">
        <v>1.2</v>
      </c>
    </row>
    <row r="1174" spans="1:9" x14ac:dyDescent="0.3">
      <c r="A1174" t="s">
        <v>1189</v>
      </c>
      <c r="B1174" t="s">
        <v>16</v>
      </c>
      <c r="C1174" t="s">
        <v>14</v>
      </c>
      <c r="D1174">
        <v>32</v>
      </c>
      <c r="E1174" s="1">
        <v>41294</v>
      </c>
      <c r="F1174">
        <v>4.34</v>
      </c>
      <c r="G1174">
        <v>15</v>
      </c>
      <c r="H1174">
        <v>14338.8</v>
      </c>
      <c r="I1174">
        <v>12.8</v>
      </c>
    </row>
    <row r="1175" spans="1:9" x14ac:dyDescent="0.3">
      <c r="A1175" t="s">
        <v>1190</v>
      </c>
      <c r="B1175" t="s">
        <v>13</v>
      </c>
      <c r="C1175" t="s">
        <v>14</v>
      </c>
      <c r="D1175">
        <v>58</v>
      </c>
      <c r="E1175" s="1">
        <v>44193</v>
      </c>
      <c r="F1175">
        <v>1.85</v>
      </c>
      <c r="G1175">
        <v>3</v>
      </c>
      <c r="H1175">
        <v>6089.2</v>
      </c>
      <c r="I1175">
        <v>4.8</v>
      </c>
    </row>
    <row r="1176" spans="1:9" x14ac:dyDescent="0.3">
      <c r="A1176" t="s">
        <v>1191</v>
      </c>
      <c r="B1176" t="s">
        <v>18</v>
      </c>
      <c r="C1176" t="s">
        <v>14</v>
      </c>
      <c r="D1176">
        <v>29</v>
      </c>
      <c r="E1176" s="1">
        <v>40291</v>
      </c>
      <c r="F1176">
        <v>2.62</v>
      </c>
      <c r="G1176">
        <v>3</v>
      </c>
      <c r="H1176">
        <v>13686.56</v>
      </c>
      <c r="I1176">
        <v>15.5</v>
      </c>
    </row>
    <row r="1177" spans="1:9" x14ac:dyDescent="0.3">
      <c r="A1177" t="s">
        <v>1192</v>
      </c>
      <c r="B1177" t="s">
        <v>16</v>
      </c>
      <c r="C1177" t="s">
        <v>14</v>
      </c>
      <c r="D1177">
        <v>52</v>
      </c>
      <c r="E1177" s="1">
        <v>44708</v>
      </c>
      <c r="F1177">
        <v>1.73</v>
      </c>
      <c r="G1177">
        <v>10</v>
      </c>
      <c r="H1177">
        <v>14690.52</v>
      </c>
      <c r="I1177">
        <v>3.4</v>
      </c>
    </row>
    <row r="1178" spans="1:9" x14ac:dyDescent="0.3">
      <c r="A1178" t="s">
        <v>1193</v>
      </c>
      <c r="B1178" t="s">
        <v>13</v>
      </c>
      <c r="C1178" t="s">
        <v>11</v>
      </c>
      <c r="D1178">
        <v>59</v>
      </c>
      <c r="E1178" s="1">
        <v>45588</v>
      </c>
      <c r="F1178">
        <v>4.26</v>
      </c>
      <c r="G1178">
        <v>2</v>
      </c>
      <c r="H1178">
        <v>8421.75</v>
      </c>
      <c r="I1178">
        <v>1</v>
      </c>
    </row>
    <row r="1179" spans="1:9" x14ac:dyDescent="0.3">
      <c r="A1179" t="s">
        <v>1194</v>
      </c>
      <c r="B1179" t="s">
        <v>34</v>
      </c>
      <c r="C1179" t="s">
        <v>11</v>
      </c>
      <c r="D1179">
        <v>57</v>
      </c>
      <c r="E1179" s="1">
        <v>41312</v>
      </c>
      <c r="F1179">
        <v>3.06</v>
      </c>
      <c r="G1179">
        <v>5</v>
      </c>
      <c r="H1179">
        <v>9494.75</v>
      </c>
      <c r="I1179">
        <v>12.7</v>
      </c>
    </row>
    <row r="1180" spans="1:9" x14ac:dyDescent="0.3">
      <c r="A1180" t="s">
        <v>1195</v>
      </c>
      <c r="B1180" t="s">
        <v>18</v>
      </c>
      <c r="C1180" t="s">
        <v>14</v>
      </c>
      <c r="D1180">
        <v>22</v>
      </c>
      <c r="E1180" s="1">
        <v>42169</v>
      </c>
      <c r="F1180">
        <v>3.11</v>
      </c>
      <c r="G1180">
        <v>8</v>
      </c>
      <c r="H1180">
        <v>11790.77</v>
      </c>
      <c r="I1180">
        <v>10.4</v>
      </c>
    </row>
    <row r="1181" spans="1:9" x14ac:dyDescent="0.3">
      <c r="A1181" t="s">
        <v>1196</v>
      </c>
      <c r="B1181" t="s">
        <v>18</v>
      </c>
      <c r="C1181" t="s">
        <v>11</v>
      </c>
      <c r="D1181">
        <v>51</v>
      </c>
      <c r="E1181" s="1">
        <v>45141</v>
      </c>
      <c r="F1181">
        <v>4.95</v>
      </c>
      <c r="G1181">
        <v>1</v>
      </c>
      <c r="H1181">
        <v>4418.67</v>
      </c>
      <c r="I1181">
        <v>2.2000000000000002</v>
      </c>
    </row>
    <row r="1182" spans="1:9" x14ac:dyDescent="0.3">
      <c r="A1182" t="s">
        <v>1197</v>
      </c>
      <c r="B1182" t="s">
        <v>18</v>
      </c>
      <c r="C1182" t="s">
        <v>11</v>
      </c>
      <c r="D1182">
        <v>31</v>
      </c>
      <c r="E1182" s="1">
        <v>40179</v>
      </c>
      <c r="F1182">
        <v>1.91</v>
      </c>
      <c r="G1182">
        <v>11</v>
      </c>
      <c r="H1182">
        <v>7331.91</v>
      </c>
      <c r="I1182">
        <v>15.8</v>
      </c>
    </row>
    <row r="1183" spans="1:9" x14ac:dyDescent="0.3">
      <c r="A1183" t="s">
        <v>1198</v>
      </c>
      <c r="B1183" t="s">
        <v>34</v>
      </c>
      <c r="C1183" t="s">
        <v>14</v>
      </c>
      <c r="D1183">
        <v>54</v>
      </c>
      <c r="E1183" s="1">
        <v>44305</v>
      </c>
      <c r="F1183">
        <v>3.53</v>
      </c>
      <c r="G1183">
        <v>6</v>
      </c>
      <c r="H1183">
        <v>6296.23</v>
      </c>
      <c r="I1183">
        <v>4.5</v>
      </c>
    </row>
    <row r="1184" spans="1:9" x14ac:dyDescent="0.3">
      <c r="A1184" t="s">
        <v>1199</v>
      </c>
      <c r="B1184" t="s">
        <v>18</v>
      </c>
      <c r="C1184" t="s">
        <v>11</v>
      </c>
      <c r="D1184">
        <v>49</v>
      </c>
      <c r="E1184" s="1">
        <v>44268</v>
      </c>
      <c r="F1184">
        <v>2.09</v>
      </c>
      <c r="G1184">
        <v>6</v>
      </c>
      <c r="H1184">
        <v>8245.5300000000007</v>
      </c>
      <c r="I1184">
        <v>4.5999999999999996</v>
      </c>
    </row>
    <row r="1185" spans="1:9" x14ac:dyDescent="0.3">
      <c r="A1185" t="s">
        <v>1200</v>
      </c>
      <c r="B1185" t="s">
        <v>13</v>
      </c>
      <c r="C1185" t="s">
        <v>11</v>
      </c>
      <c r="D1185">
        <v>47</v>
      </c>
      <c r="E1185" s="1">
        <v>41020</v>
      </c>
      <c r="F1185">
        <v>3.53</v>
      </c>
      <c r="G1185">
        <v>11</v>
      </c>
      <c r="H1185">
        <v>13842.93</v>
      </c>
      <c r="I1185">
        <v>13.5</v>
      </c>
    </row>
    <row r="1186" spans="1:9" x14ac:dyDescent="0.3">
      <c r="A1186" t="s">
        <v>1201</v>
      </c>
      <c r="B1186" t="s">
        <v>16</v>
      </c>
      <c r="C1186" t="s">
        <v>11</v>
      </c>
      <c r="D1186">
        <v>46</v>
      </c>
      <c r="E1186" s="1">
        <v>44196</v>
      </c>
      <c r="F1186">
        <v>3.68</v>
      </c>
      <c r="G1186">
        <v>6</v>
      </c>
      <c r="H1186">
        <v>4177.55</v>
      </c>
      <c r="I1186">
        <v>4.8</v>
      </c>
    </row>
    <row r="1187" spans="1:9" x14ac:dyDescent="0.3">
      <c r="A1187" t="s">
        <v>1202</v>
      </c>
      <c r="B1187" t="s">
        <v>13</v>
      </c>
      <c r="C1187" t="s">
        <v>14</v>
      </c>
      <c r="D1187">
        <v>55</v>
      </c>
      <c r="E1187" s="1">
        <v>44497</v>
      </c>
      <c r="F1187">
        <v>2.06</v>
      </c>
      <c r="G1187">
        <v>10</v>
      </c>
      <c r="H1187">
        <v>4383.8</v>
      </c>
      <c r="I1187">
        <v>4</v>
      </c>
    </row>
    <row r="1188" spans="1:9" x14ac:dyDescent="0.3">
      <c r="A1188" t="s">
        <v>1203</v>
      </c>
      <c r="B1188" t="s">
        <v>34</v>
      </c>
      <c r="C1188" t="s">
        <v>11</v>
      </c>
      <c r="D1188">
        <v>58</v>
      </c>
      <c r="E1188" s="1">
        <v>43712</v>
      </c>
      <c r="F1188">
        <v>2.57</v>
      </c>
      <c r="G1188">
        <v>10</v>
      </c>
      <c r="H1188">
        <v>14967.52</v>
      </c>
      <c r="I1188">
        <v>6.2</v>
      </c>
    </row>
    <row r="1189" spans="1:9" x14ac:dyDescent="0.3">
      <c r="A1189" t="s">
        <v>1204</v>
      </c>
      <c r="B1189" t="s">
        <v>16</v>
      </c>
      <c r="C1189" t="s">
        <v>11</v>
      </c>
      <c r="D1189">
        <v>42</v>
      </c>
      <c r="E1189" s="1">
        <v>45277</v>
      </c>
      <c r="F1189">
        <v>4.5999999999999996</v>
      </c>
      <c r="G1189">
        <v>3</v>
      </c>
      <c r="H1189">
        <v>7665.57</v>
      </c>
      <c r="I1189">
        <v>1.9</v>
      </c>
    </row>
    <row r="1190" spans="1:9" x14ac:dyDescent="0.3">
      <c r="A1190" t="s">
        <v>1205</v>
      </c>
      <c r="B1190" t="s">
        <v>13</v>
      </c>
      <c r="C1190" t="s">
        <v>11</v>
      </c>
      <c r="D1190">
        <v>55</v>
      </c>
      <c r="E1190" s="1">
        <v>44571</v>
      </c>
      <c r="F1190">
        <v>3.5</v>
      </c>
      <c r="G1190">
        <v>4</v>
      </c>
      <c r="H1190">
        <v>6435.5</v>
      </c>
      <c r="I1190">
        <v>3.8</v>
      </c>
    </row>
    <row r="1191" spans="1:9" x14ac:dyDescent="0.3">
      <c r="A1191" t="s">
        <v>1206</v>
      </c>
      <c r="B1191" t="s">
        <v>18</v>
      </c>
      <c r="C1191" t="s">
        <v>11</v>
      </c>
      <c r="D1191">
        <v>30</v>
      </c>
      <c r="E1191" s="1">
        <v>44448</v>
      </c>
      <c r="F1191">
        <v>4.7699999999999996</v>
      </c>
      <c r="G1191">
        <v>5</v>
      </c>
      <c r="H1191">
        <v>3776.25</v>
      </c>
      <c r="I1191">
        <v>4.0999999999999996</v>
      </c>
    </row>
    <row r="1192" spans="1:9" x14ac:dyDescent="0.3">
      <c r="A1192" t="s">
        <v>1207</v>
      </c>
      <c r="B1192" t="s">
        <v>13</v>
      </c>
      <c r="C1192" t="s">
        <v>11</v>
      </c>
      <c r="D1192">
        <v>58</v>
      </c>
      <c r="E1192" s="1">
        <v>42492</v>
      </c>
      <c r="F1192">
        <v>2.15</v>
      </c>
      <c r="G1192">
        <v>4</v>
      </c>
      <c r="H1192">
        <v>6397.5</v>
      </c>
      <c r="I1192">
        <v>9.5</v>
      </c>
    </row>
    <row r="1193" spans="1:9" x14ac:dyDescent="0.3">
      <c r="A1193" t="s">
        <v>1208</v>
      </c>
      <c r="B1193" t="s">
        <v>13</v>
      </c>
      <c r="C1193" t="s">
        <v>14</v>
      </c>
      <c r="D1193">
        <v>49</v>
      </c>
      <c r="E1193" s="1">
        <v>42605</v>
      </c>
      <c r="F1193">
        <v>1.97</v>
      </c>
      <c r="G1193">
        <v>4</v>
      </c>
      <c r="H1193">
        <v>10884.04</v>
      </c>
      <c r="I1193">
        <v>9.1999999999999993</v>
      </c>
    </row>
    <row r="1194" spans="1:9" x14ac:dyDescent="0.3">
      <c r="A1194" t="s">
        <v>1209</v>
      </c>
      <c r="B1194" t="s">
        <v>34</v>
      </c>
      <c r="C1194" t="s">
        <v>11</v>
      </c>
      <c r="D1194">
        <v>34</v>
      </c>
      <c r="E1194" s="1">
        <v>42123</v>
      </c>
      <c r="F1194">
        <v>1.89</v>
      </c>
      <c r="G1194">
        <v>14</v>
      </c>
      <c r="H1194">
        <v>4022.56</v>
      </c>
      <c r="I1194">
        <v>10.5</v>
      </c>
    </row>
    <row r="1195" spans="1:9" x14ac:dyDescent="0.3">
      <c r="A1195" t="s">
        <v>1210</v>
      </c>
      <c r="B1195" t="s">
        <v>24</v>
      </c>
      <c r="C1195" t="s">
        <v>14</v>
      </c>
      <c r="D1195">
        <v>26</v>
      </c>
      <c r="E1195" s="1">
        <v>42600</v>
      </c>
      <c r="F1195">
        <v>3.21</v>
      </c>
      <c r="G1195">
        <v>9</v>
      </c>
      <c r="H1195">
        <v>12022.83</v>
      </c>
      <c r="I1195">
        <v>9.1999999999999993</v>
      </c>
    </row>
    <row r="1196" spans="1:9" x14ac:dyDescent="0.3">
      <c r="A1196" t="s">
        <v>1211</v>
      </c>
      <c r="B1196" t="s">
        <v>24</v>
      </c>
      <c r="C1196" t="s">
        <v>11</v>
      </c>
      <c r="D1196">
        <v>58</v>
      </c>
      <c r="E1196" s="1">
        <v>44921</v>
      </c>
      <c r="F1196">
        <v>2.52</v>
      </c>
      <c r="G1196">
        <v>9</v>
      </c>
      <c r="H1196">
        <v>9282.32</v>
      </c>
      <c r="I1196">
        <v>2.9</v>
      </c>
    </row>
    <row r="1197" spans="1:9" x14ac:dyDescent="0.3">
      <c r="A1197" t="s">
        <v>1212</v>
      </c>
      <c r="B1197" t="s">
        <v>18</v>
      </c>
      <c r="C1197" t="s">
        <v>11</v>
      </c>
      <c r="D1197">
        <v>23</v>
      </c>
      <c r="E1197" s="1">
        <v>44221</v>
      </c>
      <c r="F1197">
        <v>2.83</v>
      </c>
      <c r="G1197">
        <v>3</v>
      </c>
      <c r="H1197">
        <v>3996.79</v>
      </c>
      <c r="I1197">
        <v>4.8</v>
      </c>
    </row>
    <row r="1198" spans="1:9" x14ac:dyDescent="0.3">
      <c r="A1198" t="s">
        <v>1213</v>
      </c>
      <c r="B1198" t="s">
        <v>10</v>
      </c>
      <c r="C1198" t="s">
        <v>11</v>
      </c>
      <c r="D1198">
        <v>22</v>
      </c>
      <c r="E1198" s="1">
        <v>44156</v>
      </c>
      <c r="F1198">
        <v>3.3</v>
      </c>
      <c r="G1198">
        <v>15</v>
      </c>
      <c r="H1198">
        <v>13087.86</v>
      </c>
      <c r="I1198">
        <v>4.9000000000000004</v>
      </c>
    </row>
    <row r="1199" spans="1:9" x14ac:dyDescent="0.3">
      <c r="A1199" t="s">
        <v>1214</v>
      </c>
      <c r="B1199" t="s">
        <v>34</v>
      </c>
      <c r="C1199" t="s">
        <v>14</v>
      </c>
      <c r="D1199">
        <v>41</v>
      </c>
      <c r="E1199" s="1">
        <v>44052</v>
      </c>
      <c r="F1199">
        <v>4.07</v>
      </c>
      <c r="G1199">
        <v>15</v>
      </c>
      <c r="H1199">
        <v>7816.65</v>
      </c>
      <c r="I1199">
        <v>5.2</v>
      </c>
    </row>
    <row r="1200" spans="1:9" x14ac:dyDescent="0.3">
      <c r="A1200" t="s">
        <v>1215</v>
      </c>
      <c r="B1200" t="s">
        <v>13</v>
      </c>
      <c r="C1200" t="s">
        <v>14</v>
      </c>
      <c r="D1200">
        <v>37</v>
      </c>
      <c r="E1200" s="1">
        <v>42474</v>
      </c>
      <c r="F1200">
        <v>2</v>
      </c>
      <c r="G1200">
        <v>12</v>
      </c>
      <c r="H1200">
        <v>14985.76</v>
      </c>
      <c r="I1200">
        <v>9.6</v>
      </c>
    </row>
    <row r="1201" spans="1:9" x14ac:dyDescent="0.3">
      <c r="A1201" t="s">
        <v>1216</v>
      </c>
      <c r="B1201" t="s">
        <v>10</v>
      </c>
      <c r="C1201" t="s">
        <v>14</v>
      </c>
      <c r="D1201">
        <v>27</v>
      </c>
      <c r="E1201" s="1">
        <v>44477</v>
      </c>
      <c r="F1201">
        <v>4.82</v>
      </c>
      <c r="G1201">
        <v>5</v>
      </c>
      <c r="H1201">
        <v>4079.14</v>
      </c>
      <c r="I1201">
        <v>4.0999999999999996</v>
      </c>
    </row>
    <row r="1202" spans="1:9" x14ac:dyDescent="0.3">
      <c r="A1202" t="s">
        <v>1217</v>
      </c>
      <c r="B1202" t="s">
        <v>24</v>
      </c>
      <c r="C1202" t="s">
        <v>14</v>
      </c>
      <c r="D1202">
        <v>50</v>
      </c>
      <c r="E1202" s="1">
        <v>45854</v>
      </c>
      <c r="F1202">
        <v>2.83</v>
      </c>
      <c r="G1202">
        <v>3</v>
      </c>
      <c r="H1202">
        <v>13607.93</v>
      </c>
      <c r="I1202">
        <v>0.3</v>
      </c>
    </row>
    <row r="1203" spans="1:9" x14ac:dyDescent="0.3">
      <c r="A1203" t="s">
        <v>1218</v>
      </c>
      <c r="B1203" t="s">
        <v>16</v>
      </c>
      <c r="C1203" t="s">
        <v>11</v>
      </c>
      <c r="D1203">
        <v>59</v>
      </c>
      <c r="E1203" s="1">
        <v>40239</v>
      </c>
      <c r="F1203">
        <v>3.41</v>
      </c>
      <c r="G1203">
        <v>4</v>
      </c>
      <c r="H1203">
        <v>9259.7999999999993</v>
      </c>
      <c r="I1203">
        <v>15.7</v>
      </c>
    </row>
    <row r="1204" spans="1:9" x14ac:dyDescent="0.3">
      <c r="A1204" t="s">
        <v>1219</v>
      </c>
      <c r="B1204" t="s">
        <v>10</v>
      </c>
      <c r="C1204" t="s">
        <v>14</v>
      </c>
      <c r="D1204">
        <v>32</v>
      </c>
      <c r="E1204" s="1">
        <v>41490</v>
      </c>
      <c r="F1204">
        <v>4.16</v>
      </c>
      <c r="G1204">
        <v>3</v>
      </c>
      <c r="H1204">
        <v>4013.82</v>
      </c>
      <c r="I1204">
        <v>12.3</v>
      </c>
    </row>
    <row r="1205" spans="1:9" x14ac:dyDescent="0.3">
      <c r="A1205" t="s">
        <v>1220</v>
      </c>
      <c r="B1205" t="s">
        <v>18</v>
      </c>
      <c r="C1205" t="s">
        <v>14</v>
      </c>
      <c r="D1205">
        <v>55</v>
      </c>
      <c r="E1205" s="1">
        <v>40390</v>
      </c>
      <c r="F1205">
        <v>4.79</v>
      </c>
      <c r="G1205">
        <v>4</v>
      </c>
      <c r="H1205">
        <v>12216.96</v>
      </c>
      <c r="I1205">
        <v>15.3</v>
      </c>
    </row>
    <row r="1206" spans="1:9" x14ac:dyDescent="0.3">
      <c r="A1206" t="s">
        <v>1221</v>
      </c>
      <c r="B1206" t="s">
        <v>34</v>
      </c>
      <c r="C1206" t="s">
        <v>11</v>
      </c>
      <c r="D1206">
        <v>27</v>
      </c>
      <c r="E1206" s="1">
        <v>45029</v>
      </c>
      <c r="F1206">
        <v>4.53</v>
      </c>
      <c r="G1206">
        <v>2</v>
      </c>
      <c r="H1206">
        <v>14602.67</v>
      </c>
      <c r="I1206">
        <v>2.6</v>
      </c>
    </row>
    <row r="1207" spans="1:9" x14ac:dyDescent="0.3">
      <c r="A1207" t="s">
        <v>1222</v>
      </c>
      <c r="B1207" t="s">
        <v>13</v>
      </c>
      <c r="C1207" t="s">
        <v>14</v>
      </c>
      <c r="D1207">
        <v>53</v>
      </c>
      <c r="E1207" s="1">
        <v>41790</v>
      </c>
      <c r="F1207">
        <v>2.09</v>
      </c>
      <c r="G1207">
        <v>14</v>
      </c>
      <c r="H1207">
        <v>10400.780000000001</v>
      </c>
      <c r="I1207">
        <v>11.4</v>
      </c>
    </row>
    <row r="1208" spans="1:9" x14ac:dyDescent="0.3">
      <c r="A1208" t="s">
        <v>1223</v>
      </c>
      <c r="B1208" t="s">
        <v>34</v>
      </c>
      <c r="C1208" t="s">
        <v>14</v>
      </c>
      <c r="D1208">
        <v>23</v>
      </c>
      <c r="E1208" s="1">
        <v>41502</v>
      </c>
      <c r="F1208">
        <v>2.4700000000000002</v>
      </c>
      <c r="G1208">
        <v>4</v>
      </c>
      <c r="H1208">
        <v>5040.74</v>
      </c>
      <c r="I1208">
        <v>12.2</v>
      </c>
    </row>
    <row r="1209" spans="1:9" x14ac:dyDescent="0.3">
      <c r="A1209" t="s">
        <v>1224</v>
      </c>
      <c r="B1209" t="s">
        <v>10</v>
      </c>
      <c r="C1209" t="s">
        <v>14</v>
      </c>
      <c r="D1209">
        <v>38</v>
      </c>
      <c r="E1209" s="1">
        <v>44153</v>
      </c>
      <c r="F1209">
        <v>3.75</v>
      </c>
      <c r="G1209">
        <v>2</v>
      </c>
      <c r="H1209">
        <v>10828.96</v>
      </c>
      <c r="I1209">
        <v>5</v>
      </c>
    </row>
    <row r="1210" spans="1:9" x14ac:dyDescent="0.3">
      <c r="A1210" t="s">
        <v>1225</v>
      </c>
      <c r="B1210" t="s">
        <v>16</v>
      </c>
      <c r="C1210" t="s">
        <v>14</v>
      </c>
      <c r="D1210">
        <v>37</v>
      </c>
      <c r="E1210" s="1">
        <v>42937</v>
      </c>
      <c r="F1210">
        <v>3.03</v>
      </c>
      <c r="G1210">
        <v>11</v>
      </c>
      <c r="H1210">
        <v>11439.52</v>
      </c>
      <c r="I1210">
        <v>8.3000000000000007</v>
      </c>
    </row>
    <row r="1211" spans="1:9" x14ac:dyDescent="0.3">
      <c r="A1211" t="s">
        <v>1226</v>
      </c>
      <c r="B1211" t="s">
        <v>34</v>
      </c>
      <c r="C1211" t="s">
        <v>11</v>
      </c>
      <c r="D1211">
        <v>24</v>
      </c>
      <c r="E1211" s="1">
        <v>43228</v>
      </c>
      <c r="F1211">
        <v>1.52</v>
      </c>
      <c r="G1211">
        <v>4</v>
      </c>
      <c r="H1211">
        <v>10090.32</v>
      </c>
      <c r="I1211">
        <v>7.5</v>
      </c>
    </row>
    <row r="1212" spans="1:9" x14ac:dyDescent="0.3">
      <c r="A1212" t="s">
        <v>1227</v>
      </c>
      <c r="B1212" t="s">
        <v>10</v>
      </c>
      <c r="C1212" t="s">
        <v>11</v>
      </c>
      <c r="D1212">
        <v>46</v>
      </c>
      <c r="E1212" s="1">
        <v>41924</v>
      </c>
      <c r="F1212">
        <v>4.54</v>
      </c>
      <c r="G1212">
        <v>8</v>
      </c>
      <c r="H1212">
        <v>12724.7</v>
      </c>
      <c r="I1212">
        <v>11.1</v>
      </c>
    </row>
    <row r="1213" spans="1:9" x14ac:dyDescent="0.3">
      <c r="A1213" t="s">
        <v>1228</v>
      </c>
      <c r="B1213" t="s">
        <v>24</v>
      </c>
      <c r="C1213" t="s">
        <v>11</v>
      </c>
      <c r="D1213">
        <v>52</v>
      </c>
      <c r="E1213" s="1">
        <v>45208</v>
      </c>
      <c r="F1213">
        <v>3.8</v>
      </c>
      <c r="G1213">
        <v>9</v>
      </c>
      <c r="H1213">
        <v>12213.52</v>
      </c>
      <c r="I1213">
        <v>2.1</v>
      </c>
    </row>
    <row r="1214" spans="1:9" x14ac:dyDescent="0.3">
      <c r="A1214" t="s">
        <v>1229</v>
      </c>
      <c r="B1214" t="s">
        <v>24</v>
      </c>
      <c r="C1214" t="s">
        <v>11</v>
      </c>
      <c r="D1214">
        <v>52</v>
      </c>
      <c r="E1214" s="1">
        <v>42581</v>
      </c>
      <c r="F1214">
        <v>3.35</v>
      </c>
      <c r="G1214">
        <v>6</v>
      </c>
      <c r="H1214">
        <v>6294.26</v>
      </c>
      <c r="I1214">
        <v>9.3000000000000007</v>
      </c>
    </row>
    <row r="1215" spans="1:9" x14ac:dyDescent="0.3">
      <c r="A1215" t="s">
        <v>1230</v>
      </c>
      <c r="B1215" t="s">
        <v>24</v>
      </c>
      <c r="C1215" t="s">
        <v>11</v>
      </c>
      <c r="D1215">
        <v>38</v>
      </c>
      <c r="E1215" s="1">
        <v>44517</v>
      </c>
      <c r="F1215">
        <v>2.76</v>
      </c>
      <c r="G1215">
        <v>11</v>
      </c>
      <c r="H1215">
        <v>8916.08</v>
      </c>
      <c r="I1215">
        <v>4</v>
      </c>
    </row>
    <row r="1216" spans="1:9" x14ac:dyDescent="0.3">
      <c r="A1216" t="s">
        <v>1231</v>
      </c>
      <c r="B1216" t="s">
        <v>18</v>
      </c>
      <c r="C1216" t="s">
        <v>14</v>
      </c>
      <c r="D1216">
        <v>32</v>
      </c>
      <c r="E1216" s="1">
        <v>43101</v>
      </c>
      <c r="F1216">
        <v>2.44</v>
      </c>
      <c r="G1216">
        <v>1</v>
      </c>
      <c r="H1216">
        <v>12473.66</v>
      </c>
      <c r="I1216">
        <v>7.8</v>
      </c>
    </row>
    <row r="1217" spans="1:9" x14ac:dyDescent="0.3">
      <c r="A1217" t="s">
        <v>1232</v>
      </c>
      <c r="B1217" t="s">
        <v>13</v>
      </c>
      <c r="C1217" t="s">
        <v>14</v>
      </c>
      <c r="D1217">
        <v>24</v>
      </c>
      <c r="E1217" s="1">
        <v>41100</v>
      </c>
      <c r="F1217">
        <v>1.51</v>
      </c>
      <c r="G1217">
        <v>1</v>
      </c>
      <c r="H1217">
        <v>12251.28</v>
      </c>
      <c r="I1217">
        <v>13.3</v>
      </c>
    </row>
    <row r="1218" spans="1:9" x14ac:dyDescent="0.3">
      <c r="A1218" t="s">
        <v>1233</v>
      </c>
      <c r="B1218" t="s">
        <v>34</v>
      </c>
      <c r="C1218" t="s">
        <v>14</v>
      </c>
      <c r="D1218">
        <v>58</v>
      </c>
      <c r="E1218" s="1">
        <v>45476</v>
      </c>
      <c r="F1218">
        <v>1.87</v>
      </c>
      <c r="G1218">
        <v>4</v>
      </c>
      <c r="H1218">
        <v>12008.86</v>
      </c>
      <c r="I1218">
        <v>1.3</v>
      </c>
    </row>
    <row r="1219" spans="1:9" x14ac:dyDescent="0.3">
      <c r="A1219" t="s">
        <v>1234</v>
      </c>
      <c r="B1219" t="s">
        <v>13</v>
      </c>
      <c r="C1219" t="s">
        <v>11</v>
      </c>
      <c r="D1219">
        <v>30</v>
      </c>
      <c r="E1219" s="1">
        <v>45248</v>
      </c>
      <c r="F1219">
        <v>1.61</v>
      </c>
      <c r="G1219">
        <v>11</v>
      </c>
      <c r="H1219">
        <v>3610.17</v>
      </c>
      <c r="I1219">
        <v>2</v>
      </c>
    </row>
    <row r="1220" spans="1:9" x14ac:dyDescent="0.3">
      <c r="A1220" t="s">
        <v>1235</v>
      </c>
      <c r="B1220" t="s">
        <v>24</v>
      </c>
      <c r="C1220" t="s">
        <v>14</v>
      </c>
      <c r="D1220">
        <v>57</v>
      </c>
      <c r="E1220" s="1">
        <v>41083</v>
      </c>
      <c r="F1220">
        <v>3.88</v>
      </c>
      <c r="G1220">
        <v>14</v>
      </c>
      <c r="H1220">
        <v>7069.94</v>
      </c>
      <c r="I1220">
        <v>13.4</v>
      </c>
    </row>
    <row r="1221" spans="1:9" x14ac:dyDescent="0.3">
      <c r="A1221" t="s">
        <v>1236</v>
      </c>
      <c r="B1221" t="s">
        <v>24</v>
      </c>
      <c r="C1221" t="s">
        <v>11</v>
      </c>
      <c r="D1221">
        <v>58</v>
      </c>
      <c r="E1221" s="1">
        <v>43721</v>
      </c>
      <c r="F1221">
        <v>4.2300000000000004</v>
      </c>
      <c r="G1221">
        <v>7</v>
      </c>
      <c r="H1221">
        <v>9894.58</v>
      </c>
      <c r="I1221">
        <v>6.1</v>
      </c>
    </row>
    <row r="1222" spans="1:9" x14ac:dyDescent="0.3">
      <c r="A1222" t="s">
        <v>1237</v>
      </c>
      <c r="B1222" t="s">
        <v>16</v>
      </c>
      <c r="C1222" t="s">
        <v>11</v>
      </c>
      <c r="D1222">
        <v>36</v>
      </c>
      <c r="E1222" s="1">
        <v>42017</v>
      </c>
      <c r="F1222">
        <v>4.55</v>
      </c>
      <c r="G1222">
        <v>7</v>
      </c>
      <c r="H1222">
        <v>12360.77</v>
      </c>
      <c r="I1222">
        <v>10.8</v>
      </c>
    </row>
    <row r="1223" spans="1:9" x14ac:dyDescent="0.3">
      <c r="A1223" t="s">
        <v>1238</v>
      </c>
      <c r="B1223" t="s">
        <v>24</v>
      </c>
      <c r="C1223" t="s">
        <v>11</v>
      </c>
      <c r="D1223">
        <v>39</v>
      </c>
      <c r="E1223" s="1">
        <v>43719</v>
      </c>
      <c r="F1223">
        <v>2.74</v>
      </c>
      <c r="G1223">
        <v>7</v>
      </c>
      <c r="H1223">
        <v>5856.21</v>
      </c>
      <c r="I1223">
        <v>6.1</v>
      </c>
    </row>
    <row r="1224" spans="1:9" x14ac:dyDescent="0.3">
      <c r="A1224" t="s">
        <v>1239</v>
      </c>
      <c r="B1224" t="s">
        <v>13</v>
      </c>
      <c r="C1224" t="s">
        <v>11</v>
      </c>
      <c r="D1224">
        <v>23</v>
      </c>
      <c r="E1224" s="1">
        <v>44784</v>
      </c>
      <c r="F1224">
        <v>1.71</v>
      </c>
      <c r="G1224">
        <v>6</v>
      </c>
      <c r="H1224">
        <v>8879.3799999999992</v>
      </c>
      <c r="I1224">
        <v>3.2</v>
      </c>
    </row>
    <row r="1225" spans="1:9" x14ac:dyDescent="0.3">
      <c r="A1225" t="s">
        <v>1240</v>
      </c>
      <c r="B1225" t="s">
        <v>16</v>
      </c>
      <c r="C1225" t="s">
        <v>14</v>
      </c>
      <c r="D1225">
        <v>52</v>
      </c>
      <c r="E1225" s="1">
        <v>42411</v>
      </c>
      <c r="F1225">
        <v>2.27</v>
      </c>
      <c r="G1225">
        <v>1</v>
      </c>
      <c r="H1225">
        <v>14125.46</v>
      </c>
      <c r="I1225">
        <v>9.6999999999999993</v>
      </c>
    </row>
    <row r="1226" spans="1:9" x14ac:dyDescent="0.3">
      <c r="A1226" t="s">
        <v>1241</v>
      </c>
      <c r="B1226" t="s">
        <v>24</v>
      </c>
      <c r="C1226" t="s">
        <v>11</v>
      </c>
      <c r="D1226">
        <v>40</v>
      </c>
      <c r="E1226" s="1">
        <v>40421</v>
      </c>
      <c r="F1226">
        <v>3.07</v>
      </c>
      <c r="G1226">
        <v>12</v>
      </c>
      <c r="H1226">
        <v>14306.77</v>
      </c>
      <c r="I1226">
        <v>15.2</v>
      </c>
    </row>
    <row r="1227" spans="1:9" x14ac:dyDescent="0.3">
      <c r="A1227" t="s">
        <v>1242</v>
      </c>
      <c r="B1227" t="s">
        <v>34</v>
      </c>
      <c r="C1227" t="s">
        <v>14</v>
      </c>
      <c r="D1227">
        <v>31</v>
      </c>
      <c r="E1227" s="1">
        <v>44148</v>
      </c>
      <c r="F1227">
        <v>2.5499999999999998</v>
      </c>
      <c r="G1227">
        <v>14</v>
      </c>
      <c r="H1227">
        <v>5814.01</v>
      </c>
      <c r="I1227">
        <v>5</v>
      </c>
    </row>
    <row r="1228" spans="1:9" x14ac:dyDescent="0.3">
      <c r="A1228" t="s">
        <v>1243</v>
      </c>
      <c r="B1228" t="s">
        <v>18</v>
      </c>
      <c r="C1228" t="s">
        <v>11</v>
      </c>
      <c r="D1228">
        <v>43</v>
      </c>
      <c r="E1228" s="1">
        <v>43324</v>
      </c>
      <c r="F1228">
        <v>3.07</v>
      </c>
      <c r="G1228">
        <v>9</v>
      </c>
      <c r="H1228">
        <v>13939.03</v>
      </c>
      <c r="I1228">
        <v>7.2</v>
      </c>
    </row>
    <row r="1229" spans="1:9" x14ac:dyDescent="0.3">
      <c r="A1229" t="s">
        <v>1244</v>
      </c>
      <c r="B1229" t="s">
        <v>18</v>
      </c>
      <c r="C1229" t="s">
        <v>14</v>
      </c>
      <c r="D1229">
        <v>24</v>
      </c>
      <c r="E1229" s="1">
        <v>44815</v>
      </c>
      <c r="F1229">
        <v>4.58</v>
      </c>
      <c r="G1229">
        <v>1</v>
      </c>
      <c r="H1229">
        <v>13410.29</v>
      </c>
      <c r="I1229">
        <v>3.1</v>
      </c>
    </row>
    <row r="1230" spans="1:9" x14ac:dyDescent="0.3">
      <c r="A1230" t="s">
        <v>1245</v>
      </c>
      <c r="B1230" t="s">
        <v>34</v>
      </c>
      <c r="C1230" t="s">
        <v>14</v>
      </c>
      <c r="D1230">
        <v>36</v>
      </c>
      <c r="E1230" s="1">
        <v>42681</v>
      </c>
      <c r="F1230">
        <v>3.48</v>
      </c>
      <c r="G1230">
        <v>2</v>
      </c>
      <c r="H1230">
        <v>14779.07</v>
      </c>
      <c r="I1230">
        <v>9</v>
      </c>
    </row>
    <row r="1231" spans="1:9" x14ac:dyDescent="0.3">
      <c r="A1231" t="s">
        <v>1246</v>
      </c>
      <c r="B1231" t="s">
        <v>10</v>
      </c>
      <c r="C1231" t="s">
        <v>14</v>
      </c>
      <c r="D1231">
        <v>29</v>
      </c>
      <c r="E1231" s="1">
        <v>42542</v>
      </c>
      <c r="F1231">
        <v>2.2200000000000002</v>
      </c>
      <c r="G1231">
        <v>15</v>
      </c>
      <c r="H1231">
        <v>6308.78</v>
      </c>
      <c r="I1231">
        <v>9.4</v>
      </c>
    </row>
    <row r="1232" spans="1:9" x14ac:dyDescent="0.3">
      <c r="A1232" t="s">
        <v>1247</v>
      </c>
      <c r="B1232" t="s">
        <v>13</v>
      </c>
      <c r="C1232" t="s">
        <v>14</v>
      </c>
      <c r="D1232">
        <v>55</v>
      </c>
      <c r="E1232" s="1">
        <v>41049</v>
      </c>
      <c r="F1232">
        <v>2.63</v>
      </c>
      <c r="G1232">
        <v>9</v>
      </c>
      <c r="H1232">
        <v>13722.73</v>
      </c>
      <c r="I1232">
        <v>13.5</v>
      </c>
    </row>
    <row r="1233" spans="1:9" x14ac:dyDescent="0.3">
      <c r="A1233" t="s">
        <v>1248</v>
      </c>
      <c r="B1233" t="s">
        <v>18</v>
      </c>
      <c r="C1233" t="s">
        <v>14</v>
      </c>
      <c r="D1233">
        <v>33</v>
      </c>
      <c r="E1233" s="1">
        <v>41346</v>
      </c>
      <c r="F1233">
        <v>2.0099999999999998</v>
      </c>
      <c r="G1233">
        <v>8</v>
      </c>
      <c r="H1233">
        <v>5358.94</v>
      </c>
      <c r="I1233">
        <v>12.6</v>
      </c>
    </row>
    <row r="1234" spans="1:9" x14ac:dyDescent="0.3">
      <c r="A1234" t="s">
        <v>1249</v>
      </c>
      <c r="B1234" t="s">
        <v>24</v>
      </c>
      <c r="C1234" t="s">
        <v>11</v>
      </c>
      <c r="D1234">
        <v>42</v>
      </c>
      <c r="E1234" s="1">
        <v>41213</v>
      </c>
      <c r="F1234">
        <v>3.75</v>
      </c>
      <c r="G1234">
        <v>0</v>
      </c>
      <c r="H1234">
        <v>9519.4500000000007</v>
      </c>
      <c r="I1234">
        <v>13</v>
      </c>
    </row>
    <row r="1235" spans="1:9" x14ac:dyDescent="0.3">
      <c r="A1235" t="s">
        <v>1250</v>
      </c>
      <c r="B1235" t="s">
        <v>13</v>
      </c>
      <c r="C1235" t="s">
        <v>14</v>
      </c>
      <c r="D1235">
        <v>35</v>
      </c>
      <c r="E1235" s="1">
        <v>42593</v>
      </c>
      <c r="F1235">
        <v>2.88</v>
      </c>
      <c r="G1235">
        <v>2</v>
      </c>
      <c r="H1235">
        <v>10755.78</v>
      </c>
      <c r="I1235">
        <v>9.1999999999999993</v>
      </c>
    </row>
    <row r="1236" spans="1:9" x14ac:dyDescent="0.3">
      <c r="A1236" t="s">
        <v>1251</v>
      </c>
      <c r="B1236" t="s">
        <v>34</v>
      </c>
      <c r="C1236" t="s">
        <v>14</v>
      </c>
      <c r="D1236">
        <v>43</v>
      </c>
      <c r="E1236" s="1">
        <v>42640</v>
      </c>
      <c r="F1236">
        <v>3.93</v>
      </c>
      <c r="G1236">
        <v>3</v>
      </c>
      <c r="H1236">
        <v>9844.43</v>
      </c>
      <c r="I1236">
        <v>9.1</v>
      </c>
    </row>
    <row r="1237" spans="1:9" x14ac:dyDescent="0.3">
      <c r="A1237" t="s">
        <v>1252</v>
      </c>
      <c r="B1237" t="s">
        <v>10</v>
      </c>
      <c r="C1237" t="s">
        <v>14</v>
      </c>
      <c r="D1237">
        <v>59</v>
      </c>
      <c r="E1237" s="1">
        <v>44479</v>
      </c>
      <c r="F1237">
        <v>1.66</v>
      </c>
      <c r="G1237">
        <v>6</v>
      </c>
      <c r="H1237">
        <v>11467.41</v>
      </c>
      <c r="I1237">
        <v>4.0999999999999996</v>
      </c>
    </row>
    <row r="1238" spans="1:9" x14ac:dyDescent="0.3">
      <c r="A1238" t="s">
        <v>1253</v>
      </c>
      <c r="B1238" t="s">
        <v>34</v>
      </c>
      <c r="C1238" t="s">
        <v>11</v>
      </c>
      <c r="D1238">
        <v>27</v>
      </c>
      <c r="E1238" s="1">
        <v>40968</v>
      </c>
      <c r="F1238">
        <v>2.62</v>
      </c>
      <c r="G1238">
        <v>0</v>
      </c>
      <c r="H1238">
        <v>12211.87</v>
      </c>
      <c r="I1238">
        <v>13.7</v>
      </c>
    </row>
    <row r="1239" spans="1:9" x14ac:dyDescent="0.3">
      <c r="A1239" t="s">
        <v>1254</v>
      </c>
      <c r="B1239" t="s">
        <v>16</v>
      </c>
      <c r="C1239" t="s">
        <v>14</v>
      </c>
      <c r="D1239">
        <v>23</v>
      </c>
      <c r="E1239" s="1">
        <v>44760</v>
      </c>
      <c r="F1239">
        <v>2.19</v>
      </c>
      <c r="G1239">
        <v>4</v>
      </c>
      <c r="H1239">
        <v>14758.25</v>
      </c>
      <c r="I1239">
        <v>3.3</v>
      </c>
    </row>
    <row r="1240" spans="1:9" x14ac:dyDescent="0.3">
      <c r="A1240" t="s">
        <v>1255</v>
      </c>
      <c r="B1240" t="s">
        <v>24</v>
      </c>
      <c r="C1240" t="s">
        <v>11</v>
      </c>
      <c r="D1240">
        <v>51</v>
      </c>
      <c r="E1240" s="1">
        <v>43528</v>
      </c>
      <c r="F1240">
        <v>4.5</v>
      </c>
      <c r="G1240">
        <v>4</v>
      </c>
      <c r="H1240">
        <v>3428.07</v>
      </c>
      <c r="I1240">
        <v>6.7</v>
      </c>
    </row>
    <row r="1241" spans="1:9" x14ac:dyDescent="0.3">
      <c r="A1241" t="s">
        <v>1256</v>
      </c>
      <c r="B1241" t="s">
        <v>34</v>
      </c>
      <c r="C1241" t="s">
        <v>14</v>
      </c>
      <c r="D1241">
        <v>36</v>
      </c>
      <c r="E1241" s="1">
        <v>40665</v>
      </c>
      <c r="F1241">
        <v>4.37</v>
      </c>
      <c r="G1241">
        <v>0</v>
      </c>
      <c r="H1241">
        <v>9955.9500000000007</v>
      </c>
      <c r="I1241">
        <v>14.5</v>
      </c>
    </row>
    <row r="1242" spans="1:9" x14ac:dyDescent="0.3">
      <c r="A1242" t="s">
        <v>1257</v>
      </c>
      <c r="B1242" t="s">
        <v>10</v>
      </c>
      <c r="C1242" t="s">
        <v>11</v>
      </c>
      <c r="D1242">
        <v>47</v>
      </c>
      <c r="E1242" s="1">
        <v>43166</v>
      </c>
      <c r="F1242">
        <v>3.62</v>
      </c>
      <c r="G1242">
        <v>6</v>
      </c>
      <c r="H1242">
        <v>4098.71</v>
      </c>
      <c r="I1242">
        <v>7.7</v>
      </c>
    </row>
    <row r="1243" spans="1:9" x14ac:dyDescent="0.3">
      <c r="A1243" t="s">
        <v>1258</v>
      </c>
      <c r="B1243" t="s">
        <v>18</v>
      </c>
      <c r="C1243" t="s">
        <v>14</v>
      </c>
      <c r="D1243">
        <v>40</v>
      </c>
      <c r="E1243" s="1">
        <v>40275</v>
      </c>
      <c r="F1243">
        <v>4.97</v>
      </c>
      <c r="G1243">
        <v>11</v>
      </c>
      <c r="H1243">
        <v>7277.1</v>
      </c>
      <c r="I1243">
        <v>15.6</v>
      </c>
    </row>
    <row r="1244" spans="1:9" x14ac:dyDescent="0.3">
      <c r="A1244" t="s">
        <v>1259</v>
      </c>
      <c r="B1244" t="s">
        <v>16</v>
      </c>
      <c r="C1244" t="s">
        <v>14</v>
      </c>
      <c r="D1244">
        <v>31</v>
      </c>
      <c r="E1244" s="1">
        <v>43980</v>
      </c>
      <c r="F1244">
        <v>4.4400000000000004</v>
      </c>
      <c r="G1244">
        <v>11</v>
      </c>
      <c r="H1244">
        <v>11320.47</v>
      </c>
      <c r="I1244">
        <v>5.4</v>
      </c>
    </row>
    <row r="1245" spans="1:9" x14ac:dyDescent="0.3">
      <c r="A1245" t="s">
        <v>1260</v>
      </c>
      <c r="B1245" t="s">
        <v>16</v>
      </c>
      <c r="C1245" t="s">
        <v>14</v>
      </c>
      <c r="D1245">
        <v>49</v>
      </c>
      <c r="E1245" s="1">
        <v>40707</v>
      </c>
      <c r="F1245">
        <v>2.52</v>
      </c>
      <c r="G1245">
        <v>13</v>
      </c>
      <c r="H1245">
        <v>5603.76</v>
      </c>
      <c r="I1245">
        <v>14.4</v>
      </c>
    </row>
    <row r="1246" spans="1:9" x14ac:dyDescent="0.3">
      <c r="A1246" t="s">
        <v>1261</v>
      </c>
      <c r="B1246" t="s">
        <v>16</v>
      </c>
      <c r="C1246" t="s">
        <v>11</v>
      </c>
      <c r="D1246">
        <v>27</v>
      </c>
      <c r="E1246" s="1">
        <v>45308</v>
      </c>
      <c r="F1246">
        <v>4.0999999999999996</v>
      </c>
      <c r="G1246">
        <v>7</v>
      </c>
      <c r="H1246">
        <v>5562.42</v>
      </c>
      <c r="I1246">
        <v>1.8</v>
      </c>
    </row>
    <row r="1247" spans="1:9" x14ac:dyDescent="0.3">
      <c r="A1247" t="s">
        <v>1262</v>
      </c>
      <c r="B1247" t="s">
        <v>18</v>
      </c>
      <c r="C1247" t="s">
        <v>14</v>
      </c>
      <c r="D1247">
        <v>26</v>
      </c>
      <c r="E1247" s="1">
        <v>45334</v>
      </c>
      <c r="F1247">
        <v>3.88</v>
      </c>
      <c r="G1247">
        <v>12</v>
      </c>
      <c r="H1247">
        <v>8838</v>
      </c>
      <c r="I1247">
        <v>1.7</v>
      </c>
    </row>
    <row r="1248" spans="1:9" x14ac:dyDescent="0.3">
      <c r="A1248" t="s">
        <v>1263</v>
      </c>
      <c r="B1248" t="s">
        <v>10</v>
      </c>
      <c r="C1248" t="s">
        <v>14</v>
      </c>
      <c r="D1248">
        <v>43</v>
      </c>
      <c r="E1248" s="1">
        <v>42471</v>
      </c>
      <c r="F1248">
        <v>2.2400000000000002</v>
      </c>
      <c r="G1248">
        <v>12</v>
      </c>
      <c r="H1248">
        <v>3653.38</v>
      </c>
      <c r="I1248">
        <v>9.6</v>
      </c>
    </row>
    <row r="1249" spans="1:9" x14ac:dyDescent="0.3">
      <c r="A1249" t="s">
        <v>1264</v>
      </c>
      <c r="B1249" t="s">
        <v>24</v>
      </c>
      <c r="C1249" t="s">
        <v>14</v>
      </c>
      <c r="D1249">
        <v>51</v>
      </c>
      <c r="E1249" s="1">
        <v>42228</v>
      </c>
      <c r="F1249">
        <v>4</v>
      </c>
      <c r="G1249">
        <v>2</v>
      </c>
      <c r="H1249">
        <v>10976.6</v>
      </c>
      <c r="I1249">
        <v>10.199999999999999</v>
      </c>
    </row>
    <row r="1250" spans="1:9" x14ac:dyDescent="0.3">
      <c r="A1250" t="s">
        <v>1265</v>
      </c>
      <c r="B1250" t="s">
        <v>13</v>
      </c>
      <c r="C1250" t="s">
        <v>11</v>
      </c>
      <c r="D1250">
        <v>29</v>
      </c>
      <c r="E1250" s="1">
        <v>44175</v>
      </c>
      <c r="F1250">
        <v>1.82</v>
      </c>
      <c r="G1250">
        <v>1</v>
      </c>
      <c r="H1250">
        <v>8555.14</v>
      </c>
      <c r="I1250">
        <v>4.9000000000000004</v>
      </c>
    </row>
    <row r="1251" spans="1:9" x14ac:dyDescent="0.3">
      <c r="A1251" t="s">
        <v>1266</v>
      </c>
      <c r="B1251" t="s">
        <v>18</v>
      </c>
      <c r="C1251" t="s">
        <v>11</v>
      </c>
      <c r="D1251">
        <v>26</v>
      </c>
      <c r="E1251" s="1">
        <v>45710</v>
      </c>
      <c r="F1251">
        <v>4.88</v>
      </c>
      <c r="G1251">
        <v>11</v>
      </c>
      <c r="H1251">
        <v>9061.07</v>
      </c>
      <c r="I1251">
        <v>0.7</v>
      </c>
    </row>
    <row r="1252" spans="1:9" x14ac:dyDescent="0.3">
      <c r="A1252" t="s">
        <v>1267</v>
      </c>
      <c r="B1252" t="s">
        <v>18</v>
      </c>
      <c r="C1252" t="s">
        <v>11</v>
      </c>
      <c r="D1252">
        <v>54</v>
      </c>
      <c r="E1252" s="1">
        <v>42217</v>
      </c>
      <c r="F1252">
        <v>4.13</v>
      </c>
      <c r="G1252">
        <v>15</v>
      </c>
      <c r="H1252">
        <v>14691.73</v>
      </c>
      <c r="I1252">
        <v>10.3</v>
      </c>
    </row>
    <row r="1253" spans="1:9" x14ac:dyDescent="0.3">
      <c r="A1253" t="s">
        <v>1268</v>
      </c>
      <c r="B1253" t="s">
        <v>16</v>
      </c>
      <c r="C1253" t="s">
        <v>11</v>
      </c>
      <c r="D1253">
        <v>42</v>
      </c>
      <c r="E1253" s="1">
        <v>42756</v>
      </c>
      <c r="F1253">
        <v>4.08</v>
      </c>
      <c r="G1253">
        <v>7</v>
      </c>
      <c r="H1253">
        <v>5153.22</v>
      </c>
      <c r="I1253">
        <v>8.8000000000000007</v>
      </c>
    </row>
    <row r="1254" spans="1:9" x14ac:dyDescent="0.3">
      <c r="A1254" t="s">
        <v>1269</v>
      </c>
      <c r="B1254" t="s">
        <v>18</v>
      </c>
      <c r="C1254" t="s">
        <v>14</v>
      </c>
      <c r="D1254">
        <v>56</v>
      </c>
      <c r="E1254" s="1">
        <v>45171</v>
      </c>
      <c r="F1254">
        <v>3.6</v>
      </c>
      <c r="G1254">
        <v>1</v>
      </c>
      <c r="H1254">
        <v>10937.88</v>
      </c>
      <c r="I1254">
        <v>2.2000000000000002</v>
      </c>
    </row>
    <row r="1255" spans="1:9" x14ac:dyDescent="0.3">
      <c r="A1255" t="s">
        <v>1270</v>
      </c>
      <c r="B1255" t="s">
        <v>24</v>
      </c>
      <c r="C1255" t="s">
        <v>14</v>
      </c>
      <c r="D1255">
        <v>27</v>
      </c>
      <c r="E1255" s="1">
        <v>45511</v>
      </c>
      <c r="F1255">
        <v>2.95</v>
      </c>
      <c r="G1255">
        <v>15</v>
      </c>
      <c r="H1255">
        <v>10159.51</v>
      </c>
      <c r="I1255">
        <v>1.2</v>
      </c>
    </row>
    <row r="1256" spans="1:9" x14ac:dyDescent="0.3">
      <c r="A1256" t="s">
        <v>1271</v>
      </c>
      <c r="B1256" t="s">
        <v>24</v>
      </c>
      <c r="C1256" t="s">
        <v>11</v>
      </c>
      <c r="D1256">
        <v>59</v>
      </c>
      <c r="E1256" s="1">
        <v>44763</v>
      </c>
      <c r="F1256">
        <v>3.61</v>
      </c>
      <c r="G1256">
        <v>3</v>
      </c>
      <c r="H1256">
        <v>14924.36</v>
      </c>
      <c r="I1256">
        <v>3.3</v>
      </c>
    </row>
    <row r="1257" spans="1:9" x14ac:dyDescent="0.3">
      <c r="A1257" t="s">
        <v>1272</v>
      </c>
      <c r="B1257" t="s">
        <v>16</v>
      </c>
      <c r="C1257" t="s">
        <v>14</v>
      </c>
      <c r="D1257">
        <v>41</v>
      </c>
      <c r="E1257" s="1">
        <v>43869</v>
      </c>
      <c r="F1257">
        <v>2.1</v>
      </c>
      <c r="G1257">
        <v>14</v>
      </c>
      <c r="H1257">
        <v>4559.68</v>
      </c>
      <c r="I1257">
        <v>5.7</v>
      </c>
    </row>
    <row r="1258" spans="1:9" x14ac:dyDescent="0.3">
      <c r="A1258" t="s">
        <v>1273</v>
      </c>
      <c r="B1258" t="s">
        <v>16</v>
      </c>
      <c r="C1258" t="s">
        <v>11</v>
      </c>
      <c r="D1258">
        <v>60</v>
      </c>
      <c r="E1258" s="1">
        <v>43518</v>
      </c>
      <c r="F1258">
        <v>2.29</v>
      </c>
      <c r="G1258">
        <v>2</v>
      </c>
      <c r="H1258">
        <v>7594.13</v>
      </c>
      <c r="I1258">
        <v>6.7</v>
      </c>
    </row>
    <row r="1259" spans="1:9" x14ac:dyDescent="0.3">
      <c r="A1259" t="s">
        <v>1274</v>
      </c>
      <c r="B1259" t="s">
        <v>13</v>
      </c>
      <c r="C1259" t="s">
        <v>11</v>
      </c>
      <c r="D1259">
        <v>46</v>
      </c>
      <c r="E1259" s="1">
        <v>44907</v>
      </c>
      <c r="F1259">
        <v>1.56</v>
      </c>
      <c r="G1259">
        <v>12</v>
      </c>
      <c r="H1259">
        <v>9351.2800000000007</v>
      </c>
      <c r="I1259">
        <v>2.9</v>
      </c>
    </row>
    <row r="1260" spans="1:9" x14ac:dyDescent="0.3">
      <c r="A1260" t="s">
        <v>1275</v>
      </c>
      <c r="B1260" t="s">
        <v>16</v>
      </c>
      <c r="C1260" t="s">
        <v>11</v>
      </c>
      <c r="D1260">
        <v>47</v>
      </c>
      <c r="E1260" s="1">
        <v>42389</v>
      </c>
      <c r="F1260">
        <v>4.07</v>
      </c>
      <c r="G1260">
        <v>9</v>
      </c>
      <c r="H1260">
        <v>12034.05</v>
      </c>
      <c r="I1260">
        <v>9.8000000000000007</v>
      </c>
    </row>
    <row r="1261" spans="1:9" x14ac:dyDescent="0.3">
      <c r="A1261" t="s">
        <v>1276</v>
      </c>
      <c r="B1261" t="s">
        <v>34</v>
      </c>
      <c r="C1261" t="s">
        <v>14</v>
      </c>
      <c r="D1261">
        <v>58</v>
      </c>
      <c r="E1261" s="1">
        <v>43689</v>
      </c>
      <c r="F1261">
        <v>3.89</v>
      </c>
      <c r="G1261">
        <v>5</v>
      </c>
      <c r="H1261">
        <v>11605.67</v>
      </c>
      <c r="I1261">
        <v>6.2</v>
      </c>
    </row>
    <row r="1262" spans="1:9" x14ac:dyDescent="0.3">
      <c r="A1262" t="s">
        <v>1277</v>
      </c>
      <c r="B1262" t="s">
        <v>16</v>
      </c>
      <c r="C1262" t="s">
        <v>11</v>
      </c>
      <c r="D1262">
        <v>59</v>
      </c>
      <c r="E1262" s="1">
        <v>42180</v>
      </c>
      <c r="F1262">
        <v>2.95</v>
      </c>
      <c r="G1262">
        <v>4</v>
      </c>
      <c r="H1262">
        <v>8746.4699999999993</v>
      </c>
      <c r="I1262">
        <v>10.4</v>
      </c>
    </row>
    <row r="1263" spans="1:9" x14ac:dyDescent="0.3">
      <c r="A1263" t="s">
        <v>1278</v>
      </c>
      <c r="B1263" t="s">
        <v>18</v>
      </c>
      <c r="C1263" t="s">
        <v>11</v>
      </c>
      <c r="D1263">
        <v>29</v>
      </c>
      <c r="E1263" s="1">
        <v>42962</v>
      </c>
      <c r="F1263">
        <v>4.8099999999999996</v>
      </c>
      <c r="G1263">
        <v>4</v>
      </c>
      <c r="H1263">
        <v>11713.72</v>
      </c>
      <c r="I1263">
        <v>8.1999999999999993</v>
      </c>
    </row>
    <row r="1264" spans="1:9" x14ac:dyDescent="0.3">
      <c r="A1264" t="s">
        <v>1279</v>
      </c>
      <c r="B1264" t="s">
        <v>34</v>
      </c>
      <c r="C1264" t="s">
        <v>11</v>
      </c>
      <c r="D1264">
        <v>28</v>
      </c>
      <c r="E1264" s="1">
        <v>41243</v>
      </c>
      <c r="F1264">
        <v>3.41</v>
      </c>
      <c r="G1264">
        <v>8</v>
      </c>
      <c r="H1264">
        <v>6970.94</v>
      </c>
      <c r="I1264">
        <v>12.9</v>
      </c>
    </row>
    <row r="1265" spans="1:9" x14ac:dyDescent="0.3">
      <c r="A1265" t="s">
        <v>1280</v>
      </c>
      <c r="B1265" t="s">
        <v>24</v>
      </c>
      <c r="C1265" t="s">
        <v>11</v>
      </c>
      <c r="D1265">
        <v>54</v>
      </c>
      <c r="E1265" s="1">
        <v>40294</v>
      </c>
      <c r="F1265">
        <v>4.78</v>
      </c>
      <c r="G1265">
        <v>2</v>
      </c>
      <c r="H1265">
        <v>11953.24</v>
      </c>
      <c r="I1265">
        <v>15.5</v>
      </c>
    </row>
    <row r="1266" spans="1:9" x14ac:dyDescent="0.3">
      <c r="A1266" t="s">
        <v>1281</v>
      </c>
      <c r="B1266" t="s">
        <v>13</v>
      </c>
      <c r="C1266" t="s">
        <v>14</v>
      </c>
      <c r="D1266">
        <v>38</v>
      </c>
      <c r="E1266" s="1">
        <v>45098</v>
      </c>
      <c r="F1266">
        <v>4.8899999999999997</v>
      </c>
      <c r="G1266">
        <v>12</v>
      </c>
      <c r="H1266">
        <v>6976.91</v>
      </c>
      <c r="I1266">
        <v>2.4</v>
      </c>
    </row>
    <row r="1267" spans="1:9" x14ac:dyDescent="0.3">
      <c r="A1267" t="s">
        <v>1282</v>
      </c>
      <c r="B1267" t="s">
        <v>10</v>
      </c>
      <c r="C1267" t="s">
        <v>11</v>
      </c>
      <c r="D1267">
        <v>44</v>
      </c>
      <c r="E1267" s="1">
        <v>44403</v>
      </c>
      <c r="F1267">
        <v>3.16</v>
      </c>
      <c r="G1267">
        <v>2</v>
      </c>
      <c r="H1267">
        <v>6462.33</v>
      </c>
      <c r="I1267">
        <v>4.3</v>
      </c>
    </row>
    <row r="1268" spans="1:9" x14ac:dyDescent="0.3">
      <c r="A1268" t="s">
        <v>1283</v>
      </c>
      <c r="B1268" t="s">
        <v>10</v>
      </c>
      <c r="C1268" t="s">
        <v>14</v>
      </c>
      <c r="D1268">
        <v>46</v>
      </c>
      <c r="E1268" s="1">
        <v>44523</v>
      </c>
      <c r="F1268">
        <v>4.74</v>
      </c>
      <c r="G1268">
        <v>2</v>
      </c>
      <c r="H1268">
        <v>6127.38</v>
      </c>
      <c r="I1268">
        <v>3.9</v>
      </c>
    </row>
    <row r="1269" spans="1:9" x14ac:dyDescent="0.3">
      <c r="A1269" t="s">
        <v>1284</v>
      </c>
      <c r="B1269" t="s">
        <v>16</v>
      </c>
      <c r="C1269" t="s">
        <v>11</v>
      </c>
      <c r="D1269">
        <v>56</v>
      </c>
      <c r="E1269" s="1">
        <v>43640</v>
      </c>
      <c r="F1269">
        <v>3.31</v>
      </c>
      <c r="G1269">
        <v>12</v>
      </c>
      <c r="H1269">
        <v>12287.27</v>
      </c>
      <c r="I1269">
        <v>6.4</v>
      </c>
    </row>
    <row r="1270" spans="1:9" x14ac:dyDescent="0.3">
      <c r="A1270" t="s">
        <v>1285</v>
      </c>
      <c r="B1270" t="s">
        <v>16</v>
      </c>
      <c r="C1270" t="s">
        <v>11</v>
      </c>
      <c r="D1270">
        <v>27</v>
      </c>
      <c r="E1270" s="1">
        <v>45372</v>
      </c>
      <c r="F1270">
        <v>3.82</v>
      </c>
      <c r="G1270">
        <v>14</v>
      </c>
      <c r="H1270">
        <v>12690.25</v>
      </c>
      <c r="I1270">
        <v>1.6</v>
      </c>
    </row>
    <row r="1271" spans="1:9" x14ac:dyDescent="0.3">
      <c r="A1271" t="s">
        <v>1286</v>
      </c>
      <c r="B1271" t="s">
        <v>10</v>
      </c>
      <c r="C1271" t="s">
        <v>11</v>
      </c>
      <c r="D1271">
        <v>53</v>
      </c>
      <c r="E1271" s="1">
        <v>41364</v>
      </c>
      <c r="F1271">
        <v>4.4800000000000004</v>
      </c>
      <c r="G1271">
        <v>6</v>
      </c>
      <c r="H1271">
        <v>8535.24</v>
      </c>
      <c r="I1271">
        <v>12.6</v>
      </c>
    </row>
    <row r="1272" spans="1:9" x14ac:dyDescent="0.3">
      <c r="A1272" t="s">
        <v>1287</v>
      </c>
      <c r="B1272" t="s">
        <v>18</v>
      </c>
      <c r="C1272" t="s">
        <v>14</v>
      </c>
      <c r="D1272">
        <v>37</v>
      </c>
      <c r="E1272" s="1">
        <v>43806</v>
      </c>
      <c r="F1272">
        <v>3.93</v>
      </c>
      <c r="G1272">
        <v>5</v>
      </c>
      <c r="H1272">
        <v>7292.88</v>
      </c>
      <c r="I1272">
        <v>5.9</v>
      </c>
    </row>
    <row r="1273" spans="1:9" x14ac:dyDescent="0.3">
      <c r="A1273" t="s">
        <v>1288</v>
      </c>
      <c r="B1273" t="s">
        <v>10</v>
      </c>
      <c r="C1273" t="s">
        <v>11</v>
      </c>
      <c r="D1273">
        <v>37</v>
      </c>
      <c r="E1273" s="1">
        <v>44558</v>
      </c>
      <c r="F1273">
        <v>3.21</v>
      </c>
      <c r="G1273">
        <v>0</v>
      </c>
      <c r="H1273">
        <v>8617.94</v>
      </c>
      <c r="I1273">
        <v>3.8</v>
      </c>
    </row>
    <row r="1274" spans="1:9" x14ac:dyDescent="0.3">
      <c r="A1274" t="s">
        <v>1289</v>
      </c>
      <c r="B1274" t="s">
        <v>34</v>
      </c>
      <c r="C1274" t="s">
        <v>14</v>
      </c>
      <c r="D1274">
        <v>34</v>
      </c>
      <c r="E1274" s="1">
        <v>42314</v>
      </c>
      <c r="F1274">
        <v>4.33</v>
      </c>
      <c r="G1274">
        <v>8</v>
      </c>
      <c r="H1274">
        <v>12446.21</v>
      </c>
      <c r="I1274">
        <v>10</v>
      </c>
    </row>
    <row r="1275" spans="1:9" x14ac:dyDescent="0.3">
      <c r="A1275" t="s">
        <v>1290</v>
      </c>
      <c r="B1275" t="s">
        <v>18</v>
      </c>
      <c r="C1275" t="s">
        <v>11</v>
      </c>
      <c r="D1275">
        <v>52</v>
      </c>
      <c r="E1275" s="1">
        <v>44590</v>
      </c>
      <c r="F1275">
        <v>3.33</v>
      </c>
      <c r="G1275">
        <v>4</v>
      </c>
      <c r="H1275">
        <v>9101.9</v>
      </c>
      <c r="I1275">
        <v>3.8</v>
      </c>
    </row>
    <row r="1276" spans="1:9" x14ac:dyDescent="0.3">
      <c r="A1276" t="s">
        <v>1291</v>
      </c>
      <c r="B1276" t="s">
        <v>24</v>
      </c>
      <c r="C1276" t="s">
        <v>14</v>
      </c>
      <c r="D1276">
        <v>41</v>
      </c>
      <c r="E1276" s="1">
        <v>41551</v>
      </c>
      <c r="F1276">
        <v>2.4</v>
      </c>
      <c r="G1276">
        <v>14</v>
      </c>
      <c r="H1276">
        <v>11455.42</v>
      </c>
      <c r="I1276">
        <v>12.1</v>
      </c>
    </row>
    <row r="1277" spans="1:9" x14ac:dyDescent="0.3">
      <c r="A1277" t="s">
        <v>1292</v>
      </c>
      <c r="B1277" t="s">
        <v>18</v>
      </c>
      <c r="C1277" t="s">
        <v>11</v>
      </c>
      <c r="D1277">
        <v>48</v>
      </c>
      <c r="E1277" s="1">
        <v>41331</v>
      </c>
      <c r="F1277">
        <v>1.73</v>
      </c>
      <c r="G1277">
        <v>2</v>
      </c>
      <c r="H1277">
        <v>14034.65</v>
      </c>
      <c r="I1277">
        <v>12.7</v>
      </c>
    </row>
    <row r="1278" spans="1:9" x14ac:dyDescent="0.3">
      <c r="A1278" t="s">
        <v>1293</v>
      </c>
      <c r="B1278" t="s">
        <v>34</v>
      </c>
      <c r="C1278" t="s">
        <v>11</v>
      </c>
      <c r="D1278">
        <v>60</v>
      </c>
      <c r="E1278" s="1">
        <v>43358</v>
      </c>
      <c r="F1278">
        <v>2.54</v>
      </c>
      <c r="G1278">
        <v>4</v>
      </c>
      <c r="H1278">
        <v>6922.64</v>
      </c>
      <c r="I1278">
        <v>7.1</v>
      </c>
    </row>
    <row r="1279" spans="1:9" x14ac:dyDescent="0.3">
      <c r="A1279" t="s">
        <v>1294</v>
      </c>
      <c r="B1279" t="s">
        <v>24</v>
      </c>
      <c r="C1279" t="s">
        <v>11</v>
      </c>
      <c r="D1279">
        <v>58</v>
      </c>
      <c r="E1279" s="1">
        <v>44923</v>
      </c>
      <c r="F1279">
        <v>2.38</v>
      </c>
      <c r="G1279">
        <v>1</v>
      </c>
      <c r="H1279">
        <v>9572.11</v>
      </c>
      <c r="I1279">
        <v>2.8</v>
      </c>
    </row>
    <row r="1280" spans="1:9" x14ac:dyDescent="0.3">
      <c r="A1280" t="s">
        <v>1295</v>
      </c>
      <c r="B1280" t="s">
        <v>10</v>
      </c>
      <c r="C1280" t="s">
        <v>11</v>
      </c>
      <c r="D1280">
        <v>53</v>
      </c>
      <c r="E1280" s="1">
        <v>43961</v>
      </c>
      <c r="F1280">
        <v>3.56</v>
      </c>
      <c r="G1280">
        <v>7</v>
      </c>
      <c r="H1280">
        <v>5344.37</v>
      </c>
      <c r="I1280">
        <v>5.5</v>
      </c>
    </row>
    <row r="1281" spans="1:9" x14ac:dyDescent="0.3">
      <c r="A1281" t="s">
        <v>1296</v>
      </c>
      <c r="B1281" t="s">
        <v>24</v>
      </c>
      <c r="C1281" t="s">
        <v>14</v>
      </c>
      <c r="D1281">
        <v>24</v>
      </c>
      <c r="E1281" s="1">
        <v>44770</v>
      </c>
      <c r="F1281">
        <v>3.17</v>
      </c>
      <c r="G1281">
        <v>10</v>
      </c>
      <c r="H1281">
        <v>13620.39</v>
      </c>
      <c r="I1281">
        <v>3.3</v>
      </c>
    </row>
    <row r="1282" spans="1:9" x14ac:dyDescent="0.3">
      <c r="A1282" t="s">
        <v>1297</v>
      </c>
      <c r="B1282" t="s">
        <v>10</v>
      </c>
      <c r="C1282" t="s">
        <v>14</v>
      </c>
      <c r="D1282">
        <v>23</v>
      </c>
      <c r="E1282" s="1">
        <v>41757</v>
      </c>
      <c r="F1282">
        <v>4.4800000000000004</v>
      </c>
      <c r="G1282">
        <v>9</v>
      </c>
      <c r="H1282">
        <v>7022.91</v>
      </c>
      <c r="I1282">
        <v>11.5</v>
      </c>
    </row>
    <row r="1283" spans="1:9" x14ac:dyDescent="0.3">
      <c r="A1283" t="s">
        <v>1298</v>
      </c>
      <c r="B1283" t="s">
        <v>34</v>
      </c>
      <c r="C1283" t="s">
        <v>14</v>
      </c>
      <c r="D1283">
        <v>46</v>
      </c>
      <c r="E1283" s="1">
        <v>45661</v>
      </c>
      <c r="F1283">
        <v>1.98</v>
      </c>
      <c r="G1283">
        <v>6</v>
      </c>
      <c r="H1283">
        <v>4740.2700000000004</v>
      </c>
      <c r="I1283">
        <v>0.8</v>
      </c>
    </row>
    <row r="1284" spans="1:9" x14ac:dyDescent="0.3">
      <c r="A1284" t="s">
        <v>1299</v>
      </c>
      <c r="B1284" t="s">
        <v>24</v>
      </c>
      <c r="C1284" t="s">
        <v>11</v>
      </c>
      <c r="D1284">
        <v>31</v>
      </c>
      <c r="E1284" s="1">
        <v>42222</v>
      </c>
      <c r="F1284">
        <v>1.64</v>
      </c>
      <c r="G1284">
        <v>1</v>
      </c>
      <c r="H1284">
        <v>4241.75</v>
      </c>
      <c r="I1284">
        <v>10.199999999999999</v>
      </c>
    </row>
    <row r="1285" spans="1:9" x14ac:dyDescent="0.3">
      <c r="A1285" t="s">
        <v>1300</v>
      </c>
      <c r="B1285" t="s">
        <v>24</v>
      </c>
      <c r="C1285" t="s">
        <v>11</v>
      </c>
      <c r="D1285">
        <v>46</v>
      </c>
      <c r="E1285" s="1">
        <v>43263</v>
      </c>
      <c r="F1285">
        <v>2.85</v>
      </c>
      <c r="G1285">
        <v>3</v>
      </c>
      <c r="H1285">
        <v>6343.91</v>
      </c>
      <c r="I1285">
        <v>7.4</v>
      </c>
    </row>
    <row r="1286" spans="1:9" x14ac:dyDescent="0.3">
      <c r="A1286" t="s">
        <v>1301</v>
      </c>
      <c r="B1286" t="s">
        <v>10</v>
      </c>
      <c r="C1286" t="s">
        <v>11</v>
      </c>
      <c r="D1286">
        <v>28</v>
      </c>
      <c r="E1286" s="1">
        <v>44785</v>
      </c>
      <c r="F1286">
        <v>1.51</v>
      </c>
      <c r="G1286">
        <v>4</v>
      </c>
      <c r="H1286">
        <v>14209.62</v>
      </c>
      <c r="I1286">
        <v>3.2</v>
      </c>
    </row>
    <row r="1287" spans="1:9" x14ac:dyDescent="0.3">
      <c r="A1287" t="s">
        <v>1302</v>
      </c>
      <c r="B1287" t="s">
        <v>16</v>
      </c>
      <c r="C1287" t="s">
        <v>14</v>
      </c>
      <c r="D1287">
        <v>39</v>
      </c>
      <c r="E1287" s="1">
        <v>42448</v>
      </c>
      <c r="F1287">
        <v>4.32</v>
      </c>
      <c r="G1287">
        <v>1</v>
      </c>
      <c r="H1287">
        <v>6310.64</v>
      </c>
      <c r="I1287">
        <v>9.6</v>
      </c>
    </row>
    <row r="1288" spans="1:9" x14ac:dyDescent="0.3">
      <c r="A1288" t="s">
        <v>1303</v>
      </c>
      <c r="B1288" t="s">
        <v>34</v>
      </c>
      <c r="C1288" t="s">
        <v>14</v>
      </c>
      <c r="D1288">
        <v>51</v>
      </c>
      <c r="E1288" s="1">
        <v>40461</v>
      </c>
      <c r="F1288">
        <v>2.85</v>
      </c>
      <c r="G1288">
        <v>9</v>
      </c>
      <c r="H1288">
        <v>8963.32</v>
      </c>
      <c r="I1288">
        <v>15.1</v>
      </c>
    </row>
    <row r="1289" spans="1:9" x14ac:dyDescent="0.3">
      <c r="A1289" t="s">
        <v>1304</v>
      </c>
      <c r="B1289" t="s">
        <v>18</v>
      </c>
      <c r="C1289" t="s">
        <v>14</v>
      </c>
      <c r="D1289">
        <v>24</v>
      </c>
      <c r="E1289" s="1">
        <v>45671</v>
      </c>
      <c r="F1289">
        <v>2.46</v>
      </c>
      <c r="G1289">
        <v>8</v>
      </c>
      <c r="H1289">
        <v>9595.65</v>
      </c>
      <c r="I1289">
        <v>0.8</v>
      </c>
    </row>
    <row r="1290" spans="1:9" x14ac:dyDescent="0.3">
      <c r="A1290" t="s">
        <v>1305</v>
      </c>
      <c r="B1290" t="s">
        <v>13</v>
      </c>
      <c r="C1290" t="s">
        <v>14</v>
      </c>
      <c r="D1290">
        <v>52</v>
      </c>
      <c r="E1290" s="1">
        <v>43177</v>
      </c>
      <c r="F1290">
        <v>2.83</v>
      </c>
      <c r="G1290">
        <v>1</v>
      </c>
      <c r="H1290">
        <v>6677.87</v>
      </c>
      <c r="I1290">
        <v>7.6</v>
      </c>
    </row>
    <row r="1291" spans="1:9" x14ac:dyDescent="0.3">
      <c r="A1291" t="s">
        <v>1306</v>
      </c>
      <c r="B1291" t="s">
        <v>18</v>
      </c>
      <c r="C1291" t="s">
        <v>11</v>
      </c>
      <c r="D1291">
        <v>30</v>
      </c>
      <c r="E1291" s="1">
        <v>41554</v>
      </c>
      <c r="F1291">
        <v>2.94</v>
      </c>
      <c r="G1291">
        <v>0</v>
      </c>
      <c r="H1291">
        <v>9631.64</v>
      </c>
      <c r="I1291">
        <v>12.1</v>
      </c>
    </row>
    <row r="1292" spans="1:9" x14ac:dyDescent="0.3">
      <c r="A1292" t="s">
        <v>1307</v>
      </c>
      <c r="B1292" t="s">
        <v>24</v>
      </c>
      <c r="C1292" t="s">
        <v>14</v>
      </c>
      <c r="D1292">
        <v>24</v>
      </c>
      <c r="E1292" s="1">
        <v>41667</v>
      </c>
      <c r="F1292">
        <v>3.3</v>
      </c>
      <c r="G1292">
        <v>3</v>
      </c>
      <c r="H1292">
        <v>13096.54</v>
      </c>
      <c r="I1292">
        <v>11.8</v>
      </c>
    </row>
    <row r="1293" spans="1:9" x14ac:dyDescent="0.3">
      <c r="A1293" t="s">
        <v>1308</v>
      </c>
      <c r="B1293" t="s">
        <v>13</v>
      </c>
      <c r="C1293" t="s">
        <v>14</v>
      </c>
      <c r="D1293">
        <v>52</v>
      </c>
      <c r="E1293" s="1">
        <v>43261</v>
      </c>
      <c r="F1293">
        <v>4.21</v>
      </c>
      <c r="G1293">
        <v>11</v>
      </c>
      <c r="H1293">
        <v>5398.23</v>
      </c>
      <c r="I1293">
        <v>7.4</v>
      </c>
    </row>
    <row r="1294" spans="1:9" x14ac:dyDescent="0.3">
      <c r="A1294" t="s">
        <v>1309</v>
      </c>
      <c r="B1294" t="s">
        <v>13</v>
      </c>
      <c r="C1294" t="s">
        <v>14</v>
      </c>
      <c r="D1294">
        <v>42</v>
      </c>
      <c r="E1294" s="1">
        <v>42474</v>
      </c>
      <c r="F1294">
        <v>4.38</v>
      </c>
      <c r="G1294">
        <v>12</v>
      </c>
      <c r="H1294">
        <v>6386.8</v>
      </c>
      <c r="I1294">
        <v>9.6</v>
      </c>
    </row>
    <row r="1295" spans="1:9" x14ac:dyDescent="0.3">
      <c r="A1295" t="s">
        <v>1310</v>
      </c>
      <c r="B1295" t="s">
        <v>18</v>
      </c>
      <c r="C1295" t="s">
        <v>11</v>
      </c>
      <c r="D1295">
        <v>23</v>
      </c>
      <c r="E1295" s="1">
        <v>45833</v>
      </c>
      <c r="F1295">
        <v>2.4</v>
      </c>
      <c r="G1295">
        <v>5</v>
      </c>
      <c r="H1295">
        <v>12160.89</v>
      </c>
      <c r="I1295">
        <v>0.4</v>
      </c>
    </row>
    <row r="1296" spans="1:9" x14ac:dyDescent="0.3">
      <c r="A1296" t="s">
        <v>1311</v>
      </c>
      <c r="B1296" t="s">
        <v>24</v>
      </c>
      <c r="C1296" t="s">
        <v>11</v>
      </c>
      <c r="D1296">
        <v>31</v>
      </c>
      <c r="E1296" s="1">
        <v>41003</v>
      </c>
      <c r="F1296">
        <v>2.11</v>
      </c>
      <c r="G1296">
        <v>15</v>
      </c>
      <c r="H1296">
        <v>10667.42</v>
      </c>
      <c r="I1296">
        <v>13.6</v>
      </c>
    </row>
    <row r="1297" spans="1:9" x14ac:dyDescent="0.3">
      <c r="A1297" t="s">
        <v>1312</v>
      </c>
      <c r="B1297" t="s">
        <v>18</v>
      </c>
      <c r="C1297" t="s">
        <v>14</v>
      </c>
      <c r="D1297">
        <v>33</v>
      </c>
      <c r="E1297" s="1">
        <v>43701</v>
      </c>
      <c r="F1297">
        <v>2.62</v>
      </c>
      <c r="G1297">
        <v>3</v>
      </c>
      <c r="H1297">
        <v>3017.87</v>
      </c>
      <c r="I1297">
        <v>6.2</v>
      </c>
    </row>
    <row r="1298" spans="1:9" x14ac:dyDescent="0.3">
      <c r="A1298" t="s">
        <v>1313</v>
      </c>
      <c r="B1298" t="s">
        <v>18</v>
      </c>
      <c r="C1298" t="s">
        <v>11</v>
      </c>
      <c r="D1298">
        <v>43</v>
      </c>
      <c r="E1298" s="1">
        <v>45699</v>
      </c>
      <c r="F1298">
        <v>2.98</v>
      </c>
      <c r="G1298">
        <v>7</v>
      </c>
      <c r="H1298">
        <v>12964.38</v>
      </c>
      <c r="I1298">
        <v>0.7</v>
      </c>
    </row>
    <row r="1299" spans="1:9" x14ac:dyDescent="0.3">
      <c r="A1299" t="s">
        <v>1314</v>
      </c>
      <c r="B1299" t="s">
        <v>18</v>
      </c>
      <c r="C1299" t="s">
        <v>11</v>
      </c>
      <c r="D1299">
        <v>32</v>
      </c>
      <c r="E1299" s="1">
        <v>40428</v>
      </c>
      <c r="F1299">
        <v>3.85</v>
      </c>
      <c r="G1299">
        <v>5</v>
      </c>
      <c r="H1299">
        <v>13889.71</v>
      </c>
      <c r="I1299">
        <v>15.2</v>
      </c>
    </row>
    <row r="1300" spans="1:9" x14ac:dyDescent="0.3">
      <c r="A1300" t="s">
        <v>1315</v>
      </c>
      <c r="B1300" t="s">
        <v>10</v>
      </c>
      <c r="C1300" t="s">
        <v>14</v>
      </c>
      <c r="D1300">
        <v>60</v>
      </c>
      <c r="E1300" s="1">
        <v>41801</v>
      </c>
      <c r="F1300">
        <v>4.9800000000000004</v>
      </c>
      <c r="G1300">
        <v>5</v>
      </c>
      <c r="H1300">
        <v>4454.55</v>
      </c>
      <c r="I1300">
        <v>11.4</v>
      </c>
    </row>
    <row r="1301" spans="1:9" x14ac:dyDescent="0.3">
      <c r="A1301" t="s">
        <v>1316</v>
      </c>
      <c r="B1301" t="s">
        <v>24</v>
      </c>
      <c r="C1301" t="s">
        <v>11</v>
      </c>
      <c r="D1301">
        <v>33</v>
      </c>
      <c r="E1301" s="1">
        <v>40649</v>
      </c>
      <c r="F1301">
        <v>3.02</v>
      </c>
      <c r="G1301">
        <v>6</v>
      </c>
      <c r="H1301">
        <v>14011.82</v>
      </c>
      <c r="I1301">
        <v>14.6</v>
      </c>
    </row>
    <row r="1302" spans="1:9" x14ac:dyDescent="0.3">
      <c r="A1302" t="s">
        <v>1317</v>
      </c>
      <c r="B1302" t="s">
        <v>10</v>
      </c>
      <c r="C1302" t="s">
        <v>14</v>
      </c>
      <c r="D1302">
        <v>51</v>
      </c>
      <c r="E1302" s="1">
        <v>40617</v>
      </c>
      <c r="F1302">
        <v>4.47</v>
      </c>
      <c r="G1302">
        <v>13</v>
      </c>
      <c r="H1302">
        <v>6749.54</v>
      </c>
      <c r="I1302">
        <v>14.6</v>
      </c>
    </row>
    <row r="1303" spans="1:9" x14ac:dyDescent="0.3">
      <c r="A1303" t="s">
        <v>1318</v>
      </c>
      <c r="B1303" t="s">
        <v>13</v>
      </c>
      <c r="C1303" t="s">
        <v>14</v>
      </c>
      <c r="D1303">
        <v>23</v>
      </c>
      <c r="E1303" s="1">
        <v>45951</v>
      </c>
      <c r="F1303">
        <v>2.67</v>
      </c>
      <c r="G1303">
        <v>9</v>
      </c>
      <c r="H1303">
        <v>4532.37</v>
      </c>
      <c r="I1303">
        <v>0</v>
      </c>
    </row>
    <row r="1304" spans="1:9" x14ac:dyDescent="0.3">
      <c r="A1304" t="s">
        <v>1319</v>
      </c>
      <c r="B1304" t="s">
        <v>34</v>
      </c>
      <c r="C1304" t="s">
        <v>11</v>
      </c>
      <c r="D1304">
        <v>53</v>
      </c>
      <c r="E1304" s="1">
        <v>40727</v>
      </c>
      <c r="F1304">
        <v>3.25</v>
      </c>
      <c r="G1304">
        <v>5</v>
      </c>
      <c r="H1304">
        <v>10646.13</v>
      </c>
      <c r="I1304">
        <v>14.3</v>
      </c>
    </row>
    <row r="1305" spans="1:9" x14ac:dyDescent="0.3">
      <c r="A1305" t="s">
        <v>1320</v>
      </c>
      <c r="B1305" t="s">
        <v>13</v>
      </c>
      <c r="C1305" t="s">
        <v>11</v>
      </c>
      <c r="D1305">
        <v>38</v>
      </c>
      <c r="E1305" s="1">
        <v>44747</v>
      </c>
      <c r="F1305">
        <v>4.47</v>
      </c>
      <c r="G1305">
        <v>14</v>
      </c>
      <c r="H1305">
        <v>7937.88</v>
      </c>
      <c r="I1305">
        <v>3.3</v>
      </c>
    </row>
    <row r="1306" spans="1:9" x14ac:dyDescent="0.3">
      <c r="A1306" t="s">
        <v>1321</v>
      </c>
      <c r="B1306" t="s">
        <v>10</v>
      </c>
      <c r="C1306" t="s">
        <v>14</v>
      </c>
      <c r="D1306">
        <v>32</v>
      </c>
      <c r="E1306" s="1">
        <v>43613</v>
      </c>
      <c r="F1306">
        <v>2.97</v>
      </c>
      <c r="G1306">
        <v>10</v>
      </c>
      <c r="H1306">
        <v>13507.08</v>
      </c>
      <c r="I1306">
        <v>6.4</v>
      </c>
    </row>
    <row r="1307" spans="1:9" x14ac:dyDescent="0.3">
      <c r="A1307" t="s">
        <v>1322</v>
      </c>
      <c r="B1307" t="s">
        <v>10</v>
      </c>
      <c r="C1307" t="s">
        <v>11</v>
      </c>
      <c r="D1307">
        <v>31</v>
      </c>
      <c r="E1307" s="1">
        <v>43843</v>
      </c>
      <c r="F1307">
        <v>2.33</v>
      </c>
      <c r="G1307">
        <v>12</v>
      </c>
      <c r="H1307">
        <v>7680.74</v>
      </c>
      <c r="I1307">
        <v>5.8</v>
      </c>
    </row>
    <row r="1308" spans="1:9" x14ac:dyDescent="0.3">
      <c r="A1308" t="s">
        <v>1323</v>
      </c>
      <c r="B1308" t="s">
        <v>24</v>
      </c>
      <c r="C1308" t="s">
        <v>11</v>
      </c>
      <c r="D1308">
        <v>24</v>
      </c>
      <c r="E1308" s="1">
        <v>42944</v>
      </c>
      <c r="F1308">
        <v>2.4300000000000002</v>
      </c>
      <c r="G1308">
        <v>13</v>
      </c>
      <c r="H1308">
        <v>12668.28</v>
      </c>
      <c r="I1308">
        <v>8.3000000000000007</v>
      </c>
    </row>
    <row r="1309" spans="1:9" x14ac:dyDescent="0.3">
      <c r="A1309" t="s">
        <v>1324</v>
      </c>
      <c r="B1309" t="s">
        <v>13</v>
      </c>
      <c r="C1309" t="s">
        <v>11</v>
      </c>
      <c r="D1309">
        <v>42</v>
      </c>
      <c r="E1309" s="1">
        <v>43188</v>
      </c>
      <c r="F1309">
        <v>2</v>
      </c>
      <c r="G1309">
        <v>6</v>
      </c>
      <c r="H1309">
        <v>12839.32</v>
      </c>
      <c r="I1309">
        <v>7.6</v>
      </c>
    </row>
    <row r="1310" spans="1:9" x14ac:dyDescent="0.3">
      <c r="A1310" t="s">
        <v>1325</v>
      </c>
      <c r="B1310" t="s">
        <v>10</v>
      </c>
      <c r="C1310" t="s">
        <v>11</v>
      </c>
      <c r="D1310">
        <v>27</v>
      </c>
      <c r="E1310" s="1">
        <v>43926</v>
      </c>
      <c r="F1310">
        <v>2.31</v>
      </c>
      <c r="G1310">
        <v>5</v>
      </c>
      <c r="H1310">
        <v>4758.25</v>
      </c>
      <c r="I1310">
        <v>5.6</v>
      </c>
    </row>
    <row r="1311" spans="1:9" x14ac:dyDescent="0.3">
      <c r="A1311" t="s">
        <v>1326</v>
      </c>
      <c r="B1311" t="s">
        <v>10</v>
      </c>
      <c r="C1311" t="s">
        <v>14</v>
      </c>
      <c r="D1311">
        <v>35</v>
      </c>
      <c r="E1311" s="1">
        <v>44050</v>
      </c>
      <c r="F1311">
        <v>3.51</v>
      </c>
      <c r="G1311">
        <v>0</v>
      </c>
      <c r="H1311">
        <v>3821.58</v>
      </c>
      <c r="I1311">
        <v>5.2</v>
      </c>
    </row>
    <row r="1312" spans="1:9" x14ac:dyDescent="0.3">
      <c r="A1312" t="s">
        <v>1327</v>
      </c>
      <c r="B1312" t="s">
        <v>13</v>
      </c>
      <c r="C1312" t="s">
        <v>14</v>
      </c>
      <c r="D1312">
        <v>29</v>
      </c>
      <c r="E1312" s="1">
        <v>43050</v>
      </c>
      <c r="F1312">
        <v>4.29</v>
      </c>
      <c r="G1312">
        <v>1</v>
      </c>
      <c r="H1312">
        <v>12867.04</v>
      </c>
      <c r="I1312">
        <v>8</v>
      </c>
    </row>
    <row r="1313" spans="1:9" x14ac:dyDescent="0.3">
      <c r="A1313" t="s">
        <v>1328</v>
      </c>
      <c r="B1313" t="s">
        <v>24</v>
      </c>
      <c r="C1313" t="s">
        <v>14</v>
      </c>
      <c r="D1313">
        <v>41</v>
      </c>
      <c r="E1313" s="1">
        <v>42569</v>
      </c>
      <c r="F1313">
        <v>2.15</v>
      </c>
      <c r="G1313">
        <v>10</v>
      </c>
      <c r="H1313">
        <v>9332.14</v>
      </c>
      <c r="I1313">
        <v>9.3000000000000007</v>
      </c>
    </row>
    <row r="1314" spans="1:9" x14ac:dyDescent="0.3">
      <c r="A1314" t="s">
        <v>1329</v>
      </c>
      <c r="B1314" t="s">
        <v>18</v>
      </c>
      <c r="C1314" t="s">
        <v>11</v>
      </c>
      <c r="D1314">
        <v>38</v>
      </c>
      <c r="E1314" s="1">
        <v>44014</v>
      </c>
      <c r="F1314">
        <v>2.1800000000000002</v>
      </c>
      <c r="G1314">
        <v>8</v>
      </c>
      <c r="H1314">
        <v>11379.36</v>
      </c>
      <c r="I1314">
        <v>5.3</v>
      </c>
    </row>
    <row r="1315" spans="1:9" x14ac:dyDescent="0.3">
      <c r="A1315" t="s">
        <v>1330</v>
      </c>
      <c r="B1315" t="s">
        <v>18</v>
      </c>
      <c r="C1315" t="s">
        <v>11</v>
      </c>
      <c r="D1315">
        <v>28</v>
      </c>
      <c r="E1315" s="1">
        <v>41332</v>
      </c>
      <c r="F1315">
        <v>1.56</v>
      </c>
      <c r="G1315">
        <v>14</v>
      </c>
      <c r="H1315">
        <v>4549.07</v>
      </c>
      <c r="I1315">
        <v>12.7</v>
      </c>
    </row>
    <row r="1316" spans="1:9" x14ac:dyDescent="0.3">
      <c r="A1316" t="s">
        <v>1331</v>
      </c>
      <c r="B1316" t="s">
        <v>10</v>
      </c>
      <c r="C1316" t="s">
        <v>11</v>
      </c>
      <c r="D1316">
        <v>24</v>
      </c>
      <c r="E1316" s="1">
        <v>41252</v>
      </c>
      <c r="F1316">
        <v>2.83</v>
      </c>
      <c r="G1316">
        <v>4</v>
      </c>
      <c r="H1316">
        <v>9485.73</v>
      </c>
      <c r="I1316">
        <v>12.9</v>
      </c>
    </row>
    <row r="1317" spans="1:9" x14ac:dyDescent="0.3">
      <c r="A1317" t="s">
        <v>1332</v>
      </c>
      <c r="B1317" t="s">
        <v>10</v>
      </c>
      <c r="C1317" t="s">
        <v>11</v>
      </c>
      <c r="D1317">
        <v>57</v>
      </c>
      <c r="E1317" s="1">
        <v>42876</v>
      </c>
      <c r="F1317">
        <v>3.63</v>
      </c>
      <c r="G1317">
        <v>11</v>
      </c>
      <c r="H1317">
        <v>10547</v>
      </c>
      <c r="I1317">
        <v>8.5</v>
      </c>
    </row>
    <row r="1318" spans="1:9" x14ac:dyDescent="0.3">
      <c r="A1318" t="s">
        <v>1333</v>
      </c>
      <c r="B1318" t="s">
        <v>18</v>
      </c>
      <c r="C1318" t="s">
        <v>11</v>
      </c>
      <c r="D1318">
        <v>56</v>
      </c>
      <c r="E1318" s="1">
        <v>42087</v>
      </c>
      <c r="F1318">
        <v>2.13</v>
      </c>
      <c r="G1318">
        <v>10</v>
      </c>
      <c r="H1318">
        <v>3910.28</v>
      </c>
      <c r="I1318">
        <v>10.6</v>
      </c>
    </row>
    <row r="1319" spans="1:9" x14ac:dyDescent="0.3">
      <c r="A1319" t="s">
        <v>1334</v>
      </c>
      <c r="B1319" t="s">
        <v>34</v>
      </c>
      <c r="C1319" t="s">
        <v>11</v>
      </c>
      <c r="D1319">
        <v>41</v>
      </c>
      <c r="E1319" s="1">
        <v>42105</v>
      </c>
      <c r="F1319">
        <v>2.81</v>
      </c>
      <c r="G1319">
        <v>14</v>
      </c>
      <c r="H1319">
        <v>13442.94</v>
      </c>
      <c r="I1319">
        <v>10.6</v>
      </c>
    </row>
    <row r="1320" spans="1:9" x14ac:dyDescent="0.3">
      <c r="A1320" t="s">
        <v>1335</v>
      </c>
      <c r="B1320" t="s">
        <v>13</v>
      </c>
      <c r="C1320" t="s">
        <v>11</v>
      </c>
      <c r="D1320">
        <v>46</v>
      </c>
      <c r="E1320" s="1">
        <v>41587</v>
      </c>
      <c r="F1320">
        <v>2.4700000000000002</v>
      </c>
      <c r="G1320">
        <v>13</v>
      </c>
      <c r="H1320">
        <v>8046.72</v>
      </c>
      <c r="I1320">
        <v>12</v>
      </c>
    </row>
    <row r="1321" spans="1:9" x14ac:dyDescent="0.3">
      <c r="A1321" t="s">
        <v>1336</v>
      </c>
      <c r="B1321" t="s">
        <v>10</v>
      </c>
      <c r="C1321" t="s">
        <v>14</v>
      </c>
      <c r="D1321">
        <v>39</v>
      </c>
      <c r="E1321" s="1">
        <v>45139</v>
      </c>
      <c r="F1321">
        <v>1.78</v>
      </c>
      <c r="G1321">
        <v>8</v>
      </c>
      <c r="H1321">
        <v>8864.77</v>
      </c>
      <c r="I1321">
        <v>2.2999999999999998</v>
      </c>
    </row>
    <row r="1322" spans="1:9" x14ac:dyDescent="0.3">
      <c r="A1322" t="s">
        <v>1337</v>
      </c>
      <c r="B1322" t="s">
        <v>10</v>
      </c>
      <c r="C1322" t="s">
        <v>14</v>
      </c>
      <c r="D1322">
        <v>38</v>
      </c>
      <c r="E1322" s="1">
        <v>41601</v>
      </c>
      <c r="F1322">
        <v>3.73</v>
      </c>
      <c r="G1322">
        <v>6</v>
      </c>
      <c r="H1322">
        <v>13547.21</v>
      </c>
      <c r="I1322">
        <v>11.9</v>
      </c>
    </row>
    <row r="1323" spans="1:9" x14ac:dyDescent="0.3">
      <c r="A1323" t="s">
        <v>1338</v>
      </c>
      <c r="B1323" t="s">
        <v>34</v>
      </c>
      <c r="C1323" t="s">
        <v>14</v>
      </c>
      <c r="D1323">
        <v>40</v>
      </c>
      <c r="E1323" s="1">
        <v>43391</v>
      </c>
      <c r="F1323">
        <v>4.08</v>
      </c>
      <c r="G1323">
        <v>0</v>
      </c>
      <c r="H1323">
        <v>10716.56</v>
      </c>
      <c r="I1323">
        <v>7</v>
      </c>
    </row>
    <row r="1324" spans="1:9" x14ac:dyDescent="0.3">
      <c r="A1324" t="s">
        <v>1339</v>
      </c>
      <c r="B1324" t="s">
        <v>16</v>
      </c>
      <c r="C1324" t="s">
        <v>14</v>
      </c>
      <c r="D1324">
        <v>37</v>
      </c>
      <c r="E1324" s="1">
        <v>42292</v>
      </c>
      <c r="F1324">
        <v>3.87</v>
      </c>
      <c r="G1324">
        <v>11</v>
      </c>
      <c r="H1324">
        <v>11043.96</v>
      </c>
      <c r="I1324">
        <v>10.1</v>
      </c>
    </row>
    <row r="1325" spans="1:9" x14ac:dyDescent="0.3">
      <c r="A1325" t="s">
        <v>1340</v>
      </c>
      <c r="B1325" t="s">
        <v>10</v>
      </c>
      <c r="C1325" t="s">
        <v>14</v>
      </c>
      <c r="D1325">
        <v>51</v>
      </c>
      <c r="E1325" s="1">
        <v>43252</v>
      </c>
      <c r="F1325">
        <v>2.83</v>
      </c>
      <c r="G1325">
        <v>7</v>
      </c>
      <c r="H1325">
        <v>12983.92</v>
      </c>
      <c r="I1325">
        <v>7.4</v>
      </c>
    </row>
    <row r="1326" spans="1:9" x14ac:dyDescent="0.3">
      <c r="A1326" t="s">
        <v>1341</v>
      </c>
      <c r="B1326" t="s">
        <v>16</v>
      </c>
      <c r="C1326" t="s">
        <v>14</v>
      </c>
      <c r="D1326">
        <v>23</v>
      </c>
      <c r="E1326" s="1">
        <v>41409</v>
      </c>
      <c r="F1326">
        <v>2.65</v>
      </c>
      <c r="G1326">
        <v>3</v>
      </c>
      <c r="H1326">
        <v>13113.26</v>
      </c>
      <c r="I1326">
        <v>12.5</v>
      </c>
    </row>
    <row r="1327" spans="1:9" x14ac:dyDescent="0.3">
      <c r="A1327" t="s">
        <v>1342</v>
      </c>
      <c r="B1327" t="s">
        <v>24</v>
      </c>
      <c r="C1327" t="s">
        <v>14</v>
      </c>
      <c r="D1327">
        <v>54</v>
      </c>
      <c r="E1327" s="1">
        <v>45630</v>
      </c>
      <c r="F1327">
        <v>4.5599999999999996</v>
      </c>
      <c r="G1327">
        <v>3</v>
      </c>
      <c r="H1327">
        <v>8225.1200000000008</v>
      </c>
      <c r="I1327">
        <v>0.9</v>
      </c>
    </row>
    <row r="1328" spans="1:9" x14ac:dyDescent="0.3">
      <c r="A1328" t="s">
        <v>1343</v>
      </c>
      <c r="B1328" t="s">
        <v>13</v>
      </c>
      <c r="C1328" t="s">
        <v>14</v>
      </c>
      <c r="D1328">
        <v>50</v>
      </c>
      <c r="E1328" s="1">
        <v>44295</v>
      </c>
      <c r="F1328">
        <v>4.51</v>
      </c>
      <c r="G1328">
        <v>11</v>
      </c>
      <c r="H1328">
        <v>5997.45</v>
      </c>
      <c r="I1328">
        <v>4.5999999999999996</v>
      </c>
    </row>
    <row r="1329" spans="1:9" x14ac:dyDescent="0.3">
      <c r="A1329" t="s">
        <v>1344</v>
      </c>
      <c r="B1329" t="s">
        <v>24</v>
      </c>
      <c r="C1329" t="s">
        <v>11</v>
      </c>
      <c r="D1329">
        <v>24</v>
      </c>
      <c r="E1329" s="1">
        <v>42697</v>
      </c>
      <c r="F1329">
        <v>2.8</v>
      </c>
      <c r="G1329">
        <v>15</v>
      </c>
      <c r="H1329">
        <v>4725.43</v>
      </c>
      <c r="I1329">
        <v>8.9</v>
      </c>
    </row>
    <row r="1330" spans="1:9" x14ac:dyDescent="0.3">
      <c r="A1330" t="s">
        <v>1345</v>
      </c>
      <c r="B1330" t="s">
        <v>24</v>
      </c>
      <c r="C1330" t="s">
        <v>11</v>
      </c>
      <c r="D1330">
        <v>44</v>
      </c>
      <c r="E1330" s="1">
        <v>43808</v>
      </c>
      <c r="F1330">
        <v>4.7699999999999996</v>
      </c>
      <c r="G1330">
        <v>6</v>
      </c>
      <c r="H1330">
        <v>13718.38</v>
      </c>
      <c r="I1330">
        <v>5.9</v>
      </c>
    </row>
    <row r="1331" spans="1:9" x14ac:dyDescent="0.3">
      <c r="A1331" t="s">
        <v>1346</v>
      </c>
      <c r="B1331" t="s">
        <v>18</v>
      </c>
      <c r="C1331" t="s">
        <v>14</v>
      </c>
      <c r="D1331">
        <v>51</v>
      </c>
      <c r="E1331" s="1">
        <v>41046</v>
      </c>
      <c r="F1331">
        <v>1.5</v>
      </c>
      <c r="G1331">
        <v>11</v>
      </c>
      <c r="H1331">
        <v>11711.3</v>
      </c>
      <c r="I1331">
        <v>13.5</v>
      </c>
    </row>
    <row r="1332" spans="1:9" x14ac:dyDescent="0.3">
      <c r="A1332" t="s">
        <v>1347</v>
      </c>
      <c r="B1332" t="s">
        <v>24</v>
      </c>
      <c r="C1332" t="s">
        <v>11</v>
      </c>
      <c r="D1332">
        <v>41</v>
      </c>
      <c r="E1332" s="1">
        <v>41893</v>
      </c>
      <c r="F1332">
        <v>3.68</v>
      </c>
      <c r="G1332">
        <v>14</v>
      </c>
      <c r="H1332">
        <v>6377.17</v>
      </c>
      <c r="I1332">
        <v>11.1</v>
      </c>
    </row>
    <row r="1333" spans="1:9" x14ac:dyDescent="0.3">
      <c r="A1333" t="s">
        <v>1348</v>
      </c>
      <c r="B1333" t="s">
        <v>16</v>
      </c>
      <c r="C1333" t="s">
        <v>11</v>
      </c>
      <c r="D1333">
        <v>29</v>
      </c>
      <c r="E1333" s="1">
        <v>41694</v>
      </c>
      <c r="F1333">
        <v>1.94</v>
      </c>
      <c r="G1333">
        <v>3</v>
      </c>
      <c r="H1333">
        <v>13964.66</v>
      </c>
      <c r="I1333">
        <v>11.7</v>
      </c>
    </row>
    <row r="1334" spans="1:9" x14ac:dyDescent="0.3">
      <c r="A1334" t="s">
        <v>1349</v>
      </c>
      <c r="B1334" t="s">
        <v>34</v>
      </c>
      <c r="C1334" t="s">
        <v>11</v>
      </c>
      <c r="D1334">
        <v>24</v>
      </c>
      <c r="E1334" s="1">
        <v>45711</v>
      </c>
      <c r="F1334">
        <v>4.26</v>
      </c>
      <c r="G1334">
        <v>2</v>
      </c>
      <c r="H1334">
        <v>7036.11</v>
      </c>
      <c r="I1334">
        <v>0.7</v>
      </c>
    </row>
    <row r="1335" spans="1:9" x14ac:dyDescent="0.3">
      <c r="A1335" t="s">
        <v>1350</v>
      </c>
      <c r="B1335" t="s">
        <v>13</v>
      </c>
      <c r="C1335" t="s">
        <v>11</v>
      </c>
      <c r="D1335">
        <v>31</v>
      </c>
      <c r="E1335" s="1">
        <v>44638</v>
      </c>
      <c r="F1335">
        <v>3</v>
      </c>
      <c r="G1335">
        <v>15</v>
      </c>
      <c r="H1335">
        <v>6553.52</v>
      </c>
      <c r="I1335">
        <v>3.6</v>
      </c>
    </row>
    <row r="1336" spans="1:9" x14ac:dyDescent="0.3">
      <c r="A1336" t="s">
        <v>1351</v>
      </c>
      <c r="B1336" t="s">
        <v>16</v>
      </c>
      <c r="C1336" t="s">
        <v>11</v>
      </c>
      <c r="D1336">
        <v>30</v>
      </c>
      <c r="E1336" s="1">
        <v>43798</v>
      </c>
      <c r="F1336">
        <v>3.21</v>
      </c>
      <c r="G1336">
        <v>12</v>
      </c>
      <c r="H1336">
        <v>5332.91</v>
      </c>
      <c r="I1336">
        <v>5.9</v>
      </c>
    </row>
    <row r="1337" spans="1:9" x14ac:dyDescent="0.3">
      <c r="A1337" t="s">
        <v>1352</v>
      </c>
      <c r="B1337" t="s">
        <v>24</v>
      </c>
      <c r="C1337" t="s">
        <v>11</v>
      </c>
      <c r="D1337">
        <v>56</v>
      </c>
      <c r="E1337" s="1">
        <v>45595</v>
      </c>
      <c r="F1337">
        <v>2.82</v>
      </c>
      <c r="G1337">
        <v>12</v>
      </c>
      <c r="H1337">
        <v>3641.47</v>
      </c>
      <c r="I1337">
        <v>1</v>
      </c>
    </row>
    <row r="1338" spans="1:9" x14ac:dyDescent="0.3">
      <c r="A1338" t="s">
        <v>1353</v>
      </c>
      <c r="B1338" t="s">
        <v>18</v>
      </c>
      <c r="C1338" t="s">
        <v>14</v>
      </c>
      <c r="D1338">
        <v>39</v>
      </c>
      <c r="E1338" s="1">
        <v>43590</v>
      </c>
      <c r="F1338">
        <v>4.17</v>
      </c>
      <c r="G1338">
        <v>12</v>
      </c>
      <c r="H1338">
        <v>12843.43</v>
      </c>
      <c r="I1338">
        <v>6.5</v>
      </c>
    </row>
    <row r="1339" spans="1:9" x14ac:dyDescent="0.3">
      <c r="A1339" t="s">
        <v>1354</v>
      </c>
      <c r="B1339" t="s">
        <v>16</v>
      </c>
      <c r="C1339" t="s">
        <v>11</v>
      </c>
      <c r="D1339">
        <v>28</v>
      </c>
      <c r="E1339" s="1">
        <v>43603</v>
      </c>
      <c r="F1339">
        <v>4.79</v>
      </c>
      <c r="G1339">
        <v>6</v>
      </c>
      <c r="H1339">
        <v>13790.04</v>
      </c>
      <c r="I1339">
        <v>6.5</v>
      </c>
    </row>
    <row r="1340" spans="1:9" x14ac:dyDescent="0.3">
      <c r="A1340" t="s">
        <v>1355</v>
      </c>
      <c r="B1340" t="s">
        <v>13</v>
      </c>
      <c r="C1340" t="s">
        <v>11</v>
      </c>
      <c r="D1340">
        <v>55</v>
      </c>
      <c r="E1340" s="1">
        <v>42128</v>
      </c>
      <c r="F1340">
        <v>1.56</v>
      </c>
      <c r="G1340">
        <v>11</v>
      </c>
      <c r="H1340">
        <v>12719.67</v>
      </c>
      <c r="I1340">
        <v>10.5</v>
      </c>
    </row>
    <row r="1341" spans="1:9" x14ac:dyDescent="0.3">
      <c r="A1341" t="s">
        <v>1356</v>
      </c>
      <c r="B1341" t="s">
        <v>18</v>
      </c>
      <c r="C1341" t="s">
        <v>14</v>
      </c>
      <c r="D1341">
        <v>27</v>
      </c>
      <c r="E1341" s="1">
        <v>44753</v>
      </c>
      <c r="F1341">
        <v>3.59</v>
      </c>
      <c r="G1341">
        <v>14</v>
      </c>
      <c r="H1341">
        <v>14541.28</v>
      </c>
      <c r="I1341">
        <v>3.3</v>
      </c>
    </row>
    <row r="1342" spans="1:9" x14ac:dyDescent="0.3">
      <c r="A1342" t="s">
        <v>1357</v>
      </c>
      <c r="B1342" t="s">
        <v>13</v>
      </c>
      <c r="C1342" t="s">
        <v>11</v>
      </c>
      <c r="D1342">
        <v>44</v>
      </c>
      <c r="E1342" s="1">
        <v>43798</v>
      </c>
      <c r="F1342">
        <v>4.1399999999999997</v>
      </c>
      <c r="G1342">
        <v>7</v>
      </c>
      <c r="H1342">
        <v>5458.84</v>
      </c>
      <c r="I1342">
        <v>5.9</v>
      </c>
    </row>
    <row r="1343" spans="1:9" x14ac:dyDescent="0.3">
      <c r="A1343" t="s">
        <v>1358</v>
      </c>
      <c r="B1343" t="s">
        <v>34</v>
      </c>
      <c r="C1343" t="s">
        <v>14</v>
      </c>
      <c r="D1343">
        <v>47</v>
      </c>
      <c r="E1343" s="1">
        <v>41758</v>
      </c>
      <c r="F1343">
        <v>4.37</v>
      </c>
      <c r="G1343">
        <v>15</v>
      </c>
      <c r="H1343">
        <v>13196.37</v>
      </c>
      <c r="I1343">
        <v>11.5</v>
      </c>
    </row>
    <row r="1344" spans="1:9" x14ac:dyDescent="0.3">
      <c r="A1344" t="s">
        <v>1359</v>
      </c>
      <c r="B1344" t="s">
        <v>10</v>
      </c>
      <c r="C1344" t="s">
        <v>14</v>
      </c>
      <c r="D1344">
        <v>41</v>
      </c>
      <c r="E1344" s="1">
        <v>41248</v>
      </c>
      <c r="F1344">
        <v>3.99</v>
      </c>
      <c r="G1344">
        <v>9</v>
      </c>
      <c r="H1344">
        <v>10637.76</v>
      </c>
      <c r="I1344">
        <v>12.9</v>
      </c>
    </row>
    <row r="1345" spans="1:9" x14ac:dyDescent="0.3">
      <c r="A1345" t="s">
        <v>1360</v>
      </c>
      <c r="B1345" t="s">
        <v>18</v>
      </c>
      <c r="C1345" t="s">
        <v>11</v>
      </c>
      <c r="D1345">
        <v>28</v>
      </c>
      <c r="E1345" s="1">
        <v>42972</v>
      </c>
      <c r="F1345">
        <v>4.76</v>
      </c>
      <c r="G1345">
        <v>15</v>
      </c>
      <c r="H1345">
        <v>8582.5300000000007</v>
      </c>
      <c r="I1345">
        <v>8.1999999999999993</v>
      </c>
    </row>
    <row r="1346" spans="1:9" x14ac:dyDescent="0.3">
      <c r="A1346" t="s">
        <v>1361</v>
      </c>
      <c r="B1346" t="s">
        <v>13</v>
      </c>
      <c r="C1346" t="s">
        <v>14</v>
      </c>
      <c r="D1346">
        <v>28</v>
      </c>
      <c r="E1346" s="1">
        <v>45689</v>
      </c>
      <c r="F1346">
        <v>4.87</v>
      </c>
      <c r="G1346">
        <v>3</v>
      </c>
      <c r="H1346">
        <v>9279.4</v>
      </c>
      <c r="I1346">
        <v>0.7</v>
      </c>
    </row>
    <row r="1347" spans="1:9" x14ac:dyDescent="0.3">
      <c r="A1347" t="s">
        <v>1362</v>
      </c>
      <c r="B1347" t="s">
        <v>34</v>
      </c>
      <c r="C1347" t="s">
        <v>11</v>
      </c>
      <c r="D1347">
        <v>29</v>
      </c>
      <c r="E1347" s="1">
        <v>41237</v>
      </c>
      <c r="F1347">
        <v>2.52</v>
      </c>
      <c r="G1347">
        <v>6</v>
      </c>
      <c r="H1347">
        <v>6736.52</v>
      </c>
      <c r="I1347">
        <v>12.9</v>
      </c>
    </row>
    <row r="1348" spans="1:9" x14ac:dyDescent="0.3">
      <c r="A1348" t="s">
        <v>1363</v>
      </c>
      <c r="B1348" t="s">
        <v>18</v>
      </c>
      <c r="C1348" t="s">
        <v>14</v>
      </c>
      <c r="D1348">
        <v>60</v>
      </c>
      <c r="E1348" s="1">
        <v>44299</v>
      </c>
      <c r="F1348">
        <v>2.5499999999999998</v>
      </c>
      <c r="G1348">
        <v>8</v>
      </c>
      <c r="H1348">
        <v>14124.62</v>
      </c>
      <c r="I1348">
        <v>4.5999999999999996</v>
      </c>
    </row>
    <row r="1349" spans="1:9" x14ac:dyDescent="0.3">
      <c r="A1349" t="s">
        <v>1364</v>
      </c>
      <c r="B1349" t="s">
        <v>16</v>
      </c>
      <c r="C1349" t="s">
        <v>14</v>
      </c>
      <c r="D1349">
        <v>46</v>
      </c>
      <c r="E1349" s="1">
        <v>43328</v>
      </c>
      <c r="F1349">
        <v>4</v>
      </c>
      <c r="G1349">
        <v>2</v>
      </c>
      <c r="H1349">
        <v>10572.2</v>
      </c>
      <c r="I1349">
        <v>7.2</v>
      </c>
    </row>
    <row r="1350" spans="1:9" x14ac:dyDescent="0.3">
      <c r="A1350" t="s">
        <v>1365</v>
      </c>
      <c r="B1350" t="s">
        <v>18</v>
      </c>
      <c r="C1350" t="s">
        <v>14</v>
      </c>
      <c r="D1350">
        <v>58</v>
      </c>
      <c r="E1350" s="1">
        <v>40884</v>
      </c>
      <c r="F1350">
        <v>1.78</v>
      </c>
      <c r="G1350">
        <v>12</v>
      </c>
      <c r="H1350">
        <v>3873</v>
      </c>
      <c r="I1350">
        <v>13.9</v>
      </c>
    </row>
    <row r="1351" spans="1:9" x14ac:dyDescent="0.3">
      <c r="A1351" t="s">
        <v>1366</v>
      </c>
      <c r="B1351" t="s">
        <v>34</v>
      </c>
      <c r="C1351" t="s">
        <v>11</v>
      </c>
      <c r="D1351">
        <v>26</v>
      </c>
      <c r="E1351" s="1">
        <v>43416</v>
      </c>
      <c r="F1351">
        <v>3.47</v>
      </c>
      <c r="G1351">
        <v>9</v>
      </c>
      <c r="H1351">
        <v>5048.74</v>
      </c>
      <c r="I1351">
        <v>7</v>
      </c>
    </row>
    <row r="1352" spans="1:9" x14ac:dyDescent="0.3">
      <c r="A1352" t="s">
        <v>1367</v>
      </c>
      <c r="B1352" t="s">
        <v>13</v>
      </c>
      <c r="C1352" t="s">
        <v>11</v>
      </c>
      <c r="D1352">
        <v>41</v>
      </c>
      <c r="E1352" s="1">
        <v>40605</v>
      </c>
      <c r="F1352">
        <v>1.98</v>
      </c>
      <c r="G1352">
        <v>7</v>
      </c>
      <c r="H1352">
        <v>7772.89</v>
      </c>
      <c r="I1352">
        <v>14.7</v>
      </c>
    </row>
    <row r="1353" spans="1:9" x14ac:dyDescent="0.3">
      <c r="A1353" t="s">
        <v>1368</v>
      </c>
      <c r="B1353" t="s">
        <v>34</v>
      </c>
      <c r="C1353" t="s">
        <v>11</v>
      </c>
      <c r="D1353">
        <v>49</v>
      </c>
      <c r="E1353" s="1">
        <v>43604</v>
      </c>
      <c r="F1353">
        <v>3.71</v>
      </c>
      <c r="G1353">
        <v>11</v>
      </c>
      <c r="H1353">
        <v>9378</v>
      </c>
      <c r="I1353">
        <v>6.5</v>
      </c>
    </row>
    <row r="1354" spans="1:9" x14ac:dyDescent="0.3">
      <c r="A1354" t="s">
        <v>1369</v>
      </c>
      <c r="B1354" t="s">
        <v>16</v>
      </c>
      <c r="C1354" t="s">
        <v>14</v>
      </c>
      <c r="D1354">
        <v>60</v>
      </c>
      <c r="E1354" s="1">
        <v>45185</v>
      </c>
      <c r="F1354">
        <v>4.34</v>
      </c>
      <c r="G1354">
        <v>0</v>
      </c>
      <c r="H1354">
        <v>7485.25</v>
      </c>
      <c r="I1354">
        <v>2.1</v>
      </c>
    </row>
    <row r="1355" spans="1:9" x14ac:dyDescent="0.3">
      <c r="A1355" t="s">
        <v>1370</v>
      </c>
      <c r="B1355" t="s">
        <v>18</v>
      </c>
      <c r="C1355" t="s">
        <v>11</v>
      </c>
      <c r="D1355">
        <v>28</v>
      </c>
      <c r="E1355" s="1">
        <v>45150</v>
      </c>
      <c r="F1355">
        <v>3.15</v>
      </c>
      <c r="G1355">
        <v>5</v>
      </c>
      <c r="H1355">
        <v>10318.11</v>
      </c>
      <c r="I1355">
        <v>2.2000000000000002</v>
      </c>
    </row>
    <row r="1356" spans="1:9" x14ac:dyDescent="0.3">
      <c r="A1356" t="s">
        <v>1371</v>
      </c>
      <c r="B1356" t="s">
        <v>13</v>
      </c>
      <c r="C1356" t="s">
        <v>14</v>
      </c>
      <c r="D1356">
        <v>31</v>
      </c>
      <c r="E1356" s="1">
        <v>45242</v>
      </c>
      <c r="F1356">
        <v>4.58</v>
      </c>
      <c r="G1356">
        <v>14</v>
      </c>
      <c r="H1356">
        <v>11127.43</v>
      </c>
      <c r="I1356">
        <v>2</v>
      </c>
    </row>
    <row r="1357" spans="1:9" x14ac:dyDescent="0.3">
      <c r="A1357" t="s">
        <v>1372</v>
      </c>
      <c r="B1357" t="s">
        <v>34</v>
      </c>
      <c r="C1357" t="s">
        <v>11</v>
      </c>
      <c r="D1357">
        <v>29</v>
      </c>
      <c r="E1357" s="1">
        <v>40409</v>
      </c>
      <c r="F1357">
        <v>2.04</v>
      </c>
      <c r="G1357">
        <v>14</v>
      </c>
      <c r="H1357">
        <v>4130.88</v>
      </c>
      <c r="I1357">
        <v>15.2</v>
      </c>
    </row>
    <row r="1358" spans="1:9" x14ac:dyDescent="0.3">
      <c r="A1358" t="s">
        <v>1373</v>
      </c>
      <c r="B1358" t="s">
        <v>10</v>
      </c>
      <c r="C1358" t="s">
        <v>14</v>
      </c>
      <c r="D1358">
        <v>33</v>
      </c>
      <c r="E1358" s="1">
        <v>40653</v>
      </c>
      <c r="F1358">
        <v>2.39</v>
      </c>
      <c r="G1358">
        <v>2</v>
      </c>
      <c r="H1358">
        <v>8959.2000000000007</v>
      </c>
      <c r="I1358">
        <v>14.5</v>
      </c>
    </row>
    <row r="1359" spans="1:9" x14ac:dyDescent="0.3">
      <c r="A1359" t="s">
        <v>1374</v>
      </c>
      <c r="B1359" t="s">
        <v>18</v>
      </c>
      <c r="C1359" t="s">
        <v>11</v>
      </c>
      <c r="D1359">
        <v>35</v>
      </c>
      <c r="E1359" s="1">
        <v>45639</v>
      </c>
      <c r="F1359">
        <v>3.63</v>
      </c>
      <c r="G1359">
        <v>13</v>
      </c>
      <c r="H1359">
        <v>4641.97</v>
      </c>
      <c r="I1359">
        <v>0.9</v>
      </c>
    </row>
    <row r="1360" spans="1:9" x14ac:dyDescent="0.3">
      <c r="A1360" t="s">
        <v>1375</v>
      </c>
      <c r="B1360" t="s">
        <v>34</v>
      </c>
      <c r="C1360" t="s">
        <v>11</v>
      </c>
      <c r="D1360">
        <v>47</v>
      </c>
      <c r="E1360" s="1">
        <v>43240</v>
      </c>
      <c r="F1360">
        <v>1.63</v>
      </c>
      <c r="G1360">
        <v>14</v>
      </c>
      <c r="H1360">
        <v>6491.32</v>
      </c>
      <c r="I1360">
        <v>7.5</v>
      </c>
    </row>
    <row r="1361" spans="1:9" x14ac:dyDescent="0.3">
      <c r="A1361" t="s">
        <v>1376</v>
      </c>
      <c r="B1361" t="s">
        <v>13</v>
      </c>
      <c r="C1361" t="s">
        <v>14</v>
      </c>
      <c r="D1361">
        <v>60</v>
      </c>
      <c r="E1361" s="1">
        <v>42139</v>
      </c>
      <c r="F1361">
        <v>2.42</v>
      </c>
      <c r="G1361">
        <v>3</v>
      </c>
      <c r="H1361">
        <v>9967.49</v>
      </c>
      <c r="I1361">
        <v>10.5</v>
      </c>
    </row>
    <row r="1362" spans="1:9" x14ac:dyDescent="0.3">
      <c r="A1362" t="s">
        <v>1377</v>
      </c>
      <c r="B1362" t="s">
        <v>16</v>
      </c>
      <c r="C1362" t="s">
        <v>11</v>
      </c>
      <c r="D1362">
        <v>47</v>
      </c>
      <c r="E1362" s="1">
        <v>44561</v>
      </c>
      <c r="F1362">
        <v>2.7</v>
      </c>
      <c r="G1362">
        <v>8</v>
      </c>
      <c r="H1362">
        <v>9171.9500000000007</v>
      </c>
      <c r="I1362">
        <v>3.8</v>
      </c>
    </row>
    <row r="1363" spans="1:9" x14ac:dyDescent="0.3">
      <c r="A1363" t="s">
        <v>1378</v>
      </c>
      <c r="B1363" t="s">
        <v>13</v>
      </c>
      <c r="C1363" t="s">
        <v>11</v>
      </c>
      <c r="D1363">
        <v>45</v>
      </c>
      <c r="E1363" s="1">
        <v>45183</v>
      </c>
      <c r="F1363">
        <v>4.59</v>
      </c>
      <c r="G1363">
        <v>9</v>
      </c>
      <c r="H1363">
        <v>11915.3</v>
      </c>
      <c r="I1363">
        <v>2.1</v>
      </c>
    </row>
    <row r="1364" spans="1:9" x14ac:dyDescent="0.3">
      <c r="A1364" t="s">
        <v>1379</v>
      </c>
      <c r="B1364" t="s">
        <v>24</v>
      </c>
      <c r="C1364" t="s">
        <v>14</v>
      </c>
      <c r="D1364">
        <v>34</v>
      </c>
      <c r="E1364" s="1">
        <v>44656</v>
      </c>
      <c r="F1364">
        <v>4.55</v>
      </c>
      <c r="G1364">
        <v>1</v>
      </c>
      <c r="H1364">
        <v>13869.33</v>
      </c>
      <c r="I1364">
        <v>3.6</v>
      </c>
    </row>
    <row r="1365" spans="1:9" x14ac:dyDescent="0.3">
      <c r="A1365" t="s">
        <v>1380</v>
      </c>
      <c r="B1365" t="s">
        <v>24</v>
      </c>
      <c r="C1365" t="s">
        <v>14</v>
      </c>
      <c r="D1365">
        <v>53</v>
      </c>
      <c r="E1365" s="1">
        <v>41142</v>
      </c>
      <c r="F1365">
        <v>4.4400000000000004</v>
      </c>
      <c r="G1365">
        <v>0</v>
      </c>
      <c r="H1365">
        <v>3939.56</v>
      </c>
      <c r="I1365">
        <v>13.2</v>
      </c>
    </row>
    <row r="1366" spans="1:9" x14ac:dyDescent="0.3">
      <c r="A1366" t="s">
        <v>1381</v>
      </c>
      <c r="B1366" t="s">
        <v>16</v>
      </c>
      <c r="C1366" t="s">
        <v>14</v>
      </c>
      <c r="D1366">
        <v>43</v>
      </c>
      <c r="E1366" s="1">
        <v>45220</v>
      </c>
      <c r="F1366">
        <v>2.16</v>
      </c>
      <c r="G1366">
        <v>6</v>
      </c>
      <c r="H1366">
        <v>3294.97</v>
      </c>
      <c r="I1366">
        <v>2</v>
      </c>
    </row>
    <row r="1367" spans="1:9" x14ac:dyDescent="0.3">
      <c r="A1367" t="s">
        <v>1382</v>
      </c>
      <c r="B1367" t="s">
        <v>34</v>
      </c>
      <c r="C1367" t="s">
        <v>14</v>
      </c>
      <c r="D1367">
        <v>56</v>
      </c>
      <c r="E1367" s="1">
        <v>43228</v>
      </c>
      <c r="F1367">
        <v>2.04</v>
      </c>
      <c r="G1367">
        <v>7</v>
      </c>
      <c r="H1367">
        <v>12730.83</v>
      </c>
      <c r="I1367">
        <v>7.5</v>
      </c>
    </row>
    <row r="1368" spans="1:9" x14ac:dyDescent="0.3">
      <c r="A1368" t="s">
        <v>1383</v>
      </c>
      <c r="B1368" t="s">
        <v>16</v>
      </c>
      <c r="C1368" t="s">
        <v>14</v>
      </c>
      <c r="D1368">
        <v>49</v>
      </c>
      <c r="E1368" s="1">
        <v>44640</v>
      </c>
      <c r="F1368">
        <v>1.89</v>
      </c>
      <c r="G1368">
        <v>0</v>
      </c>
      <c r="H1368">
        <v>4662.09</v>
      </c>
      <c r="I1368">
        <v>3.6</v>
      </c>
    </row>
    <row r="1369" spans="1:9" x14ac:dyDescent="0.3">
      <c r="A1369" t="s">
        <v>1384</v>
      </c>
      <c r="B1369" t="s">
        <v>13</v>
      </c>
      <c r="C1369" t="s">
        <v>11</v>
      </c>
      <c r="D1369">
        <v>22</v>
      </c>
      <c r="E1369" s="1">
        <v>40925</v>
      </c>
      <c r="F1369">
        <v>2.4700000000000002</v>
      </c>
      <c r="G1369">
        <v>11</v>
      </c>
      <c r="H1369">
        <v>6881.23</v>
      </c>
      <c r="I1369">
        <v>13.8</v>
      </c>
    </row>
    <row r="1370" spans="1:9" x14ac:dyDescent="0.3">
      <c r="A1370" t="s">
        <v>1385</v>
      </c>
      <c r="B1370" t="s">
        <v>34</v>
      </c>
      <c r="C1370" t="s">
        <v>11</v>
      </c>
      <c r="D1370">
        <v>49</v>
      </c>
      <c r="E1370" s="1">
        <v>43778</v>
      </c>
      <c r="F1370">
        <v>3.82</v>
      </c>
      <c r="G1370">
        <v>8</v>
      </c>
      <c r="H1370">
        <v>11542.38</v>
      </c>
      <c r="I1370">
        <v>6</v>
      </c>
    </row>
    <row r="1371" spans="1:9" x14ac:dyDescent="0.3">
      <c r="A1371" t="s">
        <v>1386</v>
      </c>
      <c r="B1371" t="s">
        <v>24</v>
      </c>
      <c r="C1371" t="s">
        <v>11</v>
      </c>
      <c r="D1371">
        <v>40</v>
      </c>
      <c r="E1371" s="1">
        <v>41586</v>
      </c>
      <c r="F1371">
        <v>4.28</v>
      </c>
      <c r="G1371">
        <v>7</v>
      </c>
      <c r="H1371">
        <v>7583.67</v>
      </c>
      <c r="I1371">
        <v>12</v>
      </c>
    </row>
    <row r="1372" spans="1:9" x14ac:dyDescent="0.3">
      <c r="A1372" t="s">
        <v>1387</v>
      </c>
      <c r="B1372" t="s">
        <v>34</v>
      </c>
      <c r="C1372" t="s">
        <v>11</v>
      </c>
      <c r="D1372">
        <v>48</v>
      </c>
      <c r="E1372" s="1">
        <v>44659</v>
      </c>
      <c r="F1372">
        <v>4.16</v>
      </c>
      <c r="G1372">
        <v>13</v>
      </c>
      <c r="H1372">
        <v>13428.08</v>
      </c>
      <c r="I1372">
        <v>3.6</v>
      </c>
    </row>
    <row r="1373" spans="1:9" x14ac:dyDescent="0.3">
      <c r="A1373" t="s">
        <v>1388</v>
      </c>
      <c r="B1373" t="s">
        <v>16</v>
      </c>
      <c r="C1373" t="s">
        <v>14</v>
      </c>
      <c r="D1373">
        <v>51</v>
      </c>
      <c r="E1373" s="1">
        <v>43878</v>
      </c>
      <c r="F1373">
        <v>3.24</v>
      </c>
      <c r="G1373">
        <v>8</v>
      </c>
      <c r="H1373">
        <v>11081.14</v>
      </c>
      <c r="I1373">
        <v>5.7</v>
      </c>
    </row>
    <row r="1374" spans="1:9" x14ac:dyDescent="0.3">
      <c r="A1374" t="s">
        <v>1389</v>
      </c>
      <c r="B1374" t="s">
        <v>10</v>
      </c>
      <c r="C1374" t="s">
        <v>11</v>
      </c>
      <c r="D1374">
        <v>40</v>
      </c>
      <c r="E1374" s="1">
        <v>44559</v>
      </c>
      <c r="F1374">
        <v>2.39</v>
      </c>
      <c r="G1374">
        <v>10</v>
      </c>
      <c r="H1374">
        <v>14067.43</v>
      </c>
      <c r="I1374">
        <v>3.8</v>
      </c>
    </row>
    <row r="1375" spans="1:9" x14ac:dyDescent="0.3">
      <c r="A1375" t="s">
        <v>1390</v>
      </c>
      <c r="B1375" t="s">
        <v>24</v>
      </c>
      <c r="C1375" t="s">
        <v>14</v>
      </c>
      <c r="D1375">
        <v>40</v>
      </c>
      <c r="E1375" s="1">
        <v>40414</v>
      </c>
      <c r="F1375">
        <v>2.1</v>
      </c>
      <c r="G1375">
        <v>11</v>
      </c>
      <c r="H1375">
        <v>10009.52</v>
      </c>
      <c r="I1375">
        <v>15.2</v>
      </c>
    </row>
    <row r="1376" spans="1:9" x14ac:dyDescent="0.3">
      <c r="A1376" t="s">
        <v>1391</v>
      </c>
      <c r="B1376" t="s">
        <v>10</v>
      </c>
      <c r="C1376" t="s">
        <v>14</v>
      </c>
      <c r="D1376">
        <v>37</v>
      </c>
      <c r="E1376" s="1">
        <v>41186</v>
      </c>
      <c r="F1376">
        <v>3.15</v>
      </c>
      <c r="G1376">
        <v>7</v>
      </c>
      <c r="H1376">
        <v>14545.69</v>
      </c>
      <c r="I1376">
        <v>13.1</v>
      </c>
    </row>
    <row r="1377" spans="1:9" x14ac:dyDescent="0.3">
      <c r="A1377" t="s">
        <v>1392</v>
      </c>
      <c r="B1377" t="s">
        <v>24</v>
      </c>
      <c r="C1377" t="s">
        <v>14</v>
      </c>
      <c r="D1377">
        <v>60</v>
      </c>
      <c r="E1377" s="1">
        <v>44218</v>
      </c>
      <c r="F1377">
        <v>4.82</v>
      </c>
      <c r="G1377">
        <v>7</v>
      </c>
      <c r="H1377">
        <v>4173.53</v>
      </c>
      <c r="I1377">
        <v>4.8</v>
      </c>
    </row>
    <row r="1378" spans="1:9" x14ac:dyDescent="0.3">
      <c r="A1378" t="s">
        <v>1393</v>
      </c>
      <c r="B1378" t="s">
        <v>34</v>
      </c>
      <c r="C1378" t="s">
        <v>14</v>
      </c>
      <c r="D1378">
        <v>36</v>
      </c>
      <c r="E1378" s="1">
        <v>42298</v>
      </c>
      <c r="F1378">
        <v>4.96</v>
      </c>
      <c r="G1378">
        <v>14</v>
      </c>
      <c r="H1378">
        <v>5080.09</v>
      </c>
      <c r="I1378">
        <v>10</v>
      </c>
    </row>
    <row r="1379" spans="1:9" x14ac:dyDescent="0.3">
      <c r="A1379" t="s">
        <v>1394</v>
      </c>
      <c r="B1379" t="s">
        <v>16</v>
      </c>
      <c r="C1379" t="s">
        <v>14</v>
      </c>
      <c r="D1379">
        <v>26</v>
      </c>
      <c r="E1379" s="1">
        <v>42048</v>
      </c>
      <c r="F1379">
        <v>2.75</v>
      </c>
      <c r="G1379">
        <v>1</v>
      </c>
      <c r="H1379">
        <v>8636.8799999999992</v>
      </c>
      <c r="I1379">
        <v>10.7</v>
      </c>
    </row>
    <row r="1380" spans="1:9" x14ac:dyDescent="0.3">
      <c r="A1380" t="s">
        <v>1395</v>
      </c>
      <c r="B1380" t="s">
        <v>13</v>
      </c>
      <c r="C1380" t="s">
        <v>11</v>
      </c>
      <c r="D1380">
        <v>60</v>
      </c>
      <c r="E1380" s="1">
        <v>44279</v>
      </c>
      <c r="F1380">
        <v>4.55</v>
      </c>
      <c r="G1380">
        <v>10</v>
      </c>
      <c r="H1380">
        <v>10610.3</v>
      </c>
      <c r="I1380">
        <v>4.5999999999999996</v>
      </c>
    </row>
    <row r="1381" spans="1:9" x14ac:dyDescent="0.3">
      <c r="A1381" t="s">
        <v>1396</v>
      </c>
      <c r="B1381" t="s">
        <v>18</v>
      </c>
      <c r="C1381" t="s">
        <v>11</v>
      </c>
      <c r="D1381">
        <v>44</v>
      </c>
      <c r="E1381" s="1">
        <v>45000</v>
      </c>
      <c r="F1381">
        <v>3.53</v>
      </c>
      <c r="G1381">
        <v>7</v>
      </c>
      <c r="H1381">
        <v>4885.49</v>
      </c>
      <c r="I1381">
        <v>2.6</v>
      </c>
    </row>
    <row r="1382" spans="1:9" x14ac:dyDescent="0.3">
      <c r="A1382" t="s">
        <v>1397</v>
      </c>
      <c r="B1382" t="s">
        <v>16</v>
      </c>
      <c r="C1382" t="s">
        <v>11</v>
      </c>
      <c r="D1382">
        <v>41</v>
      </c>
      <c r="E1382" s="1">
        <v>45160</v>
      </c>
      <c r="F1382">
        <v>3.67</v>
      </c>
      <c r="G1382">
        <v>1</v>
      </c>
      <c r="H1382">
        <v>10145.950000000001</v>
      </c>
      <c r="I1382">
        <v>2.2000000000000002</v>
      </c>
    </row>
    <row r="1383" spans="1:9" x14ac:dyDescent="0.3">
      <c r="A1383" t="s">
        <v>1398</v>
      </c>
      <c r="B1383" t="s">
        <v>10</v>
      </c>
      <c r="C1383" t="s">
        <v>11</v>
      </c>
      <c r="D1383">
        <v>26</v>
      </c>
      <c r="E1383" s="1">
        <v>40495</v>
      </c>
      <c r="F1383">
        <v>4.1900000000000004</v>
      </c>
      <c r="G1383">
        <v>8</v>
      </c>
      <c r="H1383">
        <v>6135.56</v>
      </c>
      <c r="I1383">
        <v>15</v>
      </c>
    </row>
    <row r="1384" spans="1:9" x14ac:dyDescent="0.3">
      <c r="A1384" t="s">
        <v>1399</v>
      </c>
      <c r="B1384" t="s">
        <v>16</v>
      </c>
      <c r="C1384" t="s">
        <v>11</v>
      </c>
      <c r="D1384">
        <v>49</v>
      </c>
      <c r="E1384" s="1">
        <v>44928</v>
      </c>
      <c r="F1384">
        <v>4.33</v>
      </c>
      <c r="G1384">
        <v>0</v>
      </c>
      <c r="H1384">
        <v>10916.87</v>
      </c>
      <c r="I1384">
        <v>2.8</v>
      </c>
    </row>
    <row r="1385" spans="1:9" x14ac:dyDescent="0.3">
      <c r="A1385" t="s">
        <v>1400</v>
      </c>
      <c r="B1385" t="s">
        <v>10</v>
      </c>
      <c r="C1385" t="s">
        <v>11</v>
      </c>
      <c r="D1385">
        <v>57</v>
      </c>
      <c r="E1385" s="1">
        <v>44906</v>
      </c>
      <c r="F1385">
        <v>2.82</v>
      </c>
      <c r="G1385">
        <v>13</v>
      </c>
      <c r="H1385">
        <v>12861.9</v>
      </c>
      <c r="I1385">
        <v>2.9</v>
      </c>
    </row>
    <row r="1386" spans="1:9" x14ac:dyDescent="0.3">
      <c r="A1386" t="s">
        <v>1401</v>
      </c>
      <c r="B1386" t="s">
        <v>24</v>
      </c>
      <c r="C1386" t="s">
        <v>14</v>
      </c>
      <c r="D1386">
        <v>41</v>
      </c>
      <c r="E1386" s="1">
        <v>42563</v>
      </c>
      <c r="F1386">
        <v>1.81</v>
      </c>
      <c r="G1386">
        <v>11</v>
      </c>
      <c r="H1386">
        <v>10229.32</v>
      </c>
      <c r="I1386">
        <v>9.3000000000000007</v>
      </c>
    </row>
    <row r="1387" spans="1:9" x14ac:dyDescent="0.3">
      <c r="A1387" t="s">
        <v>1402</v>
      </c>
      <c r="B1387" t="s">
        <v>10</v>
      </c>
      <c r="C1387" t="s">
        <v>14</v>
      </c>
      <c r="D1387">
        <v>40</v>
      </c>
      <c r="E1387" s="1">
        <v>40880</v>
      </c>
      <c r="F1387">
        <v>3.81</v>
      </c>
      <c r="G1387">
        <v>6</v>
      </c>
      <c r="H1387">
        <v>7213.57</v>
      </c>
      <c r="I1387">
        <v>13.9</v>
      </c>
    </row>
    <row r="1388" spans="1:9" x14ac:dyDescent="0.3">
      <c r="A1388" t="s">
        <v>1403</v>
      </c>
      <c r="B1388" t="s">
        <v>10</v>
      </c>
      <c r="C1388" t="s">
        <v>14</v>
      </c>
      <c r="D1388">
        <v>55</v>
      </c>
      <c r="E1388" s="1">
        <v>40614</v>
      </c>
      <c r="F1388">
        <v>4.3099999999999996</v>
      </c>
      <c r="G1388">
        <v>12</v>
      </c>
      <c r="H1388">
        <v>10609.77</v>
      </c>
      <c r="I1388">
        <v>14.7</v>
      </c>
    </row>
    <row r="1389" spans="1:9" x14ac:dyDescent="0.3">
      <c r="A1389" t="s">
        <v>1404</v>
      </c>
      <c r="B1389" t="s">
        <v>16</v>
      </c>
      <c r="C1389" t="s">
        <v>11</v>
      </c>
      <c r="D1389">
        <v>30</v>
      </c>
      <c r="E1389" s="1">
        <v>42955</v>
      </c>
      <c r="F1389">
        <v>3.88</v>
      </c>
      <c r="G1389">
        <v>5</v>
      </c>
      <c r="H1389">
        <v>6971.69</v>
      </c>
      <c r="I1389">
        <v>8.1999999999999993</v>
      </c>
    </row>
    <row r="1390" spans="1:9" x14ac:dyDescent="0.3">
      <c r="A1390" t="s">
        <v>1405</v>
      </c>
      <c r="B1390" t="s">
        <v>16</v>
      </c>
      <c r="C1390" t="s">
        <v>14</v>
      </c>
      <c r="D1390">
        <v>52</v>
      </c>
      <c r="E1390" s="1">
        <v>42042</v>
      </c>
      <c r="F1390">
        <v>1.81</v>
      </c>
      <c r="G1390">
        <v>10</v>
      </c>
      <c r="H1390">
        <v>11323.53</v>
      </c>
      <c r="I1390">
        <v>10.7</v>
      </c>
    </row>
    <row r="1391" spans="1:9" x14ac:dyDescent="0.3">
      <c r="A1391" t="s">
        <v>1406</v>
      </c>
      <c r="B1391" t="s">
        <v>16</v>
      </c>
      <c r="C1391" t="s">
        <v>11</v>
      </c>
      <c r="D1391">
        <v>52</v>
      </c>
      <c r="E1391" s="1">
        <v>41986</v>
      </c>
      <c r="F1391">
        <v>2.59</v>
      </c>
      <c r="G1391">
        <v>9</v>
      </c>
      <c r="H1391">
        <v>14479.71</v>
      </c>
      <c r="I1391">
        <v>10.9</v>
      </c>
    </row>
    <row r="1392" spans="1:9" x14ac:dyDescent="0.3">
      <c r="A1392" t="s">
        <v>1407</v>
      </c>
      <c r="B1392" t="s">
        <v>18</v>
      </c>
      <c r="C1392" t="s">
        <v>11</v>
      </c>
      <c r="D1392">
        <v>29</v>
      </c>
      <c r="E1392" s="1">
        <v>40419</v>
      </c>
      <c r="F1392">
        <v>4.9400000000000004</v>
      </c>
      <c r="G1392">
        <v>7</v>
      </c>
      <c r="H1392">
        <v>14777.9</v>
      </c>
      <c r="I1392">
        <v>15.2</v>
      </c>
    </row>
    <row r="1393" spans="1:9" x14ac:dyDescent="0.3">
      <c r="A1393" t="s">
        <v>1408</v>
      </c>
      <c r="B1393" t="s">
        <v>13</v>
      </c>
      <c r="C1393" t="s">
        <v>14</v>
      </c>
      <c r="D1393">
        <v>43</v>
      </c>
      <c r="E1393" s="1">
        <v>44658</v>
      </c>
      <c r="F1393">
        <v>4.33</v>
      </c>
      <c r="G1393">
        <v>4</v>
      </c>
      <c r="H1393">
        <v>3360.9</v>
      </c>
      <c r="I1393">
        <v>3.6</v>
      </c>
    </row>
    <row r="1394" spans="1:9" x14ac:dyDescent="0.3">
      <c r="A1394" t="s">
        <v>1409</v>
      </c>
      <c r="B1394" t="s">
        <v>10</v>
      </c>
      <c r="C1394" t="s">
        <v>14</v>
      </c>
      <c r="D1394">
        <v>48</v>
      </c>
      <c r="E1394" s="1">
        <v>45799</v>
      </c>
      <c r="F1394">
        <v>3.07</v>
      </c>
      <c r="G1394">
        <v>13</v>
      </c>
      <c r="H1394">
        <v>6018.7</v>
      </c>
      <c r="I1394">
        <v>0.4</v>
      </c>
    </row>
    <row r="1395" spans="1:9" x14ac:dyDescent="0.3">
      <c r="A1395" t="s">
        <v>1410</v>
      </c>
      <c r="B1395" t="s">
        <v>16</v>
      </c>
      <c r="C1395" t="s">
        <v>14</v>
      </c>
      <c r="D1395">
        <v>38</v>
      </c>
      <c r="E1395" s="1">
        <v>41969</v>
      </c>
      <c r="F1395">
        <v>3.79</v>
      </c>
      <c r="G1395">
        <v>2</v>
      </c>
      <c r="H1395">
        <v>3069.23</v>
      </c>
      <c r="I1395">
        <v>10.9</v>
      </c>
    </row>
    <row r="1396" spans="1:9" x14ac:dyDescent="0.3">
      <c r="A1396" t="s">
        <v>1411</v>
      </c>
      <c r="B1396" t="s">
        <v>10</v>
      </c>
      <c r="C1396" t="s">
        <v>14</v>
      </c>
      <c r="D1396">
        <v>25</v>
      </c>
      <c r="E1396" s="1">
        <v>43052</v>
      </c>
      <c r="F1396">
        <v>4.76</v>
      </c>
      <c r="G1396">
        <v>6</v>
      </c>
      <c r="H1396">
        <v>10788.62</v>
      </c>
      <c r="I1396">
        <v>8</v>
      </c>
    </row>
    <row r="1397" spans="1:9" x14ac:dyDescent="0.3">
      <c r="A1397" t="s">
        <v>1412</v>
      </c>
      <c r="B1397" t="s">
        <v>24</v>
      </c>
      <c r="C1397" t="s">
        <v>14</v>
      </c>
      <c r="D1397">
        <v>39</v>
      </c>
      <c r="E1397" s="1">
        <v>41970</v>
      </c>
      <c r="F1397">
        <v>4.1900000000000004</v>
      </c>
      <c r="G1397">
        <v>7</v>
      </c>
      <c r="H1397">
        <v>9479.25</v>
      </c>
      <c r="I1397">
        <v>10.9</v>
      </c>
    </row>
    <row r="1398" spans="1:9" x14ac:dyDescent="0.3">
      <c r="A1398" t="s">
        <v>1413</v>
      </c>
      <c r="B1398" t="s">
        <v>24</v>
      </c>
      <c r="C1398" t="s">
        <v>14</v>
      </c>
      <c r="D1398">
        <v>54</v>
      </c>
      <c r="E1398" s="1">
        <v>40523</v>
      </c>
      <c r="F1398">
        <v>4.63</v>
      </c>
      <c r="G1398">
        <v>8</v>
      </c>
      <c r="H1398">
        <v>10673.95</v>
      </c>
      <c r="I1398">
        <v>14.9</v>
      </c>
    </row>
    <row r="1399" spans="1:9" x14ac:dyDescent="0.3">
      <c r="A1399" t="s">
        <v>1414</v>
      </c>
      <c r="B1399" t="s">
        <v>16</v>
      </c>
      <c r="C1399" t="s">
        <v>11</v>
      </c>
      <c r="D1399">
        <v>33</v>
      </c>
      <c r="E1399" s="1">
        <v>43643</v>
      </c>
      <c r="F1399">
        <v>2.02</v>
      </c>
      <c r="G1399">
        <v>10</v>
      </c>
      <c r="H1399">
        <v>12919.94</v>
      </c>
      <c r="I1399">
        <v>6.4</v>
      </c>
    </row>
    <row r="1400" spans="1:9" x14ac:dyDescent="0.3">
      <c r="A1400" t="s">
        <v>1415</v>
      </c>
      <c r="B1400" t="s">
        <v>16</v>
      </c>
      <c r="C1400" t="s">
        <v>11</v>
      </c>
      <c r="D1400">
        <v>22</v>
      </c>
      <c r="E1400" s="1">
        <v>40881</v>
      </c>
      <c r="F1400">
        <v>2.5299999999999998</v>
      </c>
      <c r="G1400">
        <v>15</v>
      </c>
      <c r="H1400">
        <v>10360.82</v>
      </c>
      <c r="I1400">
        <v>13.9</v>
      </c>
    </row>
    <row r="1401" spans="1:9" x14ac:dyDescent="0.3">
      <c r="A1401" t="s">
        <v>1416</v>
      </c>
      <c r="B1401" t="s">
        <v>13</v>
      </c>
      <c r="C1401" t="s">
        <v>11</v>
      </c>
      <c r="D1401">
        <v>34</v>
      </c>
      <c r="E1401" s="1">
        <v>42856</v>
      </c>
      <c r="F1401">
        <v>4.54</v>
      </c>
      <c r="G1401">
        <v>6</v>
      </c>
      <c r="H1401">
        <v>8734.36</v>
      </c>
      <c r="I1401">
        <v>8.5</v>
      </c>
    </row>
    <row r="1402" spans="1:9" x14ac:dyDescent="0.3">
      <c r="A1402" t="s">
        <v>1417</v>
      </c>
      <c r="B1402" t="s">
        <v>24</v>
      </c>
      <c r="C1402" t="s">
        <v>14</v>
      </c>
      <c r="D1402">
        <v>41</v>
      </c>
      <c r="E1402" s="1">
        <v>42571</v>
      </c>
      <c r="F1402">
        <v>3.05</v>
      </c>
      <c r="G1402">
        <v>15</v>
      </c>
      <c r="H1402">
        <v>4078.24</v>
      </c>
      <c r="I1402">
        <v>9.3000000000000007</v>
      </c>
    </row>
    <row r="1403" spans="1:9" x14ac:dyDescent="0.3">
      <c r="A1403" t="s">
        <v>1418</v>
      </c>
      <c r="B1403" t="s">
        <v>13</v>
      </c>
      <c r="C1403" t="s">
        <v>11</v>
      </c>
      <c r="D1403">
        <v>53</v>
      </c>
      <c r="E1403" s="1">
        <v>44221</v>
      </c>
      <c r="F1403">
        <v>2.0099999999999998</v>
      </c>
      <c r="G1403">
        <v>9</v>
      </c>
      <c r="H1403">
        <v>6968.45</v>
      </c>
      <c r="I1403">
        <v>4.8</v>
      </c>
    </row>
    <row r="1404" spans="1:9" x14ac:dyDescent="0.3">
      <c r="A1404" t="s">
        <v>1419</v>
      </c>
      <c r="B1404" t="s">
        <v>34</v>
      </c>
      <c r="C1404" t="s">
        <v>14</v>
      </c>
      <c r="D1404">
        <v>28</v>
      </c>
      <c r="E1404" s="1">
        <v>44867</v>
      </c>
      <c r="F1404">
        <v>3.51</v>
      </c>
      <c r="G1404">
        <v>2</v>
      </c>
      <c r="H1404">
        <v>6252.75</v>
      </c>
      <c r="I1404">
        <v>3</v>
      </c>
    </row>
    <row r="1405" spans="1:9" x14ac:dyDescent="0.3">
      <c r="A1405" t="s">
        <v>1420</v>
      </c>
      <c r="B1405" t="s">
        <v>10</v>
      </c>
      <c r="C1405" t="s">
        <v>14</v>
      </c>
      <c r="D1405">
        <v>31</v>
      </c>
      <c r="E1405" s="1">
        <v>44862</v>
      </c>
      <c r="F1405">
        <v>2.58</v>
      </c>
      <c r="G1405">
        <v>0</v>
      </c>
      <c r="H1405">
        <v>11863.21</v>
      </c>
      <c r="I1405">
        <v>3</v>
      </c>
    </row>
    <row r="1406" spans="1:9" x14ac:dyDescent="0.3">
      <c r="A1406" t="s">
        <v>1421</v>
      </c>
      <c r="B1406" t="s">
        <v>13</v>
      </c>
      <c r="C1406" t="s">
        <v>14</v>
      </c>
      <c r="D1406">
        <v>47</v>
      </c>
      <c r="E1406" s="1">
        <v>45106</v>
      </c>
      <c r="F1406">
        <v>2.7</v>
      </c>
      <c r="G1406">
        <v>11</v>
      </c>
      <c r="H1406">
        <v>10216.51</v>
      </c>
      <c r="I1406">
        <v>2.2999999999999998</v>
      </c>
    </row>
    <row r="1407" spans="1:9" x14ac:dyDescent="0.3">
      <c r="A1407" t="s">
        <v>1422</v>
      </c>
      <c r="B1407" t="s">
        <v>18</v>
      </c>
      <c r="C1407" t="s">
        <v>11</v>
      </c>
      <c r="D1407">
        <v>26</v>
      </c>
      <c r="E1407" s="1">
        <v>42996</v>
      </c>
      <c r="F1407">
        <v>3.64</v>
      </c>
      <c r="G1407">
        <v>6</v>
      </c>
      <c r="H1407">
        <v>12095.42</v>
      </c>
      <c r="I1407">
        <v>8.1</v>
      </c>
    </row>
    <row r="1408" spans="1:9" x14ac:dyDescent="0.3">
      <c r="A1408" t="s">
        <v>1423</v>
      </c>
      <c r="B1408" t="s">
        <v>18</v>
      </c>
      <c r="C1408" t="s">
        <v>14</v>
      </c>
      <c r="D1408">
        <v>51</v>
      </c>
      <c r="E1408" s="1">
        <v>43579</v>
      </c>
      <c r="F1408">
        <v>3.94</v>
      </c>
      <c r="G1408">
        <v>12</v>
      </c>
      <c r="H1408">
        <v>13240.56</v>
      </c>
      <c r="I1408">
        <v>6.5</v>
      </c>
    </row>
    <row r="1409" spans="1:9" x14ac:dyDescent="0.3">
      <c r="A1409" t="s">
        <v>1424</v>
      </c>
      <c r="B1409" t="s">
        <v>18</v>
      </c>
      <c r="C1409" t="s">
        <v>14</v>
      </c>
      <c r="D1409">
        <v>54</v>
      </c>
      <c r="E1409" s="1">
        <v>43774</v>
      </c>
      <c r="F1409">
        <v>3.53</v>
      </c>
      <c r="G1409">
        <v>13</v>
      </c>
      <c r="H1409">
        <v>7759.26</v>
      </c>
      <c r="I1409">
        <v>6</v>
      </c>
    </row>
    <row r="1410" spans="1:9" x14ac:dyDescent="0.3">
      <c r="A1410" t="s">
        <v>1425</v>
      </c>
      <c r="B1410" t="s">
        <v>10</v>
      </c>
      <c r="C1410" t="s">
        <v>14</v>
      </c>
      <c r="D1410">
        <v>37</v>
      </c>
      <c r="E1410" s="1">
        <v>44594</v>
      </c>
      <c r="F1410">
        <v>2.83</v>
      </c>
      <c r="G1410">
        <v>5</v>
      </c>
      <c r="H1410">
        <v>9281.3799999999992</v>
      </c>
      <c r="I1410">
        <v>3.7</v>
      </c>
    </row>
    <row r="1411" spans="1:9" x14ac:dyDescent="0.3">
      <c r="A1411" t="s">
        <v>1426</v>
      </c>
      <c r="B1411" t="s">
        <v>34</v>
      </c>
      <c r="C1411" t="s">
        <v>14</v>
      </c>
      <c r="D1411">
        <v>56</v>
      </c>
      <c r="E1411" s="1">
        <v>43784</v>
      </c>
      <c r="F1411">
        <v>3.89</v>
      </c>
      <c r="G1411">
        <v>10</v>
      </c>
      <c r="H1411">
        <v>4203.83</v>
      </c>
      <c r="I1411">
        <v>6</v>
      </c>
    </row>
    <row r="1412" spans="1:9" x14ac:dyDescent="0.3">
      <c r="A1412" t="s">
        <v>1427</v>
      </c>
      <c r="B1412" t="s">
        <v>18</v>
      </c>
      <c r="C1412" t="s">
        <v>14</v>
      </c>
      <c r="D1412">
        <v>29</v>
      </c>
      <c r="E1412" s="1">
        <v>43743</v>
      </c>
      <c r="F1412">
        <v>2.0099999999999998</v>
      </c>
      <c r="G1412">
        <v>2</v>
      </c>
      <c r="H1412">
        <v>8714.9500000000007</v>
      </c>
      <c r="I1412">
        <v>6.1</v>
      </c>
    </row>
    <row r="1413" spans="1:9" x14ac:dyDescent="0.3">
      <c r="A1413" t="s">
        <v>1428</v>
      </c>
      <c r="B1413" t="s">
        <v>16</v>
      </c>
      <c r="C1413" t="s">
        <v>11</v>
      </c>
      <c r="D1413">
        <v>43</v>
      </c>
      <c r="E1413" s="1">
        <v>44487</v>
      </c>
      <c r="F1413">
        <v>4.5</v>
      </c>
      <c r="G1413">
        <v>15</v>
      </c>
      <c r="H1413">
        <v>10715.32</v>
      </c>
      <c r="I1413">
        <v>4</v>
      </c>
    </row>
    <row r="1414" spans="1:9" x14ac:dyDescent="0.3">
      <c r="A1414" t="s">
        <v>1429</v>
      </c>
      <c r="B1414" t="s">
        <v>16</v>
      </c>
      <c r="C1414" t="s">
        <v>14</v>
      </c>
      <c r="D1414">
        <v>33</v>
      </c>
      <c r="E1414" s="1">
        <v>40994</v>
      </c>
      <c r="F1414">
        <v>2.69</v>
      </c>
      <c r="G1414">
        <v>14</v>
      </c>
      <c r="H1414">
        <v>14562.29</v>
      </c>
      <c r="I1414">
        <v>13.6</v>
      </c>
    </row>
    <row r="1415" spans="1:9" x14ac:dyDescent="0.3">
      <c r="A1415" t="s">
        <v>1430</v>
      </c>
      <c r="B1415" t="s">
        <v>10</v>
      </c>
      <c r="C1415" t="s">
        <v>11</v>
      </c>
      <c r="D1415">
        <v>39</v>
      </c>
      <c r="E1415" s="1">
        <v>44457</v>
      </c>
      <c r="F1415">
        <v>1.98</v>
      </c>
      <c r="G1415">
        <v>9</v>
      </c>
      <c r="H1415">
        <v>8240.02</v>
      </c>
      <c r="I1415">
        <v>4.0999999999999996</v>
      </c>
    </row>
    <row r="1416" spans="1:9" x14ac:dyDescent="0.3">
      <c r="A1416" t="s">
        <v>1431</v>
      </c>
      <c r="B1416" t="s">
        <v>34</v>
      </c>
      <c r="C1416" t="s">
        <v>14</v>
      </c>
      <c r="D1416">
        <v>22</v>
      </c>
      <c r="E1416" s="1">
        <v>41704</v>
      </c>
      <c r="F1416">
        <v>4.7</v>
      </c>
      <c r="G1416">
        <v>10</v>
      </c>
      <c r="H1416">
        <v>3388.5</v>
      </c>
      <c r="I1416">
        <v>11.7</v>
      </c>
    </row>
    <row r="1417" spans="1:9" x14ac:dyDescent="0.3">
      <c r="A1417" t="s">
        <v>1432</v>
      </c>
      <c r="B1417" t="s">
        <v>24</v>
      </c>
      <c r="C1417" t="s">
        <v>11</v>
      </c>
      <c r="D1417">
        <v>53</v>
      </c>
      <c r="E1417" s="1">
        <v>40446</v>
      </c>
      <c r="F1417">
        <v>2.2799999999999998</v>
      </c>
      <c r="G1417">
        <v>8</v>
      </c>
      <c r="H1417">
        <v>3376.65</v>
      </c>
      <c r="I1417">
        <v>15.1</v>
      </c>
    </row>
    <row r="1418" spans="1:9" x14ac:dyDescent="0.3">
      <c r="A1418" t="s">
        <v>1433</v>
      </c>
      <c r="B1418" t="s">
        <v>13</v>
      </c>
      <c r="C1418" t="s">
        <v>11</v>
      </c>
      <c r="D1418">
        <v>55</v>
      </c>
      <c r="E1418" s="1">
        <v>42677</v>
      </c>
      <c r="F1418">
        <v>2.2200000000000002</v>
      </c>
      <c r="G1418">
        <v>0</v>
      </c>
      <c r="H1418">
        <v>11349.86</v>
      </c>
      <c r="I1418">
        <v>9</v>
      </c>
    </row>
    <row r="1419" spans="1:9" x14ac:dyDescent="0.3">
      <c r="A1419" t="s">
        <v>1434</v>
      </c>
      <c r="B1419" t="s">
        <v>16</v>
      </c>
      <c r="C1419" t="s">
        <v>14</v>
      </c>
      <c r="D1419">
        <v>58</v>
      </c>
      <c r="E1419" s="1">
        <v>45454</v>
      </c>
      <c r="F1419">
        <v>3.67</v>
      </c>
      <c r="G1419">
        <v>8</v>
      </c>
      <c r="H1419">
        <v>4478.41</v>
      </c>
      <c r="I1419">
        <v>1.4</v>
      </c>
    </row>
    <row r="1420" spans="1:9" x14ac:dyDescent="0.3">
      <c r="A1420" t="s">
        <v>1435</v>
      </c>
      <c r="B1420" t="s">
        <v>10</v>
      </c>
      <c r="C1420" t="s">
        <v>14</v>
      </c>
      <c r="D1420">
        <v>34</v>
      </c>
      <c r="E1420" s="1">
        <v>45470</v>
      </c>
      <c r="F1420">
        <v>2.6</v>
      </c>
      <c r="G1420">
        <v>2</v>
      </c>
      <c r="H1420">
        <v>5332.49</v>
      </c>
      <c r="I1420">
        <v>1.3</v>
      </c>
    </row>
    <row r="1421" spans="1:9" x14ac:dyDescent="0.3">
      <c r="A1421" t="s">
        <v>1436</v>
      </c>
      <c r="B1421" t="s">
        <v>18</v>
      </c>
      <c r="C1421" t="s">
        <v>11</v>
      </c>
      <c r="D1421">
        <v>31</v>
      </c>
      <c r="E1421" s="1">
        <v>41995</v>
      </c>
      <c r="F1421">
        <v>2.96</v>
      </c>
      <c r="G1421">
        <v>9</v>
      </c>
      <c r="H1421">
        <v>10185.25</v>
      </c>
      <c r="I1421">
        <v>10.9</v>
      </c>
    </row>
    <row r="1422" spans="1:9" x14ac:dyDescent="0.3">
      <c r="A1422" t="s">
        <v>1437</v>
      </c>
      <c r="B1422" t="s">
        <v>16</v>
      </c>
      <c r="C1422" t="s">
        <v>11</v>
      </c>
      <c r="D1422">
        <v>56</v>
      </c>
      <c r="E1422" s="1">
        <v>45346</v>
      </c>
      <c r="F1422">
        <v>2.0699999999999998</v>
      </c>
      <c r="G1422">
        <v>1</v>
      </c>
      <c r="H1422">
        <v>3848.9</v>
      </c>
      <c r="I1422">
        <v>1.7</v>
      </c>
    </row>
    <row r="1423" spans="1:9" x14ac:dyDescent="0.3">
      <c r="A1423" t="s">
        <v>1438</v>
      </c>
      <c r="B1423" t="s">
        <v>10</v>
      </c>
      <c r="C1423" t="s">
        <v>11</v>
      </c>
      <c r="D1423">
        <v>51</v>
      </c>
      <c r="E1423" s="1">
        <v>43507</v>
      </c>
      <c r="F1423">
        <v>1.72</v>
      </c>
      <c r="G1423">
        <v>5</v>
      </c>
      <c r="H1423">
        <v>11477.86</v>
      </c>
      <c r="I1423">
        <v>6.7</v>
      </c>
    </row>
    <row r="1424" spans="1:9" x14ac:dyDescent="0.3">
      <c r="A1424" t="s">
        <v>1439</v>
      </c>
      <c r="B1424" t="s">
        <v>34</v>
      </c>
      <c r="C1424" t="s">
        <v>14</v>
      </c>
      <c r="D1424">
        <v>41</v>
      </c>
      <c r="E1424" s="1">
        <v>40469</v>
      </c>
      <c r="F1424">
        <v>2.2799999999999998</v>
      </c>
      <c r="G1424">
        <v>7</v>
      </c>
      <c r="H1424">
        <v>4189.33</v>
      </c>
      <c r="I1424">
        <v>15</v>
      </c>
    </row>
    <row r="1425" spans="1:9" x14ac:dyDescent="0.3">
      <c r="A1425" t="s">
        <v>1440</v>
      </c>
      <c r="B1425" t="s">
        <v>24</v>
      </c>
      <c r="C1425" t="s">
        <v>11</v>
      </c>
      <c r="D1425">
        <v>44</v>
      </c>
      <c r="E1425" s="1">
        <v>40562</v>
      </c>
      <c r="F1425">
        <v>1.53</v>
      </c>
      <c r="G1425">
        <v>5</v>
      </c>
      <c r="H1425">
        <v>9465.1</v>
      </c>
      <c r="I1425">
        <v>14.8</v>
      </c>
    </row>
    <row r="1426" spans="1:9" x14ac:dyDescent="0.3">
      <c r="A1426" t="s">
        <v>1441</v>
      </c>
      <c r="B1426" t="s">
        <v>34</v>
      </c>
      <c r="C1426" t="s">
        <v>14</v>
      </c>
      <c r="D1426">
        <v>33</v>
      </c>
      <c r="E1426" s="1">
        <v>43207</v>
      </c>
      <c r="F1426">
        <v>2.92</v>
      </c>
      <c r="G1426">
        <v>0</v>
      </c>
      <c r="H1426">
        <v>6697.13</v>
      </c>
      <c r="I1426">
        <v>7.5</v>
      </c>
    </row>
    <row r="1427" spans="1:9" x14ac:dyDescent="0.3">
      <c r="A1427" t="s">
        <v>1442</v>
      </c>
      <c r="B1427" t="s">
        <v>34</v>
      </c>
      <c r="C1427" t="s">
        <v>11</v>
      </c>
      <c r="D1427">
        <v>51</v>
      </c>
      <c r="E1427" s="1">
        <v>44352</v>
      </c>
      <c r="F1427">
        <v>4.6399999999999997</v>
      </c>
      <c r="G1427">
        <v>6</v>
      </c>
      <c r="H1427">
        <v>13640.02</v>
      </c>
      <c r="I1427">
        <v>4.4000000000000004</v>
      </c>
    </row>
    <row r="1428" spans="1:9" x14ac:dyDescent="0.3">
      <c r="A1428" t="s">
        <v>1443</v>
      </c>
      <c r="B1428" t="s">
        <v>18</v>
      </c>
      <c r="C1428" t="s">
        <v>14</v>
      </c>
      <c r="D1428">
        <v>39</v>
      </c>
      <c r="E1428" s="1">
        <v>42765</v>
      </c>
      <c r="F1428">
        <v>3.67</v>
      </c>
      <c r="G1428">
        <v>6</v>
      </c>
      <c r="H1428">
        <v>9514.83</v>
      </c>
      <c r="I1428">
        <v>8.8000000000000007</v>
      </c>
    </row>
    <row r="1429" spans="1:9" x14ac:dyDescent="0.3">
      <c r="A1429" t="s">
        <v>1444</v>
      </c>
      <c r="B1429" t="s">
        <v>24</v>
      </c>
      <c r="C1429" t="s">
        <v>14</v>
      </c>
      <c r="D1429">
        <v>56</v>
      </c>
      <c r="E1429" s="1">
        <v>42713</v>
      </c>
      <c r="F1429">
        <v>1.51</v>
      </c>
      <c r="G1429">
        <v>6</v>
      </c>
      <c r="H1429">
        <v>12486.21</v>
      </c>
      <c r="I1429">
        <v>8.9</v>
      </c>
    </row>
    <row r="1430" spans="1:9" x14ac:dyDescent="0.3">
      <c r="A1430" t="s">
        <v>1445</v>
      </c>
      <c r="B1430" t="s">
        <v>24</v>
      </c>
      <c r="C1430" t="s">
        <v>14</v>
      </c>
      <c r="D1430">
        <v>34</v>
      </c>
      <c r="E1430" s="1">
        <v>41077</v>
      </c>
      <c r="F1430">
        <v>4.3</v>
      </c>
      <c r="G1430">
        <v>0</v>
      </c>
      <c r="H1430">
        <v>7046.83</v>
      </c>
      <c r="I1430">
        <v>13.4</v>
      </c>
    </row>
    <row r="1431" spans="1:9" x14ac:dyDescent="0.3">
      <c r="A1431" t="s">
        <v>1446</v>
      </c>
      <c r="B1431" t="s">
        <v>10</v>
      </c>
      <c r="C1431" t="s">
        <v>14</v>
      </c>
      <c r="D1431">
        <v>41</v>
      </c>
      <c r="E1431" s="1">
        <v>41990</v>
      </c>
      <c r="F1431">
        <v>4.8099999999999996</v>
      </c>
      <c r="G1431">
        <v>9</v>
      </c>
      <c r="H1431">
        <v>4358.22</v>
      </c>
      <c r="I1431">
        <v>10.9</v>
      </c>
    </row>
    <row r="1432" spans="1:9" x14ac:dyDescent="0.3">
      <c r="A1432" t="s">
        <v>1447</v>
      </c>
      <c r="B1432" t="s">
        <v>34</v>
      </c>
      <c r="C1432" t="s">
        <v>11</v>
      </c>
      <c r="D1432">
        <v>36</v>
      </c>
      <c r="E1432" s="1">
        <v>41755</v>
      </c>
      <c r="F1432">
        <v>3.64</v>
      </c>
      <c r="G1432">
        <v>0</v>
      </c>
      <c r="H1432">
        <v>10976.8</v>
      </c>
      <c r="I1432">
        <v>11.5</v>
      </c>
    </row>
    <row r="1433" spans="1:9" x14ac:dyDescent="0.3">
      <c r="A1433" t="s">
        <v>1448</v>
      </c>
      <c r="B1433" t="s">
        <v>16</v>
      </c>
      <c r="C1433" t="s">
        <v>11</v>
      </c>
      <c r="D1433">
        <v>60</v>
      </c>
      <c r="E1433" s="1">
        <v>41861</v>
      </c>
      <c r="F1433">
        <v>1.77</v>
      </c>
      <c r="G1433">
        <v>10</v>
      </c>
      <c r="H1433">
        <v>3854.12</v>
      </c>
      <c r="I1433">
        <v>11.2</v>
      </c>
    </row>
    <row r="1434" spans="1:9" x14ac:dyDescent="0.3">
      <c r="A1434" t="s">
        <v>1449</v>
      </c>
      <c r="B1434" t="s">
        <v>13</v>
      </c>
      <c r="C1434" t="s">
        <v>11</v>
      </c>
      <c r="D1434">
        <v>43</v>
      </c>
      <c r="E1434" s="1">
        <v>45948</v>
      </c>
      <c r="F1434">
        <v>1.56</v>
      </c>
      <c r="G1434">
        <v>12</v>
      </c>
      <c r="H1434">
        <v>14365.76</v>
      </c>
      <c r="I1434">
        <v>0</v>
      </c>
    </row>
    <row r="1435" spans="1:9" x14ac:dyDescent="0.3">
      <c r="A1435" t="s">
        <v>1450</v>
      </c>
      <c r="B1435" t="s">
        <v>13</v>
      </c>
      <c r="C1435" t="s">
        <v>11</v>
      </c>
      <c r="D1435">
        <v>42</v>
      </c>
      <c r="E1435" s="1">
        <v>43361</v>
      </c>
      <c r="F1435">
        <v>2.0499999999999998</v>
      </c>
      <c r="G1435">
        <v>10</v>
      </c>
      <c r="H1435">
        <v>8706.61</v>
      </c>
      <c r="I1435">
        <v>7.1</v>
      </c>
    </row>
    <row r="1436" spans="1:9" x14ac:dyDescent="0.3">
      <c r="A1436" t="s">
        <v>1451</v>
      </c>
      <c r="B1436" t="s">
        <v>24</v>
      </c>
      <c r="C1436" t="s">
        <v>14</v>
      </c>
      <c r="D1436">
        <v>26</v>
      </c>
      <c r="E1436" s="1">
        <v>44249</v>
      </c>
      <c r="F1436">
        <v>2.85</v>
      </c>
      <c r="G1436">
        <v>2</v>
      </c>
      <c r="H1436">
        <v>11722.98</v>
      </c>
      <c r="I1436">
        <v>4.7</v>
      </c>
    </row>
    <row r="1437" spans="1:9" x14ac:dyDescent="0.3">
      <c r="A1437" t="s">
        <v>1452</v>
      </c>
      <c r="B1437" t="s">
        <v>13</v>
      </c>
      <c r="C1437" t="s">
        <v>11</v>
      </c>
      <c r="D1437">
        <v>44</v>
      </c>
      <c r="E1437" s="1">
        <v>40608</v>
      </c>
      <c r="F1437">
        <v>3.42</v>
      </c>
      <c r="G1437">
        <v>15</v>
      </c>
      <c r="H1437">
        <v>11524.53</v>
      </c>
      <c r="I1437">
        <v>14.7</v>
      </c>
    </row>
    <row r="1438" spans="1:9" x14ac:dyDescent="0.3">
      <c r="A1438" t="s">
        <v>1453</v>
      </c>
      <c r="B1438" t="s">
        <v>10</v>
      </c>
      <c r="C1438" t="s">
        <v>14</v>
      </c>
      <c r="D1438">
        <v>45</v>
      </c>
      <c r="E1438" s="1">
        <v>41290</v>
      </c>
      <c r="F1438">
        <v>4.9800000000000004</v>
      </c>
      <c r="G1438">
        <v>14</v>
      </c>
      <c r="H1438">
        <v>8986.27</v>
      </c>
      <c r="I1438">
        <v>12.8</v>
      </c>
    </row>
    <row r="1439" spans="1:9" x14ac:dyDescent="0.3">
      <c r="A1439" t="s">
        <v>1454</v>
      </c>
      <c r="B1439" t="s">
        <v>24</v>
      </c>
      <c r="C1439" t="s">
        <v>11</v>
      </c>
      <c r="D1439">
        <v>31</v>
      </c>
      <c r="E1439" s="1">
        <v>40965</v>
      </c>
      <c r="F1439">
        <v>3.09</v>
      </c>
      <c r="G1439">
        <v>0</v>
      </c>
      <c r="H1439">
        <v>8724.74</v>
      </c>
      <c r="I1439">
        <v>13.7</v>
      </c>
    </row>
    <row r="1440" spans="1:9" x14ac:dyDescent="0.3">
      <c r="A1440" t="s">
        <v>1455</v>
      </c>
      <c r="B1440" t="s">
        <v>13</v>
      </c>
      <c r="C1440" t="s">
        <v>14</v>
      </c>
      <c r="D1440">
        <v>36</v>
      </c>
      <c r="E1440" s="1">
        <v>40323</v>
      </c>
      <c r="F1440">
        <v>4.93</v>
      </c>
      <c r="G1440">
        <v>11</v>
      </c>
      <c r="H1440">
        <v>13388.27</v>
      </c>
      <c r="I1440">
        <v>15.4</v>
      </c>
    </row>
    <row r="1441" spans="1:9" x14ac:dyDescent="0.3">
      <c r="A1441" t="s">
        <v>1456</v>
      </c>
      <c r="B1441" t="s">
        <v>13</v>
      </c>
      <c r="C1441" t="s">
        <v>11</v>
      </c>
      <c r="D1441">
        <v>38</v>
      </c>
      <c r="E1441" s="1">
        <v>42143</v>
      </c>
      <c r="F1441">
        <v>2.82</v>
      </c>
      <c r="G1441">
        <v>14</v>
      </c>
      <c r="H1441">
        <v>14152.21</v>
      </c>
      <c r="I1441">
        <v>10.5</v>
      </c>
    </row>
    <row r="1442" spans="1:9" x14ac:dyDescent="0.3">
      <c r="A1442" t="s">
        <v>1457</v>
      </c>
      <c r="B1442" t="s">
        <v>10</v>
      </c>
      <c r="C1442" t="s">
        <v>11</v>
      </c>
      <c r="D1442">
        <v>45</v>
      </c>
      <c r="E1442" s="1">
        <v>43922</v>
      </c>
      <c r="F1442">
        <v>2.59</v>
      </c>
      <c r="G1442">
        <v>1</v>
      </c>
      <c r="H1442">
        <v>11661.25</v>
      </c>
      <c r="I1442">
        <v>5.6</v>
      </c>
    </row>
    <row r="1443" spans="1:9" x14ac:dyDescent="0.3">
      <c r="A1443" t="s">
        <v>1458</v>
      </c>
      <c r="B1443" t="s">
        <v>34</v>
      </c>
      <c r="C1443" t="s">
        <v>11</v>
      </c>
      <c r="D1443">
        <v>29</v>
      </c>
      <c r="E1443" s="1">
        <v>44521</v>
      </c>
      <c r="F1443">
        <v>2.2000000000000002</v>
      </c>
      <c r="G1443">
        <v>11</v>
      </c>
      <c r="H1443">
        <v>9629.7000000000007</v>
      </c>
      <c r="I1443">
        <v>3.9</v>
      </c>
    </row>
    <row r="1444" spans="1:9" x14ac:dyDescent="0.3">
      <c r="A1444" t="s">
        <v>1459</v>
      </c>
      <c r="B1444" t="s">
        <v>16</v>
      </c>
      <c r="C1444" t="s">
        <v>11</v>
      </c>
      <c r="D1444">
        <v>29</v>
      </c>
      <c r="E1444" s="1">
        <v>45393</v>
      </c>
      <c r="F1444">
        <v>3.72</v>
      </c>
      <c r="G1444">
        <v>7</v>
      </c>
      <c r="H1444">
        <v>4503.01</v>
      </c>
      <c r="I1444">
        <v>1.6</v>
      </c>
    </row>
    <row r="1445" spans="1:9" x14ac:dyDescent="0.3">
      <c r="A1445" t="s">
        <v>1460</v>
      </c>
      <c r="B1445" t="s">
        <v>34</v>
      </c>
      <c r="C1445" t="s">
        <v>14</v>
      </c>
      <c r="D1445">
        <v>38</v>
      </c>
      <c r="E1445" s="1">
        <v>41698</v>
      </c>
      <c r="F1445">
        <v>1.6</v>
      </c>
      <c r="G1445">
        <v>1</v>
      </c>
      <c r="H1445">
        <v>3871.92</v>
      </c>
      <c r="I1445">
        <v>11.7</v>
      </c>
    </row>
    <row r="1446" spans="1:9" x14ac:dyDescent="0.3">
      <c r="A1446" t="s">
        <v>1461</v>
      </c>
      <c r="B1446" t="s">
        <v>18</v>
      </c>
      <c r="C1446" t="s">
        <v>11</v>
      </c>
      <c r="D1446">
        <v>35</v>
      </c>
      <c r="E1446" s="1">
        <v>42621</v>
      </c>
      <c r="F1446">
        <v>4.8499999999999996</v>
      </c>
      <c r="G1446">
        <v>14</v>
      </c>
      <c r="H1446">
        <v>10703.16</v>
      </c>
      <c r="I1446">
        <v>9.1999999999999993</v>
      </c>
    </row>
    <row r="1447" spans="1:9" x14ac:dyDescent="0.3">
      <c r="A1447" t="s">
        <v>1462</v>
      </c>
      <c r="B1447" t="s">
        <v>18</v>
      </c>
      <c r="C1447" t="s">
        <v>14</v>
      </c>
      <c r="D1447">
        <v>44</v>
      </c>
      <c r="E1447" s="1">
        <v>42276</v>
      </c>
      <c r="F1447">
        <v>1.9</v>
      </c>
      <c r="G1447">
        <v>4</v>
      </c>
      <c r="H1447">
        <v>13341.04</v>
      </c>
      <c r="I1447">
        <v>10.1</v>
      </c>
    </row>
    <row r="1448" spans="1:9" x14ac:dyDescent="0.3">
      <c r="A1448" t="s">
        <v>1463</v>
      </c>
      <c r="B1448" t="s">
        <v>18</v>
      </c>
      <c r="C1448" t="s">
        <v>14</v>
      </c>
      <c r="D1448">
        <v>32</v>
      </c>
      <c r="E1448" s="1">
        <v>40697</v>
      </c>
      <c r="F1448">
        <v>2.4</v>
      </c>
      <c r="G1448">
        <v>14</v>
      </c>
      <c r="H1448">
        <v>7552.81</v>
      </c>
      <c r="I1448">
        <v>14.4</v>
      </c>
    </row>
    <row r="1449" spans="1:9" x14ac:dyDescent="0.3">
      <c r="A1449" t="s">
        <v>1464</v>
      </c>
      <c r="B1449" t="s">
        <v>24</v>
      </c>
      <c r="C1449" t="s">
        <v>11</v>
      </c>
      <c r="D1449">
        <v>44</v>
      </c>
      <c r="E1449" s="1">
        <v>45467</v>
      </c>
      <c r="F1449">
        <v>1.55</v>
      </c>
      <c r="G1449">
        <v>10</v>
      </c>
      <c r="H1449">
        <v>12005.64</v>
      </c>
      <c r="I1449">
        <v>1.4</v>
      </c>
    </row>
    <row r="1450" spans="1:9" x14ac:dyDescent="0.3">
      <c r="A1450" t="s">
        <v>1465</v>
      </c>
      <c r="B1450" t="s">
        <v>24</v>
      </c>
      <c r="C1450" t="s">
        <v>11</v>
      </c>
      <c r="D1450">
        <v>29</v>
      </c>
      <c r="E1450" s="1">
        <v>44244</v>
      </c>
      <c r="F1450">
        <v>3.08</v>
      </c>
      <c r="G1450">
        <v>14</v>
      </c>
      <c r="H1450">
        <v>7264.17</v>
      </c>
      <c r="I1450">
        <v>4.7</v>
      </c>
    </row>
    <row r="1451" spans="1:9" x14ac:dyDescent="0.3">
      <c r="A1451" t="s">
        <v>1466</v>
      </c>
      <c r="B1451" t="s">
        <v>10</v>
      </c>
      <c r="C1451" t="s">
        <v>11</v>
      </c>
      <c r="D1451">
        <v>48</v>
      </c>
      <c r="E1451" s="1">
        <v>45954</v>
      </c>
      <c r="F1451">
        <v>4.87</v>
      </c>
      <c r="G1451">
        <v>1</v>
      </c>
      <c r="H1451">
        <v>5723.11</v>
      </c>
      <c r="I1451">
        <v>0</v>
      </c>
    </row>
    <row r="1452" spans="1:9" x14ac:dyDescent="0.3">
      <c r="A1452" t="s">
        <v>1467</v>
      </c>
      <c r="B1452" t="s">
        <v>24</v>
      </c>
      <c r="C1452" t="s">
        <v>14</v>
      </c>
      <c r="D1452">
        <v>41</v>
      </c>
      <c r="E1452" s="1">
        <v>41021</v>
      </c>
      <c r="F1452">
        <v>1.89</v>
      </c>
      <c r="G1452">
        <v>14</v>
      </c>
      <c r="H1452">
        <v>4675.47</v>
      </c>
      <c r="I1452">
        <v>13.5</v>
      </c>
    </row>
    <row r="1453" spans="1:9" x14ac:dyDescent="0.3">
      <c r="A1453" t="s">
        <v>1468</v>
      </c>
      <c r="B1453" t="s">
        <v>10</v>
      </c>
      <c r="C1453" t="s">
        <v>14</v>
      </c>
      <c r="D1453">
        <v>49</v>
      </c>
      <c r="E1453" s="1">
        <v>40609</v>
      </c>
      <c r="F1453">
        <v>2.29</v>
      </c>
      <c r="G1453">
        <v>15</v>
      </c>
      <c r="H1453">
        <v>5662.43</v>
      </c>
      <c r="I1453">
        <v>14.7</v>
      </c>
    </row>
    <row r="1454" spans="1:9" x14ac:dyDescent="0.3">
      <c r="A1454" t="s">
        <v>1469</v>
      </c>
      <c r="B1454" t="s">
        <v>13</v>
      </c>
      <c r="C1454" t="s">
        <v>14</v>
      </c>
      <c r="D1454">
        <v>57</v>
      </c>
      <c r="E1454" s="1">
        <v>45459</v>
      </c>
      <c r="F1454">
        <v>4.18</v>
      </c>
      <c r="G1454">
        <v>11</v>
      </c>
      <c r="H1454">
        <v>3672</v>
      </c>
      <c r="I1454">
        <v>1.4</v>
      </c>
    </row>
    <row r="1455" spans="1:9" x14ac:dyDescent="0.3">
      <c r="A1455" t="s">
        <v>1470</v>
      </c>
      <c r="B1455" t="s">
        <v>34</v>
      </c>
      <c r="C1455" t="s">
        <v>14</v>
      </c>
      <c r="D1455">
        <v>48</v>
      </c>
      <c r="E1455" s="1">
        <v>43474</v>
      </c>
      <c r="F1455">
        <v>2.65</v>
      </c>
      <c r="G1455">
        <v>1</v>
      </c>
      <c r="H1455">
        <v>6175.96</v>
      </c>
      <c r="I1455">
        <v>6.8</v>
      </c>
    </row>
    <row r="1456" spans="1:9" x14ac:dyDescent="0.3">
      <c r="A1456" t="s">
        <v>1471</v>
      </c>
      <c r="B1456" t="s">
        <v>13</v>
      </c>
      <c r="C1456" t="s">
        <v>11</v>
      </c>
      <c r="D1456">
        <v>32</v>
      </c>
      <c r="E1456" s="1">
        <v>41236</v>
      </c>
      <c r="F1456">
        <v>2.74</v>
      </c>
      <c r="G1456">
        <v>14</v>
      </c>
      <c r="H1456">
        <v>14255.77</v>
      </c>
      <c r="I1456">
        <v>12.9</v>
      </c>
    </row>
    <row r="1457" spans="1:9" x14ac:dyDescent="0.3">
      <c r="A1457" t="s">
        <v>1472</v>
      </c>
      <c r="B1457" t="s">
        <v>16</v>
      </c>
      <c r="C1457" t="s">
        <v>14</v>
      </c>
      <c r="D1457">
        <v>22</v>
      </c>
      <c r="E1457" s="1">
        <v>43929</v>
      </c>
      <c r="F1457">
        <v>3.29</v>
      </c>
      <c r="G1457">
        <v>4</v>
      </c>
      <c r="H1457">
        <v>12859.33</v>
      </c>
      <c r="I1457">
        <v>5.6</v>
      </c>
    </row>
    <row r="1458" spans="1:9" x14ac:dyDescent="0.3">
      <c r="A1458" t="s">
        <v>1473</v>
      </c>
      <c r="B1458" t="s">
        <v>34</v>
      </c>
      <c r="C1458" t="s">
        <v>11</v>
      </c>
      <c r="D1458">
        <v>33</v>
      </c>
      <c r="E1458" s="1">
        <v>45739</v>
      </c>
      <c r="F1458">
        <v>4.09</v>
      </c>
      <c r="G1458">
        <v>4</v>
      </c>
      <c r="H1458">
        <v>11433.28</v>
      </c>
      <c r="I1458">
        <v>0.6</v>
      </c>
    </row>
    <row r="1459" spans="1:9" x14ac:dyDescent="0.3">
      <c r="A1459" t="s">
        <v>1474</v>
      </c>
      <c r="B1459" t="s">
        <v>18</v>
      </c>
      <c r="C1459" t="s">
        <v>11</v>
      </c>
      <c r="D1459">
        <v>36</v>
      </c>
      <c r="E1459" s="1">
        <v>43214</v>
      </c>
      <c r="F1459">
        <v>1.64</v>
      </c>
      <c r="G1459">
        <v>3</v>
      </c>
      <c r="H1459">
        <v>12653.01</v>
      </c>
      <c r="I1459">
        <v>7.5</v>
      </c>
    </row>
    <row r="1460" spans="1:9" x14ac:dyDescent="0.3">
      <c r="A1460" t="s">
        <v>1475</v>
      </c>
      <c r="B1460" t="s">
        <v>10</v>
      </c>
      <c r="C1460" t="s">
        <v>11</v>
      </c>
      <c r="D1460">
        <v>33</v>
      </c>
      <c r="E1460" s="1">
        <v>40965</v>
      </c>
      <c r="F1460">
        <v>4.18</v>
      </c>
      <c r="G1460">
        <v>10</v>
      </c>
      <c r="H1460">
        <v>3368.83</v>
      </c>
      <c r="I1460">
        <v>13.7</v>
      </c>
    </row>
    <row r="1461" spans="1:9" x14ac:dyDescent="0.3">
      <c r="A1461" t="s">
        <v>1476</v>
      </c>
      <c r="B1461" t="s">
        <v>18</v>
      </c>
      <c r="C1461" t="s">
        <v>14</v>
      </c>
      <c r="D1461">
        <v>47</v>
      </c>
      <c r="E1461" s="1">
        <v>42768</v>
      </c>
      <c r="F1461">
        <v>1.8</v>
      </c>
      <c r="G1461">
        <v>7</v>
      </c>
      <c r="H1461">
        <v>4280.03</v>
      </c>
      <c r="I1461">
        <v>8.8000000000000007</v>
      </c>
    </row>
    <row r="1462" spans="1:9" x14ac:dyDescent="0.3">
      <c r="A1462" t="s">
        <v>1477</v>
      </c>
      <c r="B1462" t="s">
        <v>16</v>
      </c>
      <c r="C1462" t="s">
        <v>11</v>
      </c>
      <c r="D1462">
        <v>26</v>
      </c>
      <c r="E1462" s="1">
        <v>44748</v>
      </c>
      <c r="F1462">
        <v>2.4500000000000002</v>
      </c>
      <c r="G1462">
        <v>6</v>
      </c>
      <c r="H1462">
        <v>4276.25</v>
      </c>
      <c r="I1462">
        <v>3.3</v>
      </c>
    </row>
    <row r="1463" spans="1:9" x14ac:dyDescent="0.3">
      <c r="A1463" t="s">
        <v>1478</v>
      </c>
      <c r="B1463" t="s">
        <v>34</v>
      </c>
      <c r="C1463" t="s">
        <v>11</v>
      </c>
      <c r="D1463">
        <v>37</v>
      </c>
      <c r="E1463" s="1">
        <v>45523</v>
      </c>
      <c r="F1463">
        <v>4.87</v>
      </c>
      <c r="G1463">
        <v>12</v>
      </c>
      <c r="H1463">
        <v>9915.94</v>
      </c>
      <c r="I1463">
        <v>1.2</v>
      </c>
    </row>
    <row r="1464" spans="1:9" x14ac:dyDescent="0.3">
      <c r="A1464" t="s">
        <v>1479</v>
      </c>
      <c r="B1464" t="s">
        <v>10</v>
      </c>
      <c r="C1464" t="s">
        <v>11</v>
      </c>
      <c r="D1464">
        <v>34</v>
      </c>
      <c r="E1464" s="1">
        <v>43889</v>
      </c>
      <c r="F1464">
        <v>2.81</v>
      </c>
      <c r="G1464">
        <v>4</v>
      </c>
      <c r="H1464">
        <v>14953.11</v>
      </c>
      <c r="I1464">
        <v>5.7</v>
      </c>
    </row>
    <row r="1465" spans="1:9" x14ac:dyDescent="0.3">
      <c r="A1465" t="s">
        <v>1480</v>
      </c>
      <c r="B1465" t="s">
        <v>34</v>
      </c>
      <c r="C1465" t="s">
        <v>11</v>
      </c>
      <c r="D1465">
        <v>29</v>
      </c>
      <c r="E1465" s="1">
        <v>40526</v>
      </c>
      <c r="F1465">
        <v>4.32</v>
      </c>
      <c r="G1465">
        <v>3</v>
      </c>
      <c r="H1465">
        <v>13582.19</v>
      </c>
      <c r="I1465">
        <v>14.9</v>
      </c>
    </row>
    <row r="1466" spans="1:9" x14ac:dyDescent="0.3">
      <c r="A1466" t="s">
        <v>1481</v>
      </c>
      <c r="B1466" t="s">
        <v>10</v>
      </c>
      <c r="C1466" t="s">
        <v>14</v>
      </c>
      <c r="D1466">
        <v>51</v>
      </c>
      <c r="E1466" s="1">
        <v>42091</v>
      </c>
      <c r="F1466">
        <v>4.83</v>
      </c>
      <c r="G1466">
        <v>8</v>
      </c>
      <c r="H1466">
        <v>7627.5</v>
      </c>
      <c r="I1466">
        <v>10.6</v>
      </c>
    </row>
    <row r="1467" spans="1:9" x14ac:dyDescent="0.3">
      <c r="A1467" t="s">
        <v>1482</v>
      </c>
      <c r="B1467" t="s">
        <v>16</v>
      </c>
      <c r="C1467" t="s">
        <v>11</v>
      </c>
      <c r="D1467">
        <v>29</v>
      </c>
      <c r="E1467" s="1">
        <v>41418</v>
      </c>
      <c r="F1467">
        <v>4.33</v>
      </c>
      <c r="G1467">
        <v>11</v>
      </c>
      <c r="H1467">
        <v>9665.0499999999993</v>
      </c>
      <c r="I1467">
        <v>12.4</v>
      </c>
    </row>
    <row r="1468" spans="1:9" x14ac:dyDescent="0.3">
      <c r="A1468" t="s">
        <v>1483</v>
      </c>
      <c r="B1468" t="s">
        <v>16</v>
      </c>
      <c r="C1468" t="s">
        <v>14</v>
      </c>
      <c r="D1468">
        <v>59</v>
      </c>
      <c r="E1468" s="1">
        <v>41430</v>
      </c>
      <c r="F1468">
        <v>4.51</v>
      </c>
      <c r="G1468">
        <v>9</v>
      </c>
      <c r="H1468">
        <v>5714.86</v>
      </c>
      <c r="I1468">
        <v>12.4</v>
      </c>
    </row>
    <row r="1469" spans="1:9" x14ac:dyDescent="0.3">
      <c r="A1469" t="s">
        <v>1484</v>
      </c>
      <c r="B1469" t="s">
        <v>10</v>
      </c>
      <c r="C1469" t="s">
        <v>11</v>
      </c>
      <c r="D1469">
        <v>48</v>
      </c>
      <c r="E1469" s="1">
        <v>43681</v>
      </c>
      <c r="F1469">
        <v>2.36</v>
      </c>
      <c r="G1469">
        <v>3</v>
      </c>
      <c r="H1469">
        <v>8588.2900000000009</v>
      </c>
      <c r="I1469">
        <v>6.2</v>
      </c>
    </row>
    <row r="1470" spans="1:9" x14ac:dyDescent="0.3">
      <c r="A1470" t="s">
        <v>1485</v>
      </c>
      <c r="B1470" t="s">
        <v>16</v>
      </c>
      <c r="C1470" t="s">
        <v>11</v>
      </c>
      <c r="D1470">
        <v>31</v>
      </c>
      <c r="E1470" s="1">
        <v>41759</v>
      </c>
      <c r="F1470">
        <v>4.68</v>
      </c>
      <c r="G1470">
        <v>1</v>
      </c>
      <c r="H1470">
        <v>4432.84</v>
      </c>
      <c r="I1470">
        <v>11.5</v>
      </c>
    </row>
    <row r="1471" spans="1:9" x14ac:dyDescent="0.3">
      <c r="A1471" t="s">
        <v>1486</v>
      </c>
      <c r="B1471" t="s">
        <v>10</v>
      </c>
      <c r="C1471" t="s">
        <v>14</v>
      </c>
      <c r="D1471">
        <v>40</v>
      </c>
      <c r="E1471" s="1">
        <v>40459</v>
      </c>
      <c r="F1471">
        <v>4.38</v>
      </c>
      <c r="G1471">
        <v>1</v>
      </c>
      <c r="H1471">
        <v>5411.64</v>
      </c>
      <c r="I1471">
        <v>15.1</v>
      </c>
    </row>
    <row r="1472" spans="1:9" x14ac:dyDescent="0.3">
      <c r="A1472" t="s">
        <v>1487</v>
      </c>
      <c r="B1472" t="s">
        <v>13</v>
      </c>
      <c r="C1472" t="s">
        <v>14</v>
      </c>
      <c r="D1472">
        <v>40</v>
      </c>
      <c r="E1472" s="1">
        <v>41171</v>
      </c>
      <c r="F1472">
        <v>1.67</v>
      </c>
      <c r="G1472">
        <v>1</v>
      </c>
      <c r="H1472">
        <v>6743.29</v>
      </c>
      <c r="I1472">
        <v>13.1</v>
      </c>
    </row>
    <row r="1473" spans="1:9" x14ac:dyDescent="0.3">
      <c r="A1473" t="s">
        <v>1488</v>
      </c>
      <c r="B1473" t="s">
        <v>34</v>
      </c>
      <c r="C1473" t="s">
        <v>11</v>
      </c>
      <c r="D1473">
        <v>50</v>
      </c>
      <c r="E1473" s="1">
        <v>42606</v>
      </c>
      <c r="F1473">
        <v>3.4</v>
      </c>
      <c r="G1473">
        <v>1</v>
      </c>
      <c r="H1473">
        <v>6598.46</v>
      </c>
      <c r="I1473">
        <v>9.1999999999999993</v>
      </c>
    </row>
    <row r="1474" spans="1:9" x14ac:dyDescent="0.3">
      <c r="A1474" t="s">
        <v>1489</v>
      </c>
      <c r="B1474" t="s">
        <v>18</v>
      </c>
      <c r="C1474" t="s">
        <v>14</v>
      </c>
      <c r="D1474">
        <v>45</v>
      </c>
      <c r="E1474" s="1">
        <v>43985</v>
      </c>
      <c r="F1474">
        <v>3.52</v>
      </c>
      <c r="G1474">
        <v>7</v>
      </c>
      <c r="H1474">
        <v>9362.15</v>
      </c>
      <c r="I1474">
        <v>5.4</v>
      </c>
    </row>
    <row r="1475" spans="1:9" x14ac:dyDescent="0.3">
      <c r="A1475" t="s">
        <v>1490</v>
      </c>
      <c r="B1475" t="s">
        <v>10</v>
      </c>
      <c r="C1475" t="s">
        <v>11</v>
      </c>
      <c r="D1475">
        <v>33</v>
      </c>
      <c r="E1475" s="1">
        <v>45946</v>
      </c>
      <c r="F1475">
        <v>4.26</v>
      </c>
      <c r="G1475">
        <v>2</v>
      </c>
      <c r="H1475">
        <v>9720.33</v>
      </c>
      <c r="I1475">
        <v>0</v>
      </c>
    </row>
    <row r="1476" spans="1:9" x14ac:dyDescent="0.3">
      <c r="A1476" t="s">
        <v>1491</v>
      </c>
      <c r="B1476" t="s">
        <v>34</v>
      </c>
      <c r="C1476" t="s">
        <v>14</v>
      </c>
      <c r="D1476">
        <v>43</v>
      </c>
      <c r="E1476" s="1">
        <v>40863</v>
      </c>
      <c r="F1476">
        <v>4.2</v>
      </c>
      <c r="G1476">
        <v>9</v>
      </c>
      <c r="H1476">
        <v>3270.6</v>
      </c>
      <c r="I1476">
        <v>14</v>
      </c>
    </row>
    <row r="1477" spans="1:9" x14ac:dyDescent="0.3">
      <c r="A1477" t="s">
        <v>1492</v>
      </c>
      <c r="B1477" t="s">
        <v>24</v>
      </c>
      <c r="C1477" t="s">
        <v>14</v>
      </c>
      <c r="D1477">
        <v>59</v>
      </c>
      <c r="E1477" s="1">
        <v>44465</v>
      </c>
      <c r="F1477">
        <v>1.84</v>
      </c>
      <c r="G1477">
        <v>15</v>
      </c>
      <c r="H1477">
        <v>5591.66</v>
      </c>
      <c r="I1477">
        <v>4.0999999999999996</v>
      </c>
    </row>
    <row r="1478" spans="1:9" x14ac:dyDescent="0.3">
      <c r="A1478" t="s">
        <v>1493</v>
      </c>
      <c r="B1478" t="s">
        <v>16</v>
      </c>
      <c r="C1478" t="s">
        <v>14</v>
      </c>
      <c r="D1478">
        <v>43</v>
      </c>
      <c r="E1478" s="1">
        <v>41169</v>
      </c>
      <c r="F1478">
        <v>4.49</v>
      </c>
      <c r="G1478">
        <v>10</v>
      </c>
      <c r="H1478">
        <v>3510.58</v>
      </c>
      <c r="I1478">
        <v>13.1</v>
      </c>
    </row>
    <row r="1479" spans="1:9" x14ac:dyDescent="0.3">
      <c r="A1479" t="s">
        <v>1494</v>
      </c>
      <c r="B1479" t="s">
        <v>24</v>
      </c>
      <c r="C1479" t="s">
        <v>14</v>
      </c>
      <c r="D1479">
        <v>47</v>
      </c>
      <c r="E1479" s="1">
        <v>43749</v>
      </c>
      <c r="F1479">
        <v>2.73</v>
      </c>
      <c r="G1479">
        <v>13</v>
      </c>
      <c r="H1479">
        <v>14759.64</v>
      </c>
      <c r="I1479">
        <v>6.1</v>
      </c>
    </row>
    <row r="1480" spans="1:9" x14ac:dyDescent="0.3">
      <c r="A1480" t="s">
        <v>1495</v>
      </c>
      <c r="B1480" t="s">
        <v>13</v>
      </c>
      <c r="C1480" t="s">
        <v>14</v>
      </c>
      <c r="D1480">
        <v>34</v>
      </c>
      <c r="E1480" s="1">
        <v>43153</v>
      </c>
      <c r="F1480">
        <v>2.72</v>
      </c>
      <c r="G1480">
        <v>1</v>
      </c>
      <c r="H1480">
        <v>7427.87</v>
      </c>
      <c r="I1480">
        <v>7.7</v>
      </c>
    </row>
    <row r="1481" spans="1:9" x14ac:dyDescent="0.3">
      <c r="A1481" t="s">
        <v>1496</v>
      </c>
      <c r="B1481" t="s">
        <v>13</v>
      </c>
      <c r="C1481" t="s">
        <v>11</v>
      </c>
      <c r="D1481">
        <v>54</v>
      </c>
      <c r="E1481" s="1">
        <v>44780</v>
      </c>
      <c r="F1481">
        <v>3.31</v>
      </c>
      <c r="G1481">
        <v>13</v>
      </c>
      <c r="H1481">
        <v>4675.6499999999996</v>
      </c>
      <c r="I1481">
        <v>3.2</v>
      </c>
    </row>
    <row r="1482" spans="1:9" x14ac:dyDescent="0.3">
      <c r="A1482" t="s">
        <v>1497</v>
      </c>
      <c r="B1482" t="s">
        <v>18</v>
      </c>
      <c r="C1482" t="s">
        <v>14</v>
      </c>
      <c r="D1482">
        <v>48</v>
      </c>
      <c r="E1482" s="1">
        <v>44657</v>
      </c>
      <c r="F1482">
        <v>3.4</v>
      </c>
      <c r="G1482">
        <v>1</v>
      </c>
      <c r="H1482">
        <v>12261.8</v>
      </c>
      <c r="I1482">
        <v>3.6</v>
      </c>
    </row>
    <row r="1483" spans="1:9" x14ac:dyDescent="0.3">
      <c r="A1483" t="s">
        <v>1498</v>
      </c>
      <c r="B1483" t="s">
        <v>34</v>
      </c>
      <c r="C1483" t="s">
        <v>11</v>
      </c>
      <c r="D1483">
        <v>25</v>
      </c>
      <c r="E1483" s="1">
        <v>44647</v>
      </c>
      <c r="F1483">
        <v>3.57</v>
      </c>
      <c r="G1483">
        <v>9</v>
      </c>
      <c r="H1483">
        <v>5040.78</v>
      </c>
      <c r="I1483">
        <v>3.6</v>
      </c>
    </row>
    <row r="1484" spans="1:9" x14ac:dyDescent="0.3">
      <c r="A1484" t="s">
        <v>1499</v>
      </c>
      <c r="B1484" t="s">
        <v>18</v>
      </c>
      <c r="C1484" t="s">
        <v>11</v>
      </c>
      <c r="D1484">
        <v>29</v>
      </c>
      <c r="E1484" s="1">
        <v>41720</v>
      </c>
      <c r="F1484">
        <v>2.2400000000000002</v>
      </c>
      <c r="G1484">
        <v>9</v>
      </c>
      <c r="H1484">
        <v>4145.72</v>
      </c>
      <c r="I1484">
        <v>11.6</v>
      </c>
    </row>
    <row r="1485" spans="1:9" x14ac:dyDescent="0.3">
      <c r="A1485" t="s">
        <v>1500</v>
      </c>
      <c r="B1485" t="s">
        <v>13</v>
      </c>
      <c r="C1485" t="s">
        <v>11</v>
      </c>
      <c r="D1485">
        <v>59</v>
      </c>
      <c r="E1485" s="1">
        <v>43860</v>
      </c>
      <c r="F1485">
        <v>4.7699999999999996</v>
      </c>
      <c r="G1485">
        <v>2</v>
      </c>
      <c r="H1485">
        <v>5884.5</v>
      </c>
      <c r="I1485">
        <v>5.8</v>
      </c>
    </row>
    <row r="1486" spans="1:9" x14ac:dyDescent="0.3">
      <c r="A1486" t="s">
        <v>1501</v>
      </c>
      <c r="B1486" t="s">
        <v>18</v>
      </c>
      <c r="C1486" t="s">
        <v>14</v>
      </c>
      <c r="D1486">
        <v>48</v>
      </c>
      <c r="E1486" s="1">
        <v>42942</v>
      </c>
      <c r="F1486">
        <v>1.58</v>
      </c>
      <c r="G1486">
        <v>1</v>
      </c>
      <c r="H1486">
        <v>13245.63</v>
      </c>
      <c r="I1486">
        <v>8.3000000000000007</v>
      </c>
    </row>
    <row r="1487" spans="1:9" x14ac:dyDescent="0.3">
      <c r="A1487" t="s">
        <v>1502</v>
      </c>
      <c r="B1487" t="s">
        <v>16</v>
      </c>
      <c r="C1487" t="s">
        <v>14</v>
      </c>
      <c r="D1487">
        <v>51</v>
      </c>
      <c r="E1487" s="1">
        <v>42512</v>
      </c>
      <c r="F1487">
        <v>3.96</v>
      </c>
      <c r="G1487">
        <v>0</v>
      </c>
      <c r="H1487">
        <v>7744.06</v>
      </c>
      <c r="I1487">
        <v>9.5</v>
      </c>
    </row>
    <row r="1488" spans="1:9" x14ac:dyDescent="0.3">
      <c r="A1488" t="s">
        <v>1503</v>
      </c>
      <c r="B1488" t="s">
        <v>18</v>
      </c>
      <c r="C1488" t="s">
        <v>14</v>
      </c>
      <c r="D1488">
        <v>27</v>
      </c>
      <c r="E1488" s="1">
        <v>41246</v>
      </c>
      <c r="F1488">
        <v>2.56</v>
      </c>
      <c r="G1488">
        <v>10</v>
      </c>
      <c r="H1488">
        <v>7796.72</v>
      </c>
      <c r="I1488">
        <v>12.9</v>
      </c>
    </row>
    <row r="1489" spans="1:9" x14ac:dyDescent="0.3">
      <c r="A1489" t="s">
        <v>1504</v>
      </c>
      <c r="B1489" t="s">
        <v>18</v>
      </c>
      <c r="C1489" t="s">
        <v>14</v>
      </c>
      <c r="D1489">
        <v>39</v>
      </c>
      <c r="E1489" s="1">
        <v>43885</v>
      </c>
      <c r="F1489">
        <v>3.72</v>
      </c>
      <c r="G1489">
        <v>7</v>
      </c>
      <c r="H1489">
        <v>10678.77</v>
      </c>
      <c r="I1489">
        <v>5.7</v>
      </c>
    </row>
    <row r="1490" spans="1:9" x14ac:dyDescent="0.3">
      <c r="A1490" t="s">
        <v>1505</v>
      </c>
      <c r="B1490" t="s">
        <v>16</v>
      </c>
      <c r="C1490" t="s">
        <v>14</v>
      </c>
      <c r="D1490">
        <v>38</v>
      </c>
      <c r="E1490" s="1">
        <v>43835</v>
      </c>
      <c r="F1490">
        <v>3.21</v>
      </c>
      <c r="G1490">
        <v>11</v>
      </c>
      <c r="H1490">
        <v>5783.77</v>
      </c>
      <c r="I1490">
        <v>5.8</v>
      </c>
    </row>
    <row r="1491" spans="1:9" x14ac:dyDescent="0.3">
      <c r="A1491" t="s">
        <v>1506</v>
      </c>
      <c r="B1491" t="s">
        <v>18</v>
      </c>
      <c r="C1491" t="s">
        <v>11</v>
      </c>
      <c r="D1491">
        <v>38</v>
      </c>
      <c r="E1491" s="1">
        <v>41552</v>
      </c>
      <c r="F1491">
        <v>2.5499999999999998</v>
      </c>
      <c r="G1491">
        <v>4</v>
      </c>
      <c r="H1491">
        <v>3010.55</v>
      </c>
      <c r="I1491">
        <v>12.1</v>
      </c>
    </row>
    <row r="1492" spans="1:9" x14ac:dyDescent="0.3">
      <c r="A1492" t="s">
        <v>1507</v>
      </c>
      <c r="B1492" t="s">
        <v>18</v>
      </c>
      <c r="C1492" t="s">
        <v>14</v>
      </c>
      <c r="D1492">
        <v>28</v>
      </c>
      <c r="E1492" s="1">
        <v>43349</v>
      </c>
      <c r="F1492">
        <v>2.6</v>
      </c>
      <c r="G1492">
        <v>6</v>
      </c>
      <c r="H1492">
        <v>3141.41</v>
      </c>
      <c r="I1492">
        <v>7.2</v>
      </c>
    </row>
    <row r="1493" spans="1:9" x14ac:dyDescent="0.3">
      <c r="A1493" t="s">
        <v>1508</v>
      </c>
      <c r="B1493" t="s">
        <v>24</v>
      </c>
      <c r="C1493" t="s">
        <v>14</v>
      </c>
      <c r="D1493">
        <v>42</v>
      </c>
      <c r="E1493" s="1">
        <v>41104</v>
      </c>
      <c r="F1493">
        <v>4.95</v>
      </c>
      <c r="G1493">
        <v>7</v>
      </c>
      <c r="H1493">
        <v>9962.48</v>
      </c>
      <c r="I1493">
        <v>13.3</v>
      </c>
    </row>
    <row r="1494" spans="1:9" x14ac:dyDescent="0.3">
      <c r="A1494" t="s">
        <v>1509</v>
      </c>
      <c r="B1494" t="s">
        <v>10</v>
      </c>
      <c r="C1494" t="s">
        <v>11</v>
      </c>
      <c r="D1494">
        <v>34</v>
      </c>
      <c r="E1494" s="1">
        <v>41398</v>
      </c>
      <c r="F1494">
        <v>3.46</v>
      </c>
      <c r="G1494">
        <v>3</v>
      </c>
      <c r="H1494">
        <v>6643.89</v>
      </c>
      <c r="I1494">
        <v>12.5</v>
      </c>
    </row>
    <row r="1495" spans="1:9" x14ac:dyDescent="0.3">
      <c r="A1495" t="s">
        <v>1510</v>
      </c>
      <c r="B1495" t="s">
        <v>24</v>
      </c>
      <c r="C1495" t="s">
        <v>14</v>
      </c>
      <c r="D1495">
        <v>34</v>
      </c>
      <c r="E1495" s="1">
        <v>41550</v>
      </c>
      <c r="F1495">
        <v>1.61</v>
      </c>
      <c r="G1495">
        <v>8</v>
      </c>
      <c r="H1495">
        <v>11678.37</v>
      </c>
      <c r="I1495">
        <v>12.1</v>
      </c>
    </row>
    <row r="1496" spans="1:9" x14ac:dyDescent="0.3">
      <c r="A1496" t="s">
        <v>1511</v>
      </c>
      <c r="B1496" t="s">
        <v>18</v>
      </c>
      <c r="C1496" t="s">
        <v>14</v>
      </c>
      <c r="D1496">
        <v>22</v>
      </c>
      <c r="E1496" s="1">
        <v>42424</v>
      </c>
      <c r="F1496">
        <v>4.6500000000000004</v>
      </c>
      <c r="G1496">
        <v>0</v>
      </c>
      <c r="H1496">
        <v>14112.21</v>
      </c>
      <c r="I1496">
        <v>9.6999999999999993</v>
      </c>
    </row>
    <row r="1497" spans="1:9" x14ac:dyDescent="0.3">
      <c r="A1497" t="s">
        <v>1512</v>
      </c>
      <c r="B1497" t="s">
        <v>10</v>
      </c>
      <c r="C1497" t="s">
        <v>14</v>
      </c>
      <c r="D1497">
        <v>41</v>
      </c>
      <c r="E1497" s="1">
        <v>41253</v>
      </c>
      <c r="F1497">
        <v>2.62</v>
      </c>
      <c r="G1497">
        <v>0</v>
      </c>
      <c r="H1497">
        <v>14722.34</v>
      </c>
      <c r="I1497">
        <v>12.9</v>
      </c>
    </row>
    <row r="1498" spans="1:9" x14ac:dyDescent="0.3">
      <c r="A1498" t="s">
        <v>1513</v>
      </c>
      <c r="B1498" t="s">
        <v>10</v>
      </c>
      <c r="C1498" t="s">
        <v>14</v>
      </c>
      <c r="D1498">
        <v>59</v>
      </c>
      <c r="E1498" s="1">
        <v>42733</v>
      </c>
      <c r="F1498">
        <v>2.4300000000000002</v>
      </c>
      <c r="G1498">
        <v>4</v>
      </c>
      <c r="H1498">
        <v>6459.71</v>
      </c>
      <c r="I1498">
        <v>8.8000000000000007</v>
      </c>
    </row>
    <row r="1499" spans="1:9" x14ac:dyDescent="0.3">
      <c r="A1499" t="s">
        <v>1514</v>
      </c>
      <c r="B1499" t="s">
        <v>34</v>
      </c>
      <c r="C1499" t="s">
        <v>14</v>
      </c>
      <c r="D1499">
        <v>48</v>
      </c>
      <c r="E1499" s="1">
        <v>45085</v>
      </c>
      <c r="F1499">
        <v>2.85</v>
      </c>
      <c r="G1499">
        <v>2</v>
      </c>
      <c r="H1499">
        <v>4121.58</v>
      </c>
      <c r="I1499">
        <v>2.4</v>
      </c>
    </row>
    <row r="1500" spans="1:9" x14ac:dyDescent="0.3">
      <c r="A1500" t="s">
        <v>1515</v>
      </c>
      <c r="B1500" t="s">
        <v>24</v>
      </c>
      <c r="C1500" t="s">
        <v>11</v>
      </c>
      <c r="D1500">
        <v>22</v>
      </c>
      <c r="E1500" s="1">
        <v>40457</v>
      </c>
      <c r="F1500">
        <v>2.74</v>
      </c>
      <c r="G1500">
        <v>14</v>
      </c>
      <c r="H1500">
        <v>11825.56</v>
      </c>
      <c r="I1500">
        <v>15.1</v>
      </c>
    </row>
    <row r="1501" spans="1:9" x14ac:dyDescent="0.3">
      <c r="A1501" t="s">
        <v>1516</v>
      </c>
      <c r="B1501" t="s">
        <v>24</v>
      </c>
      <c r="C1501" t="s">
        <v>14</v>
      </c>
      <c r="D1501">
        <v>29</v>
      </c>
      <c r="E1501" s="1">
        <v>40268</v>
      </c>
      <c r="F1501">
        <v>4.18</v>
      </c>
      <c r="G1501">
        <v>13</v>
      </c>
      <c r="H1501">
        <v>10964.27</v>
      </c>
      <c r="I1501">
        <v>15.6</v>
      </c>
    </row>
    <row r="1502" spans="1:9" x14ac:dyDescent="0.3">
      <c r="A1502" t="s">
        <v>1517</v>
      </c>
      <c r="B1502" t="s">
        <v>24</v>
      </c>
      <c r="C1502" t="s">
        <v>14</v>
      </c>
      <c r="D1502">
        <v>59</v>
      </c>
      <c r="E1502" s="1">
        <v>40253</v>
      </c>
      <c r="F1502">
        <v>3.35</v>
      </c>
      <c r="G1502">
        <v>9</v>
      </c>
      <c r="H1502">
        <v>9414.5300000000007</v>
      </c>
      <c r="I1502">
        <v>15.6</v>
      </c>
    </row>
    <row r="1503" spans="1:9" x14ac:dyDescent="0.3">
      <c r="A1503" t="s">
        <v>1518</v>
      </c>
      <c r="B1503" t="s">
        <v>10</v>
      </c>
      <c r="C1503" t="s">
        <v>11</v>
      </c>
      <c r="D1503">
        <v>56</v>
      </c>
      <c r="E1503" s="1">
        <v>45912</v>
      </c>
      <c r="F1503">
        <v>4.97</v>
      </c>
      <c r="G1503">
        <v>1</v>
      </c>
      <c r="H1503">
        <v>4589.2</v>
      </c>
      <c r="I1503">
        <v>0.1</v>
      </c>
    </row>
    <row r="1504" spans="1:9" x14ac:dyDescent="0.3">
      <c r="A1504" t="s">
        <v>1519</v>
      </c>
      <c r="B1504" t="s">
        <v>18</v>
      </c>
      <c r="C1504" t="s">
        <v>11</v>
      </c>
      <c r="D1504">
        <v>37</v>
      </c>
      <c r="E1504" s="1">
        <v>40920</v>
      </c>
      <c r="F1504">
        <v>4.17</v>
      </c>
      <c r="G1504">
        <v>3</v>
      </c>
      <c r="H1504">
        <v>8718.2099999999991</v>
      </c>
      <c r="I1504">
        <v>13.8</v>
      </c>
    </row>
    <row r="1505" spans="1:9" x14ac:dyDescent="0.3">
      <c r="A1505" t="s">
        <v>1520</v>
      </c>
      <c r="B1505" t="s">
        <v>13</v>
      </c>
      <c r="C1505" t="s">
        <v>14</v>
      </c>
      <c r="D1505">
        <v>53</v>
      </c>
      <c r="E1505" s="1">
        <v>44492</v>
      </c>
      <c r="F1505">
        <v>3.44</v>
      </c>
      <c r="G1505">
        <v>0</v>
      </c>
      <c r="H1505">
        <v>11290.3</v>
      </c>
      <c r="I1505">
        <v>4</v>
      </c>
    </row>
    <row r="1506" spans="1:9" x14ac:dyDescent="0.3">
      <c r="A1506" t="s">
        <v>1521</v>
      </c>
      <c r="B1506" t="s">
        <v>24</v>
      </c>
      <c r="C1506" t="s">
        <v>11</v>
      </c>
      <c r="D1506">
        <v>35</v>
      </c>
      <c r="E1506" s="1">
        <v>42443</v>
      </c>
      <c r="F1506">
        <v>1.71</v>
      </c>
      <c r="G1506">
        <v>14</v>
      </c>
      <c r="H1506">
        <v>5922.15</v>
      </c>
      <c r="I1506">
        <v>9.6</v>
      </c>
    </row>
    <row r="1507" spans="1:9" x14ac:dyDescent="0.3">
      <c r="A1507" t="s">
        <v>1522</v>
      </c>
      <c r="B1507" t="s">
        <v>16</v>
      </c>
      <c r="C1507" t="s">
        <v>11</v>
      </c>
      <c r="D1507">
        <v>52</v>
      </c>
      <c r="E1507" s="1">
        <v>45344</v>
      </c>
      <c r="F1507">
        <v>4.91</v>
      </c>
      <c r="G1507">
        <v>7</v>
      </c>
      <c r="H1507">
        <v>9074.6</v>
      </c>
      <c r="I1507">
        <v>1.7</v>
      </c>
    </row>
    <row r="1508" spans="1:9" x14ac:dyDescent="0.3">
      <c r="A1508" t="s">
        <v>1523</v>
      </c>
      <c r="B1508" t="s">
        <v>13</v>
      </c>
      <c r="C1508" t="s">
        <v>11</v>
      </c>
      <c r="D1508">
        <v>29</v>
      </c>
      <c r="E1508" s="1">
        <v>44389</v>
      </c>
      <c r="F1508">
        <v>3.69</v>
      </c>
      <c r="G1508">
        <v>11</v>
      </c>
      <c r="H1508">
        <v>13725</v>
      </c>
      <c r="I1508">
        <v>4.3</v>
      </c>
    </row>
    <row r="1509" spans="1:9" x14ac:dyDescent="0.3">
      <c r="A1509" t="s">
        <v>1524</v>
      </c>
      <c r="B1509" t="s">
        <v>24</v>
      </c>
      <c r="C1509" t="s">
        <v>11</v>
      </c>
      <c r="D1509">
        <v>33</v>
      </c>
      <c r="E1509" s="1">
        <v>45353</v>
      </c>
      <c r="F1509">
        <v>3.77</v>
      </c>
      <c r="G1509">
        <v>14</v>
      </c>
      <c r="H1509">
        <v>7413.89</v>
      </c>
      <c r="I1509">
        <v>1.7</v>
      </c>
    </row>
    <row r="1510" spans="1:9" x14ac:dyDescent="0.3">
      <c r="A1510" t="s">
        <v>1525</v>
      </c>
      <c r="B1510" t="s">
        <v>24</v>
      </c>
      <c r="C1510" t="s">
        <v>11</v>
      </c>
      <c r="D1510">
        <v>33</v>
      </c>
      <c r="E1510" s="1">
        <v>42474</v>
      </c>
      <c r="F1510">
        <v>4.5</v>
      </c>
      <c r="G1510">
        <v>8</v>
      </c>
      <c r="H1510">
        <v>12076.37</v>
      </c>
      <c r="I1510">
        <v>9.6</v>
      </c>
    </row>
    <row r="1511" spans="1:9" x14ac:dyDescent="0.3">
      <c r="A1511" t="s">
        <v>1526</v>
      </c>
      <c r="B1511" t="s">
        <v>34</v>
      </c>
      <c r="C1511" t="s">
        <v>14</v>
      </c>
      <c r="D1511">
        <v>52</v>
      </c>
      <c r="E1511" s="1">
        <v>44341</v>
      </c>
      <c r="F1511">
        <v>3.12</v>
      </c>
      <c r="G1511">
        <v>7</v>
      </c>
      <c r="H1511">
        <v>8391.39</v>
      </c>
      <c r="I1511">
        <v>4.4000000000000004</v>
      </c>
    </row>
    <row r="1512" spans="1:9" x14ac:dyDescent="0.3">
      <c r="A1512" t="s">
        <v>1527</v>
      </c>
      <c r="B1512" t="s">
        <v>24</v>
      </c>
      <c r="C1512" t="s">
        <v>14</v>
      </c>
      <c r="D1512">
        <v>49</v>
      </c>
      <c r="E1512" s="1">
        <v>45301</v>
      </c>
      <c r="F1512">
        <v>1.72</v>
      </c>
      <c r="G1512">
        <v>1</v>
      </c>
      <c r="H1512">
        <v>11940.64</v>
      </c>
      <c r="I1512">
        <v>1.8</v>
      </c>
    </row>
    <row r="1513" spans="1:9" x14ac:dyDescent="0.3">
      <c r="A1513" t="s">
        <v>1528</v>
      </c>
      <c r="B1513" t="s">
        <v>16</v>
      </c>
      <c r="C1513" t="s">
        <v>11</v>
      </c>
      <c r="D1513">
        <v>39</v>
      </c>
      <c r="E1513" s="1">
        <v>43676</v>
      </c>
      <c r="F1513">
        <v>3.02</v>
      </c>
      <c r="G1513">
        <v>14</v>
      </c>
      <c r="H1513">
        <v>6540.61</v>
      </c>
      <c r="I1513">
        <v>6.3</v>
      </c>
    </row>
    <row r="1514" spans="1:9" x14ac:dyDescent="0.3">
      <c r="A1514" t="s">
        <v>1529</v>
      </c>
      <c r="B1514" t="s">
        <v>16</v>
      </c>
      <c r="C1514" t="s">
        <v>14</v>
      </c>
      <c r="D1514">
        <v>29</v>
      </c>
      <c r="E1514" s="1">
        <v>40294</v>
      </c>
      <c r="F1514">
        <v>4.75</v>
      </c>
      <c r="G1514">
        <v>11</v>
      </c>
      <c r="H1514">
        <v>9757.09</v>
      </c>
      <c r="I1514">
        <v>15.5</v>
      </c>
    </row>
    <row r="1515" spans="1:9" x14ac:dyDescent="0.3">
      <c r="A1515" t="s">
        <v>1530</v>
      </c>
      <c r="B1515" t="s">
        <v>13</v>
      </c>
      <c r="C1515" t="s">
        <v>14</v>
      </c>
      <c r="D1515">
        <v>48</v>
      </c>
      <c r="E1515" s="1">
        <v>42196</v>
      </c>
      <c r="F1515">
        <v>2.67</v>
      </c>
      <c r="G1515">
        <v>15</v>
      </c>
      <c r="H1515">
        <v>13295.03</v>
      </c>
      <c r="I1515">
        <v>10.3</v>
      </c>
    </row>
    <row r="1516" spans="1:9" x14ac:dyDescent="0.3">
      <c r="A1516" t="s">
        <v>1531</v>
      </c>
      <c r="B1516" t="s">
        <v>13</v>
      </c>
      <c r="C1516" t="s">
        <v>14</v>
      </c>
      <c r="D1516">
        <v>45</v>
      </c>
      <c r="E1516" s="1">
        <v>45517</v>
      </c>
      <c r="F1516">
        <v>1.91</v>
      </c>
      <c r="G1516">
        <v>15</v>
      </c>
      <c r="H1516">
        <v>12550.32</v>
      </c>
      <c r="I1516">
        <v>1.2</v>
      </c>
    </row>
    <row r="1517" spans="1:9" x14ac:dyDescent="0.3">
      <c r="A1517" t="s">
        <v>1532</v>
      </c>
      <c r="B1517" t="s">
        <v>24</v>
      </c>
      <c r="C1517" t="s">
        <v>14</v>
      </c>
      <c r="D1517">
        <v>42</v>
      </c>
      <c r="E1517" s="1">
        <v>40779</v>
      </c>
      <c r="F1517">
        <v>4.45</v>
      </c>
      <c r="G1517">
        <v>2</v>
      </c>
      <c r="H1517">
        <v>7439.79</v>
      </c>
      <c r="I1517">
        <v>14.2</v>
      </c>
    </row>
    <row r="1518" spans="1:9" x14ac:dyDescent="0.3">
      <c r="A1518" t="s">
        <v>1533</v>
      </c>
      <c r="B1518" t="s">
        <v>24</v>
      </c>
      <c r="C1518" t="s">
        <v>14</v>
      </c>
      <c r="D1518">
        <v>54</v>
      </c>
      <c r="E1518" s="1">
        <v>41888</v>
      </c>
      <c r="F1518">
        <v>2.84</v>
      </c>
      <c r="G1518">
        <v>6</v>
      </c>
      <c r="H1518">
        <v>14612.93</v>
      </c>
      <c r="I1518">
        <v>11.2</v>
      </c>
    </row>
    <row r="1519" spans="1:9" x14ac:dyDescent="0.3">
      <c r="A1519" t="s">
        <v>1534</v>
      </c>
      <c r="B1519" t="s">
        <v>24</v>
      </c>
      <c r="C1519" t="s">
        <v>11</v>
      </c>
      <c r="D1519">
        <v>46</v>
      </c>
      <c r="E1519" s="1">
        <v>45929</v>
      </c>
      <c r="F1519">
        <v>1.7</v>
      </c>
      <c r="G1519">
        <v>11</v>
      </c>
      <c r="H1519">
        <v>9800.84</v>
      </c>
      <c r="I1519">
        <v>0.1</v>
      </c>
    </row>
    <row r="1520" spans="1:9" x14ac:dyDescent="0.3">
      <c r="A1520" t="s">
        <v>1535</v>
      </c>
      <c r="B1520" t="s">
        <v>24</v>
      </c>
      <c r="C1520" t="s">
        <v>14</v>
      </c>
      <c r="D1520">
        <v>56</v>
      </c>
      <c r="E1520" s="1">
        <v>44675</v>
      </c>
      <c r="F1520">
        <v>1.81</v>
      </c>
      <c r="G1520">
        <v>9</v>
      </c>
      <c r="H1520">
        <v>9912.08</v>
      </c>
      <c r="I1520">
        <v>3.5</v>
      </c>
    </row>
    <row r="1521" spans="1:9" x14ac:dyDescent="0.3">
      <c r="A1521" t="s">
        <v>1536</v>
      </c>
      <c r="B1521" t="s">
        <v>34</v>
      </c>
      <c r="C1521" t="s">
        <v>11</v>
      </c>
      <c r="D1521">
        <v>47</v>
      </c>
      <c r="E1521" s="1">
        <v>41538</v>
      </c>
      <c r="F1521">
        <v>1.75</v>
      </c>
      <c r="G1521">
        <v>2</v>
      </c>
      <c r="H1521">
        <v>3583.95</v>
      </c>
      <c r="I1521">
        <v>12.1</v>
      </c>
    </row>
    <row r="1522" spans="1:9" x14ac:dyDescent="0.3">
      <c r="A1522" t="s">
        <v>1537</v>
      </c>
      <c r="B1522" t="s">
        <v>16</v>
      </c>
      <c r="C1522" t="s">
        <v>11</v>
      </c>
      <c r="D1522">
        <v>42</v>
      </c>
      <c r="E1522" s="1">
        <v>40332</v>
      </c>
      <c r="F1522">
        <v>4.6500000000000004</v>
      </c>
      <c r="G1522">
        <v>5</v>
      </c>
      <c r="H1522">
        <v>8935.09</v>
      </c>
      <c r="I1522">
        <v>15.4</v>
      </c>
    </row>
    <row r="1523" spans="1:9" x14ac:dyDescent="0.3">
      <c r="A1523" t="s">
        <v>1538</v>
      </c>
      <c r="B1523" t="s">
        <v>34</v>
      </c>
      <c r="C1523" t="s">
        <v>11</v>
      </c>
      <c r="D1523">
        <v>42</v>
      </c>
      <c r="E1523" s="1">
        <v>44684</v>
      </c>
      <c r="F1523">
        <v>3.58</v>
      </c>
      <c r="G1523">
        <v>1</v>
      </c>
      <c r="H1523">
        <v>7753.51</v>
      </c>
      <c r="I1523">
        <v>3.5</v>
      </c>
    </row>
    <row r="1524" spans="1:9" x14ac:dyDescent="0.3">
      <c r="A1524" t="s">
        <v>1539</v>
      </c>
      <c r="B1524" t="s">
        <v>18</v>
      </c>
      <c r="C1524" t="s">
        <v>11</v>
      </c>
      <c r="D1524">
        <v>49</v>
      </c>
      <c r="E1524" s="1">
        <v>44217</v>
      </c>
      <c r="F1524">
        <v>2.54</v>
      </c>
      <c r="G1524">
        <v>14</v>
      </c>
      <c r="H1524">
        <v>7002.77</v>
      </c>
      <c r="I1524">
        <v>4.8</v>
      </c>
    </row>
    <row r="1525" spans="1:9" x14ac:dyDescent="0.3">
      <c r="A1525" t="s">
        <v>1540</v>
      </c>
      <c r="B1525" t="s">
        <v>16</v>
      </c>
      <c r="C1525" t="s">
        <v>14</v>
      </c>
      <c r="D1525">
        <v>30</v>
      </c>
      <c r="E1525" s="1">
        <v>40778</v>
      </c>
      <c r="F1525">
        <v>4.71</v>
      </c>
      <c r="G1525">
        <v>6</v>
      </c>
      <c r="H1525">
        <v>7031.21</v>
      </c>
      <c r="I1525">
        <v>14.2</v>
      </c>
    </row>
    <row r="1526" spans="1:9" x14ac:dyDescent="0.3">
      <c r="A1526" t="s">
        <v>1541</v>
      </c>
      <c r="B1526" t="s">
        <v>16</v>
      </c>
      <c r="C1526" t="s">
        <v>11</v>
      </c>
      <c r="D1526">
        <v>27</v>
      </c>
      <c r="E1526" s="1">
        <v>45352</v>
      </c>
      <c r="F1526">
        <v>4.63</v>
      </c>
      <c r="G1526">
        <v>14</v>
      </c>
      <c r="H1526">
        <v>12724.53</v>
      </c>
      <c r="I1526">
        <v>1.7</v>
      </c>
    </row>
    <row r="1527" spans="1:9" x14ac:dyDescent="0.3">
      <c r="A1527" t="s">
        <v>1542</v>
      </c>
      <c r="B1527" t="s">
        <v>13</v>
      </c>
      <c r="C1527" t="s">
        <v>14</v>
      </c>
      <c r="D1527">
        <v>35</v>
      </c>
      <c r="E1527" s="1">
        <v>41330</v>
      </c>
      <c r="F1527">
        <v>4.76</v>
      </c>
      <c r="G1527">
        <v>13</v>
      </c>
      <c r="H1527">
        <v>6309.32</v>
      </c>
      <c r="I1527">
        <v>12.7</v>
      </c>
    </row>
    <row r="1528" spans="1:9" x14ac:dyDescent="0.3">
      <c r="A1528" t="s">
        <v>1543</v>
      </c>
      <c r="B1528" t="s">
        <v>10</v>
      </c>
      <c r="C1528" t="s">
        <v>11</v>
      </c>
      <c r="D1528">
        <v>42</v>
      </c>
      <c r="E1528" s="1">
        <v>43922</v>
      </c>
      <c r="F1528">
        <v>3.28</v>
      </c>
      <c r="G1528">
        <v>0</v>
      </c>
      <c r="H1528">
        <v>6549.78</v>
      </c>
      <c r="I1528">
        <v>5.6</v>
      </c>
    </row>
    <row r="1529" spans="1:9" x14ac:dyDescent="0.3">
      <c r="A1529" t="s">
        <v>1544</v>
      </c>
      <c r="B1529" t="s">
        <v>18</v>
      </c>
      <c r="C1529" t="s">
        <v>14</v>
      </c>
      <c r="D1529">
        <v>30</v>
      </c>
      <c r="E1529" s="1">
        <v>41587</v>
      </c>
      <c r="F1529">
        <v>4.84</v>
      </c>
      <c r="G1529">
        <v>1</v>
      </c>
      <c r="H1529">
        <v>11929.08</v>
      </c>
      <c r="I1529">
        <v>12</v>
      </c>
    </row>
    <row r="1530" spans="1:9" x14ac:dyDescent="0.3">
      <c r="A1530" t="s">
        <v>1545</v>
      </c>
      <c r="B1530" t="s">
        <v>16</v>
      </c>
      <c r="C1530" t="s">
        <v>14</v>
      </c>
      <c r="D1530">
        <v>26</v>
      </c>
      <c r="E1530" s="1">
        <v>41778</v>
      </c>
      <c r="F1530">
        <v>4.45</v>
      </c>
      <c r="G1530">
        <v>8</v>
      </c>
      <c r="H1530">
        <v>4209.66</v>
      </c>
      <c r="I1530">
        <v>11.5</v>
      </c>
    </row>
    <row r="1531" spans="1:9" x14ac:dyDescent="0.3">
      <c r="A1531" t="s">
        <v>1546</v>
      </c>
      <c r="B1531" t="s">
        <v>10</v>
      </c>
      <c r="C1531" t="s">
        <v>11</v>
      </c>
      <c r="D1531">
        <v>32</v>
      </c>
      <c r="E1531" s="1">
        <v>42627</v>
      </c>
      <c r="F1531">
        <v>1.86</v>
      </c>
      <c r="G1531">
        <v>10</v>
      </c>
      <c r="H1531">
        <v>9515.49</v>
      </c>
      <c r="I1531">
        <v>9.1</v>
      </c>
    </row>
    <row r="1532" spans="1:9" x14ac:dyDescent="0.3">
      <c r="A1532" t="s">
        <v>1547</v>
      </c>
      <c r="B1532" t="s">
        <v>10</v>
      </c>
      <c r="C1532" t="s">
        <v>14</v>
      </c>
      <c r="D1532">
        <v>43</v>
      </c>
      <c r="E1532" s="1">
        <v>41685</v>
      </c>
      <c r="F1532">
        <v>2.94</v>
      </c>
      <c r="G1532">
        <v>1</v>
      </c>
      <c r="H1532">
        <v>12110.33</v>
      </c>
      <c r="I1532">
        <v>11.7</v>
      </c>
    </row>
    <row r="1533" spans="1:9" x14ac:dyDescent="0.3">
      <c r="A1533" t="s">
        <v>1548</v>
      </c>
      <c r="B1533" t="s">
        <v>24</v>
      </c>
      <c r="C1533" t="s">
        <v>11</v>
      </c>
      <c r="D1533">
        <v>57</v>
      </c>
      <c r="E1533" s="1">
        <v>45289</v>
      </c>
      <c r="F1533">
        <v>4.33</v>
      </c>
      <c r="G1533">
        <v>3</v>
      </c>
      <c r="H1533">
        <v>14374.61</v>
      </c>
      <c r="I1533">
        <v>1.8</v>
      </c>
    </row>
    <row r="1534" spans="1:9" x14ac:dyDescent="0.3">
      <c r="A1534" t="s">
        <v>1549</v>
      </c>
      <c r="B1534" t="s">
        <v>16</v>
      </c>
      <c r="C1534" t="s">
        <v>14</v>
      </c>
      <c r="D1534">
        <v>51</v>
      </c>
      <c r="E1534" s="1">
        <v>41195</v>
      </c>
      <c r="F1534">
        <v>2.0099999999999998</v>
      </c>
      <c r="G1534">
        <v>8</v>
      </c>
      <c r="H1534">
        <v>13063.06</v>
      </c>
      <c r="I1534">
        <v>13.1</v>
      </c>
    </row>
    <row r="1535" spans="1:9" x14ac:dyDescent="0.3">
      <c r="A1535" t="s">
        <v>1550</v>
      </c>
      <c r="B1535" t="s">
        <v>24</v>
      </c>
      <c r="C1535" t="s">
        <v>11</v>
      </c>
      <c r="D1535">
        <v>50</v>
      </c>
      <c r="E1535" s="1">
        <v>41770</v>
      </c>
      <c r="F1535">
        <v>2.23</v>
      </c>
      <c r="G1535">
        <v>1</v>
      </c>
      <c r="H1535">
        <v>6075.21</v>
      </c>
      <c r="I1535">
        <v>11.5</v>
      </c>
    </row>
    <row r="1536" spans="1:9" x14ac:dyDescent="0.3">
      <c r="A1536" t="s">
        <v>1551</v>
      </c>
      <c r="B1536" t="s">
        <v>16</v>
      </c>
      <c r="C1536" t="s">
        <v>11</v>
      </c>
      <c r="D1536">
        <v>23</v>
      </c>
      <c r="E1536" s="1">
        <v>44697</v>
      </c>
      <c r="F1536">
        <v>3.86</v>
      </c>
      <c r="G1536">
        <v>2</v>
      </c>
      <c r="H1536">
        <v>9811.3700000000008</v>
      </c>
      <c r="I1536">
        <v>3.5</v>
      </c>
    </row>
    <row r="1537" spans="1:9" x14ac:dyDescent="0.3">
      <c r="A1537" t="s">
        <v>1552</v>
      </c>
      <c r="B1537" t="s">
        <v>10</v>
      </c>
      <c r="C1537" t="s">
        <v>11</v>
      </c>
      <c r="D1537">
        <v>29</v>
      </c>
      <c r="E1537" s="1">
        <v>45371</v>
      </c>
      <c r="F1537">
        <v>2.15</v>
      </c>
      <c r="G1537">
        <v>11</v>
      </c>
      <c r="H1537">
        <v>9634.68</v>
      </c>
      <c r="I1537">
        <v>1.6</v>
      </c>
    </row>
    <row r="1538" spans="1:9" x14ac:dyDescent="0.3">
      <c r="A1538" t="s">
        <v>1553</v>
      </c>
      <c r="B1538" t="s">
        <v>10</v>
      </c>
      <c r="C1538" t="s">
        <v>14</v>
      </c>
      <c r="D1538">
        <v>58</v>
      </c>
      <c r="E1538" s="1">
        <v>41512</v>
      </c>
      <c r="F1538">
        <v>4.1100000000000003</v>
      </c>
      <c r="G1538">
        <v>7</v>
      </c>
      <c r="H1538">
        <v>7040.59</v>
      </c>
      <c r="I1538">
        <v>12.2</v>
      </c>
    </row>
    <row r="1539" spans="1:9" x14ac:dyDescent="0.3">
      <c r="A1539" t="s">
        <v>1554</v>
      </c>
      <c r="B1539" t="s">
        <v>13</v>
      </c>
      <c r="C1539" t="s">
        <v>11</v>
      </c>
      <c r="D1539">
        <v>48</v>
      </c>
      <c r="E1539" s="1">
        <v>42122</v>
      </c>
      <c r="F1539">
        <v>4.72</v>
      </c>
      <c r="G1539">
        <v>7</v>
      </c>
      <c r="H1539">
        <v>12891.9</v>
      </c>
      <c r="I1539">
        <v>10.5</v>
      </c>
    </row>
    <row r="1540" spans="1:9" x14ac:dyDescent="0.3">
      <c r="A1540" t="s">
        <v>1555</v>
      </c>
      <c r="B1540" t="s">
        <v>16</v>
      </c>
      <c r="C1540" t="s">
        <v>11</v>
      </c>
      <c r="D1540">
        <v>28</v>
      </c>
      <c r="E1540" s="1">
        <v>42501</v>
      </c>
      <c r="F1540">
        <v>4.54</v>
      </c>
      <c r="G1540">
        <v>14</v>
      </c>
      <c r="H1540">
        <v>4821.32</v>
      </c>
      <c r="I1540">
        <v>9.5</v>
      </c>
    </row>
    <row r="1541" spans="1:9" x14ac:dyDescent="0.3">
      <c r="A1541" t="s">
        <v>1556</v>
      </c>
      <c r="B1541" t="s">
        <v>13</v>
      </c>
      <c r="C1541" t="s">
        <v>14</v>
      </c>
      <c r="D1541">
        <v>22</v>
      </c>
      <c r="E1541" s="1">
        <v>45670</v>
      </c>
      <c r="F1541">
        <v>3.79</v>
      </c>
      <c r="G1541">
        <v>12</v>
      </c>
      <c r="H1541">
        <v>12886.62</v>
      </c>
      <c r="I1541">
        <v>0.8</v>
      </c>
    </row>
    <row r="1542" spans="1:9" x14ac:dyDescent="0.3">
      <c r="A1542" t="s">
        <v>1557</v>
      </c>
      <c r="B1542" t="s">
        <v>10</v>
      </c>
      <c r="C1542" t="s">
        <v>11</v>
      </c>
      <c r="D1542">
        <v>45</v>
      </c>
      <c r="E1542" s="1">
        <v>44355</v>
      </c>
      <c r="F1542">
        <v>2.9</v>
      </c>
      <c r="G1542">
        <v>6</v>
      </c>
      <c r="H1542">
        <v>14597.07</v>
      </c>
      <c r="I1542">
        <v>4.4000000000000004</v>
      </c>
    </row>
    <row r="1543" spans="1:9" x14ac:dyDescent="0.3">
      <c r="A1543" t="s">
        <v>1558</v>
      </c>
      <c r="B1543" t="s">
        <v>24</v>
      </c>
      <c r="C1543" t="s">
        <v>14</v>
      </c>
      <c r="D1543">
        <v>25</v>
      </c>
      <c r="E1543" s="1">
        <v>45698</v>
      </c>
      <c r="F1543">
        <v>2.4900000000000002</v>
      </c>
      <c r="G1543">
        <v>5</v>
      </c>
      <c r="H1543">
        <v>13385.64</v>
      </c>
      <c r="I1543">
        <v>0.7</v>
      </c>
    </row>
    <row r="1544" spans="1:9" x14ac:dyDescent="0.3">
      <c r="A1544" t="s">
        <v>1559</v>
      </c>
      <c r="B1544" t="s">
        <v>10</v>
      </c>
      <c r="C1544" t="s">
        <v>14</v>
      </c>
      <c r="D1544">
        <v>25</v>
      </c>
      <c r="E1544" s="1">
        <v>43256</v>
      </c>
      <c r="F1544">
        <v>1.9</v>
      </c>
      <c r="G1544">
        <v>0</v>
      </c>
      <c r="H1544">
        <v>7139.71</v>
      </c>
      <c r="I1544">
        <v>7.4</v>
      </c>
    </row>
    <row r="1545" spans="1:9" x14ac:dyDescent="0.3">
      <c r="A1545" t="s">
        <v>1560</v>
      </c>
      <c r="B1545" t="s">
        <v>16</v>
      </c>
      <c r="C1545" t="s">
        <v>14</v>
      </c>
      <c r="D1545">
        <v>50</v>
      </c>
      <c r="E1545" s="1">
        <v>41614</v>
      </c>
      <c r="F1545">
        <v>1.88</v>
      </c>
      <c r="G1545">
        <v>11</v>
      </c>
      <c r="H1545">
        <v>11910.58</v>
      </c>
      <c r="I1545">
        <v>11.9</v>
      </c>
    </row>
    <row r="1546" spans="1:9" x14ac:dyDescent="0.3">
      <c r="A1546" t="s">
        <v>1561</v>
      </c>
      <c r="B1546" t="s">
        <v>13</v>
      </c>
      <c r="C1546" t="s">
        <v>11</v>
      </c>
      <c r="D1546">
        <v>33</v>
      </c>
      <c r="E1546" s="1">
        <v>43481</v>
      </c>
      <c r="F1546">
        <v>1.55</v>
      </c>
      <c r="G1546">
        <v>2</v>
      </c>
      <c r="H1546">
        <v>8255.0300000000007</v>
      </c>
      <c r="I1546">
        <v>6.8</v>
      </c>
    </row>
    <row r="1547" spans="1:9" x14ac:dyDescent="0.3">
      <c r="A1547" t="s">
        <v>1562</v>
      </c>
      <c r="B1547" t="s">
        <v>10</v>
      </c>
      <c r="C1547" t="s">
        <v>11</v>
      </c>
      <c r="D1547">
        <v>31</v>
      </c>
      <c r="E1547" s="1">
        <v>43708</v>
      </c>
      <c r="F1547">
        <v>2.75</v>
      </c>
      <c r="G1547">
        <v>1</v>
      </c>
      <c r="H1547">
        <v>12024.81</v>
      </c>
      <c r="I1547">
        <v>6.2</v>
      </c>
    </row>
    <row r="1548" spans="1:9" x14ac:dyDescent="0.3">
      <c r="A1548" t="s">
        <v>1563</v>
      </c>
      <c r="B1548" t="s">
        <v>16</v>
      </c>
      <c r="C1548" t="s">
        <v>14</v>
      </c>
      <c r="D1548">
        <v>29</v>
      </c>
      <c r="E1548" s="1">
        <v>41313</v>
      </c>
      <c r="F1548">
        <v>4.99</v>
      </c>
      <c r="G1548">
        <v>15</v>
      </c>
      <c r="H1548">
        <v>10616.41</v>
      </c>
      <c r="I1548">
        <v>12.7</v>
      </c>
    </row>
    <row r="1549" spans="1:9" x14ac:dyDescent="0.3">
      <c r="A1549" t="s">
        <v>1564</v>
      </c>
      <c r="B1549" t="s">
        <v>13</v>
      </c>
      <c r="C1549" t="s">
        <v>14</v>
      </c>
      <c r="D1549">
        <v>48</v>
      </c>
      <c r="E1549" s="1">
        <v>44970</v>
      </c>
      <c r="F1549">
        <v>4.8499999999999996</v>
      </c>
      <c r="G1549">
        <v>14</v>
      </c>
      <c r="H1549">
        <v>3262.01</v>
      </c>
      <c r="I1549">
        <v>2.7</v>
      </c>
    </row>
    <row r="1550" spans="1:9" x14ac:dyDescent="0.3">
      <c r="A1550" t="s">
        <v>1565</v>
      </c>
      <c r="B1550" t="s">
        <v>24</v>
      </c>
      <c r="C1550" t="s">
        <v>14</v>
      </c>
      <c r="D1550">
        <v>49</v>
      </c>
      <c r="E1550" s="1">
        <v>41773</v>
      </c>
      <c r="F1550">
        <v>3.13</v>
      </c>
      <c r="G1550">
        <v>7</v>
      </c>
      <c r="H1550">
        <v>13990.18</v>
      </c>
      <c r="I1550">
        <v>11.5</v>
      </c>
    </row>
    <row r="1551" spans="1:9" x14ac:dyDescent="0.3">
      <c r="A1551" t="s">
        <v>1566</v>
      </c>
      <c r="B1551" t="s">
        <v>13</v>
      </c>
      <c r="C1551" t="s">
        <v>11</v>
      </c>
      <c r="D1551">
        <v>60</v>
      </c>
      <c r="E1551" s="1">
        <v>40723</v>
      </c>
      <c r="F1551">
        <v>4.3899999999999997</v>
      </c>
      <c r="G1551">
        <v>7</v>
      </c>
      <c r="H1551">
        <v>6764.96</v>
      </c>
      <c r="I1551">
        <v>14.4</v>
      </c>
    </row>
    <row r="1552" spans="1:9" x14ac:dyDescent="0.3">
      <c r="A1552" t="s">
        <v>1567</v>
      </c>
      <c r="B1552" t="s">
        <v>18</v>
      </c>
      <c r="C1552" t="s">
        <v>14</v>
      </c>
      <c r="D1552">
        <v>25</v>
      </c>
      <c r="E1552" s="1">
        <v>40741</v>
      </c>
      <c r="F1552">
        <v>4.7699999999999996</v>
      </c>
      <c r="G1552">
        <v>13</v>
      </c>
      <c r="H1552">
        <v>3323.91</v>
      </c>
      <c r="I1552">
        <v>14.3</v>
      </c>
    </row>
    <row r="1553" spans="1:9" x14ac:dyDescent="0.3">
      <c r="A1553" t="s">
        <v>1568</v>
      </c>
      <c r="B1553" t="s">
        <v>16</v>
      </c>
      <c r="C1553" t="s">
        <v>14</v>
      </c>
      <c r="D1553">
        <v>49</v>
      </c>
      <c r="E1553" s="1">
        <v>44540</v>
      </c>
      <c r="F1553">
        <v>2.48</v>
      </c>
      <c r="G1553">
        <v>7</v>
      </c>
      <c r="H1553">
        <v>3820.26</v>
      </c>
      <c r="I1553">
        <v>3.9</v>
      </c>
    </row>
    <row r="1554" spans="1:9" x14ac:dyDescent="0.3">
      <c r="A1554" t="s">
        <v>1569</v>
      </c>
      <c r="B1554" t="s">
        <v>24</v>
      </c>
      <c r="C1554" t="s">
        <v>14</v>
      </c>
      <c r="D1554">
        <v>56</v>
      </c>
      <c r="E1554" s="1">
        <v>42078</v>
      </c>
      <c r="F1554">
        <v>3.3</v>
      </c>
      <c r="G1554">
        <v>15</v>
      </c>
      <c r="H1554">
        <v>9148.77</v>
      </c>
      <c r="I1554">
        <v>10.6</v>
      </c>
    </row>
    <row r="1555" spans="1:9" x14ac:dyDescent="0.3">
      <c r="A1555" t="s">
        <v>1570</v>
      </c>
      <c r="B1555" t="s">
        <v>34</v>
      </c>
      <c r="C1555" t="s">
        <v>11</v>
      </c>
      <c r="D1555">
        <v>42</v>
      </c>
      <c r="E1555" s="1">
        <v>41517</v>
      </c>
      <c r="F1555">
        <v>2.33</v>
      </c>
      <c r="G1555">
        <v>12</v>
      </c>
      <c r="H1555">
        <v>5083.59</v>
      </c>
      <c r="I1555">
        <v>12.2</v>
      </c>
    </row>
    <row r="1556" spans="1:9" x14ac:dyDescent="0.3">
      <c r="A1556" t="s">
        <v>1571</v>
      </c>
      <c r="B1556" t="s">
        <v>16</v>
      </c>
      <c r="C1556" t="s">
        <v>11</v>
      </c>
      <c r="D1556">
        <v>55</v>
      </c>
      <c r="E1556" s="1">
        <v>40888</v>
      </c>
      <c r="F1556">
        <v>4.7300000000000004</v>
      </c>
      <c r="G1556">
        <v>9</v>
      </c>
      <c r="H1556">
        <v>9326.3700000000008</v>
      </c>
      <c r="I1556">
        <v>13.9</v>
      </c>
    </row>
    <row r="1557" spans="1:9" x14ac:dyDescent="0.3">
      <c r="A1557" t="s">
        <v>1572</v>
      </c>
      <c r="B1557" t="s">
        <v>34</v>
      </c>
      <c r="C1557" t="s">
        <v>11</v>
      </c>
      <c r="D1557">
        <v>42</v>
      </c>
      <c r="E1557" s="1">
        <v>44904</v>
      </c>
      <c r="F1557">
        <v>3.12</v>
      </c>
      <c r="G1557">
        <v>15</v>
      </c>
      <c r="H1557">
        <v>5753.47</v>
      </c>
      <c r="I1557">
        <v>2.9</v>
      </c>
    </row>
    <row r="1558" spans="1:9" x14ac:dyDescent="0.3">
      <c r="A1558" t="s">
        <v>1573</v>
      </c>
      <c r="B1558" t="s">
        <v>24</v>
      </c>
      <c r="C1558" t="s">
        <v>11</v>
      </c>
      <c r="D1558">
        <v>24</v>
      </c>
      <c r="E1558" s="1">
        <v>43955</v>
      </c>
      <c r="F1558">
        <v>1.7</v>
      </c>
      <c r="G1558">
        <v>11</v>
      </c>
      <c r="H1558">
        <v>10990.94</v>
      </c>
      <c r="I1558">
        <v>5.5</v>
      </c>
    </row>
    <row r="1559" spans="1:9" x14ac:dyDescent="0.3">
      <c r="A1559" t="s">
        <v>1574</v>
      </c>
      <c r="B1559" t="s">
        <v>13</v>
      </c>
      <c r="C1559" t="s">
        <v>11</v>
      </c>
      <c r="D1559">
        <v>46</v>
      </c>
      <c r="E1559" s="1">
        <v>44335</v>
      </c>
      <c r="F1559">
        <v>2.48</v>
      </c>
      <c r="G1559">
        <v>14</v>
      </c>
      <c r="H1559">
        <v>3801.82</v>
      </c>
      <c r="I1559">
        <v>4.5</v>
      </c>
    </row>
    <row r="1560" spans="1:9" x14ac:dyDescent="0.3">
      <c r="A1560" t="s">
        <v>1575</v>
      </c>
      <c r="B1560" t="s">
        <v>13</v>
      </c>
      <c r="C1560" t="s">
        <v>11</v>
      </c>
      <c r="D1560">
        <v>54</v>
      </c>
      <c r="E1560" s="1">
        <v>45797</v>
      </c>
      <c r="F1560">
        <v>3.24</v>
      </c>
      <c r="G1560">
        <v>2</v>
      </c>
      <c r="H1560">
        <v>9117.9599999999991</v>
      </c>
      <c r="I1560">
        <v>0.5</v>
      </c>
    </row>
    <row r="1561" spans="1:9" x14ac:dyDescent="0.3">
      <c r="A1561" t="s">
        <v>1576</v>
      </c>
      <c r="B1561" t="s">
        <v>18</v>
      </c>
      <c r="C1561" t="s">
        <v>14</v>
      </c>
      <c r="D1561">
        <v>25</v>
      </c>
      <c r="E1561" s="1">
        <v>43440</v>
      </c>
      <c r="F1561">
        <v>3.29</v>
      </c>
      <c r="G1561">
        <v>2</v>
      </c>
      <c r="H1561">
        <v>11032.21</v>
      </c>
      <c r="I1561">
        <v>6.9</v>
      </c>
    </row>
    <row r="1562" spans="1:9" x14ac:dyDescent="0.3">
      <c r="A1562" t="s">
        <v>1577</v>
      </c>
      <c r="B1562" t="s">
        <v>34</v>
      </c>
      <c r="C1562" t="s">
        <v>14</v>
      </c>
      <c r="D1562">
        <v>29</v>
      </c>
      <c r="E1562" s="1">
        <v>41947</v>
      </c>
      <c r="F1562">
        <v>4.41</v>
      </c>
      <c r="G1562">
        <v>0</v>
      </c>
      <c r="H1562">
        <v>6903.61</v>
      </c>
      <c r="I1562">
        <v>11</v>
      </c>
    </row>
    <row r="1563" spans="1:9" x14ac:dyDescent="0.3">
      <c r="A1563" t="s">
        <v>1578</v>
      </c>
      <c r="B1563" t="s">
        <v>24</v>
      </c>
      <c r="C1563" t="s">
        <v>14</v>
      </c>
      <c r="D1563">
        <v>54</v>
      </c>
      <c r="E1563" s="1">
        <v>40736</v>
      </c>
      <c r="F1563">
        <v>1.84</v>
      </c>
      <c r="G1563">
        <v>10</v>
      </c>
      <c r="H1563">
        <v>7264.32</v>
      </c>
      <c r="I1563">
        <v>14.3</v>
      </c>
    </row>
    <row r="1564" spans="1:9" x14ac:dyDescent="0.3">
      <c r="A1564" t="s">
        <v>1579</v>
      </c>
      <c r="B1564" t="s">
        <v>10</v>
      </c>
      <c r="C1564" t="s">
        <v>11</v>
      </c>
      <c r="D1564">
        <v>29</v>
      </c>
      <c r="E1564" s="1">
        <v>43551</v>
      </c>
      <c r="F1564">
        <v>3.09</v>
      </c>
      <c r="G1564">
        <v>14</v>
      </c>
      <c r="H1564">
        <v>14027.29</v>
      </c>
      <c r="I1564">
        <v>6.6</v>
      </c>
    </row>
    <row r="1565" spans="1:9" x14ac:dyDescent="0.3">
      <c r="A1565" t="s">
        <v>1580</v>
      </c>
      <c r="B1565" t="s">
        <v>24</v>
      </c>
      <c r="C1565" t="s">
        <v>14</v>
      </c>
      <c r="D1565">
        <v>35</v>
      </c>
      <c r="E1565" s="1">
        <v>41647</v>
      </c>
      <c r="F1565">
        <v>3.17</v>
      </c>
      <c r="G1565">
        <v>15</v>
      </c>
      <c r="H1565">
        <v>6806.97</v>
      </c>
      <c r="I1565">
        <v>11.8</v>
      </c>
    </row>
    <row r="1566" spans="1:9" x14ac:dyDescent="0.3">
      <c r="A1566" t="s">
        <v>1581</v>
      </c>
      <c r="B1566" t="s">
        <v>34</v>
      </c>
      <c r="C1566" t="s">
        <v>14</v>
      </c>
      <c r="D1566">
        <v>30</v>
      </c>
      <c r="E1566" s="1">
        <v>41939</v>
      </c>
      <c r="F1566">
        <v>4.01</v>
      </c>
      <c r="G1566">
        <v>9</v>
      </c>
      <c r="H1566">
        <v>5561.2</v>
      </c>
      <c r="I1566">
        <v>11</v>
      </c>
    </row>
    <row r="1567" spans="1:9" x14ac:dyDescent="0.3">
      <c r="A1567" t="s">
        <v>1582</v>
      </c>
      <c r="B1567" t="s">
        <v>34</v>
      </c>
      <c r="C1567" t="s">
        <v>14</v>
      </c>
      <c r="D1567">
        <v>33</v>
      </c>
      <c r="E1567" s="1">
        <v>45672</v>
      </c>
      <c r="F1567">
        <v>4.5199999999999996</v>
      </c>
      <c r="G1567">
        <v>5</v>
      </c>
      <c r="H1567">
        <v>10835.69</v>
      </c>
      <c r="I1567">
        <v>0.8</v>
      </c>
    </row>
    <row r="1568" spans="1:9" x14ac:dyDescent="0.3">
      <c r="A1568" t="s">
        <v>1583</v>
      </c>
      <c r="B1568" t="s">
        <v>34</v>
      </c>
      <c r="C1568" t="s">
        <v>14</v>
      </c>
      <c r="D1568">
        <v>23</v>
      </c>
      <c r="E1568" s="1">
        <v>41913</v>
      </c>
      <c r="F1568">
        <v>1.56</v>
      </c>
      <c r="G1568">
        <v>11</v>
      </c>
      <c r="H1568">
        <v>10758.29</v>
      </c>
      <c r="I1568">
        <v>11.1</v>
      </c>
    </row>
    <row r="1569" spans="1:9" x14ac:dyDescent="0.3">
      <c r="A1569" t="s">
        <v>1584</v>
      </c>
      <c r="B1569" t="s">
        <v>13</v>
      </c>
      <c r="C1569" t="s">
        <v>14</v>
      </c>
      <c r="D1569">
        <v>53</v>
      </c>
      <c r="E1569" s="1">
        <v>43110</v>
      </c>
      <c r="F1569">
        <v>3.07</v>
      </c>
      <c r="G1569">
        <v>11</v>
      </c>
      <c r="H1569">
        <v>11070.49</v>
      </c>
      <c r="I1569">
        <v>7.8</v>
      </c>
    </row>
    <row r="1570" spans="1:9" x14ac:dyDescent="0.3">
      <c r="A1570" t="s">
        <v>1585</v>
      </c>
      <c r="B1570" t="s">
        <v>10</v>
      </c>
      <c r="C1570" t="s">
        <v>14</v>
      </c>
      <c r="D1570">
        <v>55</v>
      </c>
      <c r="E1570" s="1">
        <v>44756</v>
      </c>
      <c r="F1570">
        <v>4.9000000000000004</v>
      </c>
      <c r="G1570">
        <v>1</v>
      </c>
      <c r="H1570">
        <v>13917.14</v>
      </c>
      <c r="I1570">
        <v>3.3</v>
      </c>
    </row>
    <row r="1571" spans="1:9" x14ac:dyDescent="0.3">
      <c r="A1571" t="s">
        <v>1586</v>
      </c>
      <c r="B1571" t="s">
        <v>34</v>
      </c>
      <c r="C1571" t="s">
        <v>14</v>
      </c>
      <c r="D1571">
        <v>55</v>
      </c>
      <c r="E1571" s="1">
        <v>43504</v>
      </c>
      <c r="F1571">
        <v>4.45</v>
      </c>
      <c r="G1571">
        <v>7</v>
      </c>
      <c r="H1571">
        <v>9890.18</v>
      </c>
      <c r="I1571">
        <v>6.7</v>
      </c>
    </row>
    <row r="1572" spans="1:9" x14ac:dyDescent="0.3">
      <c r="A1572" t="s">
        <v>1587</v>
      </c>
      <c r="B1572" t="s">
        <v>16</v>
      </c>
      <c r="C1572" t="s">
        <v>14</v>
      </c>
      <c r="D1572">
        <v>57</v>
      </c>
      <c r="E1572" s="1">
        <v>44297</v>
      </c>
      <c r="F1572">
        <v>2.2000000000000002</v>
      </c>
      <c r="G1572">
        <v>9</v>
      </c>
      <c r="H1572">
        <v>14936.96</v>
      </c>
      <c r="I1572">
        <v>4.5999999999999996</v>
      </c>
    </row>
    <row r="1573" spans="1:9" x14ac:dyDescent="0.3">
      <c r="A1573" t="s">
        <v>1588</v>
      </c>
      <c r="B1573" t="s">
        <v>16</v>
      </c>
      <c r="C1573" t="s">
        <v>14</v>
      </c>
      <c r="D1573">
        <v>57</v>
      </c>
      <c r="E1573" s="1">
        <v>45411</v>
      </c>
      <c r="F1573">
        <v>4.54</v>
      </c>
      <c r="G1573">
        <v>14</v>
      </c>
      <c r="H1573">
        <v>9258.69</v>
      </c>
      <c r="I1573">
        <v>1.5</v>
      </c>
    </row>
    <row r="1574" spans="1:9" x14ac:dyDescent="0.3">
      <c r="A1574" t="s">
        <v>1589</v>
      </c>
      <c r="B1574" t="s">
        <v>18</v>
      </c>
      <c r="C1574" t="s">
        <v>11</v>
      </c>
      <c r="D1574">
        <v>31</v>
      </c>
      <c r="E1574" s="1">
        <v>45353</v>
      </c>
      <c r="F1574">
        <v>4.74</v>
      </c>
      <c r="G1574">
        <v>0</v>
      </c>
      <c r="H1574">
        <v>5682.88</v>
      </c>
      <c r="I1574">
        <v>1.7</v>
      </c>
    </row>
    <row r="1575" spans="1:9" x14ac:dyDescent="0.3">
      <c r="A1575" t="s">
        <v>1590</v>
      </c>
      <c r="B1575" t="s">
        <v>34</v>
      </c>
      <c r="C1575" t="s">
        <v>11</v>
      </c>
      <c r="D1575">
        <v>41</v>
      </c>
      <c r="E1575" s="1">
        <v>40325</v>
      </c>
      <c r="F1575">
        <v>3.67</v>
      </c>
      <c r="G1575">
        <v>1</v>
      </c>
      <c r="H1575">
        <v>3499.34</v>
      </c>
      <c r="I1575">
        <v>15.4</v>
      </c>
    </row>
    <row r="1576" spans="1:9" x14ac:dyDescent="0.3">
      <c r="A1576" t="s">
        <v>1591</v>
      </c>
      <c r="B1576" t="s">
        <v>13</v>
      </c>
      <c r="C1576" t="s">
        <v>14</v>
      </c>
      <c r="D1576">
        <v>36</v>
      </c>
      <c r="E1576" s="1">
        <v>43965</v>
      </c>
      <c r="F1576">
        <v>2.2599999999999998</v>
      </c>
      <c r="G1576">
        <v>10</v>
      </c>
      <c r="H1576">
        <v>13414.72</v>
      </c>
      <c r="I1576">
        <v>5.5</v>
      </c>
    </row>
    <row r="1577" spans="1:9" x14ac:dyDescent="0.3">
      <c r="A1577" t="s">
        <v>1592</v>
      </c>
      <c r="B1577" t="s">
        <v>34</v>
      </c>
      <c r="C1577" t="s">
        <v>14</v>
      </c>
      <c r="D1577">
        <v>47</v>
      </c>
      <c r="E1577" s="1">
        <v>40583</v>
      </c>
      <c r="F1577">
        <v>3.82</v>
      </c>
      <c r="G1577">
        <v>14</v>
      </c>
      <c r="H1577">
        <v>8941.64</v>
      </c>
      <c r="I1577">
        <v>14.7</v>
      </c>
    </row>
    <row r="1578" spans="1:9" x14ac:dyDescent="0.3">
      <c r="A1578" t="s">
        <v>1593</v>
      </c>
      <c r="B1578" t="s">
        <v>13</v>
      </c>
      <c r="C1578" t="s">
        <v>11</v>
      </c>
      <c r="D1578">
        <v>49</v>
      </c>
      <c r="E1578" s="1">
        <v>40199</v>
      </c>
      <c r="F1578">
        <v>1.57</v>
      </c>
      <c r="G1578">
        <v>7</v>
      </c>
      <c r="H1578">
        <v>10698.42</v>
      </c>
      <c r="I1578">
        <v>15.8</v>
      </c>
    </row>
    <row r="1579" spans="1:9" x14ac:dyDescent="0.3">
      <c r="A1579" t="s">
        <v>1594</v>
      </c>
      <c r="B1579" t="s">
        <v>34</v>
      </c>
      <c r="C1579" t="s">
        <v>14</v>
      </c>
      <c r="D1579">
        <v>26</v>
      </c>
      <c r="E1579" s="1">
        <v>41339</v>
      </c>
      <c r="F1579">
        <v>3.42</v>
      </c>
      <c r="G1579">
        <v>1</v>
      </c>
      <c r="H1579">
        <v>9761.5499999999993</v>
      </c>
      <c r="I1579">
        <v>12.7</v>
      </c>
    </row>
    <row r="1580" spans="1:9" x14ac:dyDescent="0.3">
      <c r="A1580" t="s">
        <v>1595</v>
      </c>
      <c r="B1580" t="s">
        <v>34</v>
      </c>
      <c r="C1580" t="s">
        <v>11</v>
      </c>
      <c r="D1580">
        <v>47</v>
      </c>
      <c r="E1580" s="1">
        <v>41949</v>
      </c>
      <c r="F1580">
        <v>4.17</v>
      </c>
      <c r="G1580">
        <v>13</v>
      </c>
      <c r="H1580">
        <v>12026.18</v>
      </c>
      <c r="I1580">
        <v>11</v>
      </c>
    </row>
    <row r="1581" spans="1:9" x14ac:dyDescent="0.3">
      <c r="A1581" t="s">
        <v>1596</v>
      </c>
      <c r="B1581" t="s">
        <v>34</v>
      </c>
      <c r="C1581" t="s">
        <v>11</v>
      </c>
      <c r="D1581">
        <v>51</v>
      </c>
      <c r="E1581" s="1">
        <v>42419</v>
      </c>
      <c r="F1581">
        <v>2.2200000000000002</v>
      </c>
      <c r="G1581">
        <v>5</v>
      </c>
      <c r="H1581">
        <v>7824.07</v>
      </c>
      <c r="I1581">
        <v>9.6999999999999993</v>
      </c>
    </row>
    <row r="1582" spans="1:9" x14ac:dyDescent="0.3">
      <c r="A1582" t="s">
        <v>1597</v>
      </c>
      <c r="B1582" t="s">
        <v>34</v>
      </c>
      <c r="C1582" t="s">
        <v>11</v>
      </c>
      <c r="D1582">
        <v>59</v>
      </c>
      <c r="E1582" s="1">
        <v>45704</v>
      </c>
      <c r="F1582">
        <v>1.7</v>
      </c>
      <c r="G1582">
        <v>14</v>
      </c>
      <c r="H1582">
        <v>4261.76</v>
      </c>
      <c r="I1582">
        <v>0.7</v>
      </c>
    </row>
    <row r="1583" spans="1:9" x14ac:dyDescent="0.3">
      <c r="A1583" t="s">
        <v>1598</v>
      </c>
      <c r="B1583" t="s">
        <v>16</v>
      </c>
      <c r="C1583" t="s">
        <v>11</v>
      </c>
      <c r="D1583">
        <v>53</v>
      </c>
      <c r="E1583" s="1">
        <v>45729</v>
      </c>
      <c r="F1583">
        <v>2.14</v>
      </c>
      <c r="G1583">
        <v>10</v>
      </c>
      <c r="H1583">
        <v>10782.83</v>
      </c>
      <c r="I1583">
        <v>0.6</v>
      </c>
    </row>
    <row r="1584" spans="1:9" x14ac:dyDescent="0.3">
      <c r="A1584" t="s">
        <v>1599</v>
      </c>
      <c r="B1584" t="s">
        <v>24</v>
      </c>
      <c r="C1584" t="s">
        <v>14</v>
      </c>
      <c r="D1584">
        <v>58</v>
      </c>
      <c r="E1584" s="1">
        <v>40850</v>
      </c>
      <c r="F1584">
        <v>2.5099999999999998</v>
      </c>
      <c r="G1584">
        <v>6</v>
      </c>
      <c r="H1584">
        <v>10438.01</v>
      </c>
      <c r="I1584">
        <v>14</v>
      </c>
    </row>
    <row r="1585" spans="1:9" x14ac:dyDescent="0.3">
      <c r="A1585" t="s">
        <v>1600</v>
      </c>
      <c r="B1585" t="s">
        <v>24</v>
      </c>
      <c r="C1585" t="s">
        <v>11</v>
      </c>
      <c r="D1585">
        <v>46</v>
      </c>
      <c r="E1585" s="1">
        <v>40752</v>
      </c>
      <c r="F1585">
        <v>2.3199999999999998</v>
      </c>
      <c r="G1585">
        <v>13</v>
      </c>
      <c r="H1585">
        <v>3638.26</v>
      </c>
      <c r="I1585">
        <v>14.3</v>
      </c>
    </row>
    <row r="1586" spans="1:9" x14ac:dyDescent="0.3">
      <c r="A1586" t="s">
        <v>1601</v>
      </c>
      <c r="B1586" t="s">
        <v>10</v>
      </c>
      <c r="C1586" t="s">
        <v>14</v>
      </c>
      <c r="D1586">
        <v>40</v>
      </c>
      <c r="E1586" s="1">
        <v>41700</v>
      </c>
      <c r="F1586">
        <v>2.04</v>
      </c>
      <c r="G1586">
        <v>9</v>
      </c>
      <c r="H1586">
        <v>11664.48</v>
      </c>
      <c r="I1586">
        <v>11.7</v>
      </c>
    </row>
    <row r="1587" spans="1:9" x14ac:dyDescent="0.3">
      <c r="A1587" t="s">
        <v>1602</v>
      </c>
      <c r="B1587" t="s">
        <v>16</v>
      </c>
      <c r="C1587" t="s">
        <v>11</v>
      </c>
      <c r="D1587">
        <v>38</v>
      </c>
      <c r="E1587" s="1">
        <v>44060</v>
      </c>
      <c r="F1587">
        <v>3.96</v>
      </c>
      <c r="G1587">
        <v>0</v>
      </c>
      <c r="H1587">
        <v>4762.6099999999997</v>
      </c>
      <c r="I1587">
        <v>5.2</v>
      </c>
    </row>
    <row r="1588" spans="1:9" x14ac:dyDescent="0.3">
      <c r="A1588" t="s">
        <v>1603</v>
      </c>
      <c r="B1588" t="s">
        <v>10</v>
      </c>
      <c r="C1588" t="s">
        <v>11</v>
      </c>
      <c r="D1588">
        <v>30</v>
      </c>
      <c r="E1588" s="1">
        <v>42791</v>
      </c>
      <c r="F1588">
        <v>1.79</v>
      </c>
      <c r="G1588">
        <v>1</v>
      </c>
      <c r="H1588">
        <v>14407.78</v>
      </c>
      <c r="I1588">
        <v>8.6999999999999993</v>
      </c>
    </row>
    <row r="1589" spans="1:9" x14ac:dyDescent="0.3">
      <c r="A1589" t="s">
        <v>1604</v>
      </c>
      <c r="B1589" t="s">
        <v>10</v>
      </c>
      <c r="C1589" t="s">
        <v>11</v>
      </c>
      <c r="D1589">
        <v>54</v>
      </c>
      <c r="E1589" s="1">
        <v>42999</v>
      </c>
      <c r="F1589">
        <v>2.66</v>
      </c>
      <c r="G1589">
        <v>1</v>
      </c>
      <c r="H1589">
        <v>11057.55</v>
      </c>
      <c r="I1589">
        <v>8.1</v>
      </c>
    </row>
    <row r="1590" spans="1:9" x14ac:dyDescent="0.3">
      <c r="A1590" t="s">
        <v>1605</v>
      </c>
      <c r="B1590" t="s">
        <v>18</v>
      </c>
      <c r="C1590" t="s">
        <v>11</v>
      </c>
      <c r="D1590">
        <v>45</v>
      </c>
      <c r="E1590" s="1">
        <v>41409</v>
      </c>
      <c r="F1590">
        <v>3.68</v>
      </c>
      <c r="G1590">
        <v>0</v>
      </c>
      <c r="H1590">
        <v>14340.1</v>
      </c>
      <c r="I1590">
        <v>12.5</v>
      </c>
    </row>
    <row r="1591" spans="1:9" x14ac:dyDescent="0.3">
      <c r="A1591" t="s">
        <v>1606</v>
      </c>
      <c r="B1591" t="s">
        <v>34</v>
      </c>
      <c r="C1591" t="s">
        <v>11</v>
      </c>
      <c r="D1591">
        <v>54</v>
      </c>
      <c r="E1591" s="1">
        <v>41770</v>
      </c>
      <c r="F1591">
        <v>2.61</v>
      </c>
      <c r="G1591">
        <v>12</v>
      </c>
      <c r="H1591">
        <v>5521.86</v>
      </c>
      <c r="I1591">
        <v>11.5</v>
      </c>
    </row>
    <row r="1592" spans="1:9" x14ac:dyDescent="0.3">
      <c r="A1592" t="s">
        <v>1607</v>
      </c>
      <c r="B1592" t="s">
        <v>13</v>
      </c>
      <c r="C1592" t="s">
        <v>14</v>
      </c>
      <c r="D1592">
        <v>48</v>
      </c>
      <c r="E1592" s="1">
        <v>45595</v>
      </c>
      <c r="F1592">
        <v>1.67</v>
      </c>
      <c r="G1592">
        <v>7</v>
      </c>
      <c r="H1592">
        <v>5895</v>
      </c>
      <c r="I1592">
        <v>1</v>
      </c>
    </row>
    <row r="1593" spans="1:9" x14ac:dyDescent="0.3">
      <c r="A1593" t="s">
        <v>1608</v>
      </c>
      <c r="B1593" t="s">
        <v>24</v>
      </c>
      <c r="C1593" t="s">
        <v>14</v>
      </c>
      <c r="D1593">
        <v>39</v>
      </c>
      <c r="E1593" s="1">
        <v>44908</v>
      </c>
      <c r="F1593">
        <v>1.52</v>
      </c>
      <c r="G1593">
        <v>0</v>
      </c>
      <c r="H1593">
        <v>11623.72</v>
      </c>
      <c r="I1593">
        <v>2.9</v>
      </c>
    </row>
    <row r="1594" spans="1:9" x14ac:dyDescent="0.3">
      <c r="A1594" t="s">
        <v>1609</v>
      </c>
      <c r="B1594" t="s">
        <v>10</v>
      </c>
      <c r="C1594" t="s">
        <v>14</v>
      </c>
      <c r="D1594">
        <v>58</v>
      </c>
      <c r="E1594" s="1">
        <v>44002</v>
      </c>
      <c r="F1594">
        <v>4.58</v>
      </c>
      <c r="G1594">
        <v>7</v>
      </c>
      <c r="H1594">
        <v>6455.61</v>
      </c>
      <c r="I1594">
        <v>5.4</v>
      </c>
    </row>
    <row r="1595" spans="1:9" x14ac:dyDescent="0.3">
      <c r="A1595" t="s">
        <v>1610</v>
      </c>
      <c r="B1595" t="s">
        <v>13</v>
      </c>
      <c r="C1595" t="s">
        <v>14</v>
      </c>
      <c r="D1595">
        <v>33</v>
      </c>
      <c r="E1595" s="1">
        <v>45816</v>
      </c>
      <c r="F1595">
        <v>4.3</v>
      </c>
      <c r="G1595">
        <v>9</v>
      </c>
      <c r="H1595">
        <v>14081.38</v>
      </c>
      <c r="I1595">
        <v>0.4</v>
      </c>
    </row>
    <row r="1596" spans="1:9" x14ac:dyDescent="0.3">
      <c r="A1596" t="s">
        <v>1611</v>
      </c>
      <c r="B1596" t="s">
        <v>18</v>
      </c>
      <c r="C1596" t="s">
        <v>11</v>
      </c>
      <c r="D1596">
        <v>39</v>
      </c>
      <c r="E1596" s="1">
        <v>42271</v>
      </c>
      <c r="F1596">
        <v>4.66</v>
      </c>
      <c r="G1596">
        <v>8</v>
      </c>
      <c r="H1596">
        <v>8116.05</v>
      </c>
      <c r="I1596">
        <v>10.1</v>
      </c>
    </row>
    <row r="1597" spans="1:9" x14ac:dyDescent="0.3">
      <c r="A1597" t="s">
        <v>1612</v>
      </c>
      <c r="B1597" t="s">
        <v>16</v>
      </c>
      <c r="C1597" t="s">
        <v>11</v>
      </c>
      <c r="D1597">
        <v>31</v>
      </c>
      <c r="E1597" s="1">
        <v>44988</v>
      </c>
      <c r="F1597">
        <v>2.86</v>
      </c>
      <c r="G1597">
        <v>6</v>
      </c>
      <c r="H1597">
        <v>5935.74</v>
      </c>
      <c r="I1597">
        <v>2.7</v>
      </c>
    </row>
    <row r="1598" spans="1:9" x14ac:dyDescent="0.3">
      <c r="A1598" t="s">
        <v>1613</v>
      </c>
      <c r="B1598" t="s">
        <v>34</v>
      </c>
      <c r="C1598" t="s">
        <v>11</v>
      </c>
      <c r="D1598">
        <v>50</v>
      </c>
      <c r="E1598" s="1">
        <v>42449</v>
      </c>
      <c r="F1598">
        <v>4.92</v>
      </c>
      <c r="G1598">
        <v>9</v>
      </c>
      <c r="H1598">
        <v>14877.35</v>
      </c>
      <c r="I1598">
        <v>9.6</v>
      </c>
    </row>
    <row r="1599" spans="1:9" x14ac:dyDescent="0.3">
      <c r="A1599" t="s">
        <v>1614</v>
      </c>
      <c r="B1599" t="s">
        <v>13</v>
      </c>
      <c r="C1599" t="s">
        <v>11</v>
      </c>
      <c r="D1599">
        <v>36</v>
      </c>
      <c r="E1599" s="1">
        <v>44330</v>
      </c>
      <c r="F1599">
        <v>2.92</v>
      </c>
      <c r="G1599">
        <v>7</v>
      </c>
      <c r="H1599">
        <v>7416.93</v>
      </c>
      <c r="I1599">
        <v>4.5</v>
      </c>
    </row>
    <row r="1600" spans="1:9" x14ac:dyDescent="0.3">
      <c r="A1600" t="s">
        <v>1615</v>
      </c>
      <c r="B1600" t="s">
        <v>10</v>
      </c>
      <c r="C1600" t="s">
        <v>14</v>
      </c>
      <c r="D1600">
        <v>47</v>
      </c>
      <c r="E1600" s="1">
        <v>43708</v>
      </c>
      <c r="F1600">
        <v>3.29</v>
      </c>
      <c r="G1600">
        <v>7</v>
      </c>
      <c r="H1600">
        <v>13814.54</v>
      </c>
      <c r="I1600">
        <v>6.2</v>
      </c>
    </row>
    <row r="1601" spans="1:9" x14ac:dyDescent="0.3">
      <c r="A1601" t="s">
        <v>1616</v>
      </c>
      <c r="B1601" t="s">
        <v>13</v>
      </c>
      <c r="C1601" t="s">
        <v>14</v>
      </c>
      <c r="D1601">
        <v>30</v>
      </c>
      <c r="E1601" s="1">
        <v>44605</v>
      </c>
      <c r="F1601">
        <v>2.5</v>
      </c>
      <c r="G1601">
        <v>7</v>
      </c>
      <c r="H1601">
        <v>13462.41</v>
      </c>
      <c r="I1601">
        <v>3.7</v>
      </c>
    </row>
    <row r="1602" spans="1:9" x14ac:dyDescent="0.3">
      <c r="A1602" t="s">
        <v>1617</v>
      </c>
      <c r="B1602" t="s">
        <v>16</v>
      </c>
      <c r="C1602" t="s">
        <v>14</v>
      </c>
      <c r="D1602">
        <v>39</v>
      </c>
      <c r="E1602" s="1">
        <v>43175</v>
      </c>
      <c r="F1602">
        <v>2.71</v>
      </c>
      <c r="G1602">
        <v>8</v>
      </c>
      <c r="H1602">
        <v>7108.52</v>
      </c>
      <c r="I1602">
        <v>7.6</v>
      </c>
    </row>
    <row r="1603" spans="1:9" x14ac:dyDescent="0.3">
      <c r="A1603" t="s">
        <v>1618</v>
      </c>
      <c r="B1603" t="s">
        <v>34</v>
      </c>
      <c r="C1603" t="s">
        <v>14</v>
      </c>
      <c r="D1603">
        <v>25</v>
      </c>
      <c r="E1603" s="1">
        <v>41893</v>
      </c>
      <c r="F1603">
        <v>4.0999999999999996</v>
      </c>
      <c r="G1603">
        <v>5</v>
      </c>
      <c r="H1603">
        <v>11525.09</v>
      </c>
      <c r="I1603">
        <v>11.1</v>
      </c>
    </row>
    <row r="1604" spans="1:9" x14ac:dyDescent="0.3">
      <c r="A1604" t="s">
        <v>1619</v>
      </c>
      <c r="B1604" t="s">
        <v>34</v>
      </c>
      <c r="C1604" t="s">
        <v>14</v>
      </c>
      <c r="D1604">
        <v>30</v>
      </c>
      <c r="E1604" s="1">
        <v>43183</v>
      </c>
      <c r="F1604">
        <v>1.62</v>
      </c>
      <c r="G1604">
        <v>6</v>
      </c>
      <c r="H1604">
        <v>9934.2000000000007</v>
      </c>
      <c r="I1604">
        <v>7.6</v>
      </c>
    </row>
    <row r="1605" spans="1:9" x14ac:dyDescent="0.3">
      <c r="A1605" t="s">
        <v>1620</v>
      </c>
      <c r="B1605" t="s">
        <v>16</v>
      </c>
      <c r="C1605" t="s">
        <v>14</v>
      </c>
      <c r="D1605">
        <v>28</v>
      </c>
      <c r="E1605" s="1">
        <v>44770</v>
      </c>
      <c r="F1605">
        <v>4.8499999999999996</v>
      </c>
      <c r="G1605">
        <v>12</v>
      </c>
      <c r="H1605">
        <v>9849.44</v>
      </c>
      <c r="I1605">
        <v>3.3</v>
      </c>
    </row>
    <row r="1606" spans="1:9" x14ac:dyDescent="0.3">
      <c r="A1606" t="s">
        <v>1621</v>
      </c>
      <c r="B1606" t="s">
        <v>24</v>
      </c>
      <c r="C1606" t="s">
        <v>14</v>
      </c>
      <c r="D1606">
        <v>57</v>
      </c>
      <c r="E1606" s="1">
        <v>40627</v>
      </c>
      <c r="F1606">
        <v>1.65</v>
      </c>
      <c r="G1606">
        <v>10</v>
      </c>
      <c r="H1606">
        <v>4859.5600000000004</v>
      </c>
      <c r="I1606">
        <v>14.6</v>
      </c>
    </row>
    <row r="1607" spans="1:9" x14ac:dyDescent="0.3">
      <c r="A1607" t="s">
        <v>1622</v>
      </c>
      <c r="B1607" t="s">
        <v>10</v>
      </c>
      <c r="C1607" t="s">
        <v>11</v>
      </c>
      <c r="D1607">
        <v>46</v>
      </c>
      <c r="E1607" s="1">
        <v>44371</v>
      </c>
      <c r="F1607">
        <v>3.47</v>
      </c>
      <c r="G1607">
        <v>8</v>
      </c>
      <c r="H1607">
        <v>14521.87</v>
      </c>
      <c r="I1607">
        <v>4.4000000000000004</v>
      </c>
    </row>
    <row r="1608" spans="1:9" x14ac:dyDescent="0.3">
      <c r="A1608" t="s">
        <v>1623</v>
      </c>
      <c r="B1608" t="s">
        <v>34</v>
      </c>
      <c r="C1608" t="s">
        <v>14</v>
      </c>
      <c r="D1608">
        <v>41</v>
      </c>
      <c r="E1608" s="1">
        <v>40879</v>
      </c>
      <c r="F1608">
        <v>3.84</v>
      </c>
      <c r="G1608">
        <v>7</v>
      </c>
      <c r="H1608">
        <v>12250.78</v>
      </c>
      <c r="I1608">
        <v>13.9</v>
      </c>
    </row>
    <row r="1609" spans="1:9" x14ac:dyDescent="0.3">
      <c r="A1609" t="s">
        <v>1624</v>
      </c>
      <c r="B1609" t="s">
        <v>18</v>
      </c>
      <c r="C1609" t="s">
        <v>11</v>
      </c>
      <c r="D1609">
        <v>58</v>
      </c>
      <c r="E1609" s="1">
        <v>43033</v>
      </c>
      <c r="F1609">
        <v>3.15</v>
      </c>
      <c r="G1609">
        <v>11</v>
      </c>
      <c r="H1609">
        <v>6725.17</v>
      </c>
      <c r="I1609">
        <v>8</v>
      </c>
    </row>
    <row r="1610" spans="1:9" x14ac:dyDescent="0.3">
      <c r="A1610" t="s">
        <v>1625</v>
      </c>
      <c r="B1610" t="s">
        <v>10</v>
      </c>
      <c r="C1610" t="s">
        <v>14</v>
      </c>
      <c r="D1610">
        <v>53</v>
      </c>
      <c r="E1610" s="1">
        <v>42083</v>
      </c>
      <c r="F1610">
        <v>3.95</v>
      </c>
      <c r="G1610">
        <v>14</v>
      </c>
      <c r="H1610">
        <v>9056.64</v>
      </c>
      <c r="I1610">
        <v>10.6</v>
      </c>
    </row>
    <row r="1611" spans="1:9" x14ac:dyDescent="0.3">
      <c r="A1611" t="s">
        <v>1626</v>
      </c>
      <c r="B1611" t="s">
        <v>13</v>
      </c>
      <c r="C1611" t="s">
        <v>11</v>
      </c>
      <c r="D1611">
        <v>24</v>
      </c>
      <c r="E1611" s="1">
        <v>43977</v>
      </c>
      <c r="F1611">
        <v>1.73</v>
      </c>
      <c r="G1611">
        <v>14</v>
      </c>
      <c r="H1611">
        <v>12863.34</v>
      </c>
      <c r="I1611">
        <v>5.4</v>
      </c>
    </row>
    <row r="1612" spans="1:9" x14ac:dyDescent="0.3">
      <c r="A1612" t="s">
        <v>1627</v>
      </c>
      <c r="B1612" t="s">
        <v>10</v>
      </c>
      <c r="C1612" t="s">
        <v>11</v>
      </c>
      <c r="D1612">
        <v>50</v>
      </c>
      <c r="E1612" s="1">
        <v>44696</v>
      </c>
      <c r="F1612">
        <v>3.27</v>
      </c>
      <c r="G1612">
        <v>15</v>
      </c>
      <c r="H1612">
        <v>9006.74</v>
      </c>
      <c r="I1612">
        <v>3.5</v>
      </c>
    </row>
    <row r="1613" spans="1:9" x14ac:dyDescent="0.3">
      <c r="A1613" t="s">
        <v>1628</v>
      </c>
      <c r="B1613" t="s">
        <v>16</v>
      </c>
      <c r="C1613" t="s">
        <v>14</v>
      </c>
      <c r="D1613">
        <v>51</v>
      </c>
      <c r="E1613" s="1">
        <v>45421</v>
      </c>
      <c r="F1613">
        <v>1.7</v>
      </c>
      <c r="G1613">
        <v>3</v>
      </c>
      <c r="H1613">
        <v>10406.23</v>
      </c>
      <c r="I1613">
        <v>1.5</v>
      </c>
    </row>
    <row r="1614" spans="1:9" x14ac:dyDescent="0.3">
      <c r="A1614" t="s">
        <v>1629</v>
      </c>
      <c r="B1614" t="s">
        <v>18</v>
      </c>
      <c r="C1614" t="s">
        <v>11</v>
      </c>
      <c r="D1614">
        <v>60</v>
      </c>
      <c r="E1614" s="1">
        <v>45486</v>
      </c>
      <c r="F1614">
        <v>2.0499999999999998</v>
      </c>
      <c r="G1614">
        <v>15</v>
      </c>
      <c r="H1614">
        <v>12056.08</v>
      </c>
      <c r="I1614">
        <v>1.3</v>
      </c>
    </row>
    <row r="1615" spans="1:9" x14ac:dyDescent="0.3">
      <c r="A1615" t="s">
        <v>1630</v>
      </c>
      <c r="B1615" t="s">
        <v>16</v>
      </c>
      <c r="C1615" t="s">
        <v>11</v>
      </c>
      <c r="D1615">
        <v>57</v>
      </c>
      <c r="E1615" s="1">
        <v>44491</v>
      </c>
      <c r="F1615">
        <v>4.1100000000000003</v>
      </c>
      <c r="G1615">
        <v>15</v>
      </c>
      <c r="H1615">
        <v>5436.92</v>
      </c>
      <c r="I1615">
        <v>4</v>
      </c>
    </row>
    <row r="1616" spans="1:9" x14ac:dyDescent="0.3">
      <c r="A1616" t="s">
        <v>1631</v>
      </c>
      <c r="B1616" t="s">
        <v>18</v>
      </c>
      <c r="C1616" t="s">
        <v>11</v>
      </c>
      <c r="D1616">
        <v>39</v>
      </c>
      <c r="E1616" s="1">
        <v>41493</v>
      </c>
      <c r="F1616">
        <v>1.79</v>
      </c>
      <c r="G1616">
        <v>1</v>
      </c>
      <c r="H1616">
        <v>3723.05</v>
      </c>
      <c r="I1616">
        <v>12.2</v>
      </c>
    </row>
    <row r="1617" spans="1:9" x14ac:dyDescent="0.3">
      <c r="A1617" t="s">
        <v>1632</v>
      </c>
      <c r="B1617" t="s">
        <v>34</v>
      </c>
      <c r="C1617" t="s">
        <v>11</v>
      </c>
      <c r="D1617">
        <v>53</v>
      </c>
      <c r="E1617" s="1">
        <v>43965</v>
      </c>
      <c r="F1617">
        <v>3.66</v>
      </c>
      <c r="G1617">
        <v>3</v>
      </c>
      <c r="H1617">
        <v>9147.9500000000007</v>
      </c>
      <c r="I1617">
        <v>5.5</v>
      </c>
    </row>
    <row r="1618" spans="1:9" x14ac:dyDescent="0.3">
      <c r="A1618" t="s">
        <v>1633</v>
      </c>
      <c r="B1618" t="s">
        <v>10</v>
      </c>
      <c r="C1618" t="s">
        <v>14</v>
      </c>
      <c r="D1618">
        <v>48</v>
      </c>
      <c r="E1618" s="1">
        <v>40842</v>
      </c>
      <c r="F1618">
        <v>2.3199999999999998</v>
      </c>
      <c r="G1618">
        <v>3</v>
      </c>
      <c r="H1618">
        <v>11197.94</v>
      </c>
      <c r="I1618">
        <v>14</v>
      </c>
    </row>
    <row r="1619" spans="1:9" x14ac:dyDescent="0.3">
      <c r="A1619" t="s">
        <v>1634</v>
      </c>
      <c r="B1619" t="s">
        <v>16</v>
      </c>
      <c r="C1619" t="s">
        <v>14</v>
      </c>
      <c r="D1619">
        <v>33</v>
      </c>
      <c r="E1619" s="1">
        <v>41488</v>
      </c>
      <c r="F1619">
        <v>1.68</v>
      </c>
      <c r="G1619">
        <v>0</v>
      </c>
      <c r="H1619">
        <v>9518.33</v>
      </c>
      <c r="I1619">
        <v>12.3</v>
      </c>
    </row>
    <row r="1620" spans="1:9" x14ac:dyDescent="0.3">
      <c r="A1620" t="s">
        <v>1635</v>
      </c>
      <c r="B1620" t="s">
        <v>18</v>
      </c>
      <c r="C1620" t="s">
        <v>11</v>
      </c>
      <c r="D1620">
        <v>45</v>
      </c>
      <c r="E1620" s="1">
        <v>40325</v>
      </c>
      <c r="F1620">
        <v>3.07</v>
      </c>
      <c r="G1620">
        <v>4</v>
      </c>
      <c r="H1620">
        <v>13725.69</v>
      </c>
      <c r="I1620">
        <v>15.4</v>
      </c>
    </row>
    <row r="1621" spans="1:9" x14ac:dyDescent="0.3">
      <c r="A1621" t="s">
        <v>1636</v>
      </c>
      <c r="B1621" t="s">
        <v>34</v>
      </c>
      <c r="C1621" t="s">
        <v>11</v>
      </c>
      <c r="D1621">
        <v>52</v>
      </c>
      <c r="E1621" s="1">
        <v>43374</v>
      </c>
      <c r="F1621">
        <v>3.19</v>
      </c>
      <c r="G1621">
        <v>12</v>
      </c>
      <c r="H1621">
        <v>13182.2</v>
      </c>
      <c r="I1621">
        <v>7.1</v>
      </c>
    </row>
    <row r="1622" spans="1:9" x14ac:dyDescent="0.3">
      <c r="A1622" t="s">
        <v>1637</v>
      </c>
      <c r="B1622" t="s">
        <v>18</v>
      </c>
      <c r="C1622" t="s">
        <v>11</v>
      </c>
      <c r="D1622">
        <v>54</v>
      </c>
      <c r="E1622" s="1">
        <v>44428</v>
      </c>
      <c r="F1622">
        <v>2.34</v>
      </c>
      <c r="G1622">
        <v>9</v>
      </c>
      <c r="H1622">
        <v>10078.959999999999</v>
      </c>
      <c r="I1622">
        <v>4.2</v>
      </c>
    </row>
    <row r="1623" spans="1:9" x14ac:dyDescent="0.3">
      <c r="A1623" t="s">
        <v>1638</v>
      </c>
      <c r="B1623" t="s">
        <v>34</v>
      </c>
      <c r="C1623" t="s">
        <v>14</v>
      </c>
      <c r="D1623">
        <v>40</v>
      </c>
      <c r="E1623" s="1">
        <v>43747</v>
      </c>
      <c r="F1623">
        <v>3.89</v>
      </c>
      <c r="G1623">
        <v>2</v>
      </c>
      <c r="H1623">
        <v>13220.53</v>
      </c>
      <c r="I1623">
        <v>6.1</v>
      </c>
    </row>
    <row r="1624" spans="1:9" x14ac:dyDescent="0.3">
      <c r="A1624" t="s">
        <v>1639</v>
      </c>
      <c r="B1624" t="s">
        <v>16</v>
      </c>
      <c r="C1624" t="s">
        <v>11</v>
      </c>
      <c r="D1624">
        <v>50</v>
      </c>
      <c r="E1624" s="1">
        <v>40720</v>
      </c>
      <c r="F1624">
        <v>2.2799999999999998</v>
      </c>
      <c r="G1624">
        <v>10</v>
      </c>
      <c r="H1624">
        <v>4552.5200000000004</v>
      </c>
      <c r="I1624">
        <v>14.4</v>
      </c>
    </row>
    <row r="1625" spans="1:9" x14ac:dyDescent="0.3">
      <c r="A1625" t="s">
        <v>1640</v>
      </c>
      <c r="B1625" t="s">
        <v>34</v>
      </c>
      <c r="C1625" t="s">
        <v>14</v>
      </c>
      <c r="D1625">
        <v>37</v>
      </c>
      <c r="E1625" s="1">
        <v>45117</v>
      </c>
      <c r="F1625">
        <v>2.4500000000000002</v>
      </c>
      <c r="G1625">
        <v>13</v>
      </c>
      <c r="H1625">
        <v>12923.73</v>
      </c>
      <c r="I1625">
        <v>2.2999999999999998</v>
      </c>
    </row>
    <row r="1626" spans="1:9" x14ac:dyDescent="0.3">
      <c r="A1626" t="s">
        <v>1641</v>
      </c>
      <c r="B1626" t="s">
        <v>18</v>
      </c>
      <c r="C1626" t="s">
        <v>11</v>
      </c>
      <c r="D1626">
        <v>55</v>
      </c>
      <c r="E1626" s="1">
        <v>40823</v>
      </c>
      <c r="F1626">
        <v>4.45</v>
      </c>
      <c r="G1626">
        <v>10</v>
      </c>
      <c r="H1626">
        <v>7247.28</v>
      </c>
      <c r="I1626">
        <v>14.1</v>
      </c>
    </row>
    <row r="1627" spans="1:9" x14ac:dyDescent="0.3">
      <c r="A1627" t="s">
        <v>1642</v>
      </c>
      <c r="B1627" t="s">
        <v>10</v>
      </c>
      <c r="C1627" t="s">
        <v>11</v>
      </c>
      <c r="D1627">
        <v>50</v>
      </c>
      <c r="E1627" s="1">
        <v>41346</v>
      </c>
      <c r="F1627">
        <v>4.5199999999999996</v>
      </c>
      <c r="G1627">
        <v>15</v>
      </c>
      <c r="H1627">
        <v>14331.43</v>
      </c>
      <c r="I1627">
        <v>12.6</v>
      </c>
    </row>
    <row r="1628" spans="1:9" x14ac:dyDescent="0.3">
      <c r="A1628" t="s">
        <v>1643</v>
      </c>
      <c r="B1628" t="s">
        <v>24</v>
      </c>
      <c r="C1628" t="s">
        <v>11</v>
      </c>
      <c r="D1628">
        <v>22</v>
      </c>
      <c r="E1628" s="1">
        <v>40929</v>
      </c>
      <c r="F1628">
        <v>4.76</v>
      </c>
      <c r="G1628">
        <v>7</v>
      </c>
      <c r="H1628">
        <v>11275.71</v>
      </c>
      <c r="I1628">
        <v>13.8</v>
      </c>
    </row>
    <row r="1629" spans="1:9" x14ac:dyDescent="0.3">
      <c r="A1629" t="s">
        <v>1644</v>
      </c>
      <c r="B1629" t="s">
        <v>18</v>
      </c>
      <c r="C1629" t="s">
        <v>14</v>
      </c>
      <c r="D1629">
        <v>24</v>
      </c>
      <c r="E1629" s="1">
        <v>41586</v>
      </c>
      <c r="F1629">
        <v>1.87</v>
      </c>
      <c r="G1629">
        <v>1</v>
      </c>
      <c r="H1629">
        <v>10135.219999999999</v>
      </c>
      <c r="I1629">
        <v>12</v>
      </c>
    </row>
    <row r="1630" spans="1:9" x14ac:dyDescent="0.3">
      <c r="A1630" t="s">
        <v>1645</v>
      </c>
      <c r="B1630" t="s">
        <v>34</v>
      </c>
      <c r="C1630" t="s">
        <v>11</v>
      </c>
      <c r="D1630">
        <v>23</v>
      </c>
      <c r="E1630" s="1">
        <v>44351</v>
      </c>
      <c r="F1630">
        <v>4.46</v>
      </c>
      <c r="G1630">
        <v>13</v>
      </c>
      <c r="H1630">
        <v>11010.13</v>
      </c>
      <c r="I1630">
        <v>4.4000000000000004</v>
      </c>
    </row>
    <row r="1631" spans="1:9" x14ac:dyDescent="0.3">
      <c r="A1631" t="s">
        <v>1646</v>
      </c>
      <c r="B1631" t="s">
        <v>13</v>
      </c>
      <c r="C1631" t="s">
        <v>14</v>
      </c>
      <c r="D1631">
        <v>49</v>
      </c>
      <c r="E1631" s="1">
        <v>42362</v>
      </c>
      <c r="F1631">
        <v>4.49</v>
      </c>
      <c r="G1631">
        <v>3</v>
      </c>
      <c r="H1631">
        <v>7790.99</v>
      </c>
      <c r="I1631">
        <v>9.9</v>
      </c>
    </row>
    <row r="1632" spans="1:9" x14ac:dyDescent="0.3">
      <c r="A1632" t="s">
        <v>1647</v>
      </c>
      <c r="B1632" t="s">
        <v>10</v>
      </c>
      <c r="C1632" t="s">
        <v>14</v>
      </c>
      <c r="D1632">
        <v>53</v>
      </c>
      <c r="E1632" s="1">
        <v>44708</v>
      </c>
      <c r="F1632">
        <v>3.54</v>
      </c>
      <c r="G1632">
        <v>9</v>
      </c>
      <c r="H1632">
        <v>3966.3</v>
      </c>
      <c r="I1632">
        <v>3.4</v>
      </c>
    </row>
    <row r="1633" spans="1:9" x14ac:dyDescent="0.3">
      <c r="A1633" t="s">
        <v>1648</v>
      </c>
      <c r="B1633" t="s">
        <v>13</v>
      </c>
      <c r="C1633" t="s">
        <v>14</v>
      </c>
      <c r="D1633">
        <v>32</v>
      </c>
      <c r="E1633" s="1">
        <v>40455</v>
      </c>
      <c r="F1633">
        <v>2.33</v>
      </c>
      <c r="G1633">
        <v>14</v>
      </c>
      <c r="H1633">
        <v>13254.67</v>
      </c>
      <c r="I1633">
        <v>15.1</v>
      </c>
    </row>
    <row r="1634" spans="1:9" x14ac:dyDescent="0.3">
      <c r="A1634" t="s">
        <v>1649</v>
      </c>
      <c r="B1634" t="s">
        <v>10</v>
      </c>
      <c r="C1634" t="s">
        <v>11</v>
      </c>
      <c r="D1634">
        <v>35</v>
      </c>
      <c r="E1634" s="1">
        <v>41627</v>
      </c>
      <c r="F1634">
        <v>1.57</v>
      </c>
      <c r="G1634">
        <v>11</v>
      </c>
      <c r="H1634">
        <v>11627.16</v>
      </c>
      <c r="I1634">
        <v>11.9</v>
      </c>
    </row>
    <row r="1635" spans="1:9" x14ac:dyDescent="0.3">
      <c r="A1635" t="s">
        <v>1650</v>
      </c>
      <c r="B1635" t="s">
        <v>24</v>
      </c>
      <c r="C1635" t="s">
        <v>11</v>
      </c>
      <c r="D1635">
        <v>57</v>
      </c>
      <c r="E1635" s="1">
        <v>43605</v>
      </c>
      <c r="F1635">
        <v>4.46</v>
      </c>
      <c r="G1635">
        <v>2</v>
      </c>
      <c r="H1635">
        <v>9212.4500000000007</v>
      </c>
      <c r="I1635">
        <v>6.5</v>
      </c>
    </row>
    <row r="1636" spans="1:9" x14ac:dyDescent="0.3">
      <c r="A1636" t="s">
        <v>1651</v>
      </c>
      <c r="B1636" t="s">
        <v>34</v>
      </c>
      <c r="C1636" t="s">
        <v>11</v>
      </c>
      <c r="D1636">
        <v>29</v>
      </c>
      <c r="E1636" s="1">
        <v>40371</v>
      </c>
      <c r="F1636">
        <v>3.75</v>
      </c>
      <c r="G1636">
        <v>12</v>
      </c>
      <c r="H1636">
        <v>10661.32</v>
      </c>
      <c r="I1636">
        <v>15.3</v>
      </c>
    </row>
    <row r="1637" spans="1:9" x14ac:dyDescent="0.3">
      <c r="A1637" t="s">
        <v>1652</v>
      </c>
      <c r="B1637" t="s">
        <v>34</v>
      </c>
      <c r="C1637" t="s">
        <v>14</v>
      </c>
      <c r="D1637">
        <v>49</v>
      </c>
      <c r="E1637" s="1">
        <v>41856</v>
      </c>
      <c r="F1637">
        <v>2.16</v>
      </c>
      <c r="G1637">
        <v>5</v>
      </c>
      <c r="H1637">
        <v>10466.1</v>
      </c>
      <c r="I1637">
        <v>11.2</v>
      </c>
    </row>
    <row r="1638" spans="1:9" x14ac:dyDescent="0.3">
      <c r="A1638" t="s">
        <v>1653</v>
      </c>
      <c r="B1638" t="s">
        <v>34</v>
      </c>
      <c r="C1638" t="s">
        <v>14</v>
      </c>
      <c r="D1638">
        <v>54</v>
      </c>
      <c r="E1638" s="1">
        <v>45233</v>
      </c>
      <c r="F1638">
        <v>2.2000000000000002</v>
      </c>
      <c r="G1638">
        <v>9</v>
      </c>
      <c r="H1638">
        <v>4120.67</v>
      </c>
      <c r="I1638">
        <v>2</v>
      </c>
    </row>
    <row r="1639" spans="1:9" x14ac:dyDescent="0.3">
      <c r="A1639" t="s">
        <v>1654</v>
      </c>
      <c r="B1639" t="s">
        <v>18</v>
      </c>
      <c r="C1639" t="s">
        <v>11</v>
      </c>
      <c r="D1639">
        <v>53</v>
      </c>
      <c r="E1639" s="1">
        <v>42637</v>
      </c>
      <c r="F1639">
        <v>4.6500000000000004</v>
      </c>
      <c r="G1639">
        <v>15</v>
      </c>
      <c r="H1639">
        <v>7915.54</v>
      </c>
      <c r="I1639">
        <v>9.1</v>
      </c>
    </row>
    <row r="1640" spans="1:9" x14ac:dyDescent="0.3">
      <c r="A1640" t="s">
        <v>1655</v>
      </c>
      <c r="B1640" t="s">
        <v>24</v>
      </c>
      <c r="C1640" t="s">
        <v>14</v>
      </c>
      <c r="D1640">
        <v>37</v>
      </c>
      <c r="E1640" s="1">
        <v>42474</v>
      </c>
      <c r="F1640">
        <v>3.53</v>
      </c>
      <c r="G1640">
        <v>3</v>
      </c>
      <c r="H1640">
        <v>14363.76</v>
      </c>
      <c r="I1640">
        <v>9.6</v>
      </c>
    </row>
    <row r="1641" spans="1:9" x14ac:dyDescent="0.3">
      <c r="A1641" t="s">
        <v>1656</v>
      </c>
      <c r="B1641" t="s">
        <v>13</v>
      </c>
      <c r="C1641" t="s">
        <v>11</v>
      </c>
      <c r="D1641">
        <v>29</v>
      </c>
      <c r="E1641" s="1">
        <v>42614</v>
      </c>
      <c r="F1641">
        <v>2.0499999999999998</v>
      </c>
      <c r="G1641">
        <v>4</v>
      </c>
      <c r="H1641">
        <v>11276.17</v>
      </c>
      <c r="I1641">
        <v>9.1999999999999993</v>
      </c>
    </row>
    <row r="1642" spans="1:9" x14ac:dyDescent="0.3">
      <c r="A1642" t="s">
        <v>1657</v>
      </c>
      <c r="B1642" t="s">
        <v>13</v>
      </c>
      <c r="C1642" t="s">
        <v>11</v>
      </c>
      <c r="D1642">
        <v>52</v>
      </c>
      <c r="E1642" s="1">
        <v>42752</v>
      </c>
      <c r="F1642">
        <v>4.17</v>
      </c>
      <c r="G1642">
        <v>7</v>
      </c>
      <c r="H1642">
        <v>6934.51</v>
      </c>
      <c r="I1642">
        <v>8.8000000000000007</v>
      </c>
    </row>
    <row r="1643" spans="1:9" x14ac:dyDescent="0.3">
      <c r="A1643" t="s">
        <v>1658</v>
      </c>
      <c r="B1643" t="s">
        <v>18</v>
      </c>
      <c r="C1643" t="s">
        <v>14</v>
      </c>
      <c r="D1643">
        <v>57</v>
      </c>
      <c r="E1643" s="1">
        <v>42835</v>
      </c>
      <c r="F1643">
        <v>4.6100000000000003</v>
      </c>
      <c r="G1643">
        <v>2</v>
      </c>
      <c r="H1643">
        <v>6185.96</v>
      </c>
      <c r="I1643">
        <v>8.6</v>
      </c>
    </row>
    <row r="1644" spans="1:9" x14ac:dyDescent="0.3">
      <c r="A1644" t="s">
        <v>1659</v>
      </c>
      <c r="B1644" t="s">
        <v>10</v>
      </c>
      <c r="C1644" t="s">
        <v>11</v>
      </c>
      <c r="D1644">
        <v>38</v>
      </c>
      <c r="E1644" s="1">
        <v>43084</v>
      </c>
      <c r="F1644">
        <v>1.85</v>
      </c>
      <c r="G1644">
        <v>13</v>
      </c>
      <c r="H1644">
        <v>5034.1899999999996</v>
      </c>
      <c r="I1644">
        <v>7.9</v>
      </c>
    </row>
    <row r="1645" spans="1:9" x14ac:dyDescent="0.3">
      <c r="A1645" t="s">
        <v>1660</v>
      </c>
      <c r="B1645" t="s">
        <v>24</v>
      </c>
      <c r="C1645" t="s">
        <v>11</v>
      </c>
      <c r="D1645">
        <v>30</v>
      </c>
      <c r="E1645" s="1">
        <v>40582</v>
      </c>
      <c r="F1645">
        <v>3.5</v>
      </c>
      <c r="G1645">
        <v>7</v>
      </c>
      <c r="H1645">
        <v>11771.2</v>
      </c>
      <c r="I1645">
        <v>14.7</v>
      </c>
    </row>
    <row r="1646" spans="1:9" x14ac:dyDescent="0.3">
      <c r="A1646" t="s">
        <v>1661</v>
      </c>
      <c r="B1646" t="s">
        <v>13</v>
      </c>
      <c r="C1646" t="s">
        <v>11</v>
      </c>
      <c r="D1646">
        <v>37</v>
      </c>
      <c r="E1646" s="1">
        <v>40599</v>
      </c>
      <c r="F1646">
        <v>4.76</v>
      </c>
      <c r="G1646">
        <v>10</v>
      </c>
      <c r="H1646">
        <v>11622.48</v>
      </c>
      <c r="I1646">
        <v>14.7</v>
      </c>
    </row>
    <row r="1647" spans="1:9" x14ac:dyDescent="0.3">
      <c r="A1647" t="s">
        <v>1662</v>
      </c>
      <c r="B1647" t="s">
        <v>34</v>
      </c>
      <c r="C1647" t="s">
        <v>11</v>
      </c>
      <c r="D1647">
        <v>40</v>
      </c>
      <c r="E1647" s="1">
        <v>45068</v>
      </c>
      <c r="F1647">
        <v>4.82</v>
      </c>
      <c r="G1647">
        <v>12</v>
      </c>
      <c r="H1647">
        <v>12039.54</v>
      </c>
      <c r="I1647">
        <v>2.4</v>
      </c>
    </row>
    <row r="1648" spans="1:9" x14ac:dyDescent="0.3">
      <c r="A1648" t="s">
        <v>1663</v>
      </c>
      <c r="B1648" t="s">
        <v>10</v>
      </c>
      <c r="C1648" t="s">
        <v>14</v>
      </c>
      <c r="D1648">
        <v>26</v>
      </c>
      <c r="E1648" s="1">
        <v>43852</v>
      </c>
      <c r="F1648">
        <v>4.1500000000000004</v>
      </c>
      <c r="G1648">
        <v>0</v>
      </c>
      <c r="H1648">
        <v>6450.27</v>
      </c>
      <c r="I1648">
        <v>5.8</v>
      </c>
    </row>
    <row r="1649" spans="1:9" x14ac:dyDescent="0.3">
      <c r="A1649" t="s">
        <v>1664</v>
      </c>
      <c r="B1649" t="s">
        <v>18</v>
      </c>
      <c r="C1649" t="s">
        <v>14</v>
      </c>
      <c r="D1649">
        <v>42</v>
      </c>
      <c r="E1649" s="1">
        <v>41711</v>
      </c>
      <c r="F1649">
        <v>2.88</v>
      </c>
      <c r="G1649">
        <v>3</v>
      </c>
      <c r="H1649">
        <v>6642.15</v>
      </c>
      <c r="I1649">
        <v>11.6</v>
      </c>
    </row>
    <row r="1650" spans="1:9" x14ac:dyDescent="0.3">
      <c r="A1650" t="s">
        <v>1665</v>
      </c>
      <c r="B1650" t="s">
        <v>10</v>
      </c>
      <c r="C1650" t="s">
        <v>11</v>
      </c>
      <c r="D1650">
        <v>37</v>
      </c>
      <c r="E1650" s="1">
        <v>40228</v>
      </c>
      <c r="F1650">
        <v>4.76</v>
      </c>
      <c r="G1650">
        <v>0</v>
      </c>
      <c r="H1650">
        <v>6377.28</v>
      </c>
      <c r="I1650">
        <v>15.7</v>
      </c>
    </row>
    <row r="1651" spans="1:9" x14ac:dyDescent="0.3">
      <c r="A1651" t="s">
        <v>1666</v>
      </c>
      <c r="B1651" t="s">
        <v>13</v>
      </c>
      <c r="C1651" t="s">
        <v>11</v>
      </c>
      <c r="D1651">
        <v>49</v>
      </c>
      <c r="E1651" s="1">
        <v>40651</v>
      </c>
      <c r="F1651">
        <v>3.36</v>
      </c>
      <c r="G1651">
        <v>3</v>
      </c>
      <c r="H1651">
        <v>13499.58</v>
      </c>
      <c r="I1651">
        <v>14.6</v>
      </c>
    </row>
    <row r="1652" spans="1:9" x14ac:dyDescent="0.3">
      <c r="A1652" t="s">
        <v>1667</v>
      </c>
      <c r="B1652" t="s">
        <v>16</v>
      </c>
      <c r="C1652" t="s">
        <v>14</v>
      </c>
      <c r="D1652">
        <v>33</v>
      </c>
      <c r="E1652" s="1">
        <v>45321</v>
      </c>
      <c r="F1652">
        <v>3.04</v>
      </c>
      <c r="G1652">
        <v>1</v>
      </c>
      <c r="H1652">
        <v>13717.82</v>
      </c>
      <c r="I1652">
        <v>1.8</v>
      </c>
    </row>
    <row r="1653" spans="1:9" x14ac:dyDescent="0.3">
      <c r="A1653" t="s">
        <v>1668</v>
      </c>
      <c r="B1653" t="s">
        <v>13</v>
      </c>
      <c r="C1653" t="s">
        <v>11</v>
      </c>
      <c r="D1653">
        <v>48</v>
      </c>
      <c r="E1653" s="1">
        <v>45876</v>
      </c>
      <c r="F1653">
        <v>3.43</v>
      </c>
      <c r="G1653">
        <v>4</v>
      </c>
      <c r="H1653">
        <v>5344.25</v>
      </c>
      <c r="I1653">
        <v>0.2</v>
      </c>
    </row>
    <row r="1654" spans="1:9" x14ac:dyDescent="0.3">
      <c r="A1654" t="s">
        <v>1669</v>
      </c>
      <c r="B1654" t="s">
        <v>24</v>
      </c>
      <c r="C1654" t="s">
        <v>11</v>
      </c>
      <c r="D1654">
        <v>43</v>
      </c>
      <c r="E1654" s="1">
        <v>44333</v>
      </c>
      <c r="F1654">
        <v>4.9000000000000004</v>
      </c>
      <c r="G1654">
        <v>12</v>
      </c>
      <c r="H1654">
        <v>11407.94</v>
      </c>
      <c r="I1654">
        <v>4.5</v>
      </c>
    </row>
    <row r="1655" spans="1:9" x14ac:dyDescent="0.3">
      <c r="A1655" t="s">
        <v>1670</v>
      </c>
      <c r="B1655" t="s">
        <v>16</v>
      </c>
      <c r="C1655" t="s">
        <v>14</v>
      </c>
      <c r="D1655">
        <v>59</v>
      </c>
      <c r="E1655" s="1">
        <v>43681</v>
      </c>
      <c r="F1655">
        <v>4.17</v>
      </c>
      <c r="G1655">
        <v>3</v>
      </c>
      <c r="H1655">
        <v>9441.57</v>
      </c>
      <c r="I1655">
        <v>6.2</v>
      </c>
    </row>
    <row r="1656" spans="1:9" x14ac:dyDescent="0.3">
      <c r="A1656" t="s">
        <v>1671</v>
      </c>
      <c r="B1656" t="s">
        <v>24</v>
      </c>
      <c r="C1656" t="s">
        <v>14</v>
      </c>
      <c r="D1656">
        <v>24</v>
      </c>
      <c r="E1656" s="1">
        <v>43453</v>
      </c>
      <c r="F1656">
        <v>1.55</v>
      </c>
      <c r="G1656">
        <v>3</v>
      </c>
      <c r="H1656">
        <v>6581.05</v>
      </c>
      <c r="I1656">
        <v>6.9</v>
      </c>
    </row>
    <row r="1657" spans="1:9" x14ac:dyDescent="0.3">
      <c r="A1657" t="s">
        <v>1672</v>
      </c>
      <c r="B1657" t="s">
        <v>18</v>
      </c>
      <c r="C1657" t="s">
        <v>14</v>
      </c>
      <c r="D1657">
        <v>24</v>
      </c>
      <c r="E1657" s="1">
        <v>42910</v>
      </c>
      <c r="F1657">
        <v>2.12</v>
      </c>
      <c r="G1657">
        <v>5</v>
      </c>
      <c r="H1657">
        <v>4180.7299999999996</v>
      </c>
      <c r="I1657">
        <v>8.4</v>
      </c>
    </row>
    <row r="1658" spans="1:9" x14ac:dyDescent="0.3">
      <c r="A1658" t="s">
        <v>1673</v>
      </c>
      <c r="B1658" t="s">
        <v>24</v>
      </c>
      <c r="C1658" t="s">
        <v>11</v>
      </c>
      <c r="D1658">
        <v>35</v>
      </c>
      <c r="E1658" s="1">
        <v>43768</v>
      </c>
      <c r="F1658">
        <v>2.68</v>
      </c>
      <c r="G1658">
        <v>1</v>
      </c>
      <c r="H1658">
        <v>7303.09</v>
      </c>
      <c r="I1658">
        <v>6</v>
      </c>
    </row>
    <row r="1659" spans="1:9" x14ac:dyDescent="0.3">
      <c r="A1659" t="s">
        <v>1674</v>
      </c>
      <c r="B1659" t="s">
        <v>10</v>
      </c>
      <c r="C1659" t="s">
        <v>14</v>
      </c>
      <c r="D1659">
        <v>27</v>
      </c>
      <c r="E1659" s="1">
        <v>45681</v>
      </c>
      <c r="F1659">
        <v>3.51</v>
      </c>
      <c r="G1659">
        <v>7</v>
      </c>
      <c r="H1659">
        <v>12747.83</v>
      </c>
      <c r="I1659">
        <v>0.8</v>
      </c>
    </row>
    <row r="1660" spans="1:9" x14ac:dyDescent="0.3">
      <c r="A1660" t="s">
        <v>1675</v>
      </c>
      <c r="B1660" t="s">
        <v>10</v>
      </c>
      <c r="C1660" t="s">
        <v>11</v>
      </c>
      <c r="D1660">
        <v>22</v>
      </c>
      <c r="E1660" s="1">
        <v>43724</v>
      </c>
      <c r="F1660">
        <v>2.6</v>
      </c>
      <c r="G1660">
        <v>14</v>
      </c>
      <c r="H1660">
        <v>14895.33</v>
      </c>
      <c r="I1660">
        <v>6.1</v>
      </c>
    </row>
    <row r="1661" spans="1:9" x14ac:dyDescent="0.3">
      <c r="A1661" t="s">
        <v>1676</v>
      </c>
      <c r="B1661" t="s">
        <v>13</v>
      </c>
      <c r="C1661" t="s">
        <v>11</v>
      </c>
      <c r="D1661">
        <v>48</v>
      </c>
      <c r="E1661" s="1">
        <v>44409</v>
      </c>
      <c r="F1661">
        <v>4.8499999999999996</v>
      </c>
      <c r="G1661">
        <v>13</v>
      </c>
      <c r="H1661">
        <v>4697.6099999999997</v>
      </c>
      <c r="I1661">
        <v>4.3</v>
      </c>
    </row>
    <row r="1662" spans="1:9" x14ac:dyDescent="0.3">
      <c r="A1662" t="s">
        <v>1677</v>
      </c>
      <c r="B1662" t="s">
        <v>24</v>
      </c>
      <c r="C1662" t="s">
        <v>11</v>
      </c>
      <c r="D1662">
        <v>48</v>
      </c>
      <c r="E1662" s="1">
        <v>40722</v>
      </c>
      <c r="F1662">
        <v>3.99</v>
      </c>
      <c r="G1662">
        <v>14</v>
      </c>
      <c r="H1662">
        <v>9047.89</v>
      </c>
      <c r="I1662">
        <v>14.4</v>
      </c>
    </row>
    <row r="1663" spans="1:9" x14ac:dyDescent="0.3">
      <c r="A1663" t="s">
        <v>1678</v>
      </c>
      <c r="B1663" t="s">
        <v>34</v>
      </c>
      <c r="C1663" t="s">
        <v>14</v>
      </c>
      <c r="D1663">
        <v>22</v>
      </c>
      <c r="E1663" s="1">
        <v>44227</v>
      </c>
      <c r="F1663">
        <v>4.08</v>
      </c>
      <c r="G1663">
        <v>4</v>
      </c>
      <c r="H1663">
        <v>8746.4699999999993</v>
      </c>
      <c r="I1663">
        <v>4.8</v>
      </c>
    </row>
    <row r="1664" spans="1:9" x14ac:dyDescent="0.3">
      <c r="A1664" t="s">
        <v>1679</v>
      </c>
      <c r="B1664" t="s">
        <v>10</v>
      </c>
      <c r="C1664" t="s">
        <v>11</v>
      </c>
      <c r="D1664">
        <v>57</v>
      </c>
      <c r="E1664" s="1">
        <v>40592</v>
      </c>
      <c r="F1664">
        <v>1.57</v>
      </c>
      <c r="G1664">
        <v>0</v>
      </c>
      <c r="H1664">
        <v>3141.83</v>
      </c>
      <c r="I1664">
        <v>14.7</v>
      </c>
    </row>
    <row r="1665" spans="1:9" x14ac:dyDescent="0.3">
      <c r="A1665" t="s">
        <v>1680</v>
      </c>
      <c r="B1665" t="s">
        <v>13</v>
      </c>
      <c r="C1665" t="s">
        <v>14</v>
      </c>
      <c r="D1665">
        <v>29</v>
      </c>
      <c r="E1665" s="1">
        <v>45134</v>
      </c>
      <c r="F1665">
        <v>2.88</v>
      </c>
      <c r="G1665">
        <v>11</v>
      </c>
      <c r="H1665">
        <v>5847.63</v>
      </c>
      <c r="I1665">
        <v>2.2999999999999998</v>
      </c>
    </row>
    <row r="1666" spans="1:9" x14ac:dyDescent="0.3">
      <c r="A1666" t="s">
        <v>1681</v>
      </c>
      <c r="B1666" t="s">
        <v>16</v>
      </c>
      <c r="C1666" t="s">
        <v>14</v>
      </c>
      <c r="D1666">
        <v>59</v>
      </c>
      <c r="E1666" s="1">
        <v>44687</v>
      </c>
      <c r="F1666">
        <v>3.57</v>
      </c>
      <c r="G1666">
        <v>8</v>
      </c>
      <c r="H1666">
        <v>8694.42</v>
      </c>
      <c r="I1666">
        <v>3.5</v>
      </c>
    </row>
    <row r="1667" spans="1:9" x14ac:dyDescent="0.3">
      <c r="A1667" t="s">
        <v>1682</v>
      </c>
      <c r="B1667" t="s">
        <v>10</v>
      </c>
      <c r="C1667" t="s">
        <v>11</v>
      </c>
      <c r="D1667">
        <v>40</v>
      </c>
      <c r="E1667" s="1">
        <v>41564</v>
      </c>
      <c r="F1667">
        <v>4.88</v>
      </c>
      <c r="G1667">
        <v>10</v>
      </c>
      <c r="H1667">
        <v>7045.89</v>
      </c>
      <c r="I1667">
        <v>12</v>
      </c>
    </row>
    <row r="1668" spans="1:9" x14ac:dyDescent="0.3">
      <c r="A1668" t="s">
        <v>1683</v>
      </c>
      <c r="B1668" t="s">
        <v>24</v>
      </c>
      <c r="C1668" t="s">
        <v>14</v>
      </c>
      <c r="D1668">
        <v>46</v>
      </c>
      <c r="E1668" s="1">
        <v>40775</v>
      </c>
      <c r="F1668">
        <v>4.37</v>
      </c>
      <c r="G1668">
        <v>4</v>
      </c>
      <c r="H1668">
        <v>6302.69</v>
      </c>
      <c r="I1668">
        <v>14.2</v>
      </c>
    </row>
    <row r="1669" spans="1:9" x14ac:dyDescent="0.3">
      <c r="A1669" t="s">
        <v>1684</v>
      </c>
      <c r="B1669" t="s">
        <v>13</v>
      </c>
      <c r="C1669" t="s">
        <v>11</v>
      </c>
      <c r="D1669">
        <v>49</v>
      </c>
      <c r="E1669" s="1">
        <v>42990</v>
      </c>
      <c r="F1669">
        <v>3.4</v>
      </c>
      <c r="G1669">
        <v>6</v>
      </c>
      <c r="H1669">
        <v>4376.2700000000004</v>
      </c>
      <c r="I1669">
        <v>8.1</v>
      </c>
    </row>
    <row r="1670" spans="1:9" x14ac:dyDescent="0.3">
      <c r="A1670" t="s">
        <v>1685</v>
      </c>
      <c r="B1670" t="s">
        <v>13</v>
      </c>
      <c r="C1670" t="s">
        <v>11</v>
      </c>
      <c r="D1670">
        <v>31</v>
      </c>
      <c r="E1670" s="1">
        <v>44039</v>
      </c>
      <c r="F1670">
        <v>4.12</v>
      </c>
      <c r="G1670">
        <v>10</v>
      </c>
      <c r="H1670">
        <v>8922.85</v>
      </c>
      <c r="I1670">
        <v>5.3</v>
      </c>
    </row>
    <row r="1671" spans="1:9" x14ac:dyDescent="0.3">
      <c r="A1671" t="s">
        <v>1686</v>
      </c>
      <c r="B1671" t="s">
        <v>34</v>
      </c>
      <c r="C1671" t="s">
        <v>11</v>
      </c>
      <c r="D1671">
        <v>55</v>
      </c>
      <c r="E1671" s="1">
        <v>44248</v>
      </c>
      <c r="F1671">
        <v>1.64</v>
      </c>
      <c r="G1671">
        <v>12</v>
      </c>
      <c r="H1671">
        <v>3522.89</v>
      </c>
      <c r="I1671">
        <v>4.7</v>
      </c>
    </row>
    <row r="1672" spans="1:9" x14ac:dyDescent="0.3">
      <c r="A1672" t="s">
        <v>1687</v>
      </c>
      <c r="B1672" t="s">
        <v>13</v>
      </c>
      <c r="C1672" t="s">
        <v>11</v>
      </c>
      <c r="D1672">
        <v>52</v>
      </c>
      <c r="E1672" s="1">
        <v>42284</v>
      </c>
      <c r="F1672">
        <v>2.35</v>
      </c>
      <c r="G1672">
        <v>11</v>
      </c>
      <c r="H1672">
        <v>13048.96</v>
      </c>
      <c r="I1672">
        <v>10.1</v>
      </c>
    </row>
    <row r="1673" spans="1:9" x14ac:dyDescent="0.3">
      <c r="A1673" t="s">
        <v>1688</v>
      </c>
      <c r="B1673" t="s">
        <v>13</v>
      </c>
      <c r="C1673" t="s">
        <v>14</v>
      </c>
      <c r="D1673">
        <v>51</v>
      </c>
      <c r="E1673" s="1">
        <v>40728</v>
      </c>
      <c r="F1673">
        <v>4.13</v>
      </c>
      <c r="G1673">
        <v>0</v>
      </c>
      <c r="H1673">
        <v>14264.64</v>
      </c>
      <c r="I1673">
        <v>14.3</v>
      </c>
    </row>
    <row r="1674" spans="1:9" x14ac:dyDescent="0.3">
      <c r="A1674" t="s">
        <v>1689</v>
      </c>
      <c r="B1674" t="s">
        <v>24</v>
      </c>
      <c r="C1674" t="s">
        <v>14</v>
      </c>
      <c r="D1674">
        <v>45</v>
      </c>
      <c r="E1674" s="1">
        <v>45518</v>
      </c>
      <c r="F1674">
        <v>4.0599999999999996</v>
      </c>
      <c r="G1674">
        <v>6</v>
      </c>
      <c r="H1674">
        <v>9724.56</v>
      </c>
      <c r="I1674">
        <v>1.2</v>
      </c>
    </row>
    <row r="1675" spans="1:9" x14ac:dyDescent="0.3">
      <c r="A1675" t="s">
        <v>1690</v>
      </c>
      <c r="B1675" t="s">
        <v>34</v>
      </c>
      <c r="C1675" t="s">
        <v>11</v>
      </c>
      <c r="D1675">
        <v>26</v>
      </c>
      <c r="E1675" s="1">
        <v>41938</v>
      </c>
      <c r="F1675">
        <v>2.95</v>
      </c>
      <c r="G1675">
        <v>9</v>
      </c>
      <c r="H1675">
        <v>5391.39</v>
      </c>
      <c r="I1675">
        <v>11</v>
      </c>
    </row>
    <row r="1676" spans="1:9" x14ac:dyDescent="0.3">
      <c r="A1676" t="s">
        <v>1691</v>
      </c>
      <c r="B1676" t="s">
        <v>34</v>
      </c>
      <c r="C1676" t="s">
        <v>14</v>
      </c>
      <c r="D1676">
        <v>33</v>
      </c>
      <c r="E1676" s="1">
        <v>42325</v>
      </c>
      <c r="F1676">
        <v>3.38</v>
      </c>
      <c r="G1676">
        <v>10</v>
      </c>
      <c r="H1676">
        <v>3983.44</v>
      </c>
      <c r="I1676">
        <v>10</v>
      </c>
    </row>
    <row r="1677" spans="1:9" x14ac:dyDescent="0.3">
      <c r="A1677" t="s">
        <v>1692</v>
      </c>
      <c r="B1677" t="s">
        <v>24</v>
      </c>
      <c r="C1677" t="s">
        <v>11</v>
      </c>
      <c r="D1677">
        <v>55</v>
      </c>
      <c r="E1677" s="1">
        <v>40585</v>
      </c>
      <c r="F1677">
        <v>3.85</v>
      </c>
      <c r="G1677">
        <v>0</v>
      </c>
      <c r="H1677">
        <v>10580.78</v>
      </c>
      <c r="I1677">
        <v>14.7</v>
      </c>
    </row>
    <row r="1678" spans="1:9" x14ac:dyDescent="0.3">
      <c r="A1678" t="s">
        <v>1693</v>
      </c>
      <c r="B1678" t="s">
        <v>34</v>
      </c>
      <c r="C1678" t="s">
        <v>11</v>
      </c>
      <c r="D1678">
        <v>59</v>
      </c>
      <c r="E1678" s="1">
        <v>43270</v>
      </c>
      <c r="F1678">
        <v>2.59</v>
      </c>
      <c r="G1678">
        <v>7</v>
      </c>
      <c r="H1678">
        <v>8640.9699999999993</v>
      </c>
      <c r="I1678">
        <v>7.4</v>
      </c>
    </row>
    <row r="1679" spans="1:9" x14ac:dyDescent="0.3">
      <c r="A1679" t="s">
        <v>1694</v>
      </c>
      <c r="B1679" t="s">
        <v>18</v>
      </c>
      <c r="C1679" t="s">
        <v>14</v>
      </c>
      <c r="D1679">
        <v>39</v>
      </c>
      <c r="E1679" s="1">
        <v>44148</v>
      </c>
      <c r="F1679">
        <v>3.36</v>
      </c>
      <c r="G1679">
        <v>10</v>
      </c>
      <c r="H1679">
        <v>12083.2</v>
      </c>
      <c r="I1679">
        <v>5</v>
      </c>
    </row>
    <row r="1680" spans="1:9" x14ac:dyDescent="0.3">
      <c r="A1680" t="s">
        <v>1695</v>
      </c>
      <c r="B1680" t="s">
        <v>16</v>
      </c>
      <c r="C1680" t="s">
        <v>14</v>
      </c>
      <c r="D1680">
        <v>22</v>
      </c>
      <c r="E1680" s="1">
        <v>40928</v>
      </c>
      <c r="F1680">
        <v>2.66</v>
      </c>
      <c r="G1680">
        <v>8</v>
      </c>
      <c r="H1680">
        <v>5623.75</v>
      </c>
      <c r="I1680">
        <v>13.8</v>
      </c>
    </row>
    <row r="1681" spans="1:9" x14ac:dyDescent="0.3">
      <c r="A1681" t="s">
        <v>1696</v>
      </c>
      <c r="B1681" t="s">
        <v>18</v>
      </c>
      <c r="C1681" t="s">
        <v>11</v>
      </c>
      <c r="D1681">
        <v>35</v>
      </c>
      <c r="E1681" s="1">
        <v>45014</v>
      </c>
      <c r="F1681">
        <v>3.25</v>
      </c>
      <c r="G1681">
        <v>6</v>
      </c>
      <c r="H1681">
        <v>8345.36</v>
      </c>
      <c r="I1681">
        <v>2.6</v>
      </c>
    </row>
    <row r="1682" spans="1:9" x14ac:dyDescent="0.3">
      <c r="A1682" t="s">
        <v>1697</v>
      </c>
      <c r="B1682" t="s">
        <v>16</v>
      </c>
      <c r="C1682" t="s">
        <v>11</v>
      </c>
      <c r="D1682">
        <v>49</v>
      </c>
      <c r="E1682" s="1">
        <v>41648</v>
      </c>
      <c r="F1682">
        <v>4.12</v>
      </c>
      <c r="G1682">
        <v>6</v>
      </c>
      <c r="H1682">
        <v>6143.36</v>
      </c>
      <c r="I1682">
        <v>11.8</v>
      </c>
    </row>
    <row r="1683" spans="1:9" x14ac:dyDescent="0.3">
      <c r="A1683" t="s">
        <v>1698</v>
      </c>
      <c r="B1683" t="s">
        <v>10</v>
      </c>
      <c r="C1683" t="s">
        <v>11</v>
      </c>
      <c r="D1683">
        <v>28</v>
      </c>
      <c r="E1683" s="1">
        <v>40903</v>
      </c>
      <c r="F1683">
        <v>4.13</v>
      </c>
      <c r="G1683">
        <v>3</v>
      </c>
      <c r="H1683">
        <v>12288.61</v>
      </c>
      <c r="I1683">
        <v>13.9</v>
      </c>
    </row>
    <row r="1684" spans="1:9" x14ac:dyDescent="0.3">
      <c r="A1684" t="s">
        <v>1699</v>
      </c>
      <c r="B1684" t="s">
        <v>24</v>
      </c>
      <c r="C1684" t="s">
        <v>14</v>
      </c>
      <c r="D1684">
        <v>40</v>
      </c>
      <c r="E1684" s="1">
        <v>43810</v>
      </c>
      <c r="F1684">
        <v>3.54</v>
      </c>
      <c r="G1684">
        <v>2</v>
      </c>
      <c r="H1684">
        <v>3937.67</v>
      </c>
      <c r="I1684">
        <v>5.9</v>
      </c>
    </row>
    <row r="1685" spans="1:9" x14ac:dyDescent="0.3">
      <c r="A1685" t="s">
        <v>1700</v>
      </c>
      <c r="B1685" t="s">
        <v>34</v>
      </c>
      <c r="C1685" t="s">
        <v>14</v>
      </c>
      <c r="D1685">
        <v>60</v>
      </c>
      <c r="E1685" s="1">
        <v>44837</v>
      </c>
      <c r="F1685">
        <v>3.94</v>
      </c>
      <c r="G1685">
        <v>8</v>
      </c>
      <c r="H1685">
        <v>7045.46</v>
      </c>
      <c r="I1685">
        <v>3.1</v>
      </c>
    </row>
    <row r="1686" spans="1:9" x14ac:dyDescent="0.3">
      <c r="A1686" t="s">
        <v>1701</v>
      </c>
      <c r="B1686" t="s">
        <v>10</v>
      </c>
      <c r="C1686" t="s">
        <v>11</v>
      </c>
      <c r="D1686">
        <v>53</v>
      </c>
      <c r="E1686" s="1">
        <v>45669</v>
      </c>
      <c r="F1686">
        <v>1.52</v>
      </c>
      <c r="G1686">
        <v>1</v>
      </c>
      <c r="H1686">
        <v>7317.74</v>
      </c>
      <c r="I1686">
        <v>0.8</v>
      </c>
    </row>
    <row r="1687" spans="1:9" x14ac:dyDescent="0.3">
      <c r="A1687" t="s">
        <v>1702</v>
      </c>
      <c r="B1687" t="s">
        <v>16</v>
      </c>
      <c r="C1687" t="s">
        <v>14</v>
      </c>
      <c r="D1687">
        <v>48</v>
      </c>
      <c r="E1687" s="1">
        <v>42461</v>
      </c>
      <c r="F1687">
        <v>3.5</v>
      </c>
      <c r="G1687">
        <v>11</v>
      </c>
      <c r="H1687">
        <v>3015.83</v>
      </c>
      <c r="I1687">
        <v>9.6</v>
      </c>
    </row>
    <row r="1688" spans="1:9" x14ac:dyDescent="0.3">
      <c r="A1688" t="s">
        <v>1703</v>
      </c>
      <c r="B1688" t="s">
        <v>24</v>
      </c>
      <c r="C1688" t="s">
        <v>14</v>
      </c>
      <c r="D1688">
        <v>29</v>
      </c>
      <c r="E1688" s="1">
        <v>45130</v>
      </c>
      <c r="F1688">
        <v>2.56</v>
      </c>
      <c r="G1688">
        <v>13</v>
      </c>
      <c r="H1688">
        <v>3949.96</v>
      </c>
      <c r="I1688">
        <v>2.2999999999999998</v>
      </c>
    </row>
    <row r="1689" spans="1:9" x14ac:dyDescent="0.3">
      <c r="A1689" t="s">
        <v>1704</v>
      </c>
      <c r="B1689" t="s">
        <v>13</v>
      </c>
      <c r="C1689" t="s">
        <v>11</v>
      </c>
      <c r="D1689">
        <v>35</v>
      </c>
      <c r="E1689" s="1">
        <v>43517</v>
      </c>
      <c r="F1689">
        <v>2.81</v>
      </c>
      <c r="G1689">
        <v>7</v>
      </c>
      <c r="H1689">
        <v>7036.86</v>
      </c>
      <c r="I1689">
        <v>6.7</v>
      </c>
    </row>
    <row r="1690" spans="1:9" x14ac:dyDescent="0.3">
      <c r="A1690" t="s">
        <v>1705</v>
      </c>
      <c r="B1690" t="s">
        <v>10</v>
      </c>
      <c r="C1690" t="s">
        <v>14</v>
      </c>
      <c r="D1690">
        <v>50</v>
      </c>
      <c r="E1690" s="1">
        <v>42515</v>
      </c>
      <c r="F1690">
        <v>5</v>
      </c>
      <c r="G1690">
        <v>0</v>
      </c>
      <c r="H1690">
        <v>13459.75</v>
      </c>
      <c r="I1690">
        <v>9.4</v>
      </c>
    </row>
    <row r="1691" spans="1:9" x14ac:dyDescent="0.3">
      <c r="A1691" t="s">
        <v>1706</v>
      </c>
      <c r="B1691" t="s">
        <v>18</v>
      </c>
      <c r="C1691" t="s">
        <v>11</v>
      </c>
      <c r="D1691">
        <v>27</v>
      </c>
      <c r="E1691" s="1">
        <v>44806</v>
      </c>
      <c r="F1691">
        <v>4.03</v>
      </c>
      <c r="G1691">
        <v>10</v>
      </c>
      <c r="H1691">
        <v>8963.52</v>
      </c>
      <c r="I1691">
        <v>3.2</v>
      </c>
    </row>
    <row r="1692" spans="1:9" x14ac:dyDescent="0.3">
      <c r="A1692" t="s">
        <v>1707</v>
      </c>
      <c r="B1692" t="s">
        <v>34</v>
      </c>
      <c r="C1692" t="s">
        <v>14</v>
      </c>
      <c r="D1692">
        <v>35</v>
      </c>
      <c r="E1692" s="1">
        <v>42061</v>
      </c>
      <c r="F1692">
        <v>2.35</v>
      </c>
      <c r="G1692">
        <v>2</v>
      </c>
      <c r="H1692">
        <v>12567.66</v>
      </c>
      <c r="I1692">
        <v>10.7</v>
      </c>
    </row>
    <row r="1693" spans="1:9" x14ac:dyDescent="0.3">
      <c r="A1693" t="s">
        <v>1708</v>
      </c>
      <c r="B1693" t="s">
        <v>10</v>
      </c>
      <c r="C1693" t="s">
        <v>14</v>
      </c>
      <c r="D1693">
        <v>42</v>
      </c>
      <c r="E1693" s="1">
        <v>40898</v>
      </c>
      <c r="F1693">
        <v>2.2200000000000002</v>
      </c>
      <c r="G1693">
        <v>1</v>
      </c>
      <c r="H1693">
        <v>8436.76</v>
      </c>
      <c r="I1693">
        <v>13.9</v>
      </c>
    </row>
    <row r="1694" spans="1:9" x14ac:dyDescent="0.3">
      <c r="A1694" t="s">
        <v>1709</v>
      </c>
      <c r="B1694" t="s">
        <v>18</v>
      </c>
      <c r="C1694" t="s">
        <v>11</v>
      </c>
      <c r="D1694">
        <v>50</v>
      </c>
      <c r="E1694" s="1">
        <v>42435</v>
      </c>
      <c r="F1694">
        <v>4.72</v>
      </c>
      <c r="G1694">
        <v>6</v>
      </c>
      <c r="H1694">
        <v>12067.38</v>
      </c>
      <c r="I1694">
        <v>9.6999999999999993</v>
      </c>
    </row>
    <row r="1695" spans="1:9" x14ac:dyDescent="0.3">
      <c r="A1695" t="s">
        <v>1710</v>
      </c>
      <c r="B1695" t="s">
        <v>16</v>
      </c>
      <c r="C1695" t="s">
        <v>14</v>
      </c>
      <c r="D1695">
        <v>48</v>
      </c>
      <c r="E1695" s="1">
        <v>44597</v>
      </c>
      <c r="F1695">
        <v>2.29</v>
      </c>
      <c r="G1695">
        <v>13</v>
      </c>
      <c r="H1695">
        <v>5837.22</v>
      </c>
      <c r="I1695">
        <v>3.7</v>
      </c>
    </row>
    <row r="1696" spans="1:9" x14ac:dyDescent="0.3">
      <c r="A1696" t="s">
        <v>1711</v>
      </c>
      <c r="B1696" t="s">
        <v>13</v>
      </c>
      <c r="C1696" t="s">
        <v>14</v>
      </c>
      <c r="D1696">
        <v>33</v>
      </c>
      <c r="E1696" s="1">
        <v>43572</v>
      </c>
      <c r="F1696">
        <v>3.87</v>
      </c>
      <c r="G1696">
        <v>6</v>
      </c>
      <c r="H1696">
        <v>3768.61</v>
      </c>
      <c r="I1696">
        <v>6.5</v>
      </c>
    </row>
    <row r="1697" spans="1:9" x14ac:dyDescent="0.3">
      <c r="A1697" t="s">
        <v>1712</v>
      </c>
      <c r="B1697" t="s">
        <v>24</v>
      </c>
      <c r="C1697" t="s">
        <v>14</v>
      </c>
      <c r="D1697">
        <v>39</v>
      </c>
      <c r="E1697" s="1">
        <v>45782</v>
      </c>
      <c r="F1697">
        <v>1.93</v>
      </c>
      <c r="G1697">
        <v>2</v>
      </c>
      <c r="H1697">
        <v>14741.8</v>
      </c>
      <c r="I1697">
        <v>0.5</v>
      </c>
    </row>
    <row r="1698" spans="1:9" x14ac:dyDescent="0.3">
      <c r="A1698" t="s">
        <v>1713</v>
      </c>
      <c r="B1698" t="s">
        <v>34</v>
      </c>
      <c r="C1698" t="s">
        <v>11</v>
      </c>
      <c r="D1698">
        <v>39</v>
      </c>
      <c r="E1698" s="1">
        <v>43482</v>
      </c>
      <c r="F1698">
        <v>2.87</v>
      </c>
      <c r="G1698">
        <v>5</v>
      </c>
      <c r="H1698">
        <v>10415.68</v>
      </c>
      <c r="I1698">
        <v>6.8</v>
      </c>
    </row>
    <row r="1699" spans="1:9" x14ac:dyDescent="0.3">
      <c r="A1699" t="s">
        <v>1714</v>
      </c>
      <c r="B1699" t="s">
        <v>16</v>
      </c>
      <c r="C1699" t="s">
        <v>14</v>
      </c>
      <c r="D1699">
        <v>30</v>
      </c>
      <c r="E1699" s="1">
        <v>40185</v>
      </c>
      <c r="F1699">
        <v>4.0199999999999996</v>
      </c>
      <c r="G1699">
        <v>1</v>
      </c>
      <c r="H1699">
        <v>14021.35</v>
      </c>
      <c r="I1699">
        <v>15.8</v>
      </c>
    </row>
    <row r="1700" spans="1:9" x14ac:dyDescent="0.3">
      <c r="A1700" t="s">
        <v>1715</v>
      </c>
      <c r="B1700" t="s">
        <v>18</v>
      </c>
      <c r="C1700" t="s">
        <v>11</v>
      </c>
      <c r="D1700">
        <v>44</v>
      </c>
      <c r="E1700" s="1">
        <v>43794</v>
      </c>
      <c r="F1700">
        <v>2.62</v>
      </c>
      <c r="G1700">
        <v>10</v>
      </c>
      <c r="H1700">
        <v>3795.4</v>
      </c>
      <c r="I1700">
        <v>5.9</v>
      </c>
    </row>
    <row r="1701" spans="1:9" x14ac:dyDescent="0.3">
      <c r="A1701" t="s">
        <v>1716</v>
      </c>
      <c r="B1701" t="s">
        <v>13</v>
      </c>
      <c r="C1701" t="s">
        <v>14</v>
      </c>
      <c r="D1701">
        <v>59</v>
      </c>
      <c r="E1701" s="1">
        <v>45040</v>
      </c>
      <c r="F1701">
        <v>1.94</v>
      </c>
      <c r="G1701">
        <v>10</v>
      </c>
      <c r="H1701">
        <v>8636.32</v>
      </c>
      <c r="I1701">
        <v>2.5</v>
      </c>
    </row>
    <row r="1702" spans="1:9" x14ac:dyDescent="0.3">
      <c r="A1702" t="s">
        <v>1717</v>
      </c>
      <c r="B1702" t="s">
        <v>13</v>
      </c>
      <c r="C1702" t="s">
        <v>11</v>
      </c>
      <c r="D1702">
        <v>25</v>
      </c>
      <c r="E1702" s="1">
        <v>43305</v>
      </c>
      <c r="F1702">
        <v>3.15</v>
      </c>
      <c r="G1702">
        <v>9</v>
      </c>
      <c r="H1702">
        <v>12521.22</v>
      </c>
      <c r="I1702">
        <v>7.3</v>
      </c>
    </row>
    <row r="1703" spans="1:9" x14ac:dyDescent="0.3">
      <c r="A1703" t="s">
        <v>1718</v>
      </c>
      <c r="B1703" t="s">
        <v>16</v>
      </c>
      <c r="C1703" t="s">
        <v>11</v>
      </c>
      <c r="D1703">
        <v>37</v>
      </c>
      <c r="E1703" s="1">
        <v>42546</v>
      </c>
      <c r="F1703">
        <v>3.39</v>
      </c>
      <c r="G1703">
        <v>6</v>
      </c>
      <c r="H1703">
        <v>7981.5</v>
      </c>
      <c r="I1703">
        <v>9.4</v>
      </c>
    </row>
    <row r="1704" spans="1:9" x14ac:dyDescent="0.3">
      <c r="A1704" t="s">
        <v>1719</v>
      </c>
      <c r="B1704" t="s">
        <v>16</v>
      </c>
      <c r="C1704" t="s">
        <v>14</v>
      </c>
      <c r="D1704">
        <v>27</v>
      </c>
      <c r="E1704" s="1">
        <v>45915</v>
      </c>
      <c r="F1704">
        <v>4.6399999999999997</v>
      </c>
      <c r="G1704">
        <v>12</v>
      </c>
      <c r="H1704">
        <v>10509.43</v>
      </c>
      <c r="I1704">
        <v>0.1</v>
      </c>
    </row>
    <row r="1705" spans="1:9" x14ac:dyDescent="0.3">
      <c r="A1705" t="s">
        <v>1720</v>
      </c>
      <c r="B1705" t="s">
        <v>18</v>
      </c>
      <c r="C1705" t="s">
        <v>14</v>
      </c>
      <c r="D1705">
        <v>27</v>
      </c>
      <c r="E1705" s="1">
        <v>41859</v>
      </c>
      <c r="F1705">
        <v>4.24</v>
      </c>
      <c r="G1705">
        <v>8</v>
      </c>
      <c r="H1705">
        <v>5007.21</v>
      </c>
      <c r="I1705">
        <v>11.2</v>
      </c>
    </row>
    <row r="1706" spans="1:9" x14ac:dyDescent="0.3">
      <c r="A1706" t="s">
        <v>1721</v>
      </c>
      <c r="B1706" t="s">
        <v>24</v>
      </c>
      <c r="C1706" t="s">
        <v>14</v>
      </c>
      <c r="D1706">
        <v>43</v>
      </c>
      <c r="E1706" s="1">
        <v>40518</v>
      </c>
      <c r="F1706">
        <v>1.92</v>
      </c>
      <c r="G1706">
        <v>8</v>
      </c>
      <c r="H1706">
        <v>4634.12</v>
      </c>
      <c r="I1706">
        <v>14.9</v>
      </c>
    </row>
    <row r="1707" spans="1:9" x14ac:dyDescent="0.3">
      <c r="A1707" t="s">
        <v>1722</v>
      </c>
      <c r="B1707" t="s">
        <v>18</v>
      </c>
      <c r="C1707" t="s">
        <v>11</v>
      </c>
      <c r="D1707">
        <v>37</v>
      </c>
      <c r="E1707" s="1">
        <v>42717</v>
      </c>
      <c r="F1707">
        <v>2.74</v>
      </c>
      <c r="G1707">
        <v>7</v>
      </c>
      <c r="H1707">
        <v>9972.2999999999993</v>
      </c>
      <c r="I1707">
        <v>8.9</v>
      </c>
    </row>
    <row r="1708" spans="1:9" x14ac:dyDescent="0.3">
      <c r="A1708" t="s">
        <v>1723</v>
      </c>
      <c r="B1708" t="s">
        <v>34</v>
      </c>
      <c r="C1708" t="s">
        <v>11</v>
      </c>
      <c r="D1708">
        <v>30</v>
      </c>
      <c r="E1708" s="1">
        <v>41593</v>
      </c>
      <c r="F1708">
        <v>3.61</v>
      </c>
      <c r="G1708">
        <v>14</v>
      </c>
      <c r="H1708">
        <v>9356.51</v>
      </c>
      <c r="I1708">
        <v>12</v>
      </c>
    </row>
    <row r="1709" spans="1:9" x14ac:dyDescent="0.3">
      <c r="A1709" t="s">
        <v>1724</v>
      </c>
      <c r="B1709" t="s">
        <v>24</v>
      </c>
      <c r="C1709" t="s">
        <v>14</v>
      </c>
      <c r="D1709">
        <v>56</v>
      </c>
      <c r="E1709" s="1">
        <v>43181</v>
      </c>
      <c r="F1709">
        <v>3.97</v>
      </c>
      <c r="G1709">
        <v>13</v>
      </c>
      <c r="H1709">
        <v>8294.02</v>
      </c>
      <c r="I1709">
        <v>7.6</v>
      </c>
    </row>
    <row r="1710" spans="1:9" x14ac:dyDescent="0.3">
      <c r="A1710" t="s">
        <v>1725</v>
      </c>
      <c r="B1710" t="s">
        <v>24</v>
      </c>
      <c r="C1710" t="s">
        <v>11</v>
      </c>
      <c r="D1710">
        <v>56</v>
      </c>
      <c r="E1710" s="1">
        <v>43117</v>
      </c>
      <c r="F1710">
        <v>4.0999999999999996</v>
      </c>
      <c r="G1710">
        <v>2</v>
      </c>
      <c r="H1710">
        <v>7007.34</v>
      </c>
      <c r="I1710">
        <v>7.8</v>
      </c>
    </row>
    <row r="1711" spans="1:9" x14ac:dyDescent="0.3">
      <c r="A1711" t="s">
        <v>1726</v>
      </c>
      <c r="B1711" t="s">
        <v>13</v>
      </c>
      <c r="C1711" t="s">
        <v>11</v>
      </c>
      <c r="D1711">
        <v>41</v>
      </c>
      <c r="E1711" s="1">
        <v>43724</v>
      </c>
      <c r="F1711">
        <v>3.23</v>
      </c>
      <c r="G1711">
        <v>8</v>
      </c>
      <c r="H1711">
        <v>4906.05</v>
      </c>
      <c r="I1711">
        <v>6.1</v>
      </c>
    </row>
    <row r="1712" spans="1:9" x14ac:dyDescent="0.3">
      <c r="A1712" t="s">
        <v>1727</v>
      </c>
      <c r="B1712" t="s">
        <v>34</v>
      </c>
      <c r="C1712" t="s">
        <v>14</v>
      </c>
      <c r="D1712">
        <v>29</v>
      </c>
      <c r="E1712" s="1">
        <v>42850</v>
      </c>
      <c r="F1712">
        <v>3.31</v>
      </c>
      <c r="G1712">
        <v>12</v>
      </c>
      <c r="H1712">
        <v>9302.2000000000007</v>
      </c>
      <c r="I1712">
        <v>8.5</v>
      </c>
    </row>
    <row r="1713" spans="1:9" x14ac:dyDescent="0.3">
      <c r="A1713" t="s">
        <v>1728</v>
      </c>
      <c r="B1713" t="s">
        <v>13</v>
      </c>
      <c r="C1713" t="s">
        <v>14</v>
      </c>
      <c r="D1713">
        <v>54</v>
      </c>
      <c r="E1713" s="1">
        <v>42368</v>
      </c>
      <c r="F1713">
        <v>1.9</v>
      </c>
      <c r="G1713">
        <v>2</v>
      </c>
      <c r="H1713">
        <v>3761.31</v>
      </c>
      <c r="I1713">
        <v>9.8000000000000007</v>
      </c>
    </row>
    <row r="1714" spans="1:9" x14ac:dyDescent="0.3">
      <c r="A1714" t="s">
        <v>1729</v>
      </c>
      <c r="B1714" t="s">
        <v>16</v>
      </c>
      <c r="C1714" t="s">
        <v>11</v>
      </c>
      <c r="D1714">
        <v>24</v>
      </c>
      <c r="E1714" s="1">
        <v>41964</v>
      </c>
      <c r="F1714">
        <v>3.95</v>
      </c>
      <c r="G1714">
        <v>10</v>
      </c>
      <c r="H1714">
        <v>9963.15</v>
      </c>
      <c r="I1714">
        <v>11</v>
      </c>
    </row>
    <row r="1715" spans="1:9" x14ac:dyDescent="0.3">
      <c r="A1715" t="s">
        <v>1730</v>
      </c>
      <c r="B1715" t="s">
        <v>10</v>
      </c>
      <c r="C1715" t="s">
        <v>11</v>
      </c>
      <c r="D1715">
        <v>51</v>
      </c>
      <c r="E1715" s="1">
        <v>41600</v>
      </c>
      <c r="F1715">
        <v>4.16</v>
      </c>
      <c r="G1715">
        <v>9</v>
      </c>
      <c r="H1715">
        <v>11846.16</v>
      </c>
      <c r="I1715">
        <v>12</v>
      </c>
    </row>
    <row r="1716" spans="1:9" x14ac:dyDescent="0.3">
      <c r="A1716" t="s">
        <v>1731</v>
      </c>
      <c r="B1716" t="s">
        <v>34</v>
      </c>
      <c r="C1716" t="s">
        <v>14</v>
      </c>
      <c r="D1716">
        <v>28</v>
      </c>
      <c r="E1716" s="1">
        <v>40464</v>
      </c>
      <c r="F1716">
        <v>3.58</v>
      </c>
      <c r="G1716">
        <v>9</v>
      </c>
      <c r="H1716">
        <v>14121.18</v>
      </c>
      <c r="I1716">
        <v>15.1</v>
      </c>
    </row>
    <row r="1717" spans="1:9" x14ac:dyDescent="0.3">
      <c r="A1717" t="s">
        <v>1732</v>
      </c>
      <c r="B1717" t="s">
        <v>34</v>
      </c>
      <c r="C1717" t="s">
        <v>11</v>
      </c>
      <c r="D1717">
        <v>40</v>
      </c>
      <c r="E1717" s="1">
        <v>45030</v>
      </c>
      <c r="F1717">
        <v>2.86</v>
      </c>
      <c r="G1717">
        <v>13</v>
      </c>
      <c r="H1717">
        <v>13900.56</v>
      </c>
      <c r="I1717">
        <v>2.6</v>
      </c>
    </row>
    <row r="1718" spans="1:9" x14ac:dyDescent="0.3">
      <c r="A1718" t="s">
        <v>1733</v>
      </c>
      <c r="B1718" t="s">
        <v>34</v>
      </c>
      <c r="C1718" t="s">
        <v>11</v>
      </c>
      <c r="D1718">
        <v>50</v>
      </c>
      <c r="E1718" s="1">
        <v>41308</v>
      </c>
      <c r="F1718">
        <v>3.84</v>
      </c>
      <c r="G1718">
        <v>5</v>
      </c>
      <c r="H1718">
        <v>14297.56</v>
      </c>
      <c r="I1718">
        <v>12.8</v>
      </c>
    </row>
    <row r="1719" spans="1:9" x14ac:dyDescent="0.3">
      <c r="A1719" t="s">
        <v>1734</v>
      </c>
      <c r="B1719" t="s">
        <v>13</v>
      </c>
      <c r="C1719" t="s">
        <v>11</v>
      </c>
      <c r="D1719">
        <v>48</v>
      </c>
      <c r="E1719" s="1">
        <v>43508</v>
      </c>
      <c r="F1719">
        <v>2.16</v>
      </c>
      <c r="G1719">
        <v>5</v>
      </c>
      <c r="H1719">
        <v>11616.21</v>
      </c>
      <c r="I1719">
        <v>6.7</v>
      </c>
    </row>
    <row r="1720" spans="1:9" x14ac:dyDescent="0.3">
      <c r="A1720" t="s">
        <v>1735</v>
      </c>
      <c r="B1720" t="s">
        <v>18</v>
      </c>
      <c r="C1720" t="s">
        <v>11</v>
      </c>
      <c r="D1720">
        <v>45</v>
      </c>
      <c r="E1720" s="1">
        <v>42812</v>
      </c>
      <c r="F1720">
        <v>2.08</v>
      </c>
      <c r="G1720">
        <v>1</v>
      </c>
      <c r="H1720">
        <v>5267.92</v>
      </c>
      <c r="I1720">
        <v>8.6</v>
      </c>
    </row>
    <row r="1721" spans="1:9" x14ac:dyDescent="0.3">
      <c r="A1721" t="s">
        <v>1736</v>
      </c>
      <c r="B1721" t="s">
        <v>13</v>
      </c>
      <c r="C1721" t="s">
        <v>11</v>
      </c>
      <c r="D1721">
        <v>49</v>
      </c>
      <c r="E1721" s="1">
        <v>45877</v>
      </c>
      <c r="F1721">
        <v>3.41</v>
      </c>
      <c r="G1721">
        <v>9</v>
      </c>
      <c r="H1721">
        <v>14070.75</v>
      </c>
      <c r="I1721">
        <v>0.2</v>
      </c>
    </row>
    <row r="1722" spans="1:9" x14ac:dyDescent="0.3">
      <c r="A1722" t="s">
        <v>1737</v>
      </c>
      <c r="B1722" t="s">
        <v>16</v>
      </c>
      <c r="C1722" t="s">
        <v>11</v>
      </c>
      <c r="D1722">
        <v>46</v>
      </c>
      <c r="E1722" s="1">
        <v>40367</v>
      </c>
      <c r="F1722">
        <v>1.64</v>
      </c>
      <c r="G1722">
        <v>5</v>
      </c>
      <c r="H1722">
        <v>7476.73</v>
      </c>
      <c r="I1722">
        <v>15.3</v>
      </c>
    </row>
    <row r="1723" spans="1:9" x14ac:dyDescent="0.3">
      <c r="A1723" t="s">
        <v>1738</v>
      </c>
      <c r="B1723" t="s">
        <v>13</v>
      </c>
      <c r="C1723" t="s">
        <v>11</v>
      </c>
      <c r="D1723">
        <v>23</v>
      </c>
      <c r="E1723" s="1">
        <v>40402</v>
      </c>
      <c r="F1723">
        <v>1.65</v>
      </c>
      <c r="G1723">
        <v>11</v>
      </c>
      <c r="H1723">
        <v>13754.88</v>
      </c>
      <c r="I1723">
        <v>15.2</v>
      </c>
    </row>
    <row r="1724" spans="1:9" x14ac:dyDescent="0.3">
      <c r="A1724" t="s">
        <v>1739</v>
      </c>
      <c r="B1724" t="s">
        <v>10</v>
      </c>
      <c r="C1724" t="s">
        <v>11</v>
      </c>
      <c r="D1724">
        <v>33</v>
      </c>
      <c r="E1724" s="1">
        <v>45768</v>
      </c>
      <c r="F1724">
        <v>2.72</v>
      </c>
      <c r="G1724">
        <v>13</v>
      </c>
      <c r="H1724">
        <v>6776.66</v>
      </c>
      <c r="I1724">
        <v>0.5</v>
      </c>
    </row>
    <row r="1725" spans="1:9" x14ac:dyDescent="0.3">
      <c r="A1725" t="s">
        <v>1740</v>
      </c>
      <c r="B1725" t="s">
        <v>16</v>
      </c>
      <c r="C1725" t="s">
        <v>11</v>
      </c>
      <c r="D1725">
        <v>56</v>
      </c>
      <c r="E1725" s="1">
        <v>41965</v>
      </c>
      <c r="F1725">
        <v>4.18</v>
      </c>
      <c r="G1725">
        <v>10</v>
      </c>
      <c r="H1725">
        <v>11659.44</v>
      </c>
      <c r="I1725">
        <v>11</v>
      </c>
    </row>
    <row r="1726" spans="1:9" x14ac:dyDescent="0.3">
      <c r="A1726" t="s">
        <v>1741</v>
      </c>
      <c r="B1726" t="s">
        <v>13</v>
      </c>
      <c r="C1726" t="s">
        <v>14</v>
      </c>
      <c r="D1726">
        <v>46</v>
      </c>
      <c r="E1726" s="1">
        <v>40384</v>
      </c>
      <c r="F1726">
        <v>3.98</v>
      </c>
      <c r="G1726">
        <v>13</v>
      </c>
      <c r="H1726">
        <v>7410.5</v>
      </c>
      <c r="I1726">
        <v>15.3</v>
      </c>
    </row>
    <row r="1727" spans="1:9" x14ac:dyDescent="0.3">
      <c r="A1727" t="s">
        <v>1742</v>
      </c>
      <c r="B1727" t="s">
        <v>16</v>
      </c>
      <c r="C1727" t="s">
        <v>11</v>
      </c>
      <c r="D1727">
        <v>37</v>
      </c>
      <c r="E1727" s="1">
        <v>43599</v>
      </c>
      <c r="F1727">
        <v>2.15</v>
      </c>
      <c r="G1727">
        <v>4</v>
      </c>
      <c r="H1727">
        <v>6579.65</v>
      </c>
      <c r="I1727">
        <v>6.5</v>
      </c>
    </row>
    <row r="1728" spans="1:9" x14ac:dyDescent="0.3">
      <c r="A1728" t="s">
        <v>1743</v>
      </c>
      <c r="B1728" t="s">
        <v>13</v>
      </c>
      <c r="C1728" t="s">
        <v>11</v>
      </c>
      <c r="D1728">
        <v>49</v>
      </c>
      <c r="E1728" s="1">
        <v>40372</v>
      </c>
      <c r="F1728">
        <v>4.8600000000000003</v>
      </c>
      <c r="G1728">
        <v>4</v>
      </c>
      <c r="H1728">
        <v>11104.27</v>
      </c>
      <c r="I1728">
        <v>15.3</v>
      </c>
    </row>
    <row r="1729" spans="1:9" x14ac:dyDescent="0.3">
      <c r="A1729" t="s">
        <v>1744</v>
      </c>
      <c r="B1729" t="s">
        <v>13</v>
      </c>
      <c r="C1729" t="s">
        <v>11</v>
      </c>
      <c r="D1729">
        <v>39</v>
      </c>
      <c r="E1729" s="1">
        <v>41691</v>
      </c>
      <c r="F1729">
        <v>3.02</v>
      </c>
      <c r="G1729">
        <v>11</v>
      </c>
      <c r="H1729">
        <v>9990.76</v>
      </c>
      <c r="I1729">
        <v>11.7</v>
      </c>
    </row>
    <row r="1730" spans="1:9" x14ac:dyDescent="0.3">
      <c r="A1730" t="s">
        <v>1745</v>
      </c>
      <c r="B1730" t="s">
        <v>10</v>
      </c>
      <c r="C1730" t="s">
        <v>11</v>
      </c>
      <c r="D1730">
        <v>52</v>
      </c>
      <c r="E1730" s="1">
        <v>43550</v>
      </c>
      <c r="F1730">
        <v>3.84</v>
      </c>
      <c r="G1730">
        <v>2</v>
      </c>
      <c r="H1730">
        <v>12157.53</v>
      </c>
      <c r="I1730">
        <v>6.6</v>
      </c>
    </row>
    <row r="1731" spans="1:9" x14ac:dyDescent="0.3">
      <c r="A1731" t="s">
        <v>1746</v>
      </c>
      <c r="B1731" t="s">
        <v>10</v>
      </c>
      <c r="C1731" t="s">
        <v>14</v>
      </c>
      <c r="D1731">
        <v>24</v>
      </c>
      <c r="E1731" s="1">
        <v>45038</v>
      </c>
      <c r="F1731">
        <v>1.83</v>
      </c>
      <c r="G1731">
        <v>3</v>
      </c>
      <c r="H1731">
        <v>6517.64</v>
      </c>
      <c r="I1731">
        <v>2.5</v>
      </c>
    </row>
    <row r="1732" spans="1:9" x14ac:dyDescent="0.3">
      <c r="A1732" t="s">
        <v>1747</v>
      </c>
      <c r="B1732" t="s">
        <v>16</v>
      </c>
      <c r="C1732" t="s">
        <v>14</v>
      </c>
      <c r="D1732">
        <v>26</v>
      </c>
      <c r="E1732" s="1">
        <v>43230</v>
      </c>
      <c r="F1732">
        <v>3.11</v>
      </c>
      <c r="G1732">
        <v>15</v>
      </c>
      <c r="H1732">
        <v>3850.48</v>
      </c>
      <c r="I1732">
        <v>7.5</v>
      </c>
    </row>
    <row r="1733" spans="1:9" x14ac:dyDescent="0.3">
      <c r="A1733" t="s">
        <v>1748</v>
      </c>
      <c r="B1733" t="s">
        <v>34</v>
      </c>
      <c r="C1733" t="s">
        <v>14</v>
      </c>
      <c r="D1733">
        <v>49</v>
      </c>
      <c r="E1733" s="1">
        <v>41776</v>
      </c>
      <c r="F1733">
        <v>3</v>
      </c>
      <c r="G1733">
        <v>15</v>
      </c>
      <c r="H1733">
        <v>11433.59</v>
      </c>
      <c r="I1733">
        <v>11.5</v>
      </c>
    </row>
    <row r="1734" spans="1:9" x14ac:dyDescent="0.3">
      <c r="A1734" t="s">
        <v>1749</v>
      </c>
      <c r="B1734" t="s">
        <v>13</v>
      </c>
      <c r="C1734" t="s">
        <v>11</v>
      </c>
      <c r="D1734">
        <v>35</v>
      </c>
      <c r="E1734" s="1">
        <v>42535</v>
      </c>
      <c r="F1734">
        <v>2.41</v>
      </c>
      <c r="G1734">
        <v>1</v>
      </c>
      <c r="H1734">
        <v>9568.6299999999992</v>
      </c>
      <c r="I1734">
        <v>9.4</v>
      </c>
    </row>
    <row r="1735" spans="1:9" x14ac:dyDescent="0.3">
      <c r="A1735" t="s">
        <v>1750</v>
      </c>
      <c r="B1735" t="s">
        <v>24</v>
      </c>
      <c r="C1735" t="s">
        <v>14</v>
      </c>
      <c r="D1735">
        <v>40</v>
      </c>
      <c r="E1735" s="1">
        <v>44723</v>
      </c>
      <c r="F1735">
        <v>4.08</v>
      </c>
      <c r="G1735">
        <v>1</v>
      </c>
      <c r="H1735">
        <v>11847.96</v>
      </c>
      <c r="I1735">
        <v>3.4</v>
      </c>
    </row>
    <row r="1736" spans="1:9" x14ac:dyDescent="0.3">
      <c r="A1736" t="s">
        <v>1751</v>
      </c>
      <c r="B1736" t="s">
        <v>13</v>
      </c>
      <c r="C1736" t="s">
        <v>14</v>
      </c>
      <c r="D1736">
        <v>27</v>
      </c>
      <c r="E1736" s="1">
        <v>43346</v>
      </c>
      <c r="F1736">
        <v>4.95</v>
      </c>
      <c r="G1736">
        <v>10</v>
      </c>
      <c r="H1736">
        <v>14683.49</v>
      </c>
      <c r="I1736">
        <v>7.2</v>
      </c>
    </row>
    <row r="1737" spans="1:9" x14ac:dyDescent="0.3">
      <c r="A1737" t="s">
        <v>1752</v>
      </c>
      <c r="B1737" t="s">
        <v>10</v>
      </c>
      <c r="C1737" t="s">
        <v>14</v>
      </c>
      <c r="D1737">
        <v>38</v>
      </c>
      <c r="E1737" s="1">
        <v>44419</v>
      </c>
      <c r="F1737">
        <v>4.8600000000000003</v>
      </c>
      <c r="G1737">
        <v>0</v>
      </c>
      <c r="H1737">
        <v>5244.6</v>
      </c>
      <c r="I1737">
        <v>4.2</v>
      </c>
    </row>
    <row r="1738" spans="1:9" x14ac:dyDescent="0.3">
      <c r="A1738" t="s">
        <v>1753</v>
      </c>
      <c r="B1738" t="s">
        <v>24</v>
      </c>
      <c r="C1738" t="s">
        <v>11</v>
      </c>
      <c r="D1738">
        <v>52</v>
      </c>
      <c r="E1738" s="1">
        <v>45644</v>
      </c>
      <c r="F1738">
        <v>3.05</v>
      </c>
      <c r="G1738">
        <v>14</v>
      </c>
      <c r="H1738">
        <v>3074.87</v>
      </c>
      <c r="I1738">
        <v>0.9</v>
      </c>
    </row>
    <row r="1739" spans="1:9" x14ac:dyDescent="0.3">
      <c r="A1739" t="s">
        <v>1754</v>
      </c>
      <c r="B1739" t="s">
        <v>16</v>
      </c>
      <c r="C1739" t="s">
        <v>14</v>
      </c>
      <c r="D1739">
        <v>47</v>
      </c>
      <c r="E1739" s="1">
        <v>41200</v>
      </c>
      <c r="F1739">
        <v>3.65</v>
      </c>
      <c r="G1739">
        <v>13</v>
      </c>
      <c r="H1739">
        <v>5702.11</v>
      </c>
      <c r="I1739">
        <v>13</v>
      </c>
    </row>
    <row r="1740" spans="1:9" x14ac:dyDescent="0.3">
      <c r="A1740" t="s">
        <v>1755</v>
      </c>
      <c r="B1740" t="s">
        <v>13</v>
      </c>
      <c r="C1740" t="s">
        <v>14</v>
      </c>
      <c r="D1740">
        <v>48</v>
      </c>
      <c r="E1740" s="1">
        <v>43176</v>
      </c>
      <c r="F1740">
        <v>2.2200000000000002</v>
      </c>
      <c r="G1740">
        <v>2</v>
      </c>
      <c r="H1740">
        <v>6439.72</v>
      </c>
      <c r="I1740">
        <v>7.6</v>
      </c>
    </row>
    <row r="1741" spans="1:9" x14ac:dyDescent="0.3">
      <c r="A1741" t="s">
        <v>1756</v>
      </c>
      <c r="B1741" t="s">
        <v>34</v>
      </c>
      <c r="C1741" t="s">
        <v>11</v>
      </c>
      <c r="D1741">
        <v>35</v>
      </c>
      <c r="E1741" s="1">
        <v>43100</v>
      </c>
      <c r="F1741">
        <v>3.92</v>
      </c>
      <c r="G1741">
        <v>13</v>
      </c>
      <c r="H1741">
        <v>7379.9</v>
      </c>
      <c r="I1741">
        <v>7.8</v>
      </c>
    </row>
    <row r="1742" spans="1:9" x14ac:dyDescent="0.3">
      <c r="A1742" t="s">
        <v>1757</v>
      </c>
      <c r="B1742" t="s">
        <v>24</v>
      </c>
      <c r="C1742" t="s">
        <v>14</v>
      </c>
      <c r="D1742">
        <v>46</v>
      </c>
      <c r="E1742" s="1">
        <v>43623</v>
      </c>
      <c r="F1742">
        <v>3.73</v>
      </c>
      <c r="G1742">
        <v>7</v>
      </c>
      <c r="H1742">
        <v>9124.51</v>
      </c>
      <c r="I1742">
        <v>6.4</v>
      </c>
    </row>
    <row r="1743" spans="1:9" x14ac:dyDescent="0.3">
      <c r="A1743" t="s">
        <v>1758</v>
      </c>
      <c r="B1743" t="s">
        <v>13</v>
      </c>
      <c r="C1743" t="s">
        <v>11</v>
      </c>
      <c r="D1743">
        <v>49</v>
      </c>
      <c r="E1743" s="1">
        <v>41929</v>
      </c>
      <c r="F1743">
        <v>2.33</v>
      </c>
      <c r="G1743">
        <v>9</v>
      </c>
      <c r="H1743">
        <v>13246.99</v>
      </c>
      <c r="I1743">
        <v>11</v>
      </c>
    </row>
    <row r="1744" spans="1:9" x14ac:dyDescent="0.3">
      <c r="A1744" t="s">
        <v>1759</v>
      </c>
      <c r="B1744" t="s">
        <v>13</v>
      </c>
      <c r="C1744" t="s">
        <v>11</v>
      </c>
      <c r="D1744">
        <v>36</v>
      </c>
      <c r="E1744" s="1">
        <v>45300</v>
      </c>
      <c r="F1744">
        <v>3.59</v>
      </c>
      <c r="G1744">
        <v>1</v>
      </c>
      <c r="H1744">
        <v>9330.0300000000007</v>
      </c>
      <c r="I1744">
        <v>1.8</v>
      </c>
    </row>
    <row r="1745" spans="1:9" x14ac:dyDescent="0.3">
      <c r="A1745" t="s">
        <v>1760</v>
      </c>
      <c r="B1745" t="s">
        <v>24</v>
      </c>
      <c r="C1745" t="s">
        <v>14</v>
      </c>
      <c r="D1745">
        <v>47</v>
      </c>
      <c r="E1745" s="1">
        <v>45061</v>
      </c>
      <c r="F1745">
        <v>4.62</v>
      </c>
      <c r="G1745">
        <v>9</v>
      </c>
      <c r="H1745">
        <v>3379.13</v>
      </c>
      <c r="I1745">
        <v>2.5</v>
      </c>
    </row>
    <row r="1746" spans="1:9" x14ac:dyDescent="0.3">
      <c r="A1746" t="s">
        <v>1761</v>
      </c>
      <c r="B1746" t="s">
        <v>18</v>
      </c>
      <c r="C1746" t="s">
        <v>11</v>
      </c>
      <c r="D1746">
        <v>59</v>
      </c>
      <c r="E1746" s="1">
        <v>41727</v>
      </c>
      <c r="F1746">
        <v>1.9</v>
      </c>
      <c r="G1746">
        <v>14</v>
      </c>
      <c r="H1746">
        <v>11114.96</v>
      </c>
      <c r="I1746">
        <v>11.6</v>
      </c>
    </row>
    <row r="1747" spans="1:9" x14ac:dyDescent="0.3">
      <c r="A1747" t="s">
        <v>1762</v>
      </c>
      <c r="B1747" t="s">
        <v>10</v>
      </c>
      <c r="C1747" t="s">
        <v>14</v>
      </c>
      <c r="D1747">
        <v>41</v>
      </c>
      <c r="E1747" s="1">
        <v>43544</v>
      </c>
      <c r="F1747">
        <v>3.42</v>
      </c>
      <c r="G1747">
        <v>12</v>
      </c>
      <c r="H1747">
        <v>14103.55</v>
      </c>
      <c r="I1747">
        <v>6.6</v>
      </c>
    </row>
    <row r="1748" spans="1:9" x14ac:dyDescent="0.3">
      <c r="A1748" t="s">
        <v>1763</v>
      </c>
      <c r="B1748" t="s">
        <v>34</v>
      </c>
      <c r="C1748" t="s">
        <v>14</v>
      </c>
      <c r="D1748">
        <v>51</v>
      </c>
      <c r="E1748" s="1">
        <v>40584</v>
      </c>
      <c r="F1748">
        <v>1.72</v>
      </c>
      <c r="G1748">
        <v>7</v>
      </c>
      <c r="H1748">
        <v>13137.7</v>
      </c>
      <c r="I1748">
        <v>14.7</v>
      </c>
    </row>
    <row r="1749" spans="1:9" x14ac:dyDescent="0.3">
      <c r="A1749" t="s">
        <v>1764</v>
      </c>
      <c r="B1749" t="s">
        <v>13</v>
      </c>
      <c r="C1749" t="s">
        <v>11</v>
      </c>
      <c r="D1749">
        <v>49</v>
      </c>
      <c r="E1749" s="1">
        <v>41359</v>
      </c>
      <c r="F1749">
        <v>4.0599999999999996</v>
      </c>
      <c r="G1749">
        <v>5</v>
      </c>
      <c r="H1749">
        <v>14099.11</v>
      </c>
      <c r="I1749">
        <v>12.6</v>
      </c>
    </row>
    <row r="1750" spans="1:9" x14ac:dyDescent="0.3">
      <c r="A1750" t="s">
        <v>1765</v>
      </c>
      <c r="B1750" t="s">
        <v>16</v>
      </c>
      <c r="C1750" t="s">
        <v>14</v>
      </c>
      <c r="D1750">
        <v>22</v>
      </c>
      <c r="E1750" s="1">
        <v>44523</v>
      </c>
      <c r="F1750">
        <v>4.87</v>
      </c>
      <c r="G1750">
        <v>2</v>
      </c>
      <c r="H1750">
        <v>8345.7900000000009</v>
      </c>
      <c r="I1750">
        <v>3.9</v>
      </c>
    </row>
    <row r="1751" spans="1:9" x14ac:dyDescent="0.3">
      <c r="A1751" t="s">
        <v>1766</v>
      </c>
      <c r="B1751" t="s">
        <v>13</v>
      </c>
      <c r="C1751" t="s">
        <v>14</v>
      </c>
      <c r="D1751">
        <v>26</v>
      </c>
      <c r="E1751" s="1">
        <v>42375</v>
      </c>
      <c r="F1751">
        <v>2.12</v>
      </c>
      <c r="G1751">
        <v>7</v>
      </c>
      <c r="H1751">
        <v>5312.71</v>
      </c>
      <c r="I1751">
        <v>9.8000000000000007</v>
      </c>
    </row>
    <row r="1752" spans="1:9" x14ac:dyDescent="0.3">
      <c r="A1752" t="s">
        <v>1767</v>
      </c>
      <c r="B1752" t="s">
        <v>18</v>
      </c>
      <c r="C1752" t="s">
        <v>14</v>
      </c>
      <c r="D1752">
        <v>49</v>
      </c>
      <c r="E1752" s="1">
        <v>44790</v>
      </c>
      <c r="F1752">
        <v>4.59</v>
      </c>
      <c r="G1752">
        <v>9</v>
      </c>
      <c r="H1752">
        <v>8641.09</v>
      </c>
      <c r="I1752">
        <v>3.2</v>
      </c>
    </row>
    <row r="1753" spans="1:9" x14ac:dyDescent="0.3">
      <c r="A1753" t="s">
        <v>1768</v>
      </c>
      <c r="B1753" t="s">
        <v>13</v>
      </c>
      <c r="C1753" t="s">
        <v>11</v>
      </c>
      <c r="D1753">
        <v>28</v>
      </c>
      <c r="E1753" s="1">
        <v>40896</v>
      </c>
      <c r="F1753">
        <v>3.99</v>
      </c>
      <c r="G1753">
        <v>0</v>
      </c>
      <c r="H1753">
        <v>5429.47</v>
      </c>
      <c r="I1753">
        <v>13.9</v>
      </c>
    </row>
    <row r="1754" spans="1:9" x14ac:dyDescent="0.3">
      <c r="A1754" t="s">
        <v>1769</v>
      </c>
      <c r="B1754" t="s">
        <v>10</v>
      </c>
      <c r="C1754" t="s">
        <v>11</v>
      </c>
      <c r="D1754">
        <v>50</v>
      </c>
      <c r="E1754" s="1">
        <v>41265</v>
      </c>
      <c r="F1754">
        <v>2.34</v>
      </c>
      <c r="G1754">
        <v>2</v>
      </c>
      <c r="H1754">
        <v>10957.37</v>
      </c>
      <c r="I1754">
        <v>12.9</v>
      </c>
    </row>
    <row r="1755" spans="1:9" x14ac:dyDescent="0.3">
      <c r="A1755" t="s">
        <v>1770</v>
      </c>
      <c r="B1755" t="s">
        <v>34</v>
      </c>
      <c r="C1755" t="s">
        <v>11</v>
      </c>
      <c r="D1755">
        <v>42</v>
      </c>
      <c r="E1755" s="1">
        <v>42257</v>
      </c>
      <c r="F1755">
        <v>3.99</v>
      </c>
      <c r="G1755">
        <v>3</v>
      </c>
      <c r="H1755">
        <v>12263.78</v>
      </c>
      <c r="I1755">
        <v>10.199999999999999</v>
      </c>
    </row>
    <row r="1756" spans="1:9" x14ac:dyDescent="0.3">
      <c r="A1756" t="s">
        <v>1771</v>
      </c>
      <c r="B1756" t="s">
        <v>18</v>
      </c>
      <c r="C1756" t="s">
        <v>11</v>
      </c>
      <c r="D1756">
        <v>59</v>
      </c>
      <c r="E1756" s="1">
        <v>44527</v>
      </c>
      <c r="F1756">
        <v>2.94</v>
      </c>
      <c r="G1756">
        <v>10</v>
      </c>
      <c r="H1756">
        <v>4295.92</v>
      </c>
      <c r="I1756">
        <v>3.9</v>
      </c>
    </row>
    <row r="1757" spans="1:9" x14ac:dyDescent="0.3">
      <c r="A1757" t="s">
        <v>1772</v>
      </c>
      <c r="B1757" t="s">
        <v>16</v>
      </c>
      <c r="C1757" t="s">
        <v>14</v>
      </c>
      <c r="D1757">
        <v>49</v>
      </c>
      <c r="E1757" s="1">
        <v>43616</v>
      </c>
      <c r="F1757">
        <v>4.93</v>
      </c>
      <c r="G1757">
        <v>15</v>
      </c>
      <c r="H1757">
        <v>11981.55</v>
      </c>
      <c r="I1757">
        <v>6.4</v>
      </c>
    </row>
    <row r="1758" spans="1:9" x14ac:dyDescent="0.3">
      <c r="A1758" t="s">
        <v>1773</v>
      </c>
      <c r="B1758" t="s">
        <v>18</v>
      </c>
      <c r="C1758" t="s">
        <v>11</v>
      </c>
      <c r="D1758">
        <v>42</v>
      </c>
      <c r="E1758" s="1">
        <v>44832</v>
      </c>
      <c r="F1758">
        <v>4.3099999999999996</v>
      </c>
      <c r="G1758">
        <v>6</v>
      </c>
      <c r="H1758">
        <v>6192.66</v>
      </c>
      <c r="I1758">
        <v>3.1</v>
      </c>
    </row>
    <row r="1759" spans="1:9" x14ac:dyDescent="0.3">
      <c r="A1759" t="s">
        <v>1774</v>
      </c>
      <c r="B1759" t="s">
        <v>34</v>
      </c>
      <c r="C1759" t="s">
        <v>11</v>
      </c>
      <c r="D1759">
        <v>60</v>
      </c>
      <c r="E1759" s="1">
        <v>42256</v>
      </c>
      <c r="F1759">
        <v>4.5</v>
      </c>
      <c r="G1759">
        <v>2</v>
      </c>
      <c r="H1759">
        <v>6663.2</v>
      </c>
      <c r="I1759">
        <v>10.199999999999999</v>
      </c>
    </row>
    <row r="1760" spans="1:9" x14ac:dyDescent="0.3">
      <c r="A1760" t="s">
        <v>1775</v>
      </c>
      <c r="B1760" t="s">
        <v>16</v>
      </c>
      <c r="C1760" t="s">
        <v>11</v>
      </c>
      <c r="D1760">
        <v>57</v>
      </c>
      <c r="E1760" s="1">
        <v>42760</v>
      </c>
      <c r="F1760">
        <v>1.89</v>
      </c>
      <c r="G1760">
        <v>6</v>
      </c>
      <c r="H1760">
        <v>11716.18</v>
      </c>
      <c r="I1760">
        <v>8.8000000000000007</v>
      </c>
    </row>
    <row r="1761" spans="1:9" x14ac:dyDescent="0.3">
      <c r="A1761" t="s">
        <v>1776</v>
      </c>
      <c r="B1761" t="s">
        <v>10</v>
      </c>
      <c r="C1761" t="s">
        <v>11</v>
      </c>
      <c r="D1761">
        <v>36</v>
      </c>
      <c r="E1761" s="1">
        <v>43182</v>
      </c>
      <c r="F1761">
        <v>4.47</v>
      </c>
      <c r="G1761">
        <v>0</v>
      </c>
      <c r="H1761">
        <v>8407.5</v>
      </c>
      <c r="I1761">
        <v>7.6</v>
      </c>
    </row>
    <row r="1762" spans="1:9" x14ac:dyDescent="0.3">
      <c r="A1762" t="s">
        <v>1777</v>
      </c>
      <c r="B1762" t="s">
        <v>24</v>
      </c>
      <c r="C1762" t="s">
        <v>11</v>
      </c>
      <c r="D1762">
        <v>59</v>
      </c>
      <c r="E1762" s="1">
        <v>41975</v>
      </c>
      <c r="F1762">
        <v>4.63</v>
      </c>
      <c r="G1762">
        <v>12</v>
      </c>
      <c r="H1762">
        <v>10632.76</v>
      </c>
      <c r="I1762">
        <v>10.9</v>
      </c>
    </row>
    <row r="1763" spans="1:9" x14ac:dyDescent="0.3">
      <c r="A1763" t="s">
        <v>1778</v>
      </c>
      <c r="B1763" t="s">
        <v>34</v>
      </c>
      <c r="C1763" t="s">
        <v>14</v>
      </c>
      <c r="D1763">
        <v>49</v>
      </c>
      <c r="E1763" s="1">
        <v>41046</v>
      </c>
      <c r="F1763">
        <v>3.78</v>
      </c>
      <c r="G1763">
        <v>12</v>
      </c>
      <c r="H1763">
        <v>11731.69</v>
      </c>
      <c r="I1763">
        <v>13.5</v>
      </c>
    </row>
    <row r="1764" spans="1:9" x14ac:dyDescent="0.3">
      <c r="A1764" t="s">
        <v>1779</v>
      </c>
      <c r="B1764" t="s">
        <v>34</v>
      </c>
      <c r="C1764" t="s">
        <v>14</v>
      </c>
      <c r="D1764">
        <v>27</v>
      </c>
      <c r="E1764" s="1">
        <v>45160</v>
      </c>
      <c r="F1764">
        <v>2.16</v>
      </c>
      <c r="G1764">
        <v>2</v>
      </c>
      <c r="H1764">
        <v>13192.26</v>
      </c>
      <c r="I1764">
        <v>2.2000000000000002</v>
      </c>
    </row>
    <row r="1765" spans="1:9" x14ac:dyDescent="0.3">
      <c r="A1765" t="s">
        <v>1780</v>
      </c>
      <c r="B1765" t="s">
        <v>10</v>
      </c>
      <c r="C1765" t="s">
        <v>11</v>
      </c>
      <c r="D1765">
        <v>57</v>
      </c>
      <c r="E1765" s="1">
        <v>44767</v>
      </c>
      <c r="F1765">
        <v>3.8</v>
      </c>
      <c r="G1765">
        <v>13</v>
      </c>
      <c r="H1765">
        <v>9047.4500000000007</v>
      </c>
      <c r="I1765">
        <v>3.3</v>
      </c>
    </row>
    <row r="1766" spans="1:9" x14ac:dyDescent="0.3">
      <c r="A1766" t="s">
        <v>1781</v>
      </c>
      <c r="B1766" t="s">
        <v>34</v>
      </c>
      <c r="C1766" t="s">
        <v>14</v>
      </c>
      <c r="D1766">
        <v>35</v>
      </c>
      <c r="E1766" s="1">
        <v>41273</v>
      </c>
      <c r="F1766">
        <v>2.35</v>
      </c>
      <c r="G1766">
        <v>5</v>
      </c>
      <c r="H1766">
        <v>10528.71</v>
      </c>
      <c r="I1766">
        <v>12.8</v>
      </c>
    </row>
    <row r="1767" spans="1:9" x14ac:dyDescent="0.3">
      <c r="A1767" t="s">
        <v>1782</v>
      </c>
      <c r="B1767" t="s">
        <v>24</v>
      </c>
      <c r="C1767" t="s">
        <v>11</v>
      </c>
      <c r="D1767">
        <v>30</v>
      </c>
      <c r="E1767" s="1">
        <v>41255</v>
      </c>
      <c r="F1767">
        <v>2.2799999999999998</v>
      </c>
      <c r="G1767">
        <v>1</v>
      </c>
      <c r="H1767">
        <v>14036.14</v>
      </c>
      <c r="I1767">
        <v>12.9</v>
      </c>
    </row>
    <row r="1768" spans="1:9" x14ac:dyDescent="0.3">
      <c r="A1768" t="s">
        <v>1783</v>
      </c>
      <c r="B1768" t="s">
        <v>34</v>
      </c>
      <c r="C1768" t="s">
        <v>11</v>
      </c>
      <c r="D1768">
        <v>51</v>
      </c>
      <c r="E1768" s="1">
        <v>45269</v>
      </c>
      <c r="F1768">
        <v>2.2599999999999998</v>
      </c>
      <c r="G1768">
        <v>8</v>
      </c>
      <c r="H1768">
        <v>3663.52</v>
      </c>
      <c r="I1768">
        <v>1.9</v>
      </c>
    </row>
    <row r="1769" spans="1:9" x14ac:dyDescent="0.3">
      <c r="A1769" t="s">
        <v>1784</v>
      </c>
      <c r="B1769" t="s">
        <v>24</v>
      </c>
      <c r="C1769" t="s">
        <v>11</v>
      </c>
      <c r="D1769">
        <v>30</v>
      </c>
      <c r="E1769" s="1">
        <v>41338</v>
      </c>
      <c r="F1769">
        <v>2.82</v>
      </c>
      <c r="G1769">
        <v>3</v>
      </c>
      <c r="H1769">
        <v>14456.89</v>
      </c>
      <c r="I1769">
        <v>12.7</v>
      </c>
    </row>
    <row r="1770" spans="1:9" x14ac:dyDescent="0.3">
      <c r="A1770" t="s">
        <v>1785</v>
      </c>
      <c r="B1770" t="s">
        <v>24</v>
      </c>
      <c r="C1770" t="s">
        <v>14</v>
      </c>
      <c r="D1770">
        <v>36</v>
      </c>
      <c r="E1770" s="1">
        <v>45878</v>
      </c>
      <c r="F1770">
        <v>3.8</v>
      </c>
      <c r="G1770">
        <v>9</v>
      </c>
      <c r="H1770">
        <v>5140.49</v>
      </c>
      <c r="I1770">
        <v>0.2</v>
      </c>
    </row>
    <row r="1771" spans="1:9" x14ac:dyDescent="0.3">
      <c r="A1771" t="s">
        <v>1786</v>
      </c>
      <c r="B1771" t="s">
        <v>34</v>
      </c>
      <c r="C1771" t="s">
        <v>14</v>
      </c>
      <c r="D1771">
        <v>31</v>
      </c>
      <c r="E1771" s="1">
        <v>43999</v>
      </c>
      <c r="F1771">
        <v>2.67</v>
      </c>
      <c r="G1771">
        <v>10</v>
      </c>
      <c r="H1771">
        <v>4705.42</v>
      </c>
      <c r="I1771">
        <v>5.4</v>
      </c>
    </row>
    <row r="1772" spans="1:9" x14ac:dyDescent="0.3">
      <c r="A1772" t="s">
        <v>1787</v>
      </c>
      <c r="B1772" t="s">
        <v>16</v>
      </c>
      <c r="C1772" t="s">
        <v>11</v>
      </c>
      <c r="D1772">
        <v>22</v>
      </c>
      <c r="E1772" s="1">
        <v>44961</v>
      </c>
      <c r="F1772">
        <v>3.31</v>
      </c>
      <c r="G1772">
        <v>10</v>
      </c>
      <c r="H1772">
        <v>13484.66</v>
      </c>
      <c r="I1772">
        <v>2.7</v>
      </c>
    </row>
    <row r="1773" spans="1:9" x14ac:dyDescent="0.3">
      <c r="A1773" t="s">
        <v>1788</v>
      </c>
      <c r="B1773" t="s">
        <v>24</v>
      </c>
      <c r="C1773" t="s">
        <v>14</v>
      </c>
      <c r="D1773">
        <v>56</v>
      </c>
      <c r="E1773" s="1">
        <v>43268</v>
      </c>
      <c r="F1773">
        <v>1.63</v>
      </c>
      <c r="G1773">
        <v>3</v>
      </c>
      <c r="H1773">
        <v>12954.78</v>
      </c>
      <c r="I1773">
        <v>7.4</v>
      </c>
    </row>
    <row r="1774" spans="1:9" x14ac:dyDescent="0.3">
      <c r="A1774" t="s">
        <v>1789</v>
      </c>
      <c r="B1774" t="s">
        <v>24</v>
      </c>
      <c r="C1774" t="s">
        <v>11</v>
      </c>
      <c r="D1774">
        <v>43</v>
      </c>
      <c r="E1774" s="1">
        <v>44074</v>
      </c>
      <c r="F1774">
        <v>1.92</v>
      </c>
      <c r="G1774">
        <v>2</v>
      </c>
      <c r="H1774">
        <v>4896.92</v>
      </c>
      <c r="I1774">
        <v>5.2</v>
      </c>
    </row>
    <row r="1775" spans="1:9" x14ac:dyDescent="0.3">
      <c r="A1775" t="s">
        <v>1790</v>
      </c>
      <c r="B1775" t="s">
        <v>10</v>
      </c>
      <c r="C1775" t="s">
        <v>11</v>
      </c>
      <c r="D1775">
        <v>47</v>
      </c>
      <c r="E1775" s="1">
        <v>40801</v>
      </c>
      <c r="F1775">
        <v>3.95</v>
      </c>
      <c r="G1775">
        <v>2</v>
      </c>
      <c r="H1775">
        <v>14704.07</v>
      </c>
      <c r="I1775">
        <v>14.1</v>
      </c>
    </row>
    <row r="1776" spans="1:9" x14ac:dyDescent="0.3">
      <c r="A1776" t="s">
        <v>1791</v>
      </c>
      <c r="B1776" t="s">
        <v>18</v>
      </c>
      <c r="C1776" t="s">
        <v>14</v>
      </c>
      <c r="D1776">
        <v>27</v>
      </c>
      <c r="E1776" s="1">
        <v>45071</v>
      </c>
      <c r="F1776">
        <v>3.17</v>
      </c>
      <c r="G1776">
        <v>4</v>
      </c>
      <c r="H1776">
        <v>9972.61</v>
      </c>
      <c r="I1776">
        <v>2.4</v>
      </c>
    </row>
    <row r="1777" spans="1:9" x14ac:dyDescent="0.3">
      <c r="A1777" t="s">
        <v>1792</v>
      </c>
      <c r="B1777" t="s">
        <v>16</v>
      </c>
      <c r="C1777" t="s">
        <v>11</v>
      </c>
      <c r="D1777">
        <v>25</v>
      </c>
      <c r="E1777" s="1">
        <v>41284</v>
      </c>
      <c r="F1777">
        <v>4.88</v>
      </c>
      <c r="G1777">
        <v>15</v>
      </c>
      <c r="H1777">
        <v>13726.03</v>
      </c>
      <c r="I1777">
        <v>12.8</v>
      </c>
    </row>
    <row r="1778" spans="1:9" x14ac:dyDescent="0.3">
      <c r="A1778" t="s">
        <v>1793</v>
      </c>
      <c r="B1778" t="s">
        <v>13</v>
      </c>
      <c r="C1778" t="s">
        <v>11</v>
      </c>
      <c r="D1778">
        <v>22</v>
      </c>
      <c r="E1778" s="1">
        <v>44772</v>
      </c>
      <c r="F1778">
        <v>2.15</v>
      </c>
      <c r="G1778">
        <v>13</v>
      </c>
      <c r="H1778">
        <v>14129.44</v>
      </c>
      <c r="I1778">
        <v>3.3</v>
      </c>
    </row>
    <row r="1779" spans="1:9" x14ac:dyDescent="0.3">
      <c r="A1779" t="s">
        <v>1794</v>
      </c>
      <c r="B1779" t="s">
        <v>16</v>
      </c>
      <c r="C1779" t="s">
        <v>11</v>
      </c>
      <c r="D1779">
        <v>42</v>
      </c>
      <c r="E1779" s="1">
        <v>43429</v>
      </c>
      <c r="F1779">
        <v>4.99</v>
      </c>
      <c r="G1779">
        <v>5</v>
      </c>
      <c r="H1779">
        <v>13806.01</v>
      </c>
      <c r="I1779">
        <v>6.9</v>
      </c>
    </row>
    <row r="1780" spans="1:9" x14ac:dyDescent="0.3">
      <c r="A1780" t="s">
        <v>1795</v>
      </c>
      <c r="B1780" t="s">
        <v>13</v>
      </c>
      <c r="C1780" t="s">
        <v>14</v>
      </c>
      <c r="D1780">
        <v>32</v>
      </c>
      <c r="E1780" s="1">
        <v>41556</v>
      </c>
      <c r="F1780">
        <v>3.02</v>
      </c>
      <c r="G1780">
        <v>1</v>
      </c>
      <c r="H1780">
        <v>7379.97</v>
      </c>
      <c r="I1780">
        <v>12.1</v>
      </c>
    </row>
    <row r="1781" spans="1:9" x14ac:dyDescent="0.3">
      <c r="A1781" t="s">
        <v>1796</v>
      </c>
      <c r="B1781" t="s">
        <v>18</v>
      </c>
      <c r="C1781" t="s">
        <v>14</v>
      </c>
      <c r="D1781">
        <v>51</v>
      </c>
      <c r="E1781" s="1">
        <v>41742</v>
      </c>
      <c r="F1781">
        <v>3.37</v>
      </c>
      <c r="G1781">
        <v>2</v>
      </c>
      <c r="H1781">
        <v>13271.61</v>
      </c>
      <c r="I1781">
        <v>11.6</v>
      </c>
    </row>
    <row r="1782" spans="1:9" x14ac:dyDescent="0.3">
      <c r="A1782" t="s">
        <v>1797</v>
      </c>
      <c r="B1782" t="s">
        <v>34</v>
      </c>
      <c r="C1782" t="s">
        <v>11</v>
      </c>
      <c r="D1782">
        <v>25</v>
      </c>
      <c r="E1782" s="1">
        <v>42418</v>
      </c>
      <c r="F1782">
        <v>2.68</v>
      </c>
      <c r="G1782">
        <v>15</v>
      </c>
      <c r="H1782">
        <v>11833.38</v>
      </c>
      <c r="I1782">
        <v>9.6999999999999993</v>
      </c>
    </row>
    <row r="1783" spans="1:9" x14ac:dyDescent="0.3">
      <c r="A1783" t="s">
        <v>1798</v>
      </c>
      <c r="B1783" t="s">
        <v>10</v>
      </c>
      <c r="C1783" t="s">
        <v>14</v>
      </c>
      <c r="D1783">
        <v>59</v>
      </c>
      <c r="E1783" s="1">
        <v>40774</v>
      </c>
      <c r="F1783">
        <v>1.8</v>
      </c>
      <c r="G1783">
        <v>8</v>
      </c>
      <c r="H1783">
        <v>13892</v>
      </c>
      <c r="I1783">
        <v>14.2</v>
      </c>
    </row>
    <row r="1784" spans="1:9" x14ac:dyDescent="0.3">
      <c r="A1784" t="s">
        <v>1799</v>
      </c>
      <c r="B1784" t="s">
        <v>10</v>
      </c>
      <c r="C1784" t="s">
        <v>14</v>
      </c>
      <c r="D1784">
        <v>34</v>
      </c>
      <c r="E1784" s="1">
        <v>41327</v>
      </c>
      <c r="F1784">
        <v>2.84</v>
      </c>
      <c r="G1784">
        <v>7</v>
      </c>
      <c r="H1784">
        <v>5713.34</v>
      </c>
      <c r="I1784">
        <v>12.7</v>
      </c>
    </row>
    <row r="1785" spans="1:9" x14ac:dyDescent="0.3">
      <c r="A1785" t="s">
        <v>1800</v>
      </c>
      <c r="B1785" t="s">
        <v>16</v>
      </c>
      <c r="C1785" t="s">
        <v>14</v>
      </c>
      <c r="D1785">
        <v>58</v>
      </c>
      <c r="E1785" s="1">
        <v>40336</v>
      </c>
      <c r="F1785">
        <v>3.14</v>
      </c>
      <c r="G1785">
        <v>11</v>
      </c>
      <c r="H1785">
        <v>6110.62</v>
      </c>
      <c r="I1785">
        <v>15.4</v>
      </c>
    </row>
    <row r="1786" spans="1:9" x14ac:dyDescent="0.3">
      <c r="A1786" t="s">
        <v>1801</v>
      </c>
      <c r="B1786" t="s">
        <v>10</v>
      </c>
      <c r="C1786" t="s">
        <v>11</v>
      </c>
      <c r="D1786">
        <v>56</v>
      </c>
      <c r="E1786" s="1">
        <v>45649</v>
      </c>
      <c r="F1786">
        <v>4.29</v>
      </c>
      <c r="G1786">
        <v>8</v>
      </c>
      <c r="H1786">
        <v>6177.95</v>
      </c>
      <c r="I1786">
        <v>0.9</v>
      </c>
    </row>
    <row r="1787" spans="1:9" x14ac:dyDescent="0.3">
      <c r="A1787" t="s">
        <v>1802</v>
      </c>
      <c r="B1787" t="s">
        <v>24</v>
      </c>
      <c r="C1787" t="s">
        <v>14</v>
      </c>
      <c r="D1787">
        <v>59</v>
      </c>
      <c r="E1787" s="1">
        <v>43156</v>
      </c>
      <c r="F1787">
        <v>2.0299999999999998</v>
      </c>
      <c r="G1787">
        <v>5</v>
      </c>
      <c r="H1787">
        <v>14643.49</v>
      </c>
      <c r="I1787">
        <v>7.7</v>
      </c>
    </row>
    <row r="1788" spans="1:9" x14ac:dyDescent="0.3">
      <c r="A1788" t="s">
        <v>1803</v>
      </c>
      <c r="B1788" t="s">
        <v>34</v>
      </c>
      <c r="C1788" t="s">
        <v>14</v>
      </c>
      <c r="D1788">
        <v>40</v>
      </c>
      <c r="E1788" s="1">
        <v>45478</v>
      </c>
      <c r="F1788">
        <v>4.03</v>
      </c>
      <c r="G1788">
        <v>10</v>
      </c>
      <c r="H1788">
        <v>7009.86</v>
      </c>
      <c r="I1788">
        <v>1.3</v>
      </c>
    </row>
    <row r="1789" spans="1:9" x14ac:dyDescent="0.3">
      <c r="A1789" t="s">
        <v>1804</v>
      </c>
      <c r="B1789" t="s">
        <v>34</v>
      </c>
      <c r="C1789" t="s">
        <v>11</v>
      </c>
      <c r="D1789">
        <v>60</v>
      </c>
      <c r="E1789" s="1">
        <v>42916</v>
      </c>
      <c r="F1789">
        <v>4.87</v>
      </c>
      <c r="G1789">
        <v>8</v>
      </c>
      <c r="H1789">
        <v>9576.94</v>
      </c>
      <c r="I1789">
        <v>8.3000000000000007</v>
      </c>
    </row>
    <row r="1790" spans="1:9" x14ac:dyDescent="0.3">
      <c r="A1790" t="s">
        <v>1805</v>
      </c>
      <c r="B1790" t="s">
        <v>10</v>
      </c>
      <c r="C1790" t="s">
        <v>14</v>
      </c>
      <c r="D1790">
        <v>58</v>
      </c>
      <c r="E1790" s="1">
        <v>44286</v>
      </c>
      <c r="F1790">
        <v>4.2300000000000004</v>
      </c>
      <c r="G1790">
        <v>15</v>
      </c>
      <c r="H1790">
        <v>5127.7299999999996</v>
      </c>
      <c r="I1790">
        <v>4.5999999999999996</v>
      </c>
    </row>
    <row r="1791" spans="1:9" x14ac:dyDescent="0.3">
      <c r="A1791" t="s">
        <v>1806</v>
      </c>
      <c r="B1791" t="s">
        <v>34</v>
      </c>
      <c r="C1791" t="s">
        <v>14</v>
      </c>
      <c r="D1791">
        <v>47</v>
      </c>
      <c r="E1791" s="1">
        <v>45703</v>
      </c>
      <c r="F1791">
        <v>4.13</v>
      </c>
      <c r="G1791">
        <v>4</v>
      </c>
      <c r="H1791">
        <v>4013.25</v>
      </c>
      <c r="I1791">
        <v>0.7</v>
      </c>
    </row>
    <row r="1792" spans="1:9" x14ac:dyDescent="0.3">
      <c r="A1792" t="s">
        <v>1807</v>
      </c>
      <c r="B1792" t="s">
        <v>34</v>
      </c>
      <c r="C1792" t="s">
        <v>11</v>
      </c>
      <c r="D1792">
        <v>28</v>
      </c>
      <c r="E1792" s="1">
        <v>45040</v>
      </c>
      <c r="F1792">
        <v>1.6</v>
      </c>
      <c r="G1792">
        <v>10</v>
      </c>
      <c r="H1792">
        <v>11938.85</v>
      </c>
      <c r="I1792">
        <v>2.5</v>
      </c>
    </row>
    <row r="1793" spans="1:9" x14ac:dyDescent="0.3">
      <c r="A1793" t="s">
        <v>1808</v>
      </c>
      <c r="B1793" t="s">
        <v>10</v>
      </c>
      <c r="C1793" t="s">
        <v>14</v>
      </c>
      <c r="D1793">
        <v>53</v>
      </c>
      <c r="E1793" s="1">
        <v>45373</v>
      </c>
      <c r="F1793">
        <v>2.06</v>
      </c>
      <c r="G1793">
        <v>9</v>
      </c>
      <c r="H1793">
        <v>13855.2</v>
      </c>
      <c r="I1793">
        <v>1.6</v>
      </c>
    </row>
    <row r="1794" spans="1:9" x14ac:dyDescent="0.3">
      <c r="A1794" t="s">
        <v>1809</v>
      </c>
      <c r="B1794" t="s">
        <v>10</v>
      </c>
      <c r="C1794" t="s">
        <v>11</v>
      </c>
      <c r="D1794">
        <v>57</v>
      </c>
      <c r="E1794" s="1">
        <v>45651</v>
      </c>
      <c r="F1794">
        <v>2.63</v>
      </c>
      <c r="G1794">
        <v>4</v>
      </c>
      <c r="H1794">
        <v>3155.78</v>
      </c>
      <c r="I1794">
        <v>0.9</v>
      </c>
    </row>
    <row r="1795" spans="1:9" x14ac:dyDescent="0.3">
      <c r="A1795" t="s">
        <v>1810</v>
      </c>
      <c r="B1795" t="s">
        <v>18</v>
      </c>
      <c r="C1795" t="s">
        <v>11</v>
      </c>
      <c r="D1795">
        <v>32</v>
      </c>
      <c r="E1795" s="1">
        <v>44112</v>
      </c>
      <c r="F1795">
        <v>4.6399999999999997</v>
      </c>
      <c r="G1795">
        <v>6</v>
      </c>
      <c r="H1795">
        <v>8589.85</v>
      </c>
      <c r="I1795">
        <v>5.0999999999999996</v>
      </c>
    </row>
    <row r="1796" spans="1:9" x14ac:dyDescent="0.3">
      <c r="A1796" t="s">
        <v>1811</v>
      </c>
      <c r="B1796" t="s">
        <v>10</v>
      </c>
      <c r="C1796" t="s">
        <v>11</v>
      </c>
      <c r="D1796">
        <v>54</v>
      </c>
      <c r="E1796" s="1">
        <v>44026</v>
      </c>
      <c r="F1796">
        <v>4.99</v>
      </c>
      <c r="G1796">
        <v>15</v>
      </c>
      <c r="H1796">
        <v>11116.75</v>
      </c>
      <c r="I1796">
        <v>5.3</v>
      </c>
    </row>
    <row r="1797" spans="1:9" x14ac:dyDescent="0.3">
      <c r="A1797" t="s">
        <v>1812</v>
      </c>
      <c r="B1797" t="s">
        <v>34</v>
      </c>
      <c r="C1797" t="s">
        <v>14</v>
      </c>
      <c r="D1797">
        <v>60</v>
      </c>
      <c r="E1797" s="1">
        <v>45941</v>
      </c>
      <c r="F1797">
        <v>3.85</v>
      </c>
      <c r="G1797">
        <v>2</v>
      </c>
      <c r="H1797">
        <v>4615.9399999999996</v>
      </c>
      <c r="I1797">
        <v>0.1</v>
      </c>
    </row>
    <row r="1798" spans="1:9" x14ac:dyDescent="0.3">
      <c r="A1798" t="s">
        <v>1813</v>
      </c>
      <c r="B1798" t="s">
        <v>24</v>
      </c>
      <c r="C1798" t="s">
        <v>11</v>
      </c>
      <c r="D1798">
        <v>44</v>
      </c>
      <c r="E1798" s="1">
        <v>44547</v>
      </c>
      <c r="F1798">
        <v>3.77</v>
      </c>
      <c r="G1798">
        <v>3</v>
      </c>
      <c r="H1798">
        <v>6340.54</v>
      </c>
      <c r="I1798">
        <v>3.9</v>
      </c>
    </row>
    <row r="1799" spans="1:9" x14ac:dyDescent="0.3">
      <c r="A1799" t="s">
        <v>1814</v>
      </c>
      <c r="B1799" t="s">
        <v>24</v>
      </c>
      <c r="C1799" t="s">
        <v>14</v>
      </c>
      <c r="D1799">
        <v>28</v>
      </c>
      <c r="E1799" s="1">
        <v>45761</v>
      </c>
      <c r="F1799">
        <v>3.86</v>
      </c>
      <c r="G1799">
        <v>9</v>
      </c>
      <c r="H1799">
        <v>6588.12</v>
      </c>
      <c r="I1799">
        <v>0.6</v>
      </c>
    </row>
    <row r="1800" spans="1:9" x14ac:dyDescent="0.3">
      <c r="A1800" t="s">
        <v>1815</v>
      </c>
      <c r="B1800" t="s">
        <v>18</v>
      </c>
      <c r="C1800" t="s">
        <v>14</v>
      </c>
      <c r="D1800">
        <v>35</v>
      </c>
      <c r="E1800" s="1">
        <v>42625</v>
      </c>
      <c r="F1800">
        <v>4.09</v>
      </c>
      <c r="G1800">
        <v>7</v>
      </c>
      <c r="H1800">
        <v>5884.54</v>
      </c>
      <c r="I1800">
        <v>9.1</v>
      </c>
    </row>
    <row r="1801" spans="1:9" x14ac:dyDescent="0.3">
      <c r="A1801" t="s">
        <v>1816</v>
      </c>
      <c r="B1801" t="s">
        <v>34</v>
      </c>
      <c r="C1801" t="s">
        <v>14</v>
      </c>
      <c r="D1801">
        <v>56</v>
      </c>
      <c r="E1801" s="1">
        <v>45732</v>
      </c>
      <c r="F1801">
        <v>3.7</v>
      </c>
      <c r="G1801">
        <v>5</v>
      </c>
      <c r="H1801">
        <v>13239.26</v>
      </c>
      <c r="I1801">
        <v>0.6</v>
      </c>
    </row>
    <row r="1802" spans="1:9" x14ac:dyDescent="0.3">
      <c r="A1802" t="s">
        <v>1817</v>
      </c>
      <c r="B1802" t="s">
        <v>10</v>
      </c>
      <c r="C1802" t="s">
        <v>11</v>
      </c>
      <c r="D1802">
        <v>55</v>
      </c>
      <c r="E1802" s="1">
        <v>45152</v>
      </c>
      <c r="F1802">
        <v>3.67</v>
      </c>
      <c r="G1802">
        <v>5</v>
      </c>
      <c r="H1802">
        <v>11550.55</v>
      </c>
      <c r="I1802">
        <v>2.2000000000000002</v>
      </c>
    </row>
    <row r="1803" spans="1:9" x14ac:dyDescent="0.3">
      <c r="A1803" t="s">
        <v>1818</v>
      </c>
      <c r="B1803" t="s">
        <v>13</v>
      </c>
      <c r="C1803" t="s">
        <v>11</v>
      </c>
      <c r="D1803">
        <v>24</v>
      </c>
      <c r="E1803" s="1">
        <v>40952</v>
      </c>
      <c r="F1803">
        <v>2.92</v>
      </c>
      <c r="G1803">
        <v>1</v>
      </c>
      <c r="H1803">
        <v>6615.03</v>
      </c>
      <c r="I1803">
        <v>13.7</v>
      </c>
    </row>
    <row r="1804" spans="1:9" x14ac:dyDescent="0.3">
      <c r="A1804" t="s">
        <v>1819</v>
      </c>
      <c r="B1804" t="s">
        <v>13</v>
      </c>
      <c r="C1804" t="s">
        <v>11</v>
      </c>
      <c r="D1804">
        <v>24</v>
      </c>
      <c r="E1804" s="1">
        <v>45322</v>
      </c>
      <c r="F1804">
        <v>3.34</v>
      </c>
      <c r="G1804">
        <v>9</v>
      </c>
      <c r="H1804">
        <v>9218.9</v>
      </c>
      <c r="I1804">
        <v>1.8</v>
      </c>
    </row>
    <row r="1805" spans="1:9" x14ac:dyDescent="0.3">
      <c r="A1805" t="s">
        <v>1820</v>
      </c>
      <c r="B1805" t="s">
        <v>34</v>
      </c>
      <c r="C1805" t="s">
        <v>11</v>
      </c>
      <c r="D1805">
        <v>56</v>
      </c>
      <c r="E1805" s="1">
        <v>41460</v>
      </c>
      <c r="F1805">
        <v>3.99</v>
      </c>
      <c r="G1805">
        <v>2</v>
      </c>
      <c r="H1805">
        <v>3942.21</v>
      </c>
      <c r="I1805">
        <v>12.3</v>
      </c>
    </row>
    <row r="1806" spans="1:9" x14ac:dyDescent="0.3">
      <c r="A1806" t="s">
        <v>1821</v>
      </c>
      <c r="B1806" t="s">
        <v>18</v>
      </c>
      <c r="C1806" t="s">
        <v>14</v>
      </c>
      <c r="D1806">
        <v>30</v>
      </c>
      <c r="E1806" s="1">
        <v>41220</v>
      </c>
      <c r="F1806">
        <v>4.0199999999999996</v>
      </c>
      <c r="G1806">
        <v>15</v>
      </c>
      <c r="H1806">
        <v>7844.69</v>
      </c>
      <c r="I1806">
        <v>13</v>
      </c>
    </row>
    <row r="1807" spans="1:9" x14ac:dyDescent="0.3">
      <c r="A1807" t="s">
        <v>1822</v>
      </c>
      <c r="B1807" t="s">
        <v>24</v>
      </c>
      <c r="C1807" t="s">
        <v>11</v>
      </c>
      <c r="D1807">
        <v>49</v>
      </c>
      <c r="E1807" s="1">
        <v>44103</v>
      </c>
      <c r="F1807">
        <v>2.71</v>
      </c>
      <c r="G1807">
        <v>15</v>
      </c>
      <c r="H1807">
        <v>4236.7700000000004</v>
      </c>
      <c r="I1807">
        <v>5.0999999999999996</v>
      </c>
    </row>
    <row r="1808" spans="1:9" x14ac:dyDescent="0.3">
      <c r="A1808" t="s">
        <v>1823</v>
      </c>
      <c r="B1808" t="s">
        <v>34</v>
      </c>
      <c r="C1808" t="s">
        <v>14</v>
      </c>
      <c r="D1808">
        <v>35</v>
      </c>
      <c r="E1808" s="1">
        <v>42929</v>
      </c>
      <c r="F1808">
        <v>2.68</v>
      </c>
      <c r="G1808">
        <v>0</v>
      </c>
      <c r="H1808">
        <v>6621.06</v>
      </c>
      <c r="I1808">
        <v>8.3000000000000007</v>
      </c>
    </row>
    <row r="1809" spans="1:9" x14ac:dyDescent="0.3">
      <c r="A1809" t="s">
        <v>1824</v>
      </c>
      <c r="B1809" t="s">
        <v>34</v>
      </c>
      <c r="C1809" t="s">
        <v>14</v>
      </c>
      <c r="D1809">
        <v>27</v>
      </c>
      <c r="E1809" s="1">
        <v>43393</v>
      </c>
      <c r="F1809">
        <v>2.8</v>
      </c>
      <c r="G1809">
        <v>2</v>
      </c>
      <c r="H1809">
        <v>12916.35</v>
      </c>
      <c r="I1809">
        <v>7</v>
      </c>
    </row>
    <row r="1810" spans="1:9" x14ac:dyDescent="0.3">
      <c r="A1810" t="s">
        <v>1825</v>
      </c>
      <c r="B1810" t="s">
        <v>24</v>
      </c>
      <c r="C1810" t="s">
        <v>14</v>
      </c>
      <c r="D1810">
        <v>30</v>
      </c>
      <c r="E1810" s="1">
        <v>42157</v>
      </c>
      <c r="F1810">
        <v>1.68</v>
      </c>
      <c r="G1810">
        <v>15</v>
      </c>
      <c r="H1810">
        <v>12467.64</v>
      </c>
      <c r="I1810">
        <v>10.4</v>
      </c>
    </row>
    <row r="1811" spans="1:9" x14ac:dyDescent="0.3">
      <c r="A1811" t="s">
        <v>1826</v>
      </c>
      <c r="B1811" t="s">
        <v>34</v>
      </c>
      <c r="C1811" t="s">
        <v>14</v>
      </c>
      <c r="D1811">
        <v>32</v>
      </c>
      <c r="E1811" s="1">
        <v>43770</v>
      </c>
      <c r="F1811">
        <v>2.68</v>
      </c>
      <c r="G1811">
        <v>4</v>
      </c>
      <c r="H1811">
        <v>9912.98</v>
      </c>
      <c r="I1811">
        <v>6</v>
      </c>
    </row>
    <row r="1812" spans="1:9" x14ac:dyDescent="0.3">
      <c r="A1812" t="s">
        <v>1827</v>
      </c>
      <c r="B1812" t="s">
        <v>10</v>
      </c>
      <c r="C1812" t="s">
        <v>14</v>
      </c>
      <c r="D1812">
        <v>23</v>
      </c>
      <c r="E1812" s="1">
        <v>43191</v>
      </c>
      <c r="F1812">
        <v>4.59</v>
      </c>
      <c r="G1812">
        <v>1</v>
      </c>
      <c r="H1812">
        <v>4327.59</v>
      </c>
      <c r="I1812">
        <v>7.6</v>
      </c>
    </row>
    <row r="1813" spans="1:9" x14ac:dyDescent="0.3">
      <c r="A1813" t="s">
        <v>1828</v>
      </c>
      <c r="B1813" t="s">
        <v>34</v>
      </c>
      <c r="C1813" t="s">
        <v>14</v>
      </c>
      <c r="D1813">
        <v>36</v>
      </c>
      <c r="E1813" s="1">
        <v>41196</v>
      </c>
      <c r="F1813">
        <v>2.5299999999999998</v>
      </c>
      <c r="G1813">
        <v>8</v>
      </c>
      <c r="H1813">
        <v>11229.03</v>
      </c>
      <c r="I1813">
        <v>13.1</v>
      </c>
    </row>
    <row r="1814" spans="1:9" x14ac:dyDescent="0.3">
      <c r="A1814" t="s">
        <v>1829</v>
      </c>
      <c r="B1814" t="s">
        <v>13</v>
      </c>
      <c r="C1814" t="s">
        <v>11</v>
      </c>
      <c r="D1814">
        <v>51</v>
      </c>
      <c r="E1814" s="1">
        <v>40501</v>
      </c>
      <c r="F1814">
        <v>3.49</v>
      </c>
      <c r="G1814">
        <v>8</v>
      </c>
      <c r="H1814">
        <v>13253.4</v>
      </c>
      <c r="I1814">
        <v>15</v>
      </c>
    </row>
    <row r="1815" spans="1:9" x14ac:dyDescent="0.3">
      <c r="A1815" t="s">
        <v>1830</v>
      </c>
      <c r="B1815" t="s">
        <v>16</v>
      </c>
      <c r="C1815" t="s">
        <v>14</v>
      </c>
      <c r="D1815">
        <v>27</v>
      </c>
      <c r="E1815" s="1">
        <v>44130</v>
      </c>
      <c r="F1815">
        <v>2.42</v>
      </c>
      <c r="G1815">
        <v>15</v>
      </c>
      <c r="H1815">
        <v>10978.16</v>
      </c>
      <c r="I1815">
        <v>5</v>
      </c>
    </row>
    <row r="1816" spans="1:9" x14ac:dyDescent="0.3">
      <c r="A1816" t="s">
        <v>1831</v>
      </c>
      <c r="B1816" t="s">
        <v>16</v>
      </c>
      <c r="C1816" t="s">
        <v>11</v>
      </c>
      <c r="D1816">
        <v>60</v>
      </c>
      <c r="E1816" s="1">
        <v>42377</v>
      </c>
      <c r="F1816">
        <v>2.86</v>
      </c>
      <c r="G1816">
        <v>12</v>
      </c>
      <c r="H1816">
        <v>9706.65</v>
      </c>
      <c r="I1816">
        <v>9.8000000000000007</v>
      </c>
    </row>
    <row r="1817" spans="1:9" x14ac:dyDescent="0.3">
      <c r="A1817" t="s">
        <v>1832</v>
      </c>
      <c r="B1817" t="s">
        <v>18</v>
      </c>
      <c r="C1817" t="s">
        <v>14</v>
      </c>
      <c r="D1817">
        <v>26</v>
      </c>
      <c r="E1817" s="1">
        <v>43967</v>
      </c>
      <c r="F1817">
        <v>3.85</v>
      </c>
      <c r="G1817">
        <v>11</v>
      </c>
      <c r="H1817">
        <v>12374.46</v>
      </c>
      <c r="I1817">
        <v>5.5</v>
      </c>
    </row>
    <row r="1818" spans="1:9" x14ac:dyDescent="0.3">
      <c r="A1818" t="s">
        <v>1833</v>
      </c>
      <c r="B1818" t="s">
        <v>34</v>
      </c>
      <c r="C1818" t="s">
        <v>14</v>
      </c>
      <c r="D1818">
        <v>50</v>
      </c>
      <c r="E1818" s="1">
        <v>41227</v>
      </c>
      <c r="F1818">
        <v>3.33</v>
      </c>
      <c r="G1818">
        <v>7</v>
      </c>
      <c r="H1818">
        <v>6978.09</v>
      </c>
      <c r="I1818">
        <v>13</v>
      </c>
    </row>
    <row r="1819" spans="1:9" x14ac:dyDescent="0.3">
      <c r="A1819" t="s">
        <v>1834</v>
      </c>
      <c r="B1819" t="s">
        <v>24</v>
      </c>
      <c r="C1819" t="s">
        <v>11</v>
      </c>
      <c r="D1819">
        <v>42</v>
      </c>
      <c r="E1819" s="1">
        <v>44599</v>
      </c>
      <c r="F1819">
        <v>1.88</v>
      </c>
      <c r="G1819">
        <v>12</v>
      </c>
      <c r="H1819">
        <v>13930.17</v>
      </c>
      <c r="I1819">
        <v>3.7</v>
      </c>
    </row>
    <row r="1820" spans="1:9" x14ac:dyDescent="0.3">
      <c r="A1820" t="s">
        <v>1835</v>
      </c>
      <c r="B1820" t="s">
        <v>16</v>
      </c>
      <c r="C1820" t="s">
        <v>14</v>
      </c>
      <c r="D1820">
        <v>37</v>
      </c>
      <c r="E1820" s="1">
        <v>40629</v>
      </c>
      <c r="F1820">
        <v>2.64</v>
      </c>
      <c r="G1820">
        <v>6</v>
      </c>
      <c r="H1820">
        <v>9985.2900000000009</v>
      </c>
      <c r="I1820">
        <v>14.6</v>
      </c>
    </row>
    <row r="1821" spans="1:9" x14ac:dyDescent="0.3">
      <c r="A1821" t="s">
        <v>1836</v>
      </c>
      <c r="B1821" t="s">
        <v>10</v>
      </c>
      <c r="C1821" t="s">
        <v>14</v>
      </c>
      <c r="D1821">
        <v>48</v>
      </c>
      <c r="E1821" s="1">
        <v>42473</v>
      </c>
      <c r="F1821">
        <v>3.43</v>
      </c>
      <c r="G1821">
        <v>6</v>
      </c>
      <c r="H1821">
        <v>3159.62</v>
      </c>
      <c r="I1821">
        <v>9.6</v>
      </c>
    </row>
    <row r="1822" spans="1:9" x14ac:dyDescent="0.3">
      <c r="A1822" t="s">
        <v>1837</v>
      </c>
      <c r="B1822" t="s">
        <v>24</v>
      </c>
      <c r="C1822" t="s">
        <v>14</v>
      </c>
      <c r="D1822">
        <v>36</v>
      </c>
      <c r="E1822" s="1">
        <v>42086</v>
      </c>
      <c r="F1822">
        <v>3.82</v>
      </c>
      <c r="G1822">
        <v>14</v>
      </c>
      <c r="H1822">
        <v>9767.2800000000007</v>
      </c>
      <c r="I1822">
        <v>10.6</v>
      </c>
    </row>
    <row r="1823" spans="1:9" x14ac:dyDescent="0.3">
      <c r="A1823" t="s">
        <v>1838</v>
      </c>
      <c r="B1823" t="s">
        <v>24</v>
      </c>
      <c r="C1823" t="s">
        <v>14</v>
      </c>
      <c r="D1823">
        <v>58</v>
      </c>
      <c r="E1823" s="1">
        <v>40742</v>
      </c>
      <c r="F1823">
        <v>2.54</v>
      </c>
      <c r="G1823">
        <v>4</v>
      </c>
      <c r="H1823">
        <v>5644.29</v>
      </c>
      <c r="I1823">
        <v>14.3</v>
      </c>
    </row>
    <row r="1824" spans="1:9" x14ac:dyDescent="0.3">
      <c r="A1824" t="s">
        <v>1839</v>
      </c>
      <c r="B1824" t="s">
        <v>13</v>
      </c>
      <c r="C1824" t="s">
        <v>11</v>
      </c>
      <c r="D1824">
        <v>51</v>
      </c>
      <c r="E1824" s="1">
        <v>40803</v>
      </c>
      <c r="F1824">
        <v>3.51</v>
      </c>
      <c r="G1824">
        <v>12</v>
      </c>
      <c r="H1824">
        <v>13776.73</v>
      </c>
      <c r="I1824">
        <v>14.1</v>
      </c>
    </row>
    <row r="1825" spans="1:9" x14ac:dyDescent="0.3">
      <c r="A1825" t="s">
        <v>1840</v>
      </c>
      <c r="B1825" t="s">
        <v>18</v>
      </c>
      <c r="C1825" t="s">
        <v>11</v>
      </c>
      <c r="D1825">
        <v>28</v>
      </c>
      <c r="E1825" s="1">
        <v>41957</v>
      </c>
      <c r="F1825">
        <v>3.82</v>
      </c>
      <c r="G1825">
        <v>9</v>
      </c>
      <c r="H1825">
        <v>10830.8</v>
      </c>
      <c r="I1825">
        <v>11</v>
      </c>
    </row>
    <row r="1826" spans="1:9" x14ac:dyDescent="0.3">
      <c r="A1826" t="s">
        <v>1841</v>
      </c>
      <c r="B1826" t="s">
        <v>13</v>
      </c>
      <c r="C1826" t="s">
        <v>14</v>
      </c>
      <c r="D1826">
        <v>27</v>
      </c>
      <c r="E1826" s="1">
        <v>41138</v>
      </c>
      <c r="F1826">
        <v>3.32</v>
      </c>
      <c r="G1826">
        <v>10</v>
      </c>
      <c r="H1826">
        <v>9965.31</v>
      </c>
      <c r="I1826">
        <v>13.2</v>
      </c>
    </row>
    <row r="1827" spans="1:9" x14ac:dyDescent="0.3">
      <c r="A1827" t="s">
        <v>1842</v>
      </c>
      <c r="B1827" t="s">
        <v>10</v>
      </c>
      <c r="C1827" t="s">
        <v>11</v>
      </c>
      <c r="D1827">
        <v>26</v>
      </c>
      <c r="E1827" s="1">
        <v>42432</v>
      </c>
      <c r="F1827">
        <v>3.15</v>
      </c>
      <c r="G1827">
        <v>9</v>
      </c>
      <c r="H1827">
        <v>9261.3700000000008</v>
      </c>
      <c r="I1827">
        <v>9.6999999999999993</v>
      </c>
    </row>
    <row r="1828" spans="1:9" x14ac:dyDescent="0.3">
      <c r="A1828" t="s">
        <v>1843</v>
      </c>
      <c r="B1828" t="s">
        <v>24</v>
      </c>
      <c r="C1828" t="s">
        <v>14</v>
      </c>
      <c r="D1828">
        <v>24</v>
      </c>
      <c r="E1828" s="1">
        <v>44500</v>
      </c>
      <c r="F1828">
        <v>1.53</v>
      </c>
      <c r="G1828">
        <v>10</v>
      </c>
      <c r="H1828">
        <v>3649.24</v>
      </c>
      <c r="I1828">
        <v>4</v>
      </c>
    </row>
    <row r="1829" spans="1:9" x14ac:dyDescent="0.3">
      <c r="A1829" t="s">
        <v>1844</v>
      </c>
      <c r="B1829" t="s">
        <v>16</v>
      </c>
      <c r="C1829" t="s">
        <v>11</v>
      </c>
      <c r="D1829">
        <v>45</v>
      </c>
      <c r="E1829" s="1">
        <v>40822</v>
      </c>
      <c r="F1829">
        <v>4.1100000000000003</v>
      </c>
      <c r="G1829">
        <v>14</v>
      </c>
      <c r="H1829">
        <v>7606.51</v>
      </c>
      <c r="I1829">
        <v>14.1</v>
      </c>
    </row>
    <row r="1830" spans="1:9" x14ac:dyDescent="0.3">
      <c r="A1830" t="s">
        <v>1845</v>
      </c>
      <c r="B1830" t="s">
        <v>34</v>
      </c>
      <c r="C1830" t="s">
        <v>14</v>
      </c>
      <c r="D1830">
        <v>30</v>
      </c>
      <c r="E1830" s="1">
        <v>40204</v>
      </c>
      <c r="F1830">
        <v>3.94</v>
      </c>
      <c r="G1830">
        <v>4</v>
      </c>
      <c r="H1830">
        <v>12824.11</v>
      </c>
      <c r="I1830">
        <v>15.8</v>
      </c>
    </row>
    <row r="1831" spans="1:9" x14ac:dyDescent="0.3">
      <c r="A1831" t="s">
        <v>1846</v>
      </c>
      <c r="B1831" t="s">
        <v>18</v>
      </c>
      <c r="C1831" t="s">
        <v>14</v>
      </c>
      <c r="D1831">
        <v>46</v>
      </c>
      <c r="E1831" s="1">
        <v>45536</v>
      </c>
      <c r="F1831">
        <v>4.13</v>
      </c>
      <c r="G1831">
        <v>8</v>
      </c>
      <c r="H1831">
        <v>4502.47</v>
      </c>
      <c r="I1831">
        <v>1.2</v>
      </c>
    </row>
    <row r="1832" spans="1:9" x14ac:dyDescent="0.3">
      <c r="A1832" t="s">
        <v>1847</v>
      </c>
      <c r="B1832" t="s">
        <v>24</v>
      </c>
      <c r="C1832" t="s">
        <v>11</v>
      </c>
      <c r="D1832">
        <v>31</v>
      </c>
      <c r="E1832" s="1">
        <v>45132</v>
      </c>
      <c r="F1832">
        <v>1.72</v>
      </c>
      <c r="G1832">
        <v>14</v>
      </c>
      <c r="H1832">
        <v>9846.0400000000009</v>
      </c>
      <c r="I1832">
        <v>2.2999999999999998</v>
      </c>
    </row>
    <row r="1833" spans="1:9" x14ac:dyDescent="0.3">
      <c r="A1833" t="s">
        <v>1848</v>
      </c>
      <c r="B1833" t="s">
        <v>18</v>
      </c>
      <c r="C1833" t="s">
        <v>14</v>
      </c>
      <c r="D1833">
        <v>22</v>
      </c>
      <c r="E1833" s="1">
        <v>44592</v>
      </c>
      <c r="F1833">
        <v>4.82</v>
      </c>
      <c r="G1833">
        <v>6</v>
      </c>
      <c r="H1833">
        <v>11318.89</v>
      </c>
      <c r="I1833">
        <v>3.8</v>
      </c>
    </row>
    <row r="1834" spans="1:9" x14ac:dyDescent="0.3">
      <c r="A1834" t="s">
        <v>1849</v>
      </c>
      <c r="B1834" t="s">
        <v>34</v>
      </c>
      <c r="C1834" t="s">
        <v>11</v>
      </c>
      <c r="D1834">
        <v>46</v>
      </c>
      <c r="E1834" s="1">
        <v>41334</v>
      </c>
      <c r="F1834">
        <v>3.55</v>
      </c>
      <c r="G1834">
        <v>15</v>
      </c>
      <c r="H1834">
        <v>11214.78</v>
      </c>
      <c r="I1834">
        <v>12.7</v>
      </c>
    </row>
    <row r="1835" spans="1:9" x14ac:dyDescent="0.3">
      <c r="A1835" t="s">
        <v>1850</v>
      </c>
      <c r="B1835" t="s">
        <v>16</v>
      </c>
      <c r="C1835" t="s">
        <v>11</v>
      </c>
      <c r="D1835">
        <v>47</v>
      </c>
      <c r="E1835" s="1">
        <v>45091</v>
      </c>
      <c r="F1835">
        <v>2.23</v>
      </c>
      <c r="G1835">
        <v>8</v>
      </c>
      <c r="H1835">
        <v>4830.71</v>
      </c>
      <c r="I1835">
        <v>2.4</v>
      </c>
    </row>
    <row r="1836" spans="1:9" x14ac:dyDescent="0.3">
      <c r="A1836" t="s">
        <v>1851</v>
      </c>
      <c r="B1836" t="s">
        <v>18</v>
      </c>
      <c r="C1836" t="s">
        <v>11</v>
      </c>
      <c r="D1836">
        <v>52</v>
      </c>
      <c r="E1836" s="1">
        <v>44995</v>
      </c>
      <c r="F1836">
        <v>3.86</v>
      </c>
      <c r="G1836">
        <v>4</v>
      </c>
      <c r="H1836">
        <v>6338.06</v>
      </c>
      <c r="I1836">
        <v>2.6</v>
      </c>
    </row>
    <row r="1837" spans="1:9" x14ac:dyDescent="0.3">
      <c r="A1837" t="s">
        <v>1852</v>
      </c>
      <c r="B1837" t="s">
        <v>10</v>
      </c>
      <c r="C1837" t="s">
        <v>14</v>
      </c>
      <c r="D1837">
        <v>53</v>
      </c>
      <c r="E1837" s="1">
        <v>42252</v>
      </c>
      <c r="F1837">
        <v>2.36</v>
      </c>
      <c r="G1837">
        <v>8</v>
      </c>
      <c r="H1837">
        <v>5164.79</v>
      </c>
      <c r="I1837">
        <v>10.199999999999999</v>
      </c>
    </row>
    <row r="1838" spans="1:9" x14ac:dyDescent="0.3">
      <c r="A1838" t="s">
        <v>1853</v>
      </c>
      <c r="B1838" t="s">
        <v>34</v>
      </c>
      <c r="C1838" t="s">
        <v>14</v>
      </c>
      <c r="D1838">
        <v>57</v>
      </c>
      <c r="E1838" s="1">
        <v>42011</v>
      </c>
      <c r="F1838">
        <v>2.2000000000000002</v>
      </c>
      <c r="G1838">
        <v>2</v>
      </c>
      <c r="H1838">
        <v>4225.3900000000003</v>
      </c>
      <c r="I1838">
        <v>10.8</v>
      </c>
    </row>
    <row r="1839" spans="1:9" x14ac:dyDescent="0.3">
      <c r="A1839" t="s">
        <v>1854</v>
      </c>
      <c r="B1839" t="s">
        <v>24</v>
      </c>
      <c r="C1839" t="s">
        <v>11</v>
      </c>
      <c r="D1839">
        <v>41</v>
      </c>
      <c r="E1839" s="1">
        <v>44432</v>
      </c>
      <c r="F1839">
        <v>4.53</v>
      </c>
      <c r="G1839">
        <v>2</v>
      </c>
      <c r="H1839">
        <v>11564.12</v>
      </c>
      <c r="I1839">
        <v>4.2</v>
      </c>
    </row>
    <row r="1840" spans="1:9" x14ac:dyDescent="0.3">
      <c r="A1840" t="s">
        <v>1855</v>
      </c>
      <c r="B1840" t="s">
        <v>34</v>
      </c>
      <c r="C1840" t="s">
        <v>11</v>
      </c>
      <c r="D1840">
        <v>26</v>
      </c>
      <c r="E1840" s="1">
        <v>44906</v>
      </c>
      <c r="F1840">
        <v>4.66</v>
      </c>
      <c r="G1840">
        <v>13</v>
      </c>
      <c r="H1840">
        <v>3206.81</v>
      </c>
      <c r="I1840">
        <v>2.9</v>
      </c>
    </row>
    <row r="1841" spans="1:9" x14ac:dyDescent="0.3">
      <c r="A1841" t="s">
        <v>1856</v>
      </c>
      <c r="B1841" t="s">
        <v>13</v>
      </c>
      <c r="C1841" t="s">
        <v>14</v>
      </c>
      <c r="D1841">
        <v>54</v>
      </c>
      <c r="E1841" s="1">
        <v>40387</v>
      </c>
      <c r="F1841">
        <v>4.32</v>
      </c>
      <c r="G1841">
        <v>0</v>
      </c>
      <c r="H1841">
        <v>4799.04</v>
      </c>
      <c r="I1841">
        <v>15.3</v>
      </c>
    </row>
    <row r="1842" spans="1:9" x14ac:dyDescent="0.3">
      <c r="A1842" t="s">
        <v>1857</v>
      </c>
      <c r="B1842" t="s">
        <v>24</v>
      </c>
      <c r="C1842" t="s">
        <v>14</v>
      </c>
      <c r="D1842">
        <v>22</v>
      </c>
      <c r="E1842" s="1">
        <v>41254</v>
      </c>
      <c r="F1842">
        <v>3.26</v>
      </c>
      <c r="G1842">
        <v>6</v>
      </c>
      <c r="H1842">
        <v>7461.91</v>
      </c>
      <c r="I1842">
        <v>12.9</v>
      </c>
    </row>
    <row r="1843" spans="1:9" x14ac:dyDescent="0.3">
      <c r="A1843" t="s">
        <v>1858</v>
      </c>
      <c r="B1843" t="s">
        <v>13</v>
      </c>
      <c r="C1843" t="s">
        <v>14</v>
      </c>
      <c r="D1843">
        <v>35</v>
      </c>
      <c r="E1843" s="1">
        <v>40555</v>
      </c>
      <c r="F1843">
        <v>4.7699999999999996</v>
      </c>
      <c r="G1843">
        <v>4</v>
      </c>
      <c r="H1843">
        <v>13691.81</v>
      </c>
      <c r="I1843">
        <v>14.8</v>
      </c>
    </row>
    <row r="1844" spans="1:9" x14ac:dyDescent="0.3">
      <c r="A1844" t="s">
        <v>1859</v>
      </c>
      <c r="B1844" t="s">
        <v>18</v>
      </c>
      <c r="C1844" t="s">
        <v>14</v>
      </c>
      <c r="D1844">
        <v>42</v>
      </c>
      <c r="E1844" s="1">
        <v>42312</v>
      </c>
      <c r="F1844">
        <v>3.95</v>
      </c>
      <c r="G1844">
        <v>1</v>
      </c>
      <c r="H1844">
        <v>13304.5</v>
      </c>
      <c r="I1844">
        <v>10</v>
      </c>
    </row>
    <row r="1845" spans="1:9" x14ac:dyDescent="0.3">
      <c r="A1845" t="s">
        <v>1860</v>
      </c>
      <c r="B1845" t="s">
        <v>24</v>
      </c>
      <c r="C1845" t="s">
        <v>14</v>
      </c>
      <c r="D1845">
        <v>59</v>
      </c>
      <c r="E1845" s="1">
        <v>42591</v>
      </c>
      <c r="F1845">
        <v>2.96</v>
      </c>
      <c r="G1845">
        <v>12</v>
      </c>
      <c r="H1845">
        <v>9844.1299999999992</v>
      </c>
      <c r="I1845">
        <v>9.1999999999999993</v>
      </c>
    </row>
    <row r="1846" spans="1:9" x14ac:dyDescent="0.3">
      <c r="A1846" t="s">
        <v>1861</v>
      </c>
      <c r="B1846" t="s">
        <v>18</v>
      </c>
      <c r="C1846" t="s">
        <v>14</v>
      </c>
      <c r="D1846">
        <v>26</v>
      </c>
      <c r="E1846" s="1">
        <v>40970</v>
      </c>
      <c r="F1846">
        <v>3.53</v>
      </c>
      <c r="G1846">
        <v>1</v>
      </c>
      <c r="H1846">
        <v>12597.51</v>
      </c>
      <c r="I1846">
        <v>13.7</v>
      </c>
    </row>
    <row r="1847" spans="1:9" x14ac:dyDescent="0.3">
      <c r="A1847" t="s">
        <v>1862</v>
      </c>
      <c r="B1847" t="s">
        <v>34</v>
      </c>
      <c r="C1847" t="s">
        <v>11</v>
      </c>
      <c r="D1847">
        <v>22</v>
      </c>
      <c r="E1847" s="1">
        <v>43156</v>
      </c>
      <c r="F1847">
        <v>3.81</v>
      </c>
      <c r="G1847">
        <v>10</v>
      </c>
      <c r="H1847">
        <v>5293.65</v>
      </c>
      <c r="I1847">
        <v>7.7</v>
      </c>
    </row>
    <row r="1848" spans="1:9" x14ac:dyDescent="0.3">
      <c r="A1848" t="s">
        <v>1863</v>
      </c>
      <c r="B1848" t="s">
        <v>18</v>
      </c>
      <c r="C1848" t="s">
        <v>11</v>
      </c>
      <c r="D1848">
        <v>27</v>
      </c>
      <c r="E1848" s="1">
        <v>43928</v>
      </c>
      <c r="F1848">
        <v>3.2</v>
      </c>
      <c r="G1848">
        <v>11</v>
      </c>
      <c r="H1848">
        <v>7509.39</v>
      </c>
      <c r="I1848">
        <v>5.6</v>
      </c>
    </row>
    <row r="1849" spans="1:9" x14ac:dyDescent="0.3">
      <c r="A1849" t="s">
        <v>1864</v>
      </c>
      <c r="B1849" t="s">
        <v>24</v>
      </c>
      <c r="C1849" t="s">
        <v>11</v>
      </c>
      <c r="D1849">
        <v>36</v>
      </c>
      <c r="E1849" s="1">
        <v>40521</v>
      </c>
      <c r="F1849">
        <v>3.09</v>
      </c>
      <c r="G1849">
        <v>8</v>
      </c>
      <c r="H1849">
        <v>10816.1</v>
      </c>
      <c r="I1849">
        <v>14.9</v>
      </c>
    </row>
    <row r="1850" spans="1:9" x14ac:dyDescent="0.3">
      <c r="A1850" t="s">
        <v>1865</v>
      </c>
      <c r="B1850" t="s">
        <v>13</v>
      </c>
      <c r="C1850" t="s">
        <v>11</v>
      </c>
      <c r="D1850">
        <v>42</v>
      </c>
      <c r="E1850" s="1">
        <v>41217</v>
      </c>
      <c r="F1850">
        <v>4.42</v>
      </c>
      <c r="G1850">
        <v>13</v>
      </c>
      <c r="H1850">
        <v>7557.8</v>
      </c>
      <c r="I1850">
        <v>13</v>
      </c>
    </row>
    <row r="1851" spans="1:9" x14ac:dyDescent="0.3">
      <c r="A1851" t="s">
        <v>1866</v>
      </c>
      <c r="B1851" t="s">
        <v>10</v>
      </c>
      <c r="C1851" t="s">
        <v>11</v>
      </c>
      <c r="D1851">
        <v>22</v>
      </c>
      <c r="E1851" s="1">
        <v>42038</v>
      </c>
      <c r="F1851">
        <v>2.17</v>
      </c>
      <c r="G1851">
        <v>0</v>
      </c>
      <c r="H1851">
        <v>3310.21</v>
      </c>
      <c r="I1851">
        <v>10.8</v>
      </c>
    </row>
    <row r="1852" spans="1:9" x14ac:dyDescent="0.3">
      <c r="A1852" t="s">
        <v>1867</v>
      </c>
      <c r="B1852" t="s">
        <v>18</v>
      </c>
      <c r="C1852" t="s">
        <v>11</v>
      </c>
      <c r="D1852">
        <v>40</v>
      </c>
      <c r="E1852" s="1">
        <v>41057</v>
      </c>
      <c r="F1852">
        <v>3.98</v>
      </c>
      <c r="G1852">
        <v>4</v>
      </c>
      <c r="H1852">
        <v>13664.01</v>
      </c>
      <c r="I1852">
        <v>13.4</v>
      </c>
    </row>
    <row r="1853" spans="1:9" x14ac:dyDescent="0.3">
      <c r="A1853" t="s">
        <v>1868</v>
      </c>
      <c r="B1853" t="s">
        <v>13</v>
      </c>
      <c r="C1853" t="s">
        <v>11</v>
      </c>
      <c r="D1853">
        <v>41</v>
      </c>
      <c r="E1853" s="1">
        <v>44166</v>
      </c>
      <c r="F1853">
        <v>3.74</v>
      </c>
      <c r="G1853">
        <v>0</v>
      </c>
      <c r="H1853">
        <v>6692.22</v>
      </c>
      <c r="I1853">
        <v>4.9000000000000004</v>
      </c>
    </row>
    <row r="1854" spans="1:9" x14ac:dyDescent="0.3">
      <c r="A1854" t="s">
        <v>1869</v>
      </c>
      <c r="B1854" t="s">
        <v>18</v>
      </c>
      <c r="C1854" t="s">
        <v>11</v>
      </c>
      <c r="D1854">
        <v>51</v>
      </c>
      <c r="E1854" s="1">
        <v>44107</v>
      </c>
      <c r="F1854">
        <v>4.7699999999999996</v>
      </c>
      <c r="G1854">
        <v>4</v>
      </c>
      <c r="H1854">
        <v>11278.15</v>
      </c>
      <c r="I1854">
        <v>5.0999999999999996</v>
      </c>
    </row>
    <row r="1855" spans="1:9" x14ac:dyDescent="0.3">
      <c r="A1855" t="s">
        <v>1870</v>
      </c>
      <c r="B1855" t="s">
        <v>13</v>
      </c>
      <c r="C1855" t="s">
        <v>14</v>
      </c>
      <c r="D1855">
        <v>42</v>
      </c>
      <c r="E1855" s="1">
        <v>41361</v>
      </c>
      <c r="F1855">
        <v>2.93</v>
      </c>
      <c r="G1855">
        <v>4</v>
      </c>
      <c r="H1855">
        <v>14060.13</v>
      </c>
      <c r="I1855">
        <v>12.6</v>
      </c>
    </row>
    <row r="1856" spans="1:9" x14ac:dyDescent="0.3">
      <c r="A1856" t="s">
        <v>1871</v>
      </c>
      <c r="B1856" t="s">
        <v>24</v>
      </c>
      <c r="C1856" t="s">
        <v>14</v>
      </c>
      <c r="D1856">
        <v>57</v>
      </c>
      <c r="E1856" s="1">
        <v>41392</v>
      </c>
      <c r="F1856">
        <v>3.15</v>
      </c>
      <c r="G1856">
        <v>2</v>
      </c>
      <c r="H1856">
        <v>12522.24</v>
      </c>
      <c r="I1856">
        <v>12.5</v>
      </c>
    </row>
    <row r="1857" spans="1:9" x14ac:dyDescent="0.3">
      <c r="A1857" t="s">
        <v>1872</v>
      </c>
      <c r="B1857" t="s">
        <v>24</v>
      </c>
      <c r="C1857" t="s">
        <v>14</v>
      </c>
      <c r="D1857">
        <v>45</v>
      </c>
      <c r="E1857" s="1">
        <v>43997</v>
      </c>
      <c r="F1857">
        <v>2.38</v>
      </c>
      <c r="G1857">
        <v>0</v>
      </c>
      <c r="H1857">
        <v>3564.89</v>
      </c>
      <c r="I1857">
        <v>5.4</v>
      </c>
    </row>
    <row r="1858" spans="1:9" x14ac:dyDescent="0.3">
      <c r="A1858" t="s">
        <v>1873</v>
      </c>
      <c r="B1858" t="s">
        <v>13</v>
      </c>
      <c r="C1858" t="s">
        <v>14</v>
      </c>
      <c r="D1858">
        <v>30</v>
      </c>
      <c r="E1858" s="1">
        <v>44388</v>
      </c>
      <c r="F1858">
        <v>4.7300000000000004</v>
      </c>
      <c r="G1858">
        <v>4</v>
      </c>
      <c r="H1858">
        <v>13917.38</v>
      </c>
      <c r="I1858">
        <v>4.3</v>
      </c>
    </row>
    <row r="1859" spans="1:9" x14ac:dyDescent="0.3">
      <c r="A1859" t="s">
        <v>1874</v>
      </c>
      <c r="B1859" t="s">
        <v>34</v>
      </c>
      <c r="C1859" t="s">
        <v>14</v>
      </c>
      <c r="D1859">
        <v>52</v>
      </c>
      <c r="E1859" s="1">
        <v>45034</v>
      </c>
      <c r="F1859">
        <v>4.32</v>
      </c>
      <c r="G1859">
        <v>13</v>
      </c>
      <c r="H1859">
        <v>13371.98</v>
      </c>
      <c r="I1859">
        <v>2.5</v>
      </c>
    </row>
    <row r="1860" spans="1:9" x14ac:dyDescent="0.3">
      <c r="A1860" t="s">
        <v>1875</v>
      </c>
      <c r="B1860" t="s">
        <v>18</v>
      </c>
      <c r="C1860" t="s">
        <v>14</v>
      </c>
      <c r="D1860">
        <v>48</v>
      </c>
      <c r="E1860" s="1">
        <v>40543</v>
      </c>
      <c r="F1860">
        <v>4.41</v>
      </c>
      <c r="G1860">
        <v>10</v>
      </c>
      <c r="H1860">
        <v>13248.43</v>
      </c>
      <c r="I1860">
        <v>14.8</v>
      </c>
    </row>
    <row r="1861" spans="1:9" x14ac:dyDescent="0.3">
      <c r="A1861" t="s">
        <v>1876</v>
      </c>
      <c r="B1861" t="s">
        <v>13</v>
      </c>
      <c r="C1861" t="s">
        <v>14</v>
      </c>
      <c r="D1861">
        <v>36</v>
      </c>
      <c r="E1861" s="1">
        <v>41424</v>
      </c>
      <c r="F1861">
        <v>2.78</v>
      </c>
      <c r="G1861">
        <v>15</v>
      </c>
      <c r="H1861">
        <v>6168.32</v>
      </c>
      <c r="I1861">
        <v>12.4</v>
      </c>
    </row>
    <row r="1862" spans="1:9" x14ac:dyDescent="0.3">
      <c r="A1862" t="s">
        <v>1877</v>
      </c>
      <c r="B1862" t="s">
        <v>16</v>
      </c>
      <c r="C1862" t="s">
        <v>11</v>
      </c>
      <c r="D1862">
        <v>46</v>
      </c>
      <c r="E1862" s="1">
        <v>42543</v>
      </c>
      <c r="F1862">
        <v>2.4900000000000002</v>
      </c>
      <c r="G1862">
        <v>9</v>
      </c>
      <c r="H1862">
        <v>9421.49</v>
      </c>
      <c r="I1862">
        <v>9.4</v>
      </c>
    </row>
    <row r="1863" spans="1:9" x14ac:dyDescent="0.3">
      <c r="A1863" t="s">
        <v>1878</v>
      </c>
      <c r="B1863" t="s">
        <v>24</v>
      </c>
      <c r="C1863" t="s">
        <v>14</v>
      </c>
      <c r="D1863">
        <v>52</v>
      </c>
      <c r="E1863" s="1">
        <v>45398</v>
      </c>
      <c r="F1863">
        <v>3.51</v>
      </c>
      <c r="G1863">
        <v>15</v>
      </c>
      <c r="H1863">
        <v>11826.02</v>
      </c>
      <c r="I1863">
        <v>1.5</v>
      </c>
    </row>
    <row r="1864" spans="1:9" x14ac:dyDescent="0.3">
      <c r="A1864" t="s">
        <v>1879</v>
      </c>
      <c r="B1864" t="s">
        <v>13</v>
      </c>
      <c r="C1864" t="s">
        <v>11</v>
      </c>
      <c r="D1864">
        <v>50</v>
      </c>
      <c r="E1864" s="1">
        <v>45699</v>
      </c>
      <c r="F1864">
        <v>2.21</v>
      </c>
      <c r="G1864">
        <v>5</v>
      </c>
      <c r="H1864">
        <v>10412.030000000001</v>
      </c>
      <c r="I1864">
        <v>0.7</v>
      </c>
    </row>
    <row r="1865" spans="1:9" x14ac:dyDescent="0.3">
      <c r="A1865" t="s">
        <v>1880</v>
      </c>
      <c r="B1865" t="s">
        <v>13</v>
      </c>
      <c r="C1865" t="s">
        <v>14</v>
      </c>
      <c r="D1865">
        <v>29</v>
      </c>
      <c r="E1865" s="1">
        <v>44038</v>
      </c>
      <c r="F1865">
        <v>2.67</v>
      </c>
      <c r="G1865">
        <v>10</v>
      </c>
      <c r="H1865">
        <v>13684.53</v>
      </c>
      <c r="I1865">
        <v>5.3</v>
      </c>
    </row>
    <row r="1866" spans="1:9" x14ac:dyDescent="0.3">
      <c r="A1866" t="s">
        <v>1881</v>
      </c>
      <c r="B1866" t="s">
        <v>10</v>
      </c>
      <c r="C1866" t="s">
        <v>14</v>
      </c>
      <c r="D1866">
        <v>25</v>
      </c>
      <c r="E1866" s="1">
        <v>45605</v>
      </c>
      <c r="F1866">
        <v>4.3</v>
      </c>
      <c r="G1866">
        <v>4</v>
      </c>
      <c r="H1866">
        <v>11769.4</v>
      </c>
      <c r="I1866">
        <v>1</v>
      </c>
    </row>
    <row r="1867" spans="1:9" x14ac:dyDescent="0.3">
      <c r="A1867" t="s">
        <v>1882</v>
      </c>
      <c r="B1867" t="s">
        <v>24</v>
      </c>
      <c r="C1867" t="s">
        <v>14</v>
      </c>
      <c r="D1867">
        <v>35</v>
      </c>
      <c r="E1867" s="1">
        <v>40488</v>
      </c>
      <c r="F1867">
        <v>2.78</v>
      </c>
      <c r="G1867">
        <v>9</v>
      </c>
      <c r="H1867">
        <v>10682.63</v>
      </c>
      <c r="I1867">
        <v>15</v>
      </c>
    </row>
    <row r="1868" spans="1:9" x14ac:dyDescent="0.3">
      <c r="A1868" t="s">
        <v>1883</v>
      </c>
      <c r="B1868" t="s">
        <v>16</v>
      </c>
      <c r="C1868" t="s">
        <v>11</v>
      </c>
      <c r="D1868">
        <v>42</v>
      </c>
      <c r="E1868" s="1">
        <v>41786</v>
      </c>
      <c r="F1868">
        <v>2.13</v>
      </c>
      <c r="G1868">
        <v>9</v>
      </c>
      <c r="H1868">
        <v>10170.200000000001</v>
      </c>
      <c r="I1868">
        <v>11.4</v>
      </c>
    </row>
    <row r="1869" spans="1:9" x14ac:dyDescent="0.3">
      <c r="A1869" t="s">
        <v>1884</v>
      </c>
      <c r="B1869" t="s">
        <v>16</v>
      </c>
      <c r="C1869" t="s">
        <v>14</v>
      </c>
      <c r="D1869">
        <v>57</v>
      </c>
      <c r="E1869" s="1">
        <v>40885</v>
      </c>
      <c r="F1869">
        <v>3.76</v>
      </c>
      <c r="G1869">
        <v>5</v>
      </c>
      <c r="H1869">
        <v>6280.83</v>
      </c>
      <c r="I1869">
        <v>13.9</v>
      </c>
    </row>
    <row r="1870" spans="1:9" x14ac:dyDescent="0.3">
      <c r="A1870" t="s">
        <v>1885</v>
      </c>
      <c r="B1870" t="s">
        <v>10</v>
      </c>
      <c r="C1870" t="s">
        <v>14</v>
      </c>
      <c r="D1870">
        <v>30</v>
      </c>
      <c r="E1870" s="1">
        <v>41305</v>
      </c>
      <c r="F1870">
        <v>2.16</v>
      </c>
      <c r="G1870">
        <v>6</v>
      </c>
      <c r="H1870">
        <v>12064.66</v>
      </c>
      <c r="I1870">
        <v>12.8</v>
      </c>
    </row>
    <row r="1871" spans="1:9" x14ac:dyDescent="0.3">
      <c r="A1871" t="s">
        <v>1886</v>
      </c>
      <c r="B1871" t="s">
        <v>24</v>
      </c>
      <c r="C1871" t="s">
        <v>11</v>
      </c>
      <c r="D1871">
        <v>47</v>
      </c>
      <c r="E1871" s="1">
        <v>45638</v>
      </c>
      <c r="F1871">
        <v>2.95</v>
      </c>
      <c r="G1871">
        <v>1</v>
      </c>
      <c r="H1871">
        <v>14327.04</v>
      </c>
      <c r="I1871">
        <v>0.9</v>
      </c>
    </row>
    <row r="1872" spans="1:9" x14ac:dyDescent="0.3">
      <c r="A1872" t="s">
        <v>1887</v>
      </c>
      <c r="B1872" t="s">
        <v>10</v>
      </c>
      <c r="C1872" t="s">
        <v>14</v>
      </c>
      <c r="D1872">
        <v>25</v>
      </c>
      <c r="E1872" s="1">
        <v>44952</v>
      </c>
      <c r="F1872">
        <v>2.38</v>
      </c>
      <c r="G1872">
        <v>15</v>
      </c>
      <c r="H1872">
        <v>4115.42</v>
      </c>
      <c r="I1872">
        <v>2.8</v>
      </c>
    </row>
    <row r="1873" spans="1:9" x14ac:dyDescent="0.3">
      <c r="A1873" t="s">
        <v>1888</v>
      </c>
      <c r="B1873" t="s">
        <v>13</v>
      </c>
      <c r="C1873" t="s">
        <v>11</v>
      </c>
      <c r="D1873">
        <v>51</v>
      </c>
      <c r="E1873" s="1">
        <v>40226</v>
      </c>
      <c r="F1873">
        <v>2.85</v>
      </c>
      <c r="G1873">
        <v>15</v>
      </c>
      <c r="H1873">
        <v>13930.31</v>
      </c>
      <c r="I1873">
        <v>15.7</v>
      </c>
    </row>
    <row r="1874" spans="1:9" x14ac:dyDescent="0.3">
      <c r="A1874" t="s">
        <v>1889</v>
      </c>
      <c r="B1874" t="s">
        <v>34</v>
      </c>
      <c r="C1874" t="s">
        <v>11</v>
      </c>
      <c r="D1874">
        <v>25</v>
      </c>
      <c r="E1874" s="1">
        <v>43198</v>
      </c>
      <c r="F1874">
        <v>3.6</v>
      </c>
      <c r="G1874">
        <v>6</v>
      </c>
      <c r="H1874">
        <v>4771.74</v>
      </c>
      <c r="I1874">
        <v>7.6</v>
      </c>
    </row>
    <row r="1875" spans="1:9" x14ac:dyDescent="0.3">
      <c r="A1875" t="s">
        <v>1890</v>
      </c>
      <c r="B1875" t="s">
        <v>10</v>
      </c>
      <c r="C1875" t="s">
        <v>11</v>
      </c>
      <c r="D1875">
        <v>37</v>
      </c>
      <c r="E1875" s="1">
        <v>44500</v>
      </c>
      <c r="F1875">
        <v>4.8499999999999996</v>
      </c>
      <c r="G1875">
        <v>11</v>
      </c>
      <c r="H1875">
        <v>6376.64</v>
      </c>
      <c r="I1875">
        <v>4</v>
      </c>
    </row>
    <row r="1876" spans="1:9" x14ac:dyDescent="0.3">
      <c r="A1876" t="s">
        <v>1891</v>
      </c>
      <c r="B1876" t="s">
        <v>34</v>
      </c>
      <c r="C1876" t="s">
        <v>14</v>
      </c>
      <c r="D1876">
        <v>25</v>
      </c>
      <c r="E1876" s="1">
        <v>45454</v>
      </c>
      <c r="F1876">
        <v>4.4800000000000004</v>
      </c>
      <c r="G1876">
        <v>10</v>
      </c>
      <c r="H1876">
        <v>10307.5</v>
      </c>
      <c r="I1876">
        <v>1.4</v>
      </c>
    </row>
    <row r="1877" spans="1:9" x14ac:dyDescent="0.3">
      <c r="A1877" t="s">
        <v>1892</v>
      </c>
      <c r="B1877" t="s">
        <v>18</v>
      </c>
      <c r="C1877" t="s">
        <v>14</v>
      </c>
      <c r="D1877">
        <v>29</v>
      </c>
      <c r="E1877" s="1">
        <v>40241</v>
      </c>
      <c r="F1877">
        <v>2.84</v>
      </c>
      <c r="G1877">
        <v>6</v>
      </c>
      <c r="H1877">
        <v>4270.05</v>
      </c>
      <c r="I1877">
        <v>15.7</v>
      </c>
    </row>
    <row r="1878" spans="1:9" x14ac:dyDescent="0.3">
      <c r="A1878" t="s">
        <v>1893</v>
      </c>
      <c r="B1878" t="s">
        <v>34</v>
      </c>
      <c r="C1878" t="s">
        <v>11</v>
      </c>
      <c r="D1878">
        <v>50</v>
      </c>
      <c r="E1878" s="1">
        <v>45647</v>
      </c>
      <c r="F1878">
        <v>3.72</v>
      </c>
      <c r="G1878">
        <v>9</v>
      </c>
      <c r="H1878">
        <v>8561.8700000000008</v>
      </c>
      <c r="I1878">
        <v>0.9</v>
      </c>
    </row>
    <row r="1879" spans="1:9" x14ac:dyDescent="0.3">
      <c r="A1879" t="s">
        <v>1894</v>
      </c>
      <c r="B1879" t="s">
        <v>34</v>
      </c>
      <c r="C1879" t="s">
        <v>14</v>
      </c>
      <c r="D1879">
        <v>27</v>
      </c>
      <c r="E1879" s="1">
        <v>42444</v>
      </c>
      <c r="F1879">
        <v>2.29</v>
      </c>
      <c r="G1879">
        <v>0</v>
      </c>
      <c r="H1879">
        <v>4961.1499999999996</v>
      </c>
      <c r="I1879">
        <v>9.6</v>
      </c>
    </row>
    <row r="1880" spans="1:9" x14ac:dyDescent="0.3">
      <c r="A1880" t="s">
        <v>1895</v>
      </c>
      <c r="B1880" t="s">
        <v>18</v>
      </c>
      <c r="C1880" t="s">
        <v>14</v>
      </c>
      <c r="D1880">
        <v>35</v>
      </c>
      <c r="E1880" s="1">
        <v>41155</v>
      </c>
      <c r="F1880">
        <v>3.36</v>
      </c>
      <c r="G1880">
        <v>10</v>
      </c>
      <c r="H1880">
        <v>11961.25</v>
      </c>
      <c r="I1880">
        <v>13.2</v>
      </c>
    </row>
    <row r="1881" spans="1:9" x14ac:dyDescent="0.3">
      <c r="A1881" t="s">
        <v>1896</v>
      </c>
      <c r="B1881" t="s">
        <v>13</v>
      </c>
      <c r="C1881" t="s">
        <v>14</v>
      </c>
      <c r="D1881">
        <v>25</v>
      </c>
      <c r="E1881" s="1">
        <v>43644</v>
      </c>
      <c r="F1881">
        <v>3.18</v>
      </c>
      <c r="G1881">
        <v>12</v>
      </c>
      <c r="H1881">
        <v>4459.6000000000004</v>
      </c>
      <c r="I1881">
        <v>6.4</v>
      </c>
    </row>
    <row r="1882" spans="1:9" x14ac:dyDescent="0.3">
      <c r="A1882" t="s">
        <v>1897</v>
      </c>
      <c r="B1882" t="s">
        <v>24</v>
      </c>
      <c r="C1882" t="s">
        <v>14</v>
      </c>
      <c r="D1882">
        <v>50</v>
      </c>
      <c r="E1882" s="1">
        <v>45139</v>
      </c>
      <c r="F1882">
        <v>2.48</v>
      </c>
      <c r="G1882">
        <v>6</v>
      </c>
      <c r="H1882">
        <v>5179.13</v>
      </c>
      <c r="I1882">
        <v>2.2999999999999998</v>
      </c>
    </row>
    <row r="1883" spans="1:9" x14ac:dyDescent="0.3">
      <c r="A1883" t="s">
        <v>1898</v>
      </c>
      <c r="B1883" t="s">
        <v>24</v>
      </c>
      <c r="C1883" t="s">
        <v>11</v>
      </c>
      <c r="D1883">
        <v>27</v>
      </c>
      <c r="E1883" s="1">
        <v>40783</v>
      </c>
      <c r="F1883">
        <v>4.8600000000000003</v>
      </c>
      <c r="G1883">
        <v>9</v>
      </c>
      <c r="H1883">
        <v>8157.48</v>
      </c>
      <c r="I1883">
        <v>14.2</v>
      </c>
    </row>
    <row r="1884" spans="1:9" x14ac:dyDescent="0.3">
      <c r="A1884" t="s">
        <v>1899</v>
      </c>
      <c r="B1884" t="s">
        <v>10</v>
      </c>
      <c r="C1884" t="s">
        <v>14</v>
      </c>
      <c r="D1884">
        <v>39</v>
      </c>
      <c r="E1884" s="1">
        <v>45890</v>
      </c>
      <c r="F1884">
        <v>2.8</v>
      </c>
      <c r="G1884">
        <v>7</v>
      </c>
      <c r="H1884">
        <v>9636.77</v>
      </c>
      <c r="I1884">
        <v>0.2</v>
      </c>
    </row>
    <row r="1885" spans="1:9" x14ac:dyDescent="0.3">
      <c r="A1885" t="s">
        <v>1900</v>
      </c>
      <c r="B1885" t="s">
        <v>13</v>
      </c>
      <c r="C1885" t="s">
        <v>14</v>
      </c>
      <c r="D1885">
        <v>22</v>
      </c>
      <c r="E1885" s="1">
        <v>40901</v>
      </c>
      <c r="F1885">
        <v>4.58</v>
      </c>
      <c r="G1885">
        <v>14</v>
      </c>
      <c r="H1885">
        <v>5994.03</v>
      </c>
      <c r="I1885">
        <v>13.9</v>
      </c>
    </row>
    <row r="1886" spans="1:9" x14ac:dyDescent="0.3">
      <c r="A1886" t="s">
        <v>1901</v>
      </c>
      <c r="B1886" t="s">
        <v>10</v>
      </c>
      <c r="C1886" t="s">
        <v>14</v>
      </c>
      <c r="D1886">
        <v>32</v>
      </c>
      <c r="E1886" s="1">
        <v>41918</v>
      </c>
      <c r="F1886">
        <v>4.59</v>
      </c>
      <c r="G1886">
        <v>8</v>
      </c>
      <c r="H1886">
        <v>5009.92</v>
      </c>
      <c r="I1886">
        <v>11.1</v>
      </c>
    </row>
    <row r="1887" spans="1:9" x14ac:dyDescent="0.3">
      <c r="A1887" t="s">
        <v>1902</v>
      </c>
      <c r="B1887" t="s">
        <v>16</v>
      </c>
      <c r="C1887" t="s">
        <v>11</v>
      </c>
      <c r="D1887">
        <v>33</v>
      </c>
      <c r="E1887" s="1">
        <v>45307</v>
      </c>
      <c r="F1887">
        <v>2</v>
      </c>
      <c r="G1887">
        <v>4</v>
      </c>
      <c r="H1887">
        <v>5181.12</v>
      </c>
      <c r="I1887">
        <v>1.8</v>
      </c>
    </row>
    <row r="1888" spans="1:9" x14ac:dyDescent="0.3">
      <c r="A1888" t="s">
        <v>1903</v>
      </c>
      <c r="B1888" t="s">
        <v>10</v>
      </c>
      <c r="C1888" t="s">
        <v>14</v>
      </c>
      <c r="D1888">
        <v>46</v>
      </c>
      <c r="E1888" s="1">
        <v>45145</v>
      </c>
      <c r="F1888">
        <v>2.34</v>
      </c>
      <c r="G1888">
        <v>2</v>
      </c>
      <c r="H1888">
        <v>12497.81</v>
      </c>
      <c r="I1888">
        <v>2.2000000000000002</v>
      </c>
    </row>
    <row r="1889" spans="1:9" x14ac:dyDescent="0.3">
      <c r="A1889" t="s">
        <v>1904</v>
      </c>
      <c r="B1889" t="s">
        <v>13</v>
      </c>
      <c r="C1889" t="s">
        <v>11</v>
      </c>
      <c r="D1889">
        <v>32</v>
      </c>
      <c r="E1889" s="1">
        <v>42447</v>
      </c>
      <c r="F1889">
        <v>3.91</v>
      </c>
      <c r="G1889">
        <v>5</v>
      </c>
      <c r="H1889">
        <v>9321.59</v>
      </c>
      <c r="I1889">
        <v>9.6</v>
      </c>
    </row>
    <row r="1890" spans="1:9" x14ac:dyDescent="0.3">
      <c r="A1890" t="s">
        <v>1905</v>
      </c>
      <c r="B1890" t="s">
        <v>16</v>
      </c>
      <c r="C1890" t="s">
        <v>14</v>
      </c>
      <c r="D1890">
        <v>33</v>
      </c>
      <c r="E1890" s="1">
        <v>43799</v>
      </c>
      <c r="F1890">
        <v>4.34</v>
      </c>
      <c r="G1890">
        <v>13</v>
      </c>
      <c r="H1890">
        <v>11927.87</v>
      </c>
      <c r="I1890">
        <v>5.9</v>
      </c>
    </row>
    <row r="1891" spans="1:9" x14ac:dyDescent="0.3">
      <c r="A1891" t="s">
        <v>1906</v>
      </c>
      <c r="B1891" t="s">
        <v>34</v>
      </c>
      <c r="C1891" t="s">
        <v>11</v>
      </c>
      <c r="D1891">
        <v>59</v>
      </c>
      <c r="E1891" s="1">
        <v>44740</v>
      </c>
      <c r="F1891">
        <v>4.99</v>
      </c>
      <c r="G1891">
        <v>12</v>
      </c>
      <c r="H1891">
        <v>5664.2</v>
      </c>
      <c r="I1891">
        <v>3.3</v>
      </c>
    </row>
    <row r="1892" spans="1:9" x14ac:dyDescent="0.3">
      <c r="A1892" t="s">
        <v>1907</v>
      </c>
      <c r="B1892" t="s">
        <v>13</v>
      </c>
      <c r="C1892" t="s">
        <v>11</v>
      </c>
      <c r="D1892">
        <v>56</v>
      </c>
      <c r="E1892" s="1">
        <v>41937</v>
      </c>
      <c r="F1892">
        <v>2.83</v>
      </c>
      <c r="G1892">
        <v>13</v>
      </c>
      <c r="H1892">
        <v>7893.95</v>
      </c>
      <c r="I1892">
        <v>11</v>
      </c>
    </row>
    <row r="1893" spans="1:9" x14ac:dyDescent="0.3">
      <c r="A1893" t="s">
        <v>1908</v>
      </c>
      <c r="B1893" t="s">
        <v>24</v>
      </c>
      <c r="C1893" t="s">
        <v>14</v>
      </c>
      <c r="D1893">
        <v>46</v>
      </c>
      <c r="E1893" s="1">
        <v>43720</v>
      </c>
      <c r="F1893">
        <v>3.76</v>
      </c>
      <c r="G1893">
        <v>3</v>
      </c>
      <c r="H1893">
        <v>11566.75</v>
      </c>
      <c r="I1893">
        <v>6.1</v>
      </c>
    </row>
    <row r="1894" spans="1:9" x14ac:dyDescent="0.3">
      <c r="A1894" t="s">
        <v>1909</v>
      </c>
      <c r="B1894" t="s">
        <v>13</v>
      </c>
      <c r="C1894" t="s">
        <v>11</v>
      </c>
      <c r="D1894">
        <v>54</v>
      </c>
      <c r="E1894" s="1">
        <v>44424</v>
      </c>
      <c r="F1894">
        <v>4.78</v>
      </c>
      <c r="G1894">
        <v>8</v>
      </c>
      <c r="H1894">
        <v>4098.22</v>
      </c>
      <c r="I1894">
        <v>4.2</v>
      </c>
    </row>
    <row r="1895" spans="1:9" x14ac:dyDescent="0.3">
      <c r="A1895" t="s">
        <v>1910</v>
      </c>
      <c r="B1895" t="s">
        <v>24</v>
      </c>
      <c r="C1895" t="s">
        <v>11</v>
      </c>
      <c r="D1895">
        <v>50</v>
      </c>
      <c r="E1895" s="1">
        <v>42452</v>
      </c>
      <c r="F1895">
        <v>1.93</v>
      </c>
      <c r="G1895">
        <v>3</v>
      </c>
      <c r="H1895">
        <v>13225.27</v>
      </c>
      <c r="I1895">
        <v>9.6</v>
      </c>
    </row>
    <row r="1896" spans="1:9" x14ac:dyDescent="0.3">
      <c r="A1896" t="s">
        <v>1911</v>
      </c>
      <c r="B1896" t="s">
        <v>34</v>
      </c>
      <c r="C1896" t="s">
        <v>11</v>
      </c>
      <c r="D1896">
        <v>47</v>
      </c>
      <c r="E1896" s="1">
        <v>44148</v>
      </c>
      <c r="F1896">
        <v>2.92</v>
      </c>
      <c r="G1896">
        <v>5</v>
      </c>
      <c r="H1896">
        <v>8095.86</v>
      </c>
      <c r="I1896">
        <v>5</v>
      </c>
    </row>
    <row r="1897" spans="1:9" x14ac:dyDescent="0.3">
      <c r="A1897" t="s">
        <v>1912</v>
      </c>
      <c r="B1897" t="s">
        <v>13</v>
      </c>
      <c r="C1897" t="s">
        <v>14</v>
      </c>
      <c r="D1897">
        <v>48</v>
      </c>
      <c r="E1897" s="1">
        <v>45357</v>
      </c>
      <c r="F1897">
        <v>4.95</v>
      </c>
      <c r="G1897">
        <v>14</v>
      </c>
      <c r="H1897">
        <v>11229.28</v>
      </c>
      <c r="I1897">
        <v>1.7</v>
      </c>
    </row>
    <row r="1898" spans="1:9" x14ac:dyDescent="0.3">
      <c r="A1898" t="s">
        <v>1913</v>
      </c>
      <c r="B1898" t="s">
        <v>10</v>
      </c>
      <c r="C1898" t="s">
        <v>11</v>
      </c>
      <c r="D1898">
        <v>22</v>
      </c>
      <c r="E1898" s="1">
        <v>42022</v>
      </c>
      <c r="F1898">
        <v>4.29</v>
      </c>
      <c r="G1898">
        <v>2</v>
      </c>
      <c r="H1898">
        <v>5217.2299999999996</v>
      </c>
      <c r="I1898">
        <v>10.8</v>
      </c>
    </row>
    <row r="1899" spans="1:9" x14ac:dyDescent="0.3">
      <c r="A1899" t="s">
        <v>1914</v>
      </c>
      <c r="B1899" t="s">
        <v>18</v>
      </c>
      <c r="C1899" t="s">
        <v>14</v>
      </c>
      <c r="D1899">
        <v>39</v>
      </c>
      <c r="E1899" s="1">
        <v>41326</v>
      </c>
      <c r="F1899">
        <v>3.34</v>
      </c>
      <c r="G1899">
        <v>15</v>
      </c>
      <c r="H1899">
        <v>6875.37</v>
      </c>
      <c r="I1899">
        <v>12.7</v>
      </c>
    </row>
    <row r="1900" spans="1:9" x14ac:dyDescent="0.3">
      <c r="A1900" t="s">
        <v>1915</v>
      </c>
      <c r="B1900" t="s">
        <v>34</v>
      </c>
      <c r="C1900" t="s">
        <v>14</v>
      </c>
      <c r="D1900">
        <v>24</v>
      </c>
      <c r="E1900" s="1">
        <v>42986</v>
      </c>
      <c r="F1900">
        <v>1.51</v>
      </c>
      <c r="G1900">
        <v>14</v>
      </c>
      <c r="H1900">
        <v>5525.09</v>
      </c>
      <c r="I1900">
        <v>8.1999999999999993</v>
      </c>
    </row>
    <row r="1901" spans="1:9" x14ac:dyDescent="0.3">
      <c r="A1901" t="s">
        <v>1916</v>
      </c>
      <c r="B1901" t="s">
        <v>24</v>
      </c>
      <c r="C1901" t="s">
        <v>11</v>
      </c>
      <c r="D1901">
        <v>38</v>
      </c>
      <c r="E1901" s="1">
        <v>43135</v>
      </c>
      <c r="F1901">
        <v>2.57</v>
      </c>
      <c r="G1901">
        <v>10</v>
      </c>
      <c r="H1901">
        <v>7418.11</v>
      </c>
      <c r="I1901">
        <v>7.7</v>
      </c>
    </row>
    <row r="1902" spans="1:9" x14ac:dyDescent="0.3">
      <c r="A1902" t="s">
        <v>1917</v>
      </c>
      <c r="B1902" t="s">
        <v>24</v>
      </c>
      <c r="C1902" t="s">
        <v>11</v>
      </c>
      <c r="D1902">
        <v>27</v>
      </c>
      <c r="E1902" s="1">
        <v>40722</v>
      </c>
      <c r="F1902">
        <v>3.06</v>
      </c>
      <c r="G1902">
        <v>11</v>
      </c>
      <c r="H1902">
        <v>5082.29</v>
      </c>
      <c r="I1902">
        <v>14.4</v>
      </c>
    </row>
    <row r="1903" spans="1:9" x14ac:dyDescent="0.3">
      <c r="A1903" t="s">
        <v>1918</v>
      </c>
      <c r="B1903" t="s">
        <v>18</v>
      </c>
      <c r="C1903" t="s">
        <v>11</v>
      </c>
      <c r="D1903">
        <v>29</v>
      </c>
      <c r="E1903" s="1">
        <v>41648</v>
      </c>
      <c r="F1903">
        <v>4.76</v>
      </c>
      <c r="G1903">
        <v>7</v>
      </c>
      <c r="H1903">
        <v>11322.15</v>
      </c>
      <c r="I1903">
        <v>11.8</v>
      </c>
    </row>
    <row r="1904" spans="1:9" x14ac:dyDescent="0.3">
      <c r="A1904" t="s">
        <v>1919</v>
      </c>
      <c r="B1904" t="s">
        <v>24</v>
      </c>
      <c r="C1904" t="s">
        <v>11</v>
      </c>
      <c r="D1904">
        <v>28</v>
      </c>
      <c r="E1904" s="1">
        <v>41091</v>
      </c>
      <c r="F1904">
        <v>4.22</v>
      </c>
      <c r="G1904">
        <v>1</v>
      </c>
      <c r="H1904">
        <v>3271.15</v>
      </c>
      <c r="I1904">
        <v>13.3</v>
      </c>
    </row>
    <row r="1905" spans="1:9" x14ac:dyDescent="0.3">
      <c r="A1905" t="s">
        <v>1920</v>
      </c>
      <c r="B1905" t="s">
        <v>10</v>
      </c>
      <c r="C1905" t="s">
        <v>11</v>
      </c>
      <c r="D1905">
        <v>33</v>
      </c>
      <c r="E1905" s="1">
        <v>42472</v>
      </c>
      <c r="F1905">
        <v>1.84</v>
      </c>
      <c r="G1905">
        <v>2</v>
      </c>
      <c r="H1905">
        <v>6042.21</v>
      </c>
      <c r="I1905">
        <v>9.6</v>
      </c>
    </row>
    <row r="1906" spans="1:9" x14ac:dyDescent="0.3">
      <c r="A1906" t="s">
        <v>1921</v>
      </c>
      <c r="B1906" t="s">
        <v>10</v>
      </c>
      <c r="C1906" t="s">
        <v>11</v>
      </c>
      <c r="D1906">
        <v>52</v>
      </c>
      <c r="E1906" s="1">
        <v>40199</v>
      </c>
      <c r="F1906">
        <v>4.3600000000000003</v>
      </c>
      <c r="G1906">
        <v>14</v>
      </c>
      <c r="H1906">
        <v>5967.76</v>
      </c>
      <c r="I1906">
        <v>15.8</v>
      </c>
    </row>
    <row r="1907" spans="1:9" x14ac:dyDescent="0.3">
      <c r="A1907" t="s">
        <v>1922</v>
      </c>
      <c r="B1907" t="s">
        <v>10</v>
      </c>
      <c r="C1907" t="s">
        <v>11</v>
      </c>
      <c r="D1907">
        <v>33</v>
      </c>
      <c r="E1907" s="1">
        <v>44515</v>
      </c>
      <c r="F1907">
        <v>4.43</v>
      </c>
      <c r="G1907">
        <v>3</v>
      </c>
      <c r="H1907">
        <v>4604.29</v>
      </c>
      <c r="I1907">
        <v>4</v>
      </c>
    </row>
    <row r="1908" spans="1:9" x14ac:dyDescent="0.3">
      <c r="A1908" t="s">
        <v>1923</v>
      </c>
      <c r="B1908" t="s">
        <v>10</v>
      </c>
      <c r="C1908" t="s">
        <v>11</v>
      </c>
      <c r="D1908">
        <v>29</v>
      </c>
      <c r="E1908" s="1">
        <v>42159</v>
      </c>
      <c r="F1908">
        <v>3.43</v>
      </c>
      <c r="G1908">
        <v>9</v>
      </c>
      <c r="H1908">
        <v>9669.02</v>
      </c>
      <c r="I1908">
        <v>10.4</v>
      </c>
    </row>
    <row r="1909" spans="1:9" x14ac:dyDescent="0.3">
      <c r="A1909" t="s">
        <v>1924</v>
      </c>
      <c r="B1909" t="s">
        <v>13</v>
      </c>
      <c r="C1909" t="s">
        <v>14</v>
      </c>
      <c r="D1909">
        <v>35</v>
      </c>
      <c r="E1909" s="1">
        <v>45203</v>
      </c>
      <c r="F1909">
        <v>3.98</v>
      </c>
      <c r="G1909">
        <v>1</v>
      </c>
      <c r="H1909">
        <v>7843.82</v>
      </c>
      <c r="I1909">
        <v>2.1</v>
      </c>
    </row>
    <row r="1910" spans="1:9" x14ac:dyDescent="0.3">
      <c r="A1910" t="s">
        <v>1925</v>
      </c>
      <c r="B1910" t="s">
        <v>34</v>
      </c>
      <c r="C1910" t="s">
        <v>14</v>
      </c>
      <c r="D1910">
        <v>31</v>
      </c>
      <c r="E1910" s="1">
        <v>40251</v>
      </c>
      <c r="F1910">
        <v>4.6500000000000004</v>
      </c>
      <c r="G1910">
        <v>1</v>
      </c>
      <c r="H1910">
        <v>14656.03</v>
      </c>
      <c r="I1910">
        <v>15.6</v>
      </c>
    </row>
    <row r="1911" spans="1:9" x14ac:dyDescent="0.3">
      <c r="A1911" t="s">
        <v>1926</v>
      </c>
      <c r="B1911" t="s">
        <v>18</v>
      </c>
      <c r="C1911" t="s">
        <v>14</v>
      </c>
      <c r="D1911">
        <v>54</v>
      </c>
      <c r="E1911" s="1">
        <v>40201</v>
      </c>
      <c r="F1911">
        <v>4.04</v>
      </c>
      <c r="G1911">
        <v>15</v>
      </c>
      <c r="H1911">
        <v>12890.84</v>
      </c>
      <c r="I1911">
        <v>15.8</v>
      </c>
    </row>
    <row r="1912" spans="1:9" x14ac:dyDescent="0.3">
      <c r="A1912" t="s">
        <v>1927</v>
      </c>
      <c r="B1912" t="s">
        <v>18</v>
      </c>
      <c r="C1912" t="s">
        <v>11</v>
      </c>
      <c r="D1912">
        <v>26</v>
      </c>
      <c r="E1912" s="1">
        <v>41228</v>
      </c>
      <c r="F1912">
        <v>3.58</v>
      </c>
      <c r="G1912">
        <v>2</v>
      </c>
      <c r="H1912">
        <v>9668.69</v>
      </c>
      <c r="I1912">
        <v>13</v>
      </c>
    </row>
    <row r="1913" spans="1:9" x14ac:dyDescent="0.3">
      <c r="A1913" t="s">
        <v>1928</v>
      </c>
      <c r="B1913" t="s">
        <v>16</v>
      </c>
      <c r="C1913" t="s">
        <v>11</v>
      </c>
      <c r="D1913">
        <v>22</v>
      </c>
      <c r="E1913" s="1">
        <v>45575</v>
      </c>
      <c r="F1913">
        <v>2.93</v>
      </c>
      <c r="G1913">
        <v>6</v>
      </c>
      <c r="H1913">
        <v>11442.04</v>
      </c>
      <c r="I1913">
        <v>1.1000000000000001</v>
      </c>
    </row>
    <row r="1914" spans="1:9" x14ac:dyDescent="0.3">
      <c r="A1914" t="s">
        <v>1929</v>
      </c>
      <c r="B1914" t="s">
        <v>16</v>
      </c>
      <c r="C1914" t="s">
        <v>11</v>
      </c>
      <c r="D1914">
        <v>29</v>
      </c>
      <c r="E1914" s="1">
        <v>41997</v>
      </c>
      <c r="F1914">
        <v>4.32</v>
      </c>
      <c r="G1914">
        <v>11</v>
      </c>
      <c r="H1914">
        <v>5412.57</v>
      </c>
      <c r="I1914">
        <v>10.9</v>
      </c>
    </row>
    <row r="1915" spans="1:9" x14ac:dyDescent="0.3">
      <c r="A1915" t="s">
        <v>1930</v>
      </c>
      <c r="B1915" t="s">
        <v>18</v>
      </c>
      <c r="C1915" t="s">
        <v>14</v>
      </c>
      <c r="D1915">
        <v>55</v>
      </c>
      <c r="E1915" s="1">
        <v>41934</v>
      </c>
      <c r="F1915">
        <v>2.37</v>
      </c>
      <c r="G1915">
        <v>13</v>
      </c>
      <c r="H1915">
        <v>10663.8</v>
      </c>
      <c r="I1915">
        <v>11</v>
      </c>
    </row>
    <row r="1916" spans="1:9" x14ac:dyDescent="0.3">
      <c r="A1916" t="s">
        <v>1931</v>
      </c>
      <c r="B1916" t="s">
        <v>13</v>
      </c>
      <c r="C1916" t="s">
        <v>14</v>
      </c>
      <c r="D1916">
        <v>53</v>
      </c>
      <c r="E1916" s="1">
        <v>42510</v>
      </c>
      <c r="F1916">
        <v>3.95</v>
      </c>
      <c r="G1916">
        <v>1</v>
      </c>
      <c r="H1916">
        <v>13642.4</v>
      </c>
      <c r="I1916">
        <v>9.5</v>
      </c>
    </row>
    <row r="1917" spans="1:9" x14ac:dyDescent="0.3">
      <c r="A1917" t="s">
        <v>1932</v>
      </c>
      <c r="B1917" t="s">
        <v>34</v>
      </c>
      <c r="C1917" t="s">
        <v>11</v>
      </c>
      <c r="D1917">
        <v>31</v>
      </c>
      <c r="E1917" s="1">
        <v>41529</v>
      </c>
      <c r="F1917">
        <v>1.74</v>
      </c>
      <c r="G1917">
        <v>12</v>
      </c>
      <c r="H1917">
        <v>14636.1</v>
      </c>
      <c r="I1917">
        <v>12.1</v>
      </c>
    </row>
    <row r="1918" spans="1:9" x14ac:dyDescent="0.3">
      <c r="A1918" t="s">
        <v>1933</v>
      </c>
      <c r="B1918" t="s">
        <v>10</v>
      </c>
      <c r="C1918" t="s">
        <v>14</v>
      </c>
      <c r="D1918">
        <v>36</v>
      </c>
      <c r="E1918" s="1">
        <v>41861</v>
      </c>
      <c r="F1918">
        <v>4.4800000000000004</v>
      </c>
      <c r="G1918">
        <v>15</v>
      </c>
      <c r="H1918">
        <v>9359.9699999999993</v>
      </c>
      <c r="I1918">
        <v>11.2</v>
      </c>
    </row>
    <row r="1919" spans="1:9" x14ac:dyDescent="0.3">
      <c r="A1919" t="s">
        <v>1934</v>
      </c>
      <c r="B1919" t="s">
        <v>24</v>
      </c>
      <c r="C1919" t="s">
        <v>14</v>
      </c>
      <c r="D1919">
        <v>27</v>
      </c>
      <c r="E1919" s="1">
        <v>45046</v>
      </c>
      <c r="F1919">
        <v>2.21</v>
      </c>
      <c r="G1919">
        <v>6</v>
      </c>
      <c r="H1919">
        <v>6215.71</v>
      </c>
      <c r="I1919">
        <v>2.5</v>
      </c>
    </row>
    <row r="1920" spans="1:9" x14ac:dyDescent="0.3">
      <c r="A1920" t="s">
        <v>1935</v>
      </c>
      <c r="B1920" t="s">
        <v>13</v>
      </c>
      <c r="C1920" t="s">
        <v>11</v>
      </c>
      <c r="D1920">
        <v>34</v>
      </c>
      <c r="E1920" s="1">
        <v>42052</v>
      </c>
      <c r="F1920">
        <v>2.2599999999999998</v>
      </c>
      <c r="G1920">
        <v>2</v>
      </c>
      <c r="H1920">
        <v>12671.91</v>
      </c>
      <c r="I1920">
        <v>10.7</v>
      </c>
    </row>
    <row r="1921" spans="1:9" x14ac:dyDescent="0.3">
      <c r="A1921" t="s">
        <v>1936</v>
      </c>
      <c r="B1921" t="s">
        <v>34</v>
      </c>
      <c r="C1921" t="s">
        <v>14</v>
      </c>
      <c r="D1921">
        <v>51</v>
      </c>
      <c r="E1921" s="1">
        <v>43094</v>
      </c>
      <c r="F1921">
        <v>3.62</v>
      </c>
      <c r="G1921">
        <v>2</v>
      </c>
      <c r="H1921">
        <v>3774.54</v>
      </c>
      <c r="I1921">
        <v>7.9</v>
      </c>
    </row>
    <row r="1922" spans="1:9" x14ac:dyDescent="0.3">
      <c r="A1922" t="s">
        <v>1937</v>
      </c>
      <c r="B1922" t="s">
        <v>16</v>
      </c>
      <c r="C1922" t="s">
        <v>14</v>
      </c>
      <c r="D1922">
        <v>44</v>
      </c>
      <c r="E1922" s="1">
        <v>40683</v>
      </c>
      <c r="F1922">
        <v>2.3199999999999998</v>
      </c>
      <c r="G1922">
        <v>15</v>
      </c>
      <c r="H1922">
        <v>11908.28</v>
      </c>
      <c r="I1922">
        <v>14.5</v>
      </c>
    </row>
    <row r="1923" spans="1:9" x14ac:dyDescent="0.3">
      <c r="A1923" t="s">
        <v>1938</v>
      </c>
      <c r="B1923" t="s">
        <v>13</v>
      </c>
      <c r="C1923" t="s">
        <v>11</v>
      </c>
      <c r="D1923">
        <v>29</v>
      </c>
      <c r="E1923" s="1">
        <v>42305</v>
      </c>
      <c r="F1923">
        <v>1.57</v>
      </c>
      <c r="G1923">
        <v>11</v>
      </c>
      <c r="H1923">
        <v>10994.63</v>
      </c>
      <c r="I1923">
        <v>10</v>
      </c>
    </row>
    <row r="1924" spans="1:9" x14ac:dyDescent="0.3">
      <c r="A1924" t="s">
        <v>1939</v>
      </c>
      <c r="B1924" t="s">
        <v>13</v>
      </c>
      <c r="C1924" t="s">
        <v>11</v>
      </c>
      <c r="D1924">
        <v>30</v>
      </c>
      <c r="E1924" s="1">
        <v>43167</v>
      </c>
      <c r="F1924">
        <v>3.33</v>
      </c>
      <c r="G1924">
        <v>4</v>
      </c>
      <c r="H1924">
        <v>4824.6099999999997</v>
      </c>
      <c r="I1924">
        <v>7.7</v>
      </c>
    </row>
    <row r="1925" spans="1:9" x14ac:dyDescent="0.3">
      <c r="A1925" t="s">
        <v>1940</v>
      </c>
      <c r="B1925" t="s">
        <v>16</v>
      </c>
      <c r="C1925" t="s">
        <v>14</v>
      </c>
      <c r="D1925">
        <v>31</v>
      </c>
      <c r="E1925" s="1">
        <v>42888</v>
      </c>
      <c r="F1925">
        <v>4.7300000000000004</v>
      </c>
      <c r="G1925">
        <v>9</v>
      </c>
      <c r="H1925">
        <v>8388.15</v>
      </c>
      <c r="I1925">
        <v>8.4</v>
      </c>
    </row>
    <row r="1926" spans="1:9" x14ac:dyDescent="0.3">
      <c r="A1926" t="s">
        <v>1941</v>
      </c>
      <c r="B1926" t="s">
        <v>24</v>
      </c>
      <c r="C1926" t="s">
        <v>11</v>
      </c>
      <c r="D1926">
        <v>48</v>
      </c>
      <c r="E1926" s="1">
        <v>44265</v>
      </c>
      <c r="F1926">
        <v>1.71</v>
      </c>
      <c r="G1926">
        <v>15</v>
      </c>
      <c r="H1926">
        <v>5999.22</v>
      </c>
      <c r="I1926">
        <v>4.5999999999999996</v>
      </c>
    </row>
    <row r="1927" spans="1:9" x14ac:dyDescent="0.3">
      <c r="A1927" t="s">
        <v>1942</v>
      </c>
      <c r="B1927" t="s">
        <v>34</v>
      </c>
      <c r="C1927" t="s">
        <v>14</v>
      </c>
      <c r="D1927">
        <v>44</v>
      </c>
      <c r="E1927" s="1">
        <v>42717</v>
      </c>
      <c r="F1927">
        <v>2.88</v>
      </c>
      <c r="G1927">
        <v>2</v>
      </c>
      <c r="H1927">
        <v>13717.58</v>
      </c>
      <c r="I1927">
        <v>8.9</v>
      </c>
    </row>
    <row r="1928" spans="1:9" x14ac:dyDescent="0.3">
      <c r="A1928" t="s">
        <v>1943</v>
      </c>
      <c r="B1928" t="s">
        <v>34</v>
      </c>
      <c r="C1928" t="s">
        <v>11</v>
      </c>
      <c r="D1928">
        <v>59</v>
      </c>
      <c r="E1928" s="1">
        <v>41973</v>
      </c>
      <c r="F1928">
        <v>1.5</v>
      </c>
      <c r="G1928">
        <v>14</v>
      </c>
      <c r="H1928">
        <v>11855.09</v>
      </c>
      <c r="I1928">
        <v>10.9</v>
      </c>
    </row>
    <row r="1929" spans="1:9" x14ac:dyDescent="0.3">
      <c r="A1929" t="s">
        <v>1944</v>
      </c>
      <c r="B1929" t="s">
        <v>13</v>
      </c>
      <c r="C1929" t="s">
        <v>11</v>
      </c>
      <c r="D1929">
        <v>38</v>
      </c>
      <c r="E1929" s="1">
        <v>40339</v>
      </c>
      <c r="F1929">
        <v>2.46</v>
      </c>
      <c r="G1929">
        <v>6</v>
      </c>
      <c r="H1929">
        <v>11759.42</v>
      </c>
      <c r="I1929">
        <v>15.4</v>
      </c>
    </row>
    <row r="1930" spans="1:9" x14ac:dyDescent="0.3">
      <c r="A1930" t="s">
        <v>1945</v>
      </c>
      <c r="B1930" t="s">
        <v>10</v>
      </c>
      <c r="C1930" t="s">
        <v>11</v>
      </c>
      <c r="D1930">
        <v>28</v>
      </c>
      <c r="E1930" s="1">
        <v>41456</v>
      </c>
      <c r="F1930">
        <v>4.76</v>
      </c>
      <c r="G1930">
        <v>7</v>
      </c>
      <c r="H1930">
        <v>10835.3</v>
      </c>
      <c r="I1930">
        <v>12.3</v>
      </c>
    </row>
    <row r="1931" spans="1:9" x14ac:dyDescent="0.3">
      <c r="A1931" t="s">
        <v>1946</v>
      </c>
      <c r="B1931" t="s">
        <v>10</v>
      </c>
      <c r="C1931" t="s">
        <v>11</v>
      </c>
      <c r="D1931">
        <v>28</v>
      </c>
      <c r="E1931" s="1">
        <v>45291</v>
      </c>
      <c r="F1931">
        <v>3.26</v>
      </c>
      <c r="G1931">
        <v>7</v>
      </c>
      <c r="H1931">
        <v>7861.79</v>
      </c>
      <c r="I1931">
        <v>1.8</v>
      </c>
    </row>
    <row r="1932" spans="1:9" x14ac:dyDescent="0.3">
      <c r="A1932" t="s">
        <v>1947</v>
      </c>
      <c r="B1932" t="s">
        <v>34</v>
      </c>
      <c r="C1932" t="s">
        <v>14</v>
      </c>
      <c r="D1932">
        <v>52</v>
      </c>
      <c r="E1932" s="1">
        <v>42861</v>
      </c>
      <c r="F1932">
        <v>3.75</v>
      </c>
      <c r="G1932">
        <v>0</v>
      </c>
      <c r="H1932">
        <v>4273.95</v>
      </c>
      <c r="I1932">
        <v>8.5</v>
      </c>
    </row>
    <row r="1933" spans="1:9" x14ac:dyDescent="0.3">
      <c r="A1933" t="s">
        <v>1948</v>
      </c>
      <c r="B1933" t="s">
        <v>10</v>
      </c>
      <c r="C1933" t="s">
        <v>14</v>
      </c>
      <c r="D1933">
        <v>34</v>
      </c>
      <c r="E1933" s="1">
        <v>40272</v>
      </c>
      <c r="F1933">
        <v>3.27</v>
      </c>
      <c r="G1933">
        <v>7</v>
      </c>
      <c r="H1933">
        <v>8326.26</v>
      </c>
      <c r="I1933">
        <v>15.6</v>
      </c>
    </row>
    <row r="1934" spans="1:9" x14ac:dyDescent="0.3">
      <c r="A1934" t="s">
        <v>1949</v>
      </c>
      <c r="B1934" t="s">
        <v>13</v>
      </c>
      <c r="C1934" t="s">
        <v>14</v>
      </c>
      <c r="D1934">
        <v>33</v>
      </c>
      <c r="E1934" s="1">
        <v>43655</v>
      </c>
      <c r="F1934">
        <v>4.5</v>
      </c>
      <c r="G1934">
        <v>11</v>
      </c>
      <c r="H1934">
        <v>4796.33</v>
      </c>
      <c r="I1934">
        <v>6.3</v>
      </c>
    </row>
    <row r="1935" spans="1:9" x14ac:dyDescent="0.3">
      <c r="A1935" t="s">
        <v>1950</v>
      </c>
      <c r="B1935" t="s">
        <v>10</v>
      </c>
      <c r="C1935" t="s">
        <v>11</v>
      </c>
      <c r="D1935">
        <v>30</v>
      </c>
      <c r="E1935" s="1">
        <v>41935</v>
      </c>
      <c r="F1935">
        <v>2.72</v>
      </c>
      <c r="G1935">
        <v>15</v>
      </c>
      <c r="H1935">
        <v>14460.87</v>
      </c>
      <c r="I1935">
        <v>11</v>
      </c>
    </row>
    <row r="1936" spans="1:9" x14ac:dyDescent="0.3">
      <c r="A1936" t="s">
        <v>1951</v>
      </c>
      <c r="B1936" t="s">
        <v>24</v>
      </c>
      <c r="C1936" t="s">
        <v>14</v>
      </c>
      <c r="D1936">
        <v>43</v>
      </c>
      <c r="E1936" s="1">
        <v>43413</v>
      </c>
      <c r="F1936">
        <v>3.17</v>
      </c>
      <c r="G1936">
        <v>14</v>
      </c>
      <c r="H1936">
        <v>12018.52</v>
      </c>
      <c r="I1936">
        <v>7</v>
      </c>
    </row>
    <row r="1937" spans="1:9" x14ac:dyDescent="0.3">
      <c r="A1937" t="s">
        <v>1952</v>
      </c>
      <c r="B1937" t="s">
        <v>34</v>
      </c>
      <c r="C1937" t="s">
        <v>11</v>
      </c>
      <c r="D1937">
        <v>54</v>
      </c>
      <c r="E1937" s="1">
        <v>42875</v>
      </c>
      <c r="F1937">
        <v>1.61</v>
      </c>
      <c r="G1937">
        <v>1</v>
      </c>
      <c r="H1937">
        <v>11942.82</v>
      </c>
      <c r="I1937">
        <v>8.5</v>
      </c>
    </row>
    <row r="1938" spans="1:9" x14ac:dyDescent="0.3">
      <c r="A1938" t="s">
        <v>1953</v>
      </c>
      <c r="B1938" t="s">
        <v>16</v>
      </c>
      <c r="C1938" t="s">
        <v>11</v>
      </c>
      <c r="D1938">
        <v>44</v>
      </c>
      <c r="E1938" s="1">
        <v>44840</v>
      </c>
      <c r="F1938">
        <v>4.4000000000000004</v>
      </c>
      <c r="G1938">
        <v>6</v>
      </c>
      <c r="H1938">
        <v>4720.95</v>
      </c>
      <c r="I1938">
        <v>3.1</v>
      </c>
    </row>
    <row r="1939" spans="1:9" x14ac:dyDescent="0.3">
      <c r="A1939" t="s">
        <v>1954</v>
      </c>
      <c r="B1939" t="s">
        <v>13</v>
      </c>
      <c r="C1939" t="s">
        <v>14</v>
      </c>
      <c r="D1939">
        <v>22</v>
      </c>
      <c r="E1939" s="1">
        <v>41978</v>
      </c>
      <c r="F1939">
        <v>2.98</v>
      </c>
      <c r="G1939">
        <v>6</v>
      </c>
      <c r="H1939">
        <v>4620.62</v>
      </c>
      <c r="I1939">
        <v>10.9</v>
      </c>
    </row>
    <row r="1940" spans="1:9" x14ac:dyDescent="0.3">
      <c r="A1940" t="s">
        <v>1955</v>
      </c>
      <c r="B1940" t="s">
        <v>18</v>
      </c>
      <c r="C1940" t="s">
        <v>14</v>
      </c>
      <c r="D1940">
        <v>49</v>
      </c>
      <c r="E1940" s="1">
        <v>42392</v>
      </c>
      <c r="F1940">
        <v>1.66</v>
      </c>
      <c r="G1940">
        <v>12</v>
      </c>
      <c r="H1940">
        <v>14315.18</v>
      </c>
      <c r="I1940">
        <v>9.8000000000000007</v>
      </c>
    </row>
    <row r="1941" spans="1:9" x14ac:dyDescent="0.3">
      <c r="A1941" t="s">
        <v>1956</v>
      </c>
      <c r="B1941" t="s">
        <v>18</v>
      </c>
      <c r="C1941" t="s">
        <v>14</v>
      </c>
      <c r="D1941">
        <v>23</v>
      </c>
      <c r="E1941" s="1">
        <v>44300</v>
      </c>
      <c r="F1941">
        <v>3.13</v>
      </c>
      <c r="G1941">
        <v>10</v>
      </c>
      <c r="H1941">
        <v>9683.6</v>
      </c>
      <c r="I1941">
        <v>4.5999999999999996</v>
      </c>
    </row>
    <row r="1942" spans="1:9" x14ac:dyDescent="0.3">
      <c r="A1942" t="s">
        <v>1957</v>
      </c>
      <c r="B1942" t="s">
        <v>10</v>
      </c>
      <c r="C1942" t="s">
        <v>14</v>
      </c>
      <c r="D1942">
        <v>35</v>
      </c>
      <c r="E1942" s="1">
        <v>41687</v>
      </c>
      <c r="F1942">
        <v>4.54</v>
      </c>
      <c r="G1942">
        <v>14</v>
      </c>
      <c r="H1942">
        <v>3463.65</v>
      </c>
      <c r="I1942">
        <v>11.7</v>
      </c>
    </row>
    <row r="1943" spans="1:9" x14ac:dyDescent="0.3">
      <c r="A1943" t="s">
        <v>1958</v>
      </c>
      <c r="B1943" t="s">
        <v>34</v>
      </c>
      <c r="C1943" t="s">
        <v>14</v>
      </c>
      <c r="D1943">
        <v>43</v>
      </c>
      <c r="E1943" s="1">
        <v>41555</v>
      </c>
      <c r="F1943">
        <v>1.94</v>
      </c>
      <c r="G1943">
        <v>4</v>
      </c>
      <c r="H1943">
        <v>14285.66</v>
      </c>
      <c r="I1943">
        <v>12.1</v>
      </c>
    </row>
    <row r="1944" spans="1:9" x14ac:dyDescent="0.3">
      <c r="A1944" t="s">
        <v>1959</v>
      </c>
      <c r="B1944" t="s">
        <v>18</v>
      </c>
      <c r="C1944" t="s">
        <v>14</v>
      </c>
      <c r="D1944">
        <v>36</v>
      </c>
      <c r="E1944" s="1">
        <v>43995</v>
      </c>
      <c r="F1944">
        <v>2.74</v>
      </c>
      <c r="G1944">
        <v>0</v>
      </c>
      <c r="H1944">
        <v>3887.32</v>
      </c>
      <c r="I1944">
        <v>5.4</v>
      </c>
    </row>
    <row r="1945" spans="1:9" x14ac:dyDescent="0.3">
      <c r="A1945" t="s">
        <v>1960</v>
      </c>
      <c r="B1945" t="s">
        <v>13</v>
      </c>
      <c r="C1945" t="s">
        <v>11</v>
      </c>
      <c r="D1945">
        <v>32</v>
      </c>
      <c r="E1945" s="1">
        <v>41821</v>
      </c>
      <c r="F1945">
        <v>4.4400000000000004</v>
      </c>
      <c r="G1945">
        <v>13</v>
      </c>
      <c r="H1945">
        <v>9245.4699999999993</v>
      </c>
      <c r="I1945">
        <v>11.3</v>
      </c>
    </row>
    <row r="1946" spans="1:9" x14ac:dyDescent="0.3">
      <c r="A1946" t="s">
        <v>1961</v>
      </c>
      <c r="B1946" t="s">
        <v>13</v>
      </c>
      <c r="C1946" t="s">
        <v>14</v>
      </c>
      <c r="D1946">
        <v>30</v>
      </c>
      <c r="E1946" s="1">
        <v>45022</v>
      </c>
      <c r="F1946">
        <v>2.11</v>
      </c>
      <c r="G1946">
        <v>11</v>
      </c>
      <c r="H1946">
        <v>5658.8</v>
      </c>
      <c r="I1946">
        <v>2.6</v>
      </c>
    </row>
    <row r="1947" spans="1:9" x14ac:dyDescent="0.3">
      <c r="A1947" t="s">
        <v>1962</v>
      </c>
      <c r="B1947" t="s">
        <v>10</v>
      </c>
      <c r="C1947" t="s">
        <v>14</v>
      </c>
      <c r="D1947">
        <v>32</v>
      </c>
      <c r="E1947" s="1">
        <v>44589</v>
      </c>
      <c r="F1947">
        <v>2.5</v>
      </c>
      <c r="G1947">
        <v>7</v>
      </c>
      <c r="H1947">
        <v>12225.87</v>
      </c>
      <c r="I1947">
        <v>3.8</v>
      </c>
    </row>
    <row r="1948" spans="1:9" x14ac:dyDescent="0.3">
      <c r="A1948" t="s">
        <v>1963</v>
      </c>
      <c r="B1948" t="s">
        <v>18</v>
      </c>
      <c r="C1948" t="s">
        <v>11</v>
      </c>
      <c r="D1948">
        <v>41</v>
      </c>
      <c r="E1948" s="1">
        <v>44169</v>
      </c>
      <c r="F1948">
        <v>2.08</v>
      </c>
      <c r="G1948">
        <v>13</v>
      </c>
      <c r="H1948">
        <v>8099.48</v>
      </c>
      <c r="I1948">
        <v>4.9000000000000004</v>
      </c>
    </row>
    <row r="1949" spans="1:9" x14ac:dyDescent="0.3">
      <c r="A1949" t="s">
        <v>1964</v>
      </c>
      <c r="B1949" t="s">
        <v>24</v>
      </c>
      <c r="C1949" t="s">
        <v>11</v>
      </c>
      <c r="D1949">
        <v>39</v>
      </c>
      <c r="E1949" s="1">
        <v>45917</v>
      </c>
      <c r="F1949">
        <v>2.91</v>
      </c>
      <c r="G1949">
        <v>5</v>
      </c>
      <c r="H1949">
        <v>14869.83</v>
      </c>
      <c r="I1949">
        <v>0.1</v>
      </c>
    </row>
    <row r="1950" spans="1:9" x14ac:dyDescent="0.3">
      <c r="A1950" t="s">
        <v>1965</v>
      </c>
      <c r="B1950" t="s">
        <v>10</v>
      </c>
      <c r="C1950" t="s">
        <v>11</v>
      </c>
      <c r="D1950">
        <v>24</v>
      </c>
      <c r="E1950" s="1">
        <v>42540</v>
      </c>
      <c r="F1950">
        <v>2.46</v>
      </c>
      <c r="G1950">
        <v>11</v>
      </c>
      <c r="H1950">
        <v>4253.25</v>
      </c>
      <c r="I1950">
        <v>9.4</v>
      </c>
    </row>
    <row r="1951" spans="1:9" x14ac:dyDescent="0.3">
      <c r="A1951" t="s">
        <v>1966</v>
      </c>
      <c r="B1951" t="s">
        <v>34</v>
      </c>
      <c r="C1951" t="s">
        <v>14</v>
      </c>
      <c r="D1951">
        <v>32</v>
      </c>
      <c r="E1951" s="1">
        <v>40231</v>
      </c>
      <c r="F1951">
        <v>4.1500000000000004</v>
      </c>
      <c r="G1951">
        <v>13</v>
      </c>
      <c r="H1951">
        <v>3895.47</v>
      </c>
      <c r="I1951">
        <v>15.7</v>
      </c>
    </row>
    <row r="1952" spans="1:9" x14ac:dyDescent="0.3">
      <c r="A1952" t="s">
        <v>1967</v>
      </c>
      <c r="B1952" t="s">
        <v>16</v>
      </c>
      <c r="C1952" t="s">
        <v>11</v>
      </c>
      <c r="D1952">
        <v>39</v>
      </c>
      <c r="E1952" s="1">
        <v>45488</v>
      </c>
      <c r="F1952">
        <v>4.1399999999999997</v>
      </c>
      <c r="G1952">
        <v>4</v>
      </c>
      <c r="H1952">
        <v>11084.5</v>
      </c>
      <c r="I1952">
        <v>1.3</v>
      </c>
    </row>
    <row r="1953" spans="1:9" x14ac:dyDescent="0.3">
      <c r="A1953" t="s">
        <v>1968</v>
      </c>
      <c r="B1953" t="s">
        <v>13</v>
      </c>
      <c r="C1953" t="s">
        <v>11</v>
      </c>
      <c r="D1953">
        <v>32</v>
      </c>
      <c r="E1953" s="1">
        <v>40398</v>
      </c>
      <c r="F1953">
        <v>3.05</v>
      </c>
      <c r="G1953">
        <v>13</v>
      </c>
      <c r="H1953">
        <v>9072.99</v>
      </c>
      <c r="I1953">
        <v>15.2</v>
      </c>
    </row>
    <row r="1954" spans="1:9" x14ac:dyDescent="0.3">
      <c r="A1954" t="s">
        <v>1969</v>
      </c>
      <c r="B1954" t="s">
        <v>10</v>
      </c>
      <c r="C1954" t="s">
        <v>14</v>
      </c>
      <c r="D1954">
        <v>42</v>
      </c>
      <c r="E1954" s="1">
        <v>44018</v>
      </c>
      <c r="F1954">
        <v>2.94</v>
      </c>
      <c r="G1954">
        <v>3</v>
      </c>
      <c r="H1954">
        <v>5854.5</v>
      </c>
      <c r="I1954">
        <v>5.3</v>
      </c>
    </row>
    <row r="1955" spans="1:9" x14ac:dyDescent="0.3">
      <c r="A1955" t="s">
        <v>1970</v>
      </c>
      <c r="B1955" t="s">
        <v>34</v>
      </c>
      <c r="C1955" t="s">
        <v>14</v>
      </c>
      <c r="D1955">
        <v>57</v>
      </c>
      <c r="E1955" s="1">
        <v>43015</v>
      </c>
      <c r="F1955">
        <v>1.78</v>
      </c>
      <c r="G1955">
        <v>1</v>
      </c>
      <c r="H1955">
        <v>12555.73</v>
      </c>
      <c r="I1955">
        <v>8.1</v>
      </c>
    </row>
    <row r="1956" spans="1:9" x14ac:dyDescent="0.3">
      <c r="A1956" t="s">
        <v>1971</v>
      </c>
      <c r="B1956" t="s">
        <v>13</v>
      </c>
      <c r="C1956" t="s">
        <v>14</v>
      </c>
      <c r="D1956">
        <v>31</v>
      </c>
      <c r="E1956" s="1">
        <v>42038</v>
      </c>
      <c r="F1956">
        <v>3.29</v>
      </c>
      <c r="G1956">
        <v>5</v>
      </c>
      <c r="H1956">
        <v>9765.7199999999993</v>
      </c>
      <c r="I1956">
        <v>10.8</v>
      </c>
    </row>
    <row r="1957" spans="1:9" x14ac:dyDescent="0.3">
      <c r="A1957" t="s">
        <v>1972</v>
      </c>
      <c r="B1957" t="s">
        <v>18</v>
      </c>
      <c r="C1957" t="s">
        <v>14</v>
      </c>
      <c r="D1957">
        <v>31</v>
      </c>
      <c r="E1957" s="1">
        <v>43943</v>
      </c>
      <c r="F1957">
        <v>3.69</v>
      </c>
      <c r="G1957">
        <v>15</v>
      </c>
      <c r="H1957">
        <v>10181.040000000001</v>
      </c>
      <c r="I1957">
        <v>5.5</v>
      </c>
    </row>
    <row r="1958" spans="1:9" x14ac:dyDescent="0.3">
      <c r="A1958" t="s">
        <v>1973</v>
      </c>
      <c r="B1958" t="s">
        <v>24</v>
      </c>
      <c r="C1958" t="s">
        <v>11</v>
      </c>
      <c r="D1958">
        <v>42</v>
      </c>
      <c r="E1958" s="1">
        <v>42162</v>
      </c>
      <c r="F1958">
        <v>4.43</v>
      </c>
      <c r="G1958">
        <v>2</v>
      </c>
      <c r="H1958">
        <v>10578.81</v>
      </c>
      <c r="I1958">
        <v>10.4</v>
      </c>
    </row>
    <row r="1959" spans="1:9" x14ac:dyDescent="0.3">
      <c r="A1959" t="s">
        <v>1974</v>
      </c>
      <c r="B1959" t="s">
        <v>24</v>
      </c>
      <c r="C1959" t="s">
        <v>11</v>
      </c>
      <c r="D1959">
        <v>23</v>
      </c>
      <c r="E1959" s="1">
        <v>45375</v>
      </c>
      <c r="F1959">
        <v>3.19</v>
      </c>
      <c r="G1959">
        <v>2</v>
      </c>
      <c r="H1959">
        <v>12096.52</v>
      </c>
      <c r="I1959">
        <v>1.6</v>
      </c>
    </row>
    <row r="1960" spans="1:9" x14ac:dyDescent="0.3">
      <c r="A1960" t="s">
        <v>1975</v>
      </c>
      <c r="B1960" t="s">
        <v>13</v>
      </c>
      <c r="C1960" t="s">
        <v>11</v>
      </c>
      <c r="D1960">
        <v>22</v>
      </c>
      <c r="E1960" s="1">
        <v>40779</v>
      </c>
      <c r="F1960">
        <v>4.6399999999999997</v>
      </c>
      <c r="G1960">
        <v>6</v>
      </c>
      <c r="H1960">
        <v>7852.31</v>
      </c>
      <c r="I1960">
        <v>14.2</v>
      </c>
    </row>
    <row r="1961" spans="1:9" x14ac:dyDescent="0.3">
      <c r="A1961" t="s">
        <v>1976</v>
      </c>
      <c r="B1961" t="s">
        <v>16</v>
      </c>
      <c r="C1961" t="s">
        <v>14</v>
      </c>
      <c r="D1961">
        <v>58</v>
      </c>
      <c r="E1961" s="1">
        <v>41677</v>
      </c>
      <c r="F1961">
        <v>4.9400000000000004</v>
      </c>
      <c r="G1961">
        <v>1</v>
      </c>
      <c r="H1961">
        <v>7290.72</v>
      </c>
      <c r="I1961">
        <v>11.7</v>
      </c>
    </row>
    <row r="1962" spans="1:9" x14ac:dyDescent="0.3">
      <c r="A1962" t="s">
        <v>1977</v>
      </c>
      <c r="B1962" t="s">
        <v>10</v>
      </c>
      <c r="C1962" t="s">
        <v>14</v>
      </c>
      <c r="D1962">
        <v>27</v>
      </c>
      <c r="E1962" s="1">
        <v>41323</v>
      </c>
      <c r="F1962">
        <v>2.5</v>
      </c>
      <c r="G1962">
        <v>7</v>
      </c>
      <c r="H1962">
        <v>12391.81</v>
      </c>
      <c r="I1962">
        <v>12.7</v>
      </c>
    </row>
    <row r="1963" spans="1:9" x14ac:dyDescent="0.3">
      <c r="A1963" t="s">
        <v>1978</v>
      </c>
      <c r="B1963" t="s">
        <v>24</v>
      </c>
      <c r="C1963" t="s">
        <v>11</v>
      </c>
      <c r="D1963">
        <v>56</v>
      </c>
      <c r="E1963" s="1">
        <v>43526</v>
      </c>
      <c r="F1963">
        <v>3.89</v>
      </c>
      <c r="G1963">
        <v>13</v>
      </c>
      <c r="H1963">
        <v>10819.08</v>
      </c>
      <c r="I1963">
        <v>6.7</v>
      </c>
    </row>
    <row r="1964" spans="1:9" x14ac:dyDescent="0.3">
      <c r="A1964" t="s">
        <v>1979</v>
      </c>
      <c r="B1964" t="s">
        <v>13</v>
      </c>
      <c r="C1964" t="s">
        <v>14</v>
      </c>
      <c r="D1964">
        <v>31</v>
      </c>
      <c r="E1964" s="1">
        <v>43213</v>
      </c>
      <c r="F1964">
        <v>3.44</v>
      </c>
      <c r="G1964">
        <v>9</v>
      </c>
      <c r="H1964">
        <v>3114.17</v>
      </c>
      <c r="I1964">
        <v>7.5</v>
      </c>
    </row>
    <row r="1965" spans="1:9" x14ac:dyDescent="0.3">
      <c r="A1965" t="s">
        <v>1980</v>
      </c>
      <c r="B1965" t="s">
        <v>10</v>
      </c>
      <c r="C1965" t="s">
        <v>14</v>
      </c>
      <c r="D1965">
        <v>55</v>
      </c>
      <c r="E1965" s="1">
        <v>41410</v>
      </c>
      <c r="F1965">
        <v>2.84</v>
      </c>
      <c r="G1965">
        <v>4</v>
      </c>
      <c r="H1965">
        <v>12149.76</v>
      </c>
      <c r="I1965">
        <v>12.5</v>
      </c>
    </row>
    <row r="1966" spans="1:9" x14ac:dyDescent="0.3">
      <c r="A1966" t="s">
        <v>1981</v>
      </c>
      <c r="B1966" t="s">
        <v>16</v>
      </c>
      <c r="C1966" t="s">
        <v>11</v>
      </c>
      <c r="D1966">
        <v>47</v>
      </c>
      <c r="E1966" s="1">
        <v>44029</v>
      </c>
      <c r="F1966">
        <v>4.63</v>
      </c>
      <c r="G1966">
        <v>14</v>
      </c>
      <c r="H1966">
        <v>4556.0200000000004</v>
      </c>
      <c r="I1966">
        <v>5.3</v>
      </c>
    </row>
    <row r="1967" spans="1:9" x14ac:dyDescent="0.3">
      <c r="A1967" t="s">
        <v>1982</v>
      </c>
      <c r="B1967" t="s">
        <v>24</v>
      </c>
      <c r="C1967" t="s">
        <v>14</v>
      </c>
      <c r="D1967">
        <v>48</v>
      </c>
      <c r="E1967" s="1">
        <v>43836</v>
      </c>
      <c r="F1967">
        <v>1.62</v>
      </c>
      <c r="G1967">
        <v>10</v>
      </c>
      <c r="H1967">
        <v>10927.98</v>
      </c>
      <c r="I1967">
        <v>5.8</v>
      </c>
    </row>
    <row r="1968" spans="1:9" x14ac:dyDescent="0.3">
      <c r="A1968" t="s">
        <v>1983</v>
      </c>
      <c r="B1968" t="s">
        <v>18</v>
      </c>
      <c r="C1968" t="s">
        <v>11</v>
      </c>
      <c r="D1968">
        <v>23</v>
      </c>
      <c r="E1968" s="1">
        <v>41910</v>
      </c>
      <c r="F1968">
        <v>3.13</v>
      </c>
      <c r="G1968">
        <v>6</v>
      </c>
      <c r="H1968">
        <v>10782.4</v>
      </c>
      <c r="I1968">
        <v>11.1</v>
      </c>
    </row>
    <row r="1969" spans="1:9" x14ac:dyDescent="0.3">
      <c r="A1969" t="s">
        <v>1984</v>
      </c>
      <c r="B1969" t="s">
        <v>10</v>
      </c>
      <c r="C1969" t="s">
        <v>11</v>
      </c>
      <c r="D1969">
        <v>36</v>
      </c>
      <c r="E1969" s="1">
        <v>40266</v>
      </c>
      <c r="F1969">
        <v>3.3</v>
      </c>
      <c r="G1969">
        <v>13</v>
      </c>
      <c r="H1969">
        <v>10617.82</v>
      </c>
      <c r="I1969">
        <v>15.6</v>
      </c>
    </row>
    <row r="1970" spans="1:9" x14ac:dyDescent="0.3">
      <c r="A1970" t="s">
        <v>1985</v>
      </c>
      <c r="B1970" t="s">
        <v>34</v>
      </c>
      <c r="C1970" t="s">
        <v>14</v>
      </c>
      <c r="D1970">
        <v>54</v>
      </c>
      <c r="E1970" s="1">
        <v>41745</v>
      </c>
      <c r="F1970">
        <v>2.93</v>
      </c>
      <c r="G1970">
        <v>6</v>
      </c>
      <c r="H1970">
        <v>10158.09</v>
      </c>
      <c r="I1970">
        <v>11.6</v>
      </c>
    </row>
    <row r="1971" spans="1:9" x14ac:dyDescent="0.3">
      <c r="A1971" t="s">
        <v>1986</v>
      </c>
      <c r="B1971" t="s">
        <v>10</v>
      </c>
      <c r="C1971" t="s">
        <v>11</v>
      </c>
      <c r="D1971">
        <v>26</v>
      </c>
      <c r="E1971" s="1">
        <v>45003</v>
      </c>
      <c r="F1971">
        <v>4.03</v>
      </c>
      <c r="G1971">
        <v>0</v>
      </c>
      <c r="H1971">
        <v>9496.7800000000007</v>
      </c>
      <c r="I1971">
        <v>2.6</v>
      </c>
    </row>
    <row r="1972" spans="1:9" x14ac:dyDescent="0.3">
      <c r="A1972" t="s">
        <v>1987</v>
      </c>
      <c r="B1972" t="s">
        <v>16</v>
      </c>
      <c r="C1972" t="s">
        <v>11</v>
      </c>
      <c r="D1972">
        <v>48</v>
      </c>
      <c r="E1972" s="1">
        <v>45446</v>
      </c>
      <c r="F1972">
        <v>4.16</v>
      </c>
      <c r="G1972">
        <v>11</v>
      </c>
      <c r="H1972">
        <v>6269.71</v>
      </c>
      <c r="I1972">
        <v>1.4</v>
      </c>
    </row>
    <row r="1973" spans="1:9" x14ac:dyDescent="0.3">
      <c r="A1973" t="s">
        <v>1988</v>
      </c>
      <c r="B1973" t="s">
        <v>13</v>
      </c>
      <c r="C1973" t="s">
        <v>11</v>
      </c>
      <c r="D1973">
        <v>24</v>
      </c>
      <c r="E1973" s="1">
        <v>40515</v>
      </c>
      <c r="F1973">
        <v>4.3600000000000003</v>
      </c>
      <c r="G1973">
        <v>12</v>
      </c>
      <c r="H1973">
        <v>7574.17</v>
      </c>
      <c r="I1973">
        <v>14.9</v>
      </c>
    </row>
    <row r="1974" spans="1:9" x14ac:dyDescent="0.3">
      <c r="A1974" t="s">
        <v>1989</v>
      </c>
      <c r="B1974" t="s">
        <v>18</v>
      </c>
      <c r="C1974" t="s">
        <v>11</v>
      </c>
      <c r="D1974">
        <v>27</v>
      </c>
      <c r="E1974" s="1">
        <v>43155</v>
      </c>
      <c r="F1974">
        <v>3.85</v>
      </c>
      <c r="G1974">
        <v>3</v>
      </c>
      <c r="H1974">
        <v>6466.87</v>
      </c>
      <c r="I1974">
        <v>7.7</v>
      </c>
    </row>
    <row r="1975" spans="1:9" x14ac:dyDescent="0.3">
      <c r="A1975" t="s">
        <v>1990</v>
      </c>
      <c r="B1975" t="s">
        <v>16</v>
      </c>
      <c r="C1975" t="s">
        <v>14</v>
      </c>
      <c r="D1975">
        <v>55</v>
      </c>
      <c r="E1975" s="1">
        <v>45320</v>
      </c>
      <c r="F1975">
        <v>4.6100000000000003</v>
      </c>
      <c r="G1975">
        <v>8</v>
      </c>
      <c r="H1975">
        <v>5624.42</v>
      </c>
      <c r="I1975">
        <v>1.8</v>
      </c>
    </row>
    <row r="1976" spans="1:9" x14ac:dyDescent="0.3">
      <c r="A1976" t="s">
        <v>1991</v>
      </c>
      <c r="B1976" t="s">
        <v>10</v>
      </c>
      <c r="C1976" t="s">
        <v>11</v>
      </c>
      <c r="D1976">
        <v>32</v>
      </c>
      <c r="E1976" s="1">
        <v>43078</v>
      </c>
      <c r="F1976">
        <v>4.95</v>
      </c>
      <c r="G1976">
        <v>10</v>
      </c>
      <c r="H1976">
        <v>6692.37</v>
      </c>
      <c r="I1976">
        <v>7.9</v>
      </c>
    </row>
    <row r="1977" spans="1:9" x14ac:dyDescent="0.3">
      <c r="A1977" t="s">
        <v>1992</v>
      </c>
      <c r="B1977" t="s">
        <v>24</v>
      </c>
      <c r="C1977" t="s">
        <v>11</v>
      </c>
      <c r="D1977">
        <v>23</v>
      </c>
      <c r="E1977" s="1">
        <v>40709</v>
      </c>
      <c r="F1977">
        <v>4.7</v>
      </c>
      <c r="G1977">
        <v>1</v>
      </c>
      <c r="H1977">
        <v>4772.45</v>
      </c>
      <c r="I1977">
        <v>14.4</v>
      </c>
    </row>
    <row r="1978" spans="1:9" x14ac:dyDescent="0.3">
      <c r="A1978" t="s">
        <v>1993</v>
      </c>
      <c r="B1978" t="s">
        <v>10</v>
      </c>
      <c r="C1978" t="s">
        <v>11</v>
      </c>
      <c r="D1978">
        <v>56</v>
      </c>
      <c r="E1978" s="1">
        <v>40696</v>
      </c>
      <c r="F1978">
        <v>4.96</v>
      </c>
      <c r="G1978">
        <v>6</v>
      </c>
      <c r="H1978">
        <v>6481.86</v>
      </c>
      <c r="I1978">
        <v>14.4</v>
      </c>
    </row>
    <row r="1979" spans="1:9" x14ac:dyDescent="0.3">
      <c r="A1979" t="s">
        <v>1994</v>
      </c>
      <c r="B1979" t="s">
        <v>16</v>
      </c>
      <c r="C1979" t="s">
        <v>11</v>
      </c>
      <c r="D1979">
        <v>48</v>
      </c>
      <c r="E1979" s="1">
        <v>41367</v>
      </c>
      <c r="F1979">
        <v>4.41</v>
      </c>
      <c r="G1979">
        <v>10</v>
      </c>
      <c r="H1979">
        <v>11127.52</v>
      </c>
      <c r="I1979">
        <v>12.6</v>
      </c>
    </row>
    <row r="1980" spans="1:9" x14ac:dyDescent="0.3">
      <c r="A1980" t="s">
        <v>1995</v>
      </c>
      <c r="B1980" t="s">
        <v>18</v>
      </c>
      <c r="C1980" t="s">
        <v>14</v>
      </c>
      <c r="D1980">
        <v>25</v>
      </c>
      <c r="E1980" s="1">
        <v>45892</v>
      </c>
      <c r="F1980">
        <v>3.52</v>
      </c>
      <c r="G1980">
        <v>7</v>
      </c>
      <c r="H1980">
        <v>12319.64</v>
      </c>
      <c r="I1980">
        <v>0.2</v>
      </c>
    </row>
    <row r="1981" spans="1:9" x14ac:dyDescent="0.3">
      <c r="A1981" t="s">
        <v>1996</v>
      </c>
      <c r="B1981" t="s">
        <v>18</v>
      </c>
      <c r="C1981" t="s">
        <v>11</v>
      </c>
      <c r="D1981">
        <v>31</v>
      </c>
      <c r="E1981" s="1">
        <v>44843</v>
      </c>
      <c r="F1981">
        <v>4.3</v>
      </c>
      <c r="G1981">
        <v>3</v>
      </c>
      <c r="H1981">
        <v>11642.17</v>
      </c>
      <c r="I1981">
        <v>3.1</v>
      </c>
    </row>
    <row r="1982" spans="1:9" x14ac:dyDescent="0.3">
      <c r="A1982" t="s">
        <v>1997</v>
      </c>
      <c r="B1982" t="s">
        <v>13</v>
      </c>
      <c r="C1982" t="s">
        <v>11</v>
      </c>
      <c r="D1982">
        <v>39</v>
      </c>
      <c r="E1982" s="1">
        <v>43909</v>
      </c>
      <c r="F1982">
        <v>1.81</v>
      </c>
      <c r="G1982">
        <v>12</v>
      </c>
      <c r="H1982">
        <v>4080.86</v>
      </c>
      <c r="I1982">
        <v>5.6</v>
      </c>
    </row>
    <row r="1983" spans="1:9" x14ac:dyDescent="0.3">
      <c r="A1983" t="s">
        <v>1998</v>
      </c>
      <c r="B1983" t="s">
        <v>18</v>
      </c>
      <c r="C1983" t="s">
        <v>11</v>
      </c>
      <c r="D1983">
        <v>44</v>
      </c>
      <c r="E1983" s="1">
        <v>41713</v>
      </c>
      <c r="F1983">
        <v>4.0599999999999996</v>
      </c>
      <c r="G1983">
        <v>10</v>
      </c>
      <c r="H1983">
        <v>6591.62</v>
      </c>
      <c r="I1983">
        <v>11.6</v>
      </c>
    </row>
    <row r="1984" spans="1:9" x14ac:dyDescent="0.3">
      <c r="A1984" t="s">
        <v>1999</v>
      </c>
      <c r="B1984" t="s">
        <v>13</v>
      </c>
      <c r="C1984" t="s">
        <v>11</v>
      </c>
      <c r="D1984">
        <v>28</v>
      </c>
      <c r="E1984" s="1">
        <v>43142</v>
      </c>
      <c r="F1984">
        <v>4.8</v>
      </c>
      <c r="G1984">
        <v>1</v>
      </c>
      <c r="H1984">
        <v>12595.75</v>
      </c>
      <c r="I1984">
        <v>7.7</v>
      </c>
    </row>
    <row r="1985" spans="1:9" x14ac:dyDescent="0.3">
      <c r="A1985" t="s">
        <v>2000</v>
      </c>
      <c r="B1985" t="s">
        <v>16</v>
      </c>
      <c r="C1985" t="s">
        <v>14</v>
      </c>
      <c r="D1985">
        <v>51</v>
      </c>
      <c r="E1985" s="1">
        <v>45142</v>
      </c>
      <c r="F1985">
        <v>4.8099999999999996</v>
      </c>
      <c r="G1985">
        <v>7</v>
      </c>
      <c r="H1985">
        <v>7524.61</v>
      </c>
      <c r="I1985">
        <v>2.2000000000000002</v>
      </c>
    </row>
    <row r="1986" spans="1:9" x14ac:dyDescent="0.3">
      <c r="A1986" t="s">
        <v>2001</v>
      </c>
      <c r="B1986" t="s">
        <v>13</v>
      </c>
      <c r="C1986" t="s">
        <v>11</v>
      </c>
      <c r="D1986">
        <v>39</v>
      </c>
      <c r="E1986" s="1">
        <v>40854</v>
      </c>
      <c r="F1986">
        <v>3.82</v>
      </c>
      <c r="G1986">
        <v>1</v>
      </c>
      <c r="H1986">
        <v>8478.9699999999993</v>
      </c>
      <c r="I1986">
        <v>14</v>
      </c>
    </row>
    <row r="1987" spans="1:9" x14ac:dyDescent="0.3">
      <c r="A1987" t="s">
        <v>2002</v>
      </c>
      <c r="B1987" t="s">
        <v>18</v>
      </c>
      <c r="C1987" t="s">
        <v>14</v>
      </c>
      <c r="D1987">
        <v>24</v>
      </c>
      <c r="E1987" s="1">
        <v>43800</v>
      </c>
      <c r="F1987">
        <v>2.4500000000000002</v>
      </c>
      <c r="G1987">
        <v>5</v>
      </c>
      <c r="H1987">
        <v>9058.75</v>
      </c>
      <c r="I1987">
        <v>5.9</v>
      </c>
    </row>
    <row r="1988" spans="1:9" x14ac:dyDescent="0.3">
      <c r="A1988" t="s">
        <v>2003</v>
      </c>
      <c r="B1988" t="s">
        <v>16</v>
      </c>
      <c r="C1988" t="s">
        <v>11</v>
      </c>
      <c r="D1988">
        <v>51</v>
      </c>
      <c r="E1988" s="1">
        <v>41819</v>
      </c>
      <c r="F1988">
        <v>2.19</v>
      </c>
      <c r="G1988">
        <v>14</v>
      </c>
      <c r="H1988">
        <v>6382.35</v>
      </c>
      <c r="I1988">
        <v>11.4</v>
      </c>
    </row>
    <row r="1989" spans="1:9" x14ac:dyDescent="0.3">
      <c r="A1989" t="s">
        <v>2004</v>
      </c>
      <c r="B1989" t="s">
        <v>18</v>
      </c>
      <c r="C1989" t="s">
        <v>11</v>
      </c>
      <c r="D1989">
        <v>35</v>
      </c>
      <c r="E1989" s="1">
        <v>45618</v>
      </c>
      <c r="F1989">
        <v>2.0499999999999998</v>
      </c>
      <c r="G1989">
        <v>7</v>
      </c>
      <c r="H1989">
        <v>10478.67</v>
      </c>
      <c r="I1989">
        <v>0.9</v>
      </c>
    </row>
    <row r="1990" spans="1:9" x14ac:dyDescent="0.3">
      <c r="A1990" t="s">
        <v>2005</v>
      </c>
      <c r="B1990" t="s">
        <v>24</v>
      </c>
      <c r="C1990" t="s">
        <v>11</v>
      </c>
      <c r="D1990">
        <v>30</v>
      </c>
      <c r="E1990" s="1">
        <v>40994</v>
      </c>
      <c r="F1990">
        <v>4.8</v>
      </c>
      <c r="G1990">
        <v>11</v>
      </c>
      <c r="H1990">
        <v>14153.41</v>
      </c>
      <c r="I1990">
        <v>13.6</v>
      </c>
    </row>
    <row r="1991" spans="1:9" x14ac:dyDescent="0.3">
      <c r="A1991" t="s">
        <v>2006</v>
      </c>
      <c r="B1991" t="s">
        <v>10</v>
      </c>
      <c r="C1991" t="s">
        <v>11</v>
      </c>
      <c r="D1991">
        <v>28</v>
      </c>
      <c r="E1991" s="1">
        <v>44948</v>
      </c>
      <c r="F1991">
        <v>4.88</v>
      </c>
      <c r="G1991">
        <v>1</v>
      </c>
      <c r="H1991">
        <v>7880.45</v>
      </c>
      <c r="I1991">
        <v>2.8</v>
      </c>
    </row>
    <row r="1992" spans="1:9" x14ac:dyDescent="0.3">
      <c r="A1992" t="s">
        <v>2007</v>
      </c>
      <c r="B1992" t="s">
        <v>24</v>
      </c>
      <c r="C1992" t="s">
        <v>14</v>
      </c>
      <c r="D1992">
        <v>23</v>
      </c>
      <c r="E1992" s="1">
        <v>44864</v>
      </c>
      <c r="F1992">
        <v>3.29</v>
      </c>
      <c r="G1992">
        <v>14</v>
      </c>
      <c r="H1992">
        <v>7046.28</v>
      </c>
      <c r="I1992">
        <v>3</v>
      </c>
    </row>
    <row r="1993" spans="1:9" x14ac:dyDescent="0.3">
      <c r="A1993" t="s">
        <v>2008</v>
      </c>
      <c r="B1993" t="s">
        <v>13</v>
      </c>
      <c r="C1993" t="s">
        <v>14</v>
      </c>
      <c r="D1993">
        <v>31</v>
      </c>
      <c r="E1993" s="1">
        <v>41321</v>
      </c>
      <c r="F1993">
        <v>1.5</v>
      </c>
      <c r="G1993">
        <v>0</v>
      </c>
      <c r="H1993">
        <v>9077.41</v>
      </c>
      <c r="I1993">
        <v>12.7</v>
      </c>
    </row>
    <row r="1994" spans="1:9" x14ac:dyDescent="0.3">
      <c r="A1994" t="s">
        <v>2009</v>
      </c>
      <c r="B1994" t="s">
        <v>13</v>
      </c>
      <c r="C1994" t="s">
        <v>14</v>
      </c>
      <c r="D1994">
        <v>24</v>
      </c>
      <c r="E1994" s="1">
        <v>44270</v>
      </c>
      <c r="F1994">
        <v>4.32</v>
      </c>
      <c r="G1994">
        <v>3</v>
      </c>
      <c r="H1994">
        <v>4676.8</v>
      </c>
      <c r="I1994">
        <v>4.5999999999999996</v>
      </c>
    </row>
    <row r="1995" spans="1:9" x14ac:dyDescent="0.3">
      <c r="A1995" t="s">
        <v>2010</v>
      </c>
      <c r="B1995" t="s">
        <v>34</v>
      </c>
      <c r="C1995" t="s">
        <v>11</v>
      </c>
      <c r="D1995">
        <v>50</v>
      </c>
      <c r="E1995" s="1">
        <v>45876</v>
      </c>
      <c r="F1995">
        <v>2.8</v>
      </c>
      <c r="G1995">
        <v>5</v>
      </c>
      <c r="H1995">
        <v>7274.08</v>
      </c>
      <c r="I1995">
        <v>0.2</v>
      </c>
    </row>
    <row r="1996" spans="1:9" x14ac:dyDescent="0.3">
      <c r="A1996" t="s">
        <v>2011</v>
      </c>
      <c r="B1996" t="s">
        <v>34</v>
      </c>
      <c r="C1996" t="s">
        <v>11</v>
      </c>
      <c r="D1996">
        <v>60</v>
      </c>
      <c r="E1996" s="1">
        <v>42965</v>
      </c>
      <c r="F1996">
        <v>1.57</v>
      </c>
      <c r="G1996">
        <v>5</v>
      </c>
      <c r="H1996">
        <v>11632.21</v>
      </c>
      <c r="I1996">
        <v>8.1999999999999993</v>
      </c>
    </row>
    <row r="1997" spans="1:9" x14ac:dyDescent="0.3">
      <c r="A1997" t="s">
        <v>2012</v>
      </c>
      <c r="B1997" t="s">
        <v>18</v>
      </c>
      <c r="C1997" t="s">
        <v>11</v>
      </c>
      <c r="D1997">
        <v>57</v>
      </c>
      <c r="E1997" s="1">
        <v>40230</v>
      </c>
      <c r="F1997">
        <v>4.01</v>
      </c>
      <c r="G1997">
        <v>5</v>
      </c>
      <c r="H1997">
        <v>5788.48</v>
      </c>
      <c r="I1997">
        <v>15.7</v>
      </c>
    </row>
    <row r="1998" spans="1:9" x14ac:dyDescent="0.3">
      <c r="A1998" t="s">
        <v>2013</v>
      </c>
      <c r="B1998" t="s">
        <v>18</v>
      </c>
      <c r="C1998" t="s">
        <v>14</v>
      </c>
      <c r="D1998">
        <v>60</v>
      </c>
      <c r="E1998" s="1">
        <v>45190</v>
      </c>
      <c r="F1998">
        <v>3.97</v>
      </c>
      <c r="G1998">
        <v>4</v>
      </c>
      <c r="H1998">
        <v>9605.3700000000008</v>
      </c>
      <c r="I1998">
        <v>2.1</v>
      </c>
    </row>
    <row r="1999" spans="1:9" x14ac:dyDescent="0.3">
      <c r="A1999" t="s">
        <v>2014</v>
      </c>
      <c r="B1999" t="s">
        <v>16</v>
      </c>
      <c r="C1999" t="s">
        <v>11</v>
      </c>
      <c r="D1999">
        <v>59</v>
      </c>
      <c r="E1999" s="1">
        <v>43623</v>
      </c>
      <c r="F1999">
        <v>2.66</v>
      </c>
      <c r="G1999">
        <v>2</v>
      </c>
      <c r="H1999">
        <v>7217.07</v>
      </c>
      <c r="I1999">
        <v>6.4</v>
      </c>
    </row>
    <row r="2000" spans="1:9" x14ac:dyDescent="0.3">
      <c r="A2000" t="s">
        <v>2015</v>
      </c>
      <c r="B2000" t="s">
        <v>24</v>
      </c>
      <c r="C2000" t="s">
        <v>11</v>
      </c>
      <c r="D2000">
        <v>45</v>
      </c>
      <c r="E2000" s="1">
        <v>40885</v>
      </c>
      <c r="F2000">
        <v>2.57</v>
      </c>
      <c r="G2000">
        <v>13</v>
      </c>
      <c r="H2000">
        <v>10006.27</v>
      </c>
      <c r="I2000">
        <v>13.9</v>
      </c>
    </row>
    <row r="2001" spans="1:9" x14ac:dyDescent="0.3">
      <c r="A2001" t="s">
        <v>2016</v>
      </c>
      <c r="B2001" t="s">
        <v>34</v>
      </c>
      <c r="C2001" t="s">
        <v>14</v>
      </c>
      <c r="D2001">
        <v>48</v>
      </c>
      <c r="E2001" s="1">
        <v>41350</v>
      </c>
      <c r="F2001">
        <v>3.68</v>
      </c>
      <c r="G2001">
        <v>1</v>
      </c>
      <c r="H2001">
        <v>7141.94</v>
      </c>
      <c r="I2001">
        <v>12.6</v>
      </c>
    </row>
    <row r="2002" spans="1:9" x14ac:dyDescent="0.3">
      <c r="A2002" t="s">
        <v>2017</v>
      </c>
      <c r="B2002" t="s">
        <v>34</v>
      </c>
      <c r="C2002" t="s">
        <v>14</v>
      </c>
      <c r="D2002">
        <v>45</v>
      </c>
      <c r="E2002" s="1">
        <v>40824</v>
      </c>
      <c r="F2002">
        <v>4.84</v>
      </c>
      <c r="G2002">
        <v>4</v>
      </c>
      <c r="H2002">
        <v>11435.05</v>
      </c>
      <c r="I2002">
        <v>14.1</v>
      </c>
    </row>
    <row r="2003" spans="1:9" x14ac:dyDescent="0.3">
      <c r="A2003" t="s">
        <v>2018</v>
      </c>
      <c r="B2003" t="s">
        <v>13</v>
      </c>
      <c r="C2003" t="s">
        <v>11</v>
      </c>
      <c r="D2003">
        <v>59</v>
      </c>
      <c r="E2003" s="1">
        <v>40888</v>
      </c>
      <c r="F2003">
        <v>1.7</v>
      </c>
      <c r="G2003">
        <v>7</v>
      </c>
      <c r="H2003">
        <v>3462.38</v>
      </c>
      <c r="I2003">
        <v>13.9</v>
      </c>
    </row>
    <row r="2004" spans="1:9" x14ac:dyDescent="0.3">
      <c r="A2004" t="s">
        <v>2019</v>
      </c>
      <c r="B2004" t="s">
        <v>10</v>
      </c>
      <c r="C2004" t="s">
        <v>14</v>
      </c>
      <c r="D2004">
        <v>24</v>
      </c>
      <c r="E2004" s="1">
        <v>42454</v>
      </c>
      <c r="F2004">
        <v>3.07</v>
      </c>
      <c r="G2004">
        <v>13</v>
      </c>
      <c r="H2004">
        <v>5635.18</v>
      </c>
      <c r="I2004">
        <v>9.6</v>
      </c>
    </row>
    <row r="2005" spans="1:9" x14ac:dyDescent="0.3">
      <c r="A2005" t="s">
        <v>2020</v>
      </c>
      <c r="B2005" t="s">
        <v>16</v>
      </c>
      <c r="C2005" t="s">
        <v>11</v>
      </c>
      <c r="D2005">
        <v>32</v>
      </c>
      <c r="E2005" s="1">
        <v>44252</v>
      </c>
      <c r="F2005">
        <v>2.4</v>
      </c>
      <c r="G2005">
        <v>8</v>
      </c>
      <c r="H2005">
        <v>7419.02</v>
      </c>
      <c r="I2005">
        <v>4.7</v>
      </c>
    </row>
    <row r="2006" spans="1:9" x14ac:dyDescent="0.3">
      <c r="A2006" t="s">
        <v>2021</v>
      </c>
      <c r="B2006" t="s">
        <v>16</v>
      </c>
      <c r="C2006" t="s">
        <v>14</v>
      </c>
      <c r="D2006">
        <v>23</v>
      </c>
      <c r="E2006" s="1">
        <v>45657</v>
      </c>
      <c r="F2006">
        <v>4.41</v>
      </c>
      <c r="G2006">
        <v>13</v>
      </c>
      <c r="H2006">
        <v>5600.68</v>
      </c>
      <c r="I2006">
        <v>0.8</v>
      </c>
    </row>
    <row r="2007" spans="1:9" x14ac:dyDescent="0.3">
      <c r="A2007" t="s">
        <v>2022</v>
      </c>
      <c r="B2007" t="s">
        <v>13</v>
      </c>
      <c r="C2007" t="s">
        <v>14</v>
      </c>
      <c r="D2007">
        <v>55</v>
      </c>
      <c r="E2007" s="1">
        <v>44408</v>
      </c>
      <c r="F2007">
        <v>4.9800000000000004</v>
      </c>
      <c r="G2007">
        <v>2</v>
      </c>
      <c r="H2007">
        <v>9757.6200000000008</v>
      </c>
      <c r="I2007">
        <v>4.3</v>
      </c>
    </row>
    <row r="2008" spans="1:9" x14ac:dyDescent="0.3">
      <c r="A2008" t="s">
        <v>2023</v>
      </c>
      <c r="B2008" t="s">
        <v>13</v>
      </c>
      <c r="C2008" t="s">
        <v>14</v>
      </c>
      <c r="D2008">
        <v>47</v>
      </c>
      <c r="E2008" s="1">
        <v>42480</v>
      </c>
      <c r="F2008">
        <v>2.5</v>
      </c>
      <c r="G2008">
        <v>3</v>
      </c>
      <c r="H2008">
        <v>3146.15</v>
      </c>
      <c r="I2008">
        <v>9.5</v>
      </c>
    </row>
    <row r="2009" spans="1:9" x14ac:dyDescent="0.3">
      <c r="A2009" t="s">
        <v>2024</v>
      </c>
      <c r="B2009" t="s">
        <v>10</v>
      </c>
      <c r="C2009" t="s">
        <v>14</v>
      </c>
      <c r="D2009">
        <v>50</v>
      </c>
      <c r="E2009" s="1">
        <v>45913</v>
      </c>
      <c r="F2009">
        <v>3.2</v>
      </c>
      <c r="G2009">
        <v>11</v>
      </c>
      <c r="H2009">
        <v>5890.93</v>
      </c>
      <c r="I2009">
        <v>0.1</v>
      </c>
    </row>
    <row r="2010" spans="1:9" x14ac:dyDescent="0.3">
      <c r="A2010" t="s">
        <v>2025</v>
      </c>
      <c r="B2010" t="s">
        <v>34</v>
      </c>
      <c r="C2010" t="s">
        <v>14</v>
      </c>
      <c r="D2010">
        <v>47</v>
      </c>
      <c r="E2010" s="1">
        <v>44960</v>
      </c>
      <c r="F2010">
        <v>3.23</v>
      </c>
      <c r="G2010">
        <v>15</v>
      </c>
      <c r="H2010">
        <v>14342.15</v>
      </c>
      <c r="I2010">
        <v>2.7</v>
      </c>
    </row>
    <row r="2011" spans="1:9" x14ac:dyDescent="0.3">
      <c r="A2011" t="s">
        <v>2026</v>
      </c>
      <c r="B2011" t="s">
        <v>24</v>
      </c>
      <c r="C2011" t="s">
        <v>11</v>
      </c>
      <c r="D2011">
        <v>34</v>
      </c>
      <c r="E2011" s="1">
        <v>43694</v>
      </c>
      <c r="F2011">
        <v>2.71</v>
      </c>
      <c r="G2011">
        <v>12</v>
      </c>
      <c r="H2011">
        <v>9002.42</v>
      </c>
      <c r="I2011">
        <v>6.2</v>
      </c>
    </row>
    <row r="2012" spans="1:9" x14ac:dyDescent="0.3">
      <c r="A2012" t="s">
        <v>2027</v>
      </c>
      <c r="B2012" t="s">
        <v>24</v>
      </c>
      <c r="C2012" t="s">
        <v>14</v>
      </c>
      <c r="D2012">
        <v>46</v>
      </c>
      <c r="E2012" s="1">
        <v>41626</v>
      </c>
      <c r="F2012">
        <v>2.96</v>
      </c>
      <c r="G2012">
        <v>1</v>
      </c>
      <c r="H2012">
        <v>3832.31</v>
      </c>
      <c r="I2012">
        <v>11.9</v>
      </c>
    </row>
    <row r="2013" spans="1:9" x14ac:dyDescent="0.3">
      <c r="A2013" t="s">
        <v>2028</v>
      </c>
      <c r="B2013" t="s">
        <v>16</v>
      </c>
      <c r="C2013" t="s">
        <v>11</v>
      </c>
      <c r="D2013">
        <v>58</v>
      </c>
      <c r="E2013" s="1">
        <v>45144</v>
      </c>
      <c r="F2013">
        <v>4.6100000000000003</v>
      </c>
      <c r="G2013">
        <v>7</v>
      </c>
      <c r="H2013">
        <v>9795.31</v>
      </c>
      <c r="I2013">
        <v>2.2000000000000002</v>
      </c>
    </row>
    <row r="2014" spans="1:9" x14ac:dyDescent="0.3">
      <c r="A2014" t="s">
        <v>2029</v>
      </c>
      <c r="B2014" t="s">
        <v>10</v>
      </c>
      <c r="C2014" t="s">
        <v>11</v>
      </c>
      <c r="D2014">
        <v>57</v>
      </c>
      <c r="E2014" s="1">
        <v>44315</v>
      </c>
      <c r="F2014">
        <v>2.13</v>
      </c>
      <c r="G2014">
        <v>12</v>
      </c>
      <c r="H2014">
        <v>3940.49</v>
      </c>
      <c r="I2014">
        <v>4.5</v>
      </c>
    </row>
    <row r="2015" spans="1:9" x14ac:dyDescent="0.3">
      <c r="A2015" t="s">
        <v>2030</v>
      </c>
      <c r="B2015" t="s">
        <v>18</v>
      </c>
      <c r="C2015" t="s">
        <v>14</v>
      </c>
      <c r="D2015">
        <v>60</v>
      </c>
      <c r="E2015" s="1">
        <v>43155</v>
      </c>
      <c r="F2015">
        <v>3.85</v>
      </c>
      <c r="G2015">
        <v>3</v>
      </c>
      <c r="H2015">
        <v>14316.6</v>
      </c>
      <c r="I2015">
        <v>7.7</v>
      </c>
    </row>
    <row r="2016" spans="1:9" x14ac:dyDescent="0.3">
      <c r="A2016" t="s">
        <v>2031</v>
      </c>
      <c r="B2016" t="s">
        <v>10</v>
      </c>
      <c r="C2016" t="s">
        <v>11</v>
      </c>
      <c r="D2016">
        <v>32</v>
      </c>
      <c r="E2016" s="1">
        <v>44573</v>
      </c>
      <c r="F2016">
        <v>3.02</v>
      </c>
      <c r="G2016">
        <v>2</v>
      </c>
      <c r="H2016">
        <v>11271.14</v>
      </c>
      <c r="I2016">
        <v>3.8</v>
      </c>
    </row>
    <row r="2017" spans="1:9" x14ac:dyDescent="0.3">
      <c r="A2017" t="s">
        <v>2032</v>
      </c>
      <c r="B2017" t="s">
        <v>24</v>
      </c>
      <c r="C2017" t="s">
        <v>14</v>
      </c>
      <c r="D2017">
        <v>32</v>
      </c>
      <c r="E2017" s="1">
        <v>43461</v>
      </c>
      <c r="F2017">
        <v>2.95</v>
      </c>
      <c r="G2017">
        <v>2</v>
      </c>
      <c r="H2017">
        <v>4815.55</v>
      </c>
      <c r="I2017">
        <v>6.9</v>
      </c>
    </row>
    <row r="2018" spans="1:9" x14ac:dyDescent="0.3">
      <c r="A2018" t="s">
        <v>2033</v>
      </c>
      <c r="B2018" t="s">
        <v>13</v>
      </c>
      <c r="C2018" t="s">
        <v>14</v>
      </c>
      <c r="D2018">
        <v>32</v>
      </c>
      <c r="E2018" s="1">
        <v>45431</v>
      </c>
      <c r="F2018">
        <v>4.62</v>
      </c>
      <c r="G2018">
        <v>4</v>
      </c>
      <c r="H2018">
        <v>12210.55</v>
      </c>
      <c r="I2018">
        <v>1.5</v>
      </c>
    </row>
    <row r="2019" spans="1:9" x14ac:dyDescent="0.3">
      <c r="A2019" t="s">
        <v>2034</v>
      </c>
      <c r="B2019" t="s">
        <v>34</v>
      </c>
      <c r="C2019" t="s">
        <v>14</v>
      </c>
      <c r="D2019">
        <v>53</v>
      </c>
      <c r="E2019" s="1">
        <v>45961</v>
      </c>
      <c r="F2019">
        <v>3.98</v>
      </c>
      <c r="G2019">
        <v>6</v>
      </c>
      <c r="H2019">
        <v>4817.12</v>
      </c>
      <c r="I2019">
        <v>0</v>
      </c>
    </row>
    <row r="2020" spans="1:9" x14ac:dyDescent="0.3">
      <c r="A2020" t="s">
        <v>2035</v>
      </c>
      <c r="B2020" t="s">
        <v>13</v>
      </c>
      <c r="C2020" t="s">
        <v>14</v>
      </c>
      <c r="D2020">
        <v>23</v>
      </c>
      <c r="E2020" s="1">
        <v>42252</v>
      </c>
      <c r="F2020">
        <v>1.73</v>
      </c>
      <c r="G2020">
        <v>10</v>
      </c>
      <c r="H2020">
        <v>8690.4699999999993</v>
      </c>
      <c r="I2020">
        <v>10.199999999999999</v>
      </c>
    </row>
    <row r="2021" spans="1:9" x14ac:dyDescent="0.3">
      <c r="A2021" t="s">
        <v>2036</v>
      </c>
      <c r="B2021" t="s">
        <v>13</v>
      </c>
      <c r="C2021" t="s">
        <v>14</v>
      </c>
      <c r="D2021">
        <v>29</v>
      </c>
      <c r="E2021" s="1">
        <v>41923</v>
      </c>
      <c r="F2021">
        <v>4.4400000000000004</v>
      </c>
      <c r="G2021">
        <v>4</v>
      </c>
      <c r="H2021">
        <v>7370.31</v>
      </c>
      <c r="I2021">
        <v>11.1</v>
      </c>
    </row>
    <row r="2022" spans="1:9" x14ac:dyDescent="0.3">
      <c r="A2022" t="s">
        <v>2037</v>
      </c>
      <c r="B2022" t="s">
        <v>34</v>
      </c>
      <c r="C2022" t="s">
        <v>14</v>
      </c>
      <c r="D2022">
        <v>33</v>
      </c>
      <c r="E2022" s="1">
        <v>44710</v>
      </c>
      <c r="F2022">
        <v>4.71</v>
      </c>
      <c r="G2022">
        <v>2</v>
      </c>
      <c r="H2022">
        <v>6210.43</v>
      </c>
      <c r="I2022">
        <v>3.4</v>
      </c>
    </row>
    <row r="2023" spans="1:9" x14ac:dyDescent="0.3">
      <c r="A2023" t="s">
        <v>2038</v>
      </c>
      <c r="B2023" t="s">
        <v>13</v>
      </c>
      <c r="C2023" t="s">
        <v>11</v>
      </c>
      <c r="D2023">
        <v>48</v>
      </c>
      <c r="E2023" s="1">
        <v>42544</v>
      </c>
      <c r="F2023">
        <v>2.9</v>
      </c>
      <c r="G2023">
        <v>8</v>
      </c>
      <c r="H2023">
        <v>5530.76</v>
      </c>
      <c r="I2023">
        <v>9.4</v>
      </c>
    </row>
    <row r="2024" spans="1:9" x14ac:dyDescent="0.3">
      <c r="A2024" t="s">
        <v>2039</v>
      </c>
      <c r="B2024" t="s">
        <v>16</v>
      </c>
      <c r="C2024" t="s">
        <v>11</v>
      </c>
      <c r="D2024">
        <v>46</v>
      </c>
      <c r="E2024" s="1">
        <v>44363</v>
      </c>
      <c r="F2024">
        <v>3.13</v>
      </c>
      <c r="G2024">
        <v>8</v>
      </c>
      <c r="H2024">
        <v>10507.81</v>
      </c>
      <c r="I2024">
        <v>4.4000000000000004</v>
      </c>
    </row>
    <row r="2025" spans="1:9" x14ac:dyDescent="0.3">
      <c r="A2025" t="s">
        <v>2040</v>
      </c>
      <c r="B2025" t="s">
        <v>34</v>
      </c>
      <c r="C2025" t="s">
        <v>11</v>
      </c>
      <c r="D2025">
        <v>51</v>
      </c>
      <c r="E2025" s="1">
        <v>40961</v>
      </c>
      <c r="F2025">
        <v>2.39</v>
      </c>
      <c r="G2025">
        <v>5</v>
      </c>
      <c r="H2025">
        <v>14661.51</v>
      </c>
      <c r="I2025">
        <v>13.7</v>
      </c>
    </row>
    <row r="2026" spans="1:9" x14ac:dyDescent="0.3">
      <c r="A2026" t="s">
        <v>2041</v>
      </c>
      <c r="B2026" t="s">
        <v>18</v>
      </c>
      <c r="C2026" t="s">
        <v>14</v>
      </c>
      <c r="D2026">
        <v>36</v>
      </c>
      <c r="E2026" s="1">
        <v>42598</v>
      </c>
      <c r="F2026">
        <v>2.21</v>
      </c>
      <c r="G2026">
        <v>9</v>
      </c>
      <c r="H2026">
        <v>10693.12</v>
      </c>
      <c r="I2026">
        <v>9.1999999999999993</v>
      </c>
    </row>
    <row r="2027" spans="1:9" x14ac:dyDescent="0.3">
      <c r="A2027" t="s">
        <v>2042</v>
      </c>
      <c r="B2027" t="s">
        <v>16</v>
      </c>
      <c r="C2027" t="s">
        <v>11</v>
      </c>
      <c r="D2027">
        <v>34</v>
      </c>
      <c r="E2027" s="1">
        <v>45561</v>
      </c>
      <c r="F2027">
        <v>1.56</v>
      </c>
      <c r="G2027">
        <v>15</v>
      </c>
      <c r="H2027">
        <v>13467.42</v>
      </c>
      <c r="I2027">
        <v>1.1000000000000001</v>
      </c>
    </row>
    <row r="2028" spans="1:9" x14ac:dyDescent="0.3">
      <c r="A2028" t="s">
        <v>2043</v>
      </c>
      <c r="B2028" t="s">
        <v>34</v>
      </c>
      <c r="C2028" t="s">
        <v>14</v>
      </c>
      <c r="D2028">
        <v>30</v>
      </c>
      <c r="E2028" s="1">
        <v>43909</v>
      </c>
      <c r="F2028">
        <v>3.68</v>
      </c>
      <c r="G2028">
        <v>14</v>
      </c>
      <c r="H2028">
        <v>4355.17</v>
      </c>
      <c r="I2028">
        <v>5.6</v>
      </c>
    </row>
    <row r="2029" spans="1:9" x14ac:dyDescent="0.3">
      <c r="A2029" t="s">
        <v>2044</v>
      </c>
      <c r="B2029" t="s">
        <v>10</v>
      </c>
      <c r="C2029" t="s">
        <v>11</v>
      </c>
      <c r="D2029">
        <v>35</v>
      </c>
      <c r="E2029" s="1">
        <v>45115</v>
      </c>
      <c r="F2029">
        <v>2.48</v>
      </c>
      <c r="G2029">
        <v>15</v>
      </c>
      <c r="H2029">
        <v>13042.54</v>
      </c>
      <c r="I2029">
        <v>2.2999999999999998</v>
      </c>
    </row>
    <row r="2030" spans="1:9" x14ac:dyDescent="0.3">
      <c r="A2030" t="s">
        <v>2045</v>
      </c>
      <c r="B2030" t="s">
        <v>10</v>
      </c>
      <c r="C2030" t="s">
        <v>14</v>
      </c>
      <c r="D2030">
        <v>47</v>
      </c>
      <c r="E2030" s="1">
        <v>44959</v>
      </c>
      <c r="F2030">
        <v>2</v>
      </c>
      <c r="G2030">
        <v>6</v>
      </c>
      <c r="H2030">
        <v>14820</v>
      </c>
      <c r="I2030">
        <v>2.7</v>
      </c>
    </row>
    <row r="2031" spans="1:9" x14ac:dyDescent="0.3">
      <c r="A2031" t="s">
        <v>2046</v>
      </c>
      <c r="B2031" t="s">
        <v>24</v>
      </c>
      <c r="C2031" t="s">
        <v>14</v>
      </c>
      <c r="D2031">
        <v>60</v>
      </c>
      <c r="E2031" s="1">
        <v>42682</v>
      </c>
      <c r="F2031">
        <v>2.0099999999999998</v>
      </c>
      <c r="G2031">
        <v>11</v>
      </c>
      <c r="H2031">
        <v>11354.45</v>
      </c>
      <c r="I2031">
        <v>9</v>
      </c>
    </row>
    <row r="2032" spans="1:9" x14ac:dyDescent="0.3">
      <c r="A2032" t="s">
        <v>2047</v>
      </c>
      <c r="B2032" t="s">
        <v>34</v>
      </c>
      <c r="C2032" t="s">
        <v>11</v>
      </c>
      <c r="D2032">
        <v>42</v>
      </c>
      <c r="E2032" s="1">
        <v>42677</v>
      </c>
      <c r="F2032">
        <v>3.66</v>
      </c>
      <c r="G2032">
        <v>6</v>
      </c>
      <c r="H2032">
        <v>6454.69</v>
      </c>
      <c r="I2032">
        <v>9</v>
      </c>
    </row>
    <row r="2033" spans="1:9" x14ac:dyDescent="0.3">
      <c r="A2033" t="s">
        <v>2048</v>
      </c>
      <c r="B2033" t="s">
        <v>18</v>
      </c>
      <c r="C2033" t="s">
        <v>14</v>
      </c>
      <c r="D2033">
        <v>41</v>
      </c>
      <c r="E2033" s="1">
        <v>44547</v>
      </c>
      <c r="F2033">
        <v>2.62</v>
      </c>
      <c r="G2033">
        <v>10</v>
      </c>
      <c r="H2033">
        <v>5740.69</v>
      </c>
      <c r="I2033">
        <v>3.9</v>
      </c>
    </row>
    <row r="2034" spans="1:9" x14ac:dyDescent="0.3">
      <c r="A2034" t="s">
        <v>2049</v>
      </c>
      <c r="B2034" t="s">
        <v>16</v>
      </c>
      <c r="C2034" t="s">
        <v>11</v>
      </c>
      <c r="D2034">
        <v>36</v>
      </c>
      <c r="E2034" s="1">
        <v>42796</v>
      </c>
      <c r="F2034">
        <v>2.63</v>
      </c>
      <c r="G2034">
        <v>8</v>
      </c>
      <c r="H2034">
        <v>6820.92</v>
      </c>
      <c r="I2034">
        <v>8.6999999999999993</v>
      </c>
    </row>
    <row r="2035" spans="1:9" x14ac:dyDescent="0.3">
      <c r="A2035" t="s">
        <v>2050</v>
      </c>
      <c r="B2035" t="s">
        <v>34</v>
      </c>
      <c r="C2035" t="s">
        <v>14</v>
      </c>
      <c r="D2035">
        <v>35</v>
      </c>
      <c r="E2035" s="1">
        <v>40236</v>
      </c>
      <c r="F2035">
        <v>3.31</v>
      </c>
      <c r="G2035">
        <v>11</v>
      </c>
      <c r="H2035">
        <v>7618.72</v>
      </c>
      <c r="I2035">
        <v>15.7</v>
      </c>
    </row>
    <row r="2036" spans="1:9" x14ac:dyDescent="0.3">
      <c r="A2036" t="s">
        <v>2051</v>
      </c>
      <c r="B2036" t="s">
        <v>16</v>
      </c>
      <c r="C2036" t="s">
        <v>14</v>
      </c>
      <c r="D2036">
        <v>30</v>
      </c>
      <c r="E2036" s="1">
        <v>40657</v>
      </c>
      <c r="F2036">
        <v>1.98</v>
      </c>
      <c r="G2036">
        <v>5</v>
      </c>
      <c r="H2036">
        <v>8841.5499999999993</v>
      </c>
      <c r="I2036">
        <v>14.5</v>
      </c>
    </row>
    <row r="2037" spans="1:9" x14ac:dyDescent="0.3">
      <c r="A2037" t="s">
        <v>2052</v>
      </c>
      <c r="B2037" t="s">
        <v>10</v>
      </c>
      <c r="C2037" t="s">
        <v>11</v>
      </c>
      <c r="D2037">
        <v>52</v>
      </c>
      <c r="E2037" s="1">
        <v>45200</v>
      </c>
      <c r="F2037">
        <v>3.46</v>
      </c>
      <c r="G2037">
        <v>2</v>
      </c>
      <c r="H2037">
        <v>4361.22</v>
      </c>
      <c r="I2037">
        <v>2.1</v>
      </c>
    </row>
    <row r="2038" spans="1:9" x14ac:dyDescent="0.3">
      <c r="A2038" t="s">
        <v>2053</v>
      </c>
      <c r="B2038" t="s">
        <v>18</v>
      </c>
      <c r="C2038" t="s">
        <v>11</v>
      </c>
      <c r="D2038">
        <v>55</v>
      </c>
      <c r="E2038" s="1">
        <v>45098</v>
      </c>
      <c r="F2038">
        <v>1.7</v>
      </c>
      <c r="G2038">
        <v>14</v>
      </c>
      <c r="H2038">
        <v>12930.06</v>
      </c>
      <c r="I2038">
        <v>2.4</v>
      </c>
    </row>
    <row r="2039" spans="1:9" x14ac:dyDescent="0.3">
      <c r="A2039" t="s">
        <v>2054</v>
      </c>
      <c r="B2039" t="s">
        <v>16</v>
      </c>
      <c r="C2039" t="s">
        <v>11</v>
      </c>
      <c r="D2039">
        <v>43</v>
      </c>
      <c r="E2039" s="1">
        <v>40329</v>
      </c>
      <c r="F2039">
        <v>2.5099999999999998</v>
      </c>
      <c r="G2039">
        <v>7</v>
      </c>
      <c r="H2039">
        <v>4217.59</v>
      </c>
      <c r="I2039">
        <v>15.4</v>
      </c>
    </row>
    <row r="2040" spans="1:9" x14ac:dyDescent="0.3">
      <c r="A2040" t="s">
        <v>2055</v>
      </c>
      <c r="B2040" t="s">
        <v>13</v>
      </c>
      <c r="C2040" t="s">
        <v>14</v>
      </c>
      <c r="D2040">
        <v>25</v>
      </c>
      <c r="E2040" s="1">
        <v>40551</v>
      </c>
      <c r="F2040">
        <v>4.3899999999999997</v>
      </c>
      <c r="G2040">
        <v>14</v>
      </c>
      <c r="H2040">
        <v>3425.76</v>
      </c>
      <c r="I2040">
        <v>14.8</v>
      </c>
    </row>
    <row r="2041" spans="1:9" x14ac:dyDescent="0.3">
      <c r="A2041" t="s">
        <v>2056</v>
      </c>
      <c r="B2041" t="s">
        <v>13</v>
      </c>
      <c r="C2041" t="s">
        <v>11</v>
      </c>
      <c r="D2041">
        <v>34</v>
      </c>
      <c r="E2041" s="1">
        <v>45696</v>
      </c>
      <c r="F2041">
        <v>3.86</v>
      </c>
      <c r="G2041">
        <v>10</v>
      </c>
      <c r="H2041">
        <v>4532.01</v>
      </c>
      <c r="I2041">
        <v>0.7</v>
      </c>
    </row>
    <row r="2042" spans="1:9" x14ac:dyDescent="0.3">
      <c r="A2042" t="s">
        <v>2057</v>
      </c>
      <c r="B2042" t="s">
        <v>10</v>
      </c>
      <c r="C2042" t="s">
        <v>14</v>
      </c>
      <c r="D2042">
        <v>37</v>
      </c>
      <c r="E2042" s="1">
        <v>40850</v>
      </c>
      <c r="F2042">
        <v>4.72</v>
      </c>
      <c r="G2042">
        <v>11</v>
      </c>
      <c r="H2042">
        <v>7025.1</v>
      </c>
      <c r="I2042">
        <v>14</v>
      </c>
    </row>
    <row r="2043" spans="1:9" x14ac:dyDescent="0.3">
      <c r="A2043" t="s">
        <v>2058</v>
      </c>
      <c r="B2043" t="s">
        <v>24</v>
      </c>
      <c r="C2043" t="s">
        <v>14</v>
      </c>
      <c r="D2043">
        <v>28</v>
      </c>
      <c r="E2043" s="1">
        <v>44428</v>
      </c>
      <c r="F2043">
        <v>3.54</v>
      </c>
      <c r="G2043">
        <v>12</v>
      </c>
      <c r="H2043">
        <v>12011.11</v>
      </c>
      <c r="I2043">
        <v>4.2</v>
      </c>
    </row>
    <row r="2044" spans="1:9" x14ac:dyDescent="0.3">
      <c r="A2044" t="s">
        <v>2059</v>
      </c>
      <c r="B2044" t="s">
        <v>18</v>
      </c>
      <c r="C2044" t="s">
        <v>14</v>
      </c>
      <c r="D2044">
        <v>53</v>
      </c>
      <c r="E2044" s="1">
        <v>40368</v>
      </c>
      <c r="F2044">
        <v>4.6100000000000003</v>
      </c>
      <c r="G2044">
        <v>13</v>
      </c>
      <c r="H2044">
        <v>12332.33</v>
      </c>
      <c r="I2044">
        <v>15.3</v>
      </c>
    </row>
    <row r="2045" spans="1:9" x14ac:dyDescent="0.3">
      <c r="A2045" t="s">
        <v>2060</v>
      </c>
      <c r="B2045" t="s">
        <v>18</v>
      </c>
      <c r="C2045" t="s">
        <v>14</v>
      </c>
      <c r="D2045">
        <v>59</v>
      </c>
      <c r="E2045" s="1">
        <v>44125</v>
      </c>
      <c r="F2045">
        <v>1.61</v>
      </c>
      <c r="G2045">
        <v>8</v>
      </c>
      <c r="H2045">
        <v>5958.6</v>
      </c>
      <c r="I2045">
        <v>5</v>
      </c>
    </row>
    <row r="2046" spans="1:9" x14ac:dyDescent="0.3">
      <c r="A2046" t="s">
        <v>2061</v>
      </c>
      <c r="B2046" t="s">
        <v>13</v>
      </c>
      <c r="C2046" t="s">
        <v>14</v>
      </c>
      <c r="D2046">
        <v>37</v>
      </c>
      <c r="E2046" s="1">
        <v>40472</v>
      </c>
      <c r="F2046">
        <v>3.37</v>
      </c>
      <c r="G2046">
        <v>4</v>
      </c>
      <c r="H2046">
        <v>14930.24</v>
      </c>
      <c r="I2046">
        <v>15</v>
      </c>
    </row>
    <row r="2047" spans="1:9" x14ac:dyDescent="0.3">
      <c r="A2047" t="s">
        <v>2062</v>
      </c>
      <c r="B2047" t="s">
        <v>24</v>
      </c>
      <c r="C2047" t="s">
        <v>11</v>
      </c>
      <c r="D2047">
        <v>57</v>
      </c>
      <c r="E2047" s="1">
        <v>45256</v>
      </c>
      <c r="F2047">
        <v>2.98</v>
      </c>
      <c r="G2047">
        <v>2</v>
      </c>
      <c r="H2047">
        <v>14669.46</v>
      </c>
      <c r="I2047">
        <v>1.9</v>
      </c>
    </row>
    <row r="2048" spans="1:9" x14ac:dyDescent="0.3">
      <c r="A2048" t="s">
        <v>2063</v>
      </c>
      <c r="B2048" t="s">
        <v>24</v>
      </c>
      <c r="C2048" t="s">
        <v>11</v>
      </c>
      <c r="D2048">
        <v>39</v>
      </c>
      <c r="E2048" s="1">
        <v>41009</v>
      </c>
      <c r="F2048">
        <v>3.61</v>
      </c>
      <c r="G2048">
        <v>6</v>
      </c>
      <c r="H2048">
        <v>9890.7999999999993</v>
      </c>
      <c r="I2048">
        <v>13.6</v>
      </c>
    </row>
    <row r="2049" spans="1:9" x14ac:dyDescent="0.3">
      <c r="A2049" t="s">
        <v>2064</v>
      </c>
      <c r="B2049" t="s">
        <v>13</v>
      </c>
      <c r="C2049" t="s">
        <v>11</v>
      </c>
      <c r="D2049">
        <v>40</v>
      </c>
      <c r="E2049" s="1">
        <v>40328</v>
      </c>
      <c r="F2049">
        <v>3.67</v>
      </c>
      <c r="G2049">
        <v>13</v>
      </c>
      <c r="H2049">
        <v>8772.2999999999993</v>
      </c>
      <c r="I2049">
        <v>15.4</v>
      </c>
    </row>
    <row r="2050" spans="1:9" x14ac:dyDescent="0.3">
      <c r="A2050" t="s">
        <v>2065</v>
      </c>
      <c r="B2050" t="s">
        <v>18</v>
      </c>
      <c r="C2050" t="s">
        <v>11</v>
      </c>
      <c r="D2050">
        <v>58</v>
      </c>
      <c r="E2050" s="1">
        <v>41389</v>
      </c>
      <c r="F2050">
        <v>3.01</v>
      </c>
      <c r="G2050">
        <v>4</v>
      </c>
      <c r="H2050">
        <v>6204.39</v>
      </c>
      <c r="I2050">
        <v>12.5</v>
      </c>
    </row>
    <row r="2051" spans="1:9" x14ac:dyDescent="0.3">
      <c r="A2051" t="s">
        <v>2066</v>
      </c>
      <c r="B2051" t="s">
        <v>13</v>
      </c>
      <c r="C2051" t="s">
        <v>14</v>
      </c>
      <c r="D2051">
        <v>45</v>
      </c>
      <c r="E2051" s="1">
        <v>44501</v>
      </c>
      <c r="F2051">
        <v>1.74</v>
      </c>
      <c r="G2051">
        <v>10</v>
      </c>
      <c r="H2051">
        <v>13337.8</v>
      </c>
      <c r="I2051">
        <v>4</v>
      </c>
    </row>
    <row r="2052" spans="1:9" x14ac:dyDescent="0.3">
      <c r="A2052" t="s">
        <v>2067</v>
      </c>
      <c r="B2052" t="s">
        <v>18</v>
      </c>
      <c r="C2052" t="s">
        <v>11</v>
      </c>
      <c r="D2052">
        <v>39</v>
      </c>
      <c r="E2052" s="1">
        <v>45336</v>
      </c>
      <c r="F2052">
        <v>4.9000000000000004</v>
      </c>
      <c r="G2052">
        <v>14</v>
      </c>
      <c r="H2052">
        <v>7823.29</v>
      </c>
      <c r="I2052">
        <v>1.7</v>
      </c>
    </row>
    <row r="2053" spans="1:9" x14ac:dyDescent="0.3">
      <c r="A2053" t="s">
        <v>2068</v>
      </c>
      <c r="B2053" t="s">
        <v>24</v>
      </c>
      <c r="C2053" t="s">
        <v>11</v>
      </c>
      <c r="D2053">
        <v>27</v>
      </c>
      <c r="E2053" s="1">
        <v>44795</v>
      </c>
      <c r="F2053">
        <v>4.78</v>
      </c>
      <c r="G2053">
        <v>2</v>
      </c>
      <c r="H2053">
        <v>3507.64</v>
      </c>
      <c r="I2053">
        <v>3.2</v>
      </c>
    </row>
    <row r="2054" spans="1:9" x14ac:dyDescent="0.3">
      <c r="A2054" t="s">
        <v>2069</v>
      </c>
      <c r="B2054" t="s">
        <v>18</v>
      </c>
      <c r="C2054" t="s">
        <v>14</v>
      </c>
      <c r="D2054">
        <v>43</v>
      </c>
      <c r="E2054" s="1">
        <v>45003</v>
      </c>
      <c r="F2054">
        <v>3.06</v>
      </c>
      <c r="G2054">
        <v>10</v>
      </c>
      <c r="H2054">
        <v>13211.38</v>
      </c>
      <c r="I2054">
        <v>2.6</v>
      </c>
    </row>
    <row r="2055" spans="1:9" x14ac:dyDescent="0.3">
      <c r="A2055" t="s">
        <v>2070</v>
      </c>
      <c r="B2055" t="s">
        <v>18</v>
      </c>
      <c r="C2055" t="s">
        <v>11</v>
      </c>
      <c r="D2055">
        <v>22</v>
      </c>
      <c r="E2055" s="1">
        <v>44023</v>
      </c>
      <c r="F2055">
        <v>3.94</v>
      </c>
      <c r="G2055">
        <v>10</v>
      </c>
      <c r="H2055">
        <v>7704.8</v>
      </c>
      <c r="I2055">
        <v>5.3</v>
      </c>
    </row>
    <row r="2056" spans="1:9" x14ac:dyDescent="0.3">
      <c r="A2056" t="s">
        <v>2071</v>
      </c>
      <c r="B2056" t="s">
        <v>16</v>
      </c>
      <c r="C2056" t="s">
        <v>11</v>
      </c>
      <c r="D2056">
        <v>47</v>
      </c>
      <c r="E2056" s="1">
        <v>44329</v>
      </c>
      <c r="F2056">
        <v>2.34</v>
      </c>
      <c r="G2056">
        <v>8</v>
      </c>
      <c r="H2056">
        <v>4510.8</v>
      </c>
      <c r="I2056">
        <v>4.5</v>
      </c>
    </row>
    <row r="2057" spans="1:9" x14ac:dyDescent="0.3">
      <c r="A2057" t="s">
        <v>2072</v>
      </c>
      <c r="B2057" t="s">
        <v>16</v>
      </c>
      <c r="C2057" t="s">
        <v>11</v>
      </c>
      <c r="D2057">
        <v>41</v>
      </c>
      <c r="E2057" s="1">
        <v>42071</v>
      </c>
      <c r="F2057">
        <v>4.5599999999999996</v>
      </c>
      <c r="G2057">
        <v>1</v>
      </c>
      <c r="H2057">
        <v>6629.16</v>
      </c>
      <c r="I2057">
        <v>10.7</v>
      </c>
    </row>
    <row r="2058" spans="1:9" x14ac:dyDescent="0.3">
      <c r="A2058" t="s">
        <v>2073</v>
      </c>
      <c r="B2058" t="s">
        <v>24</v>
      </c>
      <c r="C2058" t="s">
        <v>11</v>
      </c>
      <c r="D2058">
        <v>49</v>
      </c>
      <c r="E2058" s="1">
        <v>43971</v>
      </c>
      <c r="F2058">
        <v>1.98</v>
      </c>
      <c r="G2058">
        <v>9</v>
      </c>
      <c r="H2058">
        <v>7053.33</v>
      </c>
      <c r="I2058">
        <v>5.5</v>
      </c>
    </row>
    <row r="2059" spans="1:9" x14ac:dyDescent="0.3">
      <c r="A2059" t="s">
        <v>2074</v>
      </c>
      <c r="B2059" t="s">
        <v>24</v>
      </c>
      <c r="C2059" t="s">
        <v>14</v>
      </c>
      <c r="D2059">
        <v>57</v>
      </c>
      <c r="E2059" s="1">
        <v>45340</v>
      </c>
      <c r="F2059">
        <v>2.12</v>
      </c>
      <c r="G2059">
        <v>1</v>
      </c>
      <c r="H2059">
        <v>10499.07</v>
      </c>
      <c r="I2059">
        <v>1.7</v>
      </c>
    </row>
    <row r="2060" spans="1:9" x14ac:dyDescent="0.3">
      <c r="A2060" t="s">
        <v>2075</v>
      </c>
      <c r="B2060" t="s">
        <v>18</v>
      </c>
      <c r="C2060" t="s">
        <v>14</v>
      </c>
      <c r="D2060">
        <v>32</v>
      </c>
      <c r="E2060" s="1">
        <v>41892</v>
      </c>
      <c r="F2060">
        <v>4.12</v>
      </c>
      <c r="G2060">
        <v>7</v>
      </c>
      <c r="H2060">
        <v>11256.84</v>
      </c>
      <c r="I2060">
        <v>11.2</v>
      </c>
    </row>
    <row r="2061" spans="1:9" x14ac:dyDescent="0.3">
      <c r="A2061" t="s">
        <v>2076</v>
      </c>
      <c r="B2061" t="s">
        <v>10</v>
      </c>
      <c r="C2061" t="s">
        <v>14</v>
      </c>
      <c r="D2061">
        <v>50</v>
      </c>
      <c r="E2061" s="1">
        <v>44439</v>
      </c>
      <c r="F2061">
        <v>3.71</v>
      </c>
      <c r="G2061">
        <v>3</v>
      </c>
      <c r="H2061">
        <v>12475.15</v>
      </c>
      <c r="I2061">
        <v>4.2</v>
      </c>
    </row>
    <row r="2062" spans="1:9" x14ac:dyDescent="0.3">
      <c r="A2062" t="s">
        <v>2077</v>
      </c>
      <c r="B2062" t="s">
        <v>18</v>
      </c>
      <c r="C2062" t="s">
        <v>11</v>
      </c>
      <c r="D2062">
        <v>33</v>
      </c>
      <c r="E2062" s="1">
        <v>40759</v>
      </c>
      <c r="F2062">
        <v>3.97</v>
      </c>
      <c r="G2062">
        <v>6</v>
      </c>
      <c r="H2062">
        <v>6687.15</v>
      </c>
      <c r="I2062">
        <v>14.3</v>
      </c>
    </row>
    <row r="2063" spans="1:9" x14ac:dyDescent="0.3">
      <c r="A2063" t="s">
        <v>2078</v>
      </c>
      <c r="B2063" t="s">
        <v>16</v>
      </c>
      <c r="C2063" t="s">
        <v>11</v>
      </c>
      <c r="D2063">
        <v>59</v>
      </c>
      <c r="E2063" s="1">
        <v>43576</v>
      </c>
      <c r="F2063">
        <v>2.4500000000000002</v>
      </c>
      <c r="G2063">
        <v>6</v>
      </c>
      <c r="H2063">
        <v>8231.31</v>
      </c>
      <c r="I2063">
        <v>6.5</v>
      </c>
    </row>
    <row r="2064" spans="1:9" x14ac:dyDescent="0.3">
      <c r="A2064" t="s">
        <v>2079</v>
      </c>
      <c r="B2064" t="s">
        <v>34</v>
      </c>
      <c r="C2064" t="s">
        <v>14</v>
      </c>
      <c r="D2064">
        <v>31</v>
      </c>
      <c r="E2064" s="1">
        <v>41544</v>
      </c>
      <c r="F2064">
        <v>1.75</v>
      </c>
      <c r="G2064">
        <v>5</v>
      </c>
      <c r="H2064">
        <v>5940.08</v>
      </c>
      <c r="I2064">
        <v>12.1</v>
      </c>
    </row>
    <row r="2065" spans="1:9" x14ac:dyDescent="0.3">
      <c r="A2065" t="s">
        <v>2080</v>
      </c>
      <c r="B2065" t="s">
        <v>18</v>
      </c>
      <c r="C2065" t="s">
        <v>14</v>
      </c>
      <c r="D2065">
        <v>56</v>
      </c>
      <c r="E2065" s="1">
        <v>45941</v>
      </c>
      <c r="F2065">
        <v>1.88</v>
      </c>
      <c r="G2065">
        <v>7</v>
      </c>
      <c r="H2065">
        <v>14506.89</v>
      </c>
      <c r="I2065">
        <v>0.1</v>
      </c>
    </row>
    <row r="2066" spans="1:9" x14ac:dyDescent="0.3">
      <c r="A2066" t="s">
        <v>2081</v>
      </c>
      <c r="B2066" t="s">
        <v>13</v>
      </c>
      <c r="C2066" t="s">
        <v>14</v>
      </c>
      <c r="D2066">
        <v>24</v>
      </c>
      <c r="E2066" s="1">
        <v>41963</v>
      </c>
      <c r="F2066">
        <v>1.81</v>
      </c>
      <c r="G2066">
        <v>0</v>
      </c>
      <c r="H2066">
        <v>4404.6000000000004</v>
      </c>
      <c r="I2066">
        <v>11</v>
      </c>
    </row>
    <row r="2067" spans="1:9" x14ac:dyDescent="0.3">
      <c r="A2067" t="s">
        <v>2082</v>
      </c>
      <c r="B2067" t="s">
        <v>13</v>
      </c>
      <c r="C2067" t="s">
        <v>11</v>
      </c>
      <c r="D2067">
        <v>28</v>
      </c>
      <c r="E2067" s="1">
        <v>42394</v>
      </c>
      <c r="F2067">
        <v>2.57</v>
      </c>
      <c r="G2067">
        <v>11</v>
      </c>
      <c r="H2067">
        <v>14077.01</v>
      </c>
      <c r="I2067">
        <v>9.8000000000000007</v>
      </c>
    </row>
    <row r="2068" spans="1:9" x14ac:dyDescent="0.3">
      <c r="A2068" t="s">
        <v>2083</v>
      </c>
      <c r="B2068" t="s">
        <v>18</v>
      </c>
      <c r="C2068" t="s">
        <v>11</v>
      </c>
      <c r="D2068">
        <v>27</v>
      </c>
      <c r="E2068" s="1">
        <v>40433</v>
      </c>
      <c r="F2068">
        <v>4.41</v>
      </c>
      <c r="G2068">
        <v>2</v>
      </c>
      <c r="H2068">
        <v>4935.6499999999996</v>
      </c>
      <c r="I2068">
        <v>15.1</v>
      </c>
    </row>
    <row r="2069" spans="1:9" x14ac:dyDescent="0.3">
      <c r="A2069" t="s">
        <v>2084</v>
      </c>
      <c r="B2069" t="s">
        <v>10</v>
      </c>
      <c r="C2069" t="s">
        <v>11</v>
      </c>
      <c r="D2069">
        <v>30</v>
      </c>
      <c r="E2069" s="1">
        <v>40570</v>
      </c>
      <c r="F2069">
        <v>1.67</v>
      </c>
      <c r="G2069">
        <v>8</v>
      </c>
      <c r="H2069">
        <v>6190.14</v>
      </c>
      <c r="I2069">
        <v>14.8</v>
      </c>
    </row>
    <row r="2070" spans="1:9" x14ac:dyDescent="0.3">
      <c r="A2070" t="s">
        <v>2085</v>
      </c>
      <c r="B2070" t="s">
        <v>16</v>
      </c>
      <c r="C2070" t="s">
        <v>14</v>
      </c>
      <c r="D2070">
        <v>37</v>
      </c>
      <c r="E2070" s="1">
        <v>44749</v>
      </c>
      <c r="F2070">
        <v>2.12</v>
      </c>
      <c r="G2070">
        <v>11</v>
      </c>
      <c r="H2070">
        <v>4712.1499999999996</v>
      </c>
      <c r="I2070">
        <v>3.3</v>
      </c>
    </row>
    <row r="2071" spans="1:9" x14ac:dyDescent="0.3">
      <c r="A2071" t="s">
        <v>2086</v>
      </c>
      <c r="B2071" t="s">
        <v>16</v>
      </c>
      <c r="C2071" t="s">
        <v>14</v>
      </c>
      <c r="D2071">
        <v>53</v>
      </c>
      <c r="E2071" s="1">
        <v>43359</v>
      </c>
      <c r="F2071">
        <v>3</v>
      </c>
      <c r="G2071">
        <v>0</v>
      </c>
      <c r="H2071">
        <v>13806.65</v>
      </c>
      <c r="I2071">
        <v>7.1</v>
      </c>
    </row>
    <row r="2072" spans="1:9" x14ac:dyDescent="0.3">
      <c r="A2072" t="s">
        <v>2087</v>
      </c>
      <c r="B2072" t="s">
        <v>34</v>
      </c>
      <c r="C2072" t="s">
        <v>14</v>
      </c>
      <c r="D2072">
        <v>45</v>
      </c>
      <c r="E2072" s="1">
        <v>41809</v>
      </c>
      <c r="F2072">
        <v>4.46</v>
      </c>
      <c r="G2072">
        <v>13</v>
      </c>
      <c r="H2072">
        <v>6308.75</v>
      </c>
      <c r="I2072">
        <v>11.4</v>
      </c>
    </row>
    <row r="2073" spans="1:9" x14ac:dyDescent="0.3">
      <c r="A2073" t="s">
        <v>2088</v>
      </c>
      <c r="B2073" t="s">
        <v>13</v>
      </c>
      <c r="C2073" t="s">
        <v>11</v>
      </c>
      <c r="D2073">
        <v>43</v>
      </c>
      <c r="E2073" s="1">
        <v>45655</v>
      </c>
      <c r="F2073">
        <v>4.8099999999999996</v>
      </c>
      <c r="G2073">
        <v>6</v>
      </c>
      <c r="H2073">
        <v>8512.86</v>
      </c>
      <c r="I2073">
        <v>0.8</v>
      </c>
    </row>
    <row r="2074" spans="1:9" x14ac:dyDescent="0.3">
      <c r="A2074" t="s">
        <v>2089</v>
      </c>
      <c r="B2074" t="s">
        <v>10</v>
      </c>
      <c r="C2074" t="s">
        <v>11</v>
      </c>
      <c r="D2074">
        <v>44</v>
      </c>
      <c r="E2074" s="1">
        <v>41006</v>
      </c>
      <c r="F2074">
        <v>3.48</v>
      </c>
      <c r="G2074">
        <v>3</v>
      </c>
      <c r="H2074">
        <v>14303.87</v>
      </c>
      <c r="I2074">
        <v>13.6</v>
      </c>
    </row>
    <row r="2075" spans="1:9" x14ac:dyDescent="0.3">
      <c r="A2075" t="s">
        <v>2090</v>
      </c>
      <c r="B2075" t="s">
        <v>18</v>
      </c>
      <c r="C2075" t="s">
        <v>14</v>
      </c>
      <c r="D2075">
        <v>36</v>
      </c>
      <c r="E2075" s="1">
        <v>41632</v>
      </c>
      <c r="F2075">
        <v>4.82</v>
      </c>
      <c r="G2075">
        <v>7</v>
      </c>
      <c r="H2075">
        <v>13234.64</v>
      </c>
      <c r="I2075">
        <v>11.9</v>
      </c>
    </row>
    <row r="2076" spans="1:9" x14ac:dyDescent="0.3">
      <c r="A2076" t="s">
        <v>2091</v>
      </c>
      <c r="B2076" t="s">
        <v>16</v>
      </c>
      <c r="C2076" t="s">
        <v>11</v>
      </c>
      <c r="D2076">
        <v>25</v>
      </c>
      <c r="E2076" s="1">
        <v>43468</v>
      </c>
      <c r="F2076">
        <v>1.59</v>
      </c>
      <c r="G2076">
        <v>15</v>
      </c>
      <c r="H2076">
        <v>5795.23</v>
      </c>
      <c r="I2076">
        <v>6.8</v>
      </c>
    </row>
    <row r="2077" spans="1:9" x14ac:dyDescent="0.3">
      <c r="A2077" t="s">
        <v>2092</v>
      </c>
      <c r="B2077" t="s">
        <v>10</v>
      </c>
      <c r="C2077" t="s">
        <v>14</v>
      </c>
      <c r="D2077">
        <v>51</v>
      </c>
      <c r="E2077" s="1">
        <v>43450</v>
      </c>
      <c r="F2077">
        <v>3.32</v>
      </c>
      <c r="G2077">
        <v>13</v>
      </c>
      <c r="H2077">
        <v>11946.55</v>
      </c>
      <c r="I2077">
        <v>6.9</v>
      </c>
    </row>
    <row r="2078" spans="1:9" x14ac:dyDescent="0.3">
      <c r="A2078" t="s">
        <v>2093</v>
      </c>
      <c r="B2078" t="s">
        <v>34</v>
      </c>
      <c r="C2078" t="s">
        <v>14</v>
      </c>
      <c r="D2078">
        <v>28</v>
      </c>
      <c r="E2078" s="1">
        <v>42163</v>
      </c>
      <c r="F2078">
        <v>4.13</v>
      </c>
      <c r="G2078">
        <v>0</v>
      </c>
      <c r="H2078">
        <v>14259.73</v>
      </c>
      <c r="I2078">
        <v>10.4</v>
      </c>
    </row>
    <row r="2079" spans="1:9" x14ac:dyDescent="0.3">
      <c r="A2079" t="s">
        <v>2094</v>
      </c>
      <c r="B2079" t="s">
        <v>10</v>
      </c>
      <c r="C2079" t="s">
        <v>14</v>
      </c>
      <c r="D2079">
        <v>34</v>
      </c>
      <c r="E2079" s="1">
        <v>42055</v>
      </c>
      <c r="F2079">
        <v>2.37</v>
      </c>
      <c r="G2079">
        <v>11</v>
      </c>
      <c r="H2079">
        <v>6939.8</v>
      </c>
      <c r="I2079">
        <v>10.7</v>
      </c>
    </row>
    <row r="2080" spans="1:9" x14ac:dyDescent="0.3">
      <c r="A2080" t="s">
        <v>2095</v>
      </c>
      <c r="B2080" t="s">
        <v>16</v>
      </c>
      <c r="C2080" t="s">
        <v>14</v>
      </c>
      <c r="D2080">
        <v>54</v>
      </c>
      <c r="E2080" s="1">
        <v>44142</v>
      </c>
      <c r="F2080">
        <v>2.93</v>
      </c>
      <c r="G2080">
        <v>1</v>
      </c>
      <c r="H2080">
        <v>13362.03</v>
      </c>
      <c r="I2080">
        <v>5</v>
      </c>
    </row>
    <row r="2081" spans="1:9" x14ac:dyDescent="0.3">
      <c r="A2081" t="s">
        <v>2096</v>
      </c>
      <c r="B2081" t="s">
        <v>24</v>
      </c>
      <c r="C2081" t="s">
        <v>14</v>
      </c>
      <c r="D2081">
        <v>43</v>
      </c>
      <c r="E2081" s="1">
        <v>44443</v>
      </c>
      <c r="F2081">
        <v>3.68</v>
      </c>
      <c r="G2081">
        <v>3</v>
      </c>
      <c r="H2081">
        <v>9759.83</v>
      </c>
      <c r="I2081">
        <v>4.2</v>
      </c>
    </row>
    <row r="2082" spans="1:9" x14ac:dyDescent="0.3">
      <c r="A2082" t="s">
        <v>2097</v>
      </c>
      <c r="B2082" t="s">
        <v>24</v>
      </c>
      <c r="C2082" t="s">
        <v>11</v>
      </c>
      <c r="D2082">
        <v>50</v>
      </c>
      <c r="E2082" s="1">
        <v>45792</v>
      </c>
      <c r="F2082">
        <v>2.85</v>
      </c>
      <c r="G2082">
        <v>0</v>
      </c>
      <c r="H2082">
        <v>13167.91</v>
      </c>
      <c r="I2082">
        <v>0.5</v>
      </c>
    </row>
    <row r="2083" spans="1:9" x14ac:dyDescent="0.3">
      <c r="A2083" t="s">
        <v>2098</v>
      </c>
      <c r="B2083" t="s">
        <v>24</v>
      </c>
      <c r="C2083" t="s">
        <v>14</v>
      </c>
      <c r="D2083">
        <v>53</v>
      </c>
      <c r="E2083" s="1">
        <v>45471</v>
      </c>
      <c r="F2083">
        <v>3.69</v>
      </c>
      <c r="G2083">
        <v>15</v>
      </c>
      <c r="H2083">
        <v>6113.34</v>
      </c>
      <c r="I2083">
        <v>1.3</v>
      </c>
    </row>
    <row r="2084" spans="1:9" x14ac:dyDescent="0.3">
      <c r="A2084" t="s">
        <v>2099</v>
      </c>
      <c r="B2084" t="s">
        <v>10</v>
      </c>
      <c r="C2084" t="s">
        <v>11</v>
      </c>
      <c r="D2084">
        <v>44</v>
      </c>
      <c r="E2084" s="1">
        <v>42581</v>
      </c>
      <c r="F2084">
        <v>2.46</v>
      </c>
      <c r="G2084">
        <v>11</v>
      </c>
      <c r="H2084">
        <v>13950.73</v>
      </c>
      <c r="I2084">
        <v>9.3000000000000007</v>
      </c>
    </row>
    <row r="2085" spans="1:9" x14ac:dyDescent="0.3">
      <c r="A2085" t="s">
        <v>2100</v>
      </c>
      <c r="B2085" t="s">
        <v>24</v>
      </c>
      <c r="C2085" t="s">
        <v>14</v>
      </c>
      <c r="D2085">
        <v>32</v>
      </c>
      <c r="E2085" s="1">
        <v>44114</v>
      </c>
      <c r="F2085">
        <v>3.57</v>
      </c>
      <c r="G2085">
        <v>4</v>
      </c>
      <c r="H2085">
        <v>11161.22</v>
      </c>
      <c r="I2085">
        <v>5.0999999999999996</v>
      </c>
    </row>
    <row r="2086" spans="1:9" x14ac:dyDescent="0.3">
      <c r="A2086" t="s">
        <v>2101</v>
      </c>
      <c r="B2086" t="s">
        <v>24</v>
      </c>
      <c r="C2086" t="s">
        <v>14</v>
      </c>
      <c r="D2086">
        <v>52</v>
      </c>
      <c r="E2086" s="1">
        <v>41355</v>
      </c>
      <c r="F2086">
        <v>3.06</v>
      </c>
      <c r="G2086">
        <v>4</v>
      </c>
      <c r="H2086">
        <v>13354.65</v>
      </c>
      <c r="I2086">
        <v>12.6</v>
      </c>
    </row>
    <row r="2087" spans="1:9" x14ac:dyDescent="0.3">
      <c r="A2087" t="s">
        <v>2102</v>
      </c>
      <c r="B2087" t="s">
        <v>18</v>
      </c>
      <c r="C2087" t="s">
        <v>14</v>
      </c>
      <c r="D2087">
        <v>26</v>
      </c>
      <c r="E2087" s="1">
        <v>43002</v>
      </c>
      <c r="F2087">
        <v>4.07</v>
      </c>
      <c r="G2087">
        <v>11</v>
      </c>
      <c r="H2087">
        <v>12738.46</v>
      </c>
      <c r="I2087">
        <v>8.1</v>
      </c>
    </row>
    <row r="2088" spans="1:9" x14ac:dyDescent="0.3">
      <c r="A2088" t="s">
        <v>2103</v>
      </c>
      <c r="B2088" t="s">
        <v>10</v>
      </c>
      <c r="C2088" t="s">
        <v>11</v>
      </c>
      <c r="D2088">
        <v>53</v>
      </c>
      <c r="E2088" s="1">
        <v>42860</v>
      </c>
      <c r="F2088">
        <v>3.03</v>
      </c>
      <c r="G2088">
        <v>13</v>
      </c>
      <c r="H2088">
        <v>9157.3799999999992</v>
      </c>
      <c r="I2088">
        <v>8.5</v>
      </c>
    </row>
    <row r="2089" spans="1:9" x14ac:dyDescent="0.3">
      <c r="A2089" t="s">
        <v>2104</v>
      </c>
      <c r="B2089" t="s">
        <v>18</v>
      </c>
      <c r="C2089" t="s">
        <v>14</v>
      </c>
      <c r="D2089">
        <v>49</v>
      </c>
      <c r="E2089" s="1">
        <v>40263</v>
      </c>
      <c r="F2089">
        <v>3.75</v>
      </c>
      <c r="G2089">
        <v>5</v>
      </c>
      <c r="H2089">
        <v>5419.46</v>
      </c>
      <c r="I2089">
        <v>15.6</v>
      </c>
    </row>
    <row r="2090" spans="1:9" x14ac:dyDescent="0.3">
      <c r="A2090" t="s">
        <v>2105</v>
      </c>
      <c r="B2090" t="s">
        <v>24</v>
      </c>
      <c r="C2090" t="s">
        <v>14</v>
      </c>
      <c r="D2090">
        <v>46</v>
      </c>
      <c r="E2090" s="1">
        <v>41505</v>
      </c>
      <c r="F2090">
        <v>3.16</v>
      </c>
      <c r="G2090">
        <v>4</v>
      </c>
      <c r="H2090">
        <v>9437.99</v>
      </c>
      <c r="I2090">
        <v>12.2</v>
      </c>
    </row>
    <row r="2091" spans="1:9" x14ac:dyDescent="0.3">
      <c r="A2091" t="s">
        <v>2106</v>
      </c>
      <c r="B2091" t="s">
        <v>18</v>
      </c>
      <c r="C2091" t="s">
        <v>14</v>
      </c>
      <c r="D2091">
        <v>48</v>
      </c>
      <c r="E2091" s="1">
        <v>41200</v>
      </c>
      <c r="F2091">
        <v>4.84</v>
      </c>
      <c r="G2091">
        <v>2</v>
      </c>
      <c r="H2091">
        <v>12817.32</v>
      </c>
      <c r="I2091">
        <v>13</v>
      </c>
    </row>
    <row r="2092" spans="1:9" x14ac:dyDescent="0.3">
      <c r="A2092" t="s">
        <v>2107</v>
      </c>
      <c r="B2092" t="s">
        <v>13</v>
      </c>
      <c r="C2092" t="s">
        <v>14</v>
      </c>
      <c r="D2092">
        <v>56</v>
      </c>
      <c r="E2092" s="1">
        <v>45106</v>
      </c>
      <c r="F2092">
        <v>4.2300000000000004</v>
      </c>
      <c r="G2092">
        <v>1</v>
      </c>
      <c r="H2092">
        <v>5030.88</v>
      </c>
      <c r="I2092">
        <v>2.2999999999999998</v>
      </c>
    </row>
    <row r="2093" spans="1:9" x14ac:dyDescent="0.3">
      <c r="A2093" t="s">
        <v>2108</v>
      </c>
      <c r="B2093" t="s">
        <v>13</v>
      </c>
      <c r="C2093" t="s">
        <v>11</v>
      </c>
      <c r="D2093">
        <v>42</v>
      </c>
      <c r="E2093" s="1">
        <v>41282</v>
      </c>
      <c r="F2093">
        <v>3.8</v>
      </c>
      <c r="G2093">
        <v>11</v>
      </c>
      <c r="H2093">
        <v>5210.3999999999996</v>
      </c>
      <c r="I2093">
        <v>12.8</v>
      </c>
    </row>
    <row r="2094" spans="1:9" x14ac:dyDescent="0.3">
      <c r="A2094" t="s">
        <v>2109</v>
      </c>
      <c r="B2094" t="s">
        <v>16</v>
      </c>
      <c r="C2094" t="s">
        <v>11</v>
      </c>
      <c r="D2094">
        <v>36</v>
      </c>
      <c r="E2094" s="1">
        <v>45676</v>
      </c>
      <c r="F2094">
        <v>4.95</v>
      </c>
      <c r="G2094">
        <v>15</v>
      </c>
      <c r="H2094">
        <v>14619.38</v>
      </c>
      <c r="I2094">
        <v>0.8</v>
      </c>
    </row>
    <row r="2095" spans="1:9" x14ac:dyDescent="0.3">
      <c r="A2095" t="s">
        <v>2110</v>
      </c>
      <c r="B2095" t="s">
        <v>13</v>
      </c>
      <c r="C2095" t="s">
        <v>14</v>
      </c>
      <c r="D2095">
        <v>42</v>
      </c>
      <c r="E2095" s="1">
        <v>41223</v>
      </c>
      <c r="F2095">
        <v>2.5099999999999998</v>
      </c>
      <c r="G2095">
        <v>11</v>
      </c>
      <c r="H2095">
        <v>8691.69</v>
      </c>
      <c r="I2095">
        <v>13</v>
      </c>
    </row>
    <row r="2096" spans="1:9" x14ac:dyDescent="0.3">
      <c r="A2096" t="s">
        <v>2111</v>
      </c>
      <c r="B2096" t="s">
        <v>34</v>
      </c>
      <c r="C2096" t="s">
        <v>11</v>
      </c>
      <c r="D2096">
        <v>48</v>
      </c>
      <c r="E2096" s="1">
        <v>44741</v>
      </c>
      <c r="F2096">
        <v>2.27</v>
      </c>
      <c r="G2096">
        <v>10</v>
      </c>
      <c r="H2096">
        <v>12932.4</v>
      </c>
      <c r="I2096">
        <v>3.3</v>
      </c>
    </row>
    <row r="2097" spans="1:9" x14ac:dyDescent="0.3">
      <c r="A2097" t="s">
        <v>2112</v>
      </c>
      <c r="B2097" t="s">
        <v>18</v>
      </c>
      <c r="C2097" t="s">
        <v>14</v>
      </c>
      <c r="D2097">
        <v>33</v>
      </c>
      <c r="E2097" s="1">
        <v>41471</v>
      </c>
      <c r="F2097">
        <v>4.59</v>
      </c>
      <c r="G2097">
        <v>15</v>
      </c>
      <c r="H2097">
        <v>12770.08</v>
      </c>
      <c r="I2097">
        <v>12.3</v>
      </c>
    </row>
    <row r="2098" spans="1:9" x14ac:dyDescent="0.3">
      <c r="A2098" t="s">
        <v>2113</v>
      </c>
      <c r="B2098" t="s">
        <v>18</v>
      </c>
      <c r="C2098" t="s">
        <v>11</v>
      </c>
      <c r="D2098">
        <v>58</v>
      </c>
      <c r="E2098" s="1">
        <v>45009</v>
      </c>
      <c r="F2098">
        <v>2.12</v>
      </c>
      <c r="G2098">
        <v>14</v>
      </c>
      <c r="H2098">
        <v>12938.64</v>
      </c>
      <c r="I2098">
        <v>2.6</v>
      </c>
    </row>
    <row r="2099" spans="1:9" x14ac:dyDescent="0.3">
      <c r="A2099" t="s">
        <v>2114</v>
      </c>
      <c r="B2099" t="s">
        <v>10</v>
      </c>
      <c r="C2099" t="s">
        <v>11</v>
      </c>
      <c r="D2099">
        <v>35</v>
      </c>
      <c r="E2099" s="1">
        <v>40885</v>
      </c>
      <c r="F2099">
        <v>2.9</v>
      </c>
      <c r="G2099">
        <v>3</v>
      </c>
      <c r="H2099">
        <v>6532.06</v>
      </c>
      <c r="I2099">
        <v>13.9</v>
      </c>
    </row>
    <row r="2100" spans="1:9" x14ac:dyDescent="0.3">
      <c r="A2100" t="s">
        <v>2115</v>
      </c>
      <c r="B2100" t="s">
        <v>18</v>
      </c>
      <c r="C2100" t="s">
        <v>14</v>
      </c>
      <c r="D2100">
        <v>46</v>
      </c>
      <c r="E2100" s="1">
        <v>42246</v>
      </c>
      <c r="F2100">
        <v>3.95</v>
      </c>
      <c r="G2100">
        <v>5</v>
      </c>
      <c r="H2100">
        <v>5933.91</v>
      </c>
      <c r="I2100">
        <v>10.199999999999999</v>
      </c>
    </row>
    <row r="2101" spans="1:9" x14ac:dyDescent="0.3">
      <c r="A2101" t="s">
        <v>2116</v>
      </c>
      <c r="B2101" t="s">
        <v>34</v>
      </c>
      <c r="C2101" t="s">
        <v>14</v>
      </c>
      <c r="D2101">
        <v>41</v>
      </c>
      <c r="E2101" s="1">
        <v>40360</v>
      </c>
      <c r="F2101">
        <v>4.22</v>
      </c>
      <c r="G2101">
        <v>6</v>
      </c>
      <c r="H2101">
        <v>12848.91</v>
      </c>
      <c r="I2101">
        <v>15.3</v>
      </c>
    </row>
    <row r="2102" spans="1:9" x14ac:dyDescent="0.3">
      <c r="A2102" t="s">
        <v>2117</v>
      </c>
      <c r="B2102" t="s">
        <v>13</v>
      </c>
      <c r="C2102" t="s">
        <v>14</v>
      </c>
      <c r="D2102">
        <v>42</v>
      </c>
      <c r="E2102" s="1">
        <v>44660</v>
      </c>
      <c r="F2102">
        <v>3.34</v>
      </c>
      <c r="G2102">
        <v>8</v>
      </c>
      <c r="H2102">
        <v>11324.62</v>
      </c>
      <c r="I2102">
        <v>3.6</v>
      </c>
    </row>
    <row r="2103" spans="1:9" x14ac:dyDescent="0.3">
      <c r="A2103" t="s">
        <v>2118</v>
      </c>
      <c r="B2103" t="s">
        <v>13</v>
      </c>
      <c r="C2103" t="s">
        <v>11</v>
      </c>
      <c r="D2103">
        <v>42</v>
      </c>
      <c r="E2103" s="1">
        <v>41660</v>
      </c>
      <c r="F2103">
        <v>3.56</v>
      </c>
      <c r="G2103">
        <v>15</v>
      </c>
      <c r="H2103">
        <v>8174.86</v>
      </c>
      <c r="I2103">
        <v>11.8</v>
      </c>
    </row>
    <row r="2104" spans="1:9" x14ac:dyDescent="0.3">
      <c r="A2104" t="s">
        <v>2119</v>
      </c>
      <c r="B2104" t="s">
        <v>13</v>
      </c>
      <c r="C2104" t="s">
        <v>11</v>
      </c>
      <c r="D2104">
        <v>55</v>
      </c>
      <c r="E2104" s="1">
        <v>43643</v>
      </c>
      <c r="F2104">
        <v>3.46</v>
      </c>
      <c r="G2104">
        <v>7</v>
      </c>
      <c r="H2104">
        <v>11152.05</v>
      </c>
      <c r="I2104">
        <v>6.4</v>
      </c>
    </row>
    <row r="2105" spans="1:9" x14ac:dyDescent="0.3">
      <c r="A2105" t="s">
        <v>2120</v>
      </c>
      <c r="B2105" t="s">
        <v>24</v>
      </c>
      <c r="C2105" t="s">
        <v>11</v>
      </c>
      <c r="D2105">
        <v>34</v>
      </c>
      <c r="E2105" s="1">
        <v>43185</v>
      </c>
      <c r="F2105">
        <v>4.59</v>
      </c>
      <c r="G2105">
        <v>0</v>
      </c>
      <c r="H2105">
        <v>9711.4699999999993</v>
      </c>
      <c r="I2105">
        <v>7.6</v>
      </c>
    </row>
    <row r="2106" spans="1:9" x14ac:dyDescent="0.3">
      <c r="A2106" t="s">
        <v>2121</v>
      </c>
      <c r="B2106" t="s">
        <v>18</v>
      </c>
      <c r="C2106" t="s">
        <v>11</v>
      </c>
      <c r="D2106">
        <v>59</v>
      </c>
      <c r="E2106" s="1">
        <v>45013</v>
      </c>
      <c r="F2106">
        <v>2.4900000000000002</v>
      </c>
      <c r="G2106">
        <v>7</v>
      </c>
      <c r="H2106">
        <v>14960.47</v>
      </c>
      <c r="I2106">
        <v>2.6</v>
      </c>
    </row>
    <row r="2107" spans="1:9" x14ac:dyDescent="0.3">
      <c r="A2107" t="s">
        <v>2122</v>
      </c>
      <c r="B2107" t="s">
        <v>10</v>
      </c>
      <c r="C2107" t="s">
        <v>11</v>
      </c>
      <c r="D2107">
        <v>27</v>
      </c>
      <c r="E2107" s="1">
        <v>40414</v>
      </c>
      <c r="F2107">
        <v>3.44</v>
      </c>
      <c r="G2107">
        <v>13</v>
      </c>
      <c r="H2107">
        <v>7768.35</v>
      </c>
      <c r="I2107">
        <v>15.2</v>
      </c>
    </row>
    <row r="2108" spans="1:9" x14ac:dyDescent="0.3">
      <c r="A2108" t="s">
        <v>2123</v>
      </c>
      <c r="B2108" t="s">
        <v>10</v>
      </c>
      <c r="C2108" t="s">
        <v>11</v>
      </c>
      <c r="D2108">
        <v>53</v>
      </c>
      <c r="E2108" s="1">
        <v>43839</v>
      </c>
      <c r="F2108">
        <v>2.9</v>
      </c>
      <c r="G2108">
        <v>5</v>
      </c>
      <c r="H2108">
        <v>6380.41</v>
      </c>
      <c r="I2108">
        <v>5.8</v>
      </c>
    </row>
    <row r="2109" spans="1:9" x14ac:dyDescent="0.3">
      <c r="A2109" t="s">
        <v>2124</v>
      </c>
      <c r="B2109" t="s">
        <v>18</v>
      </c>
      <c r="C2109" t="s">
        <v>14</v>
      </c>
      <c r="D2109">
        <v>55</v>
      </c>
      <c r="E2109" s="1">
        <v>43575</v>
      </c>
      <c r="F2109">
        <v>3.88</v>
      </c>
      <c r="G2109">
        <v>3</v>
      </c>
      <c r="H2109">
        <v>6175.28</v>
      </c>
      <c r="I2109">
        <v>6.5</v>
      </c>
    </row>
    <row r="2110" spans="1:9" x14ac:dyDescent="0.3">
      <c r="A2110" t="s">
        <v>2125</v>
      </c>
      <c r="B2110" t="s">
        <v>16</v>
      </c>
      <c r="C2110" t="s">
        <v>14</v>
      </c>
      <c r="D2110">
        <v>48</v>
      </c>
      <c r="E2110" s="1">
        <v>42699</v>
      </c>
      <c r="F2110">
        <v>3.73</v>
      </c>
      <c r="G2110">
        <v>5</v>
      </c>
      <c r="H2110">
        <v>10997.27</v>
      </c>
      <c r="I2110">
        <v>8.9</v>
      </c>
    </row>
    <row r="2111" spans="1:9" x14ac:dyDescent="0.3">
      <c r="A2111" t="s">
        <v>2126</v>
      </c>
      <c r="B2111" t="s">
        <v>18</v>
      </c>
      <c r="C2111" t="s">
        <v>11</v>
      </c>
      <c r="D2111">
        <v>59</v>
      </c>
      <c r="E2111" s="1">
        <v>43551</v>
      </c>
      <c r="F2111">
        <v>3.28</v>
      </c>
      <c r="G2111">
        <v>1</v>
      </c>
      <c r="H2111">
        <v>4235.21</v>
      </c>
      <c r="I2111">
        <v>6.6</v>
      </c>
    </row>
    <row r="2112" spans="1:9" x14ac:dyDescent="0.3">
      <c r="A2112" t="s">
        <v>2127</v>
      </c>
      <c r="B2112" t="s">
        <v>10</v>
      </c>
      <c r="C2112" t="s">
        <v>14</v>
      </c>
      <c r="D2112">
        <v>57</v>
      </c>
      <c r="E2112" s="1">
        <v>42765</v>
      </c>
      <c r="F2112">
        <v>3.15</v>
      </c>
      <c r="G2112">
        <v>1</v>
      </c>
      <c r="H2112">
        <v>6511.27</v>
      </c>
      <c r="I2112">
        <v>8.8000000000000007</v>
      </c>
    </row>
    <row r="2113" spans="1:9" x14ac:dyDescent="0.3">
      <c r="A2113" t="s">
        <v>2128</v>
      </c>
      <c r="B2113" t="s">
        <v>13</v>
      </c>
      <c r="C2113" t="s">
        <v>14</v>
      </c>
      <c r="D2113">
        <v>48</v>
      </c>
      <c r="E2113" s="1">
        <v>45021</v>
      </c>
      <c r="F2113">
        <v>2.2400000000000002</v>
      </c>
      <c r="G2113">
        <v>15</v>
      </c>
      <c r="H2113">
        <v>4186.1899999999996</v>
      </c>
      <c r="I2113">
        <v>2.6</v>
      </c>
    </row>
    <row r="2114" spans="1:9" x14ac:dyDescent="0.3">
      <c r="A2114" t="s">
        <v>2129</v>
      </c>
      <c r="B2114" t="s">
        <v>24</v>
      </c>
      <c r="C2114" t="s">
        <v>14</v>
      </c>
      <c r="D2114">
        <v>51</v>
      </c>
      <c r="E2114" s="1">
        <v>42941</v>
      </c>
      <c r="F2114">
        <v>3.2</v>
      </c>
      <c r="G2114">
        <v>9</v>
      </c>
      <c r="H2114">
        <v>14255.19</v>
      </c>
      <c r="I2114">
        <v>8.3000000000000007</v>
      </c>
    </row>
    <row r="2115" spans="1:9" x14ac:dyDescent="0.3">
      <c r="A2115" t="s">
        <v>2130</v>
      </c>
      <c r="B2115" t="s">
        <v>24</v>
      </c>
      <c r="C2115" t="s">
        <v>11</v>
      </c>
      <c r="D2115">
        <v>44</v>
      </c>
      <c r="E2115" s="1">
        <v>44770</v>
      </c>
      <c r="F2115">
        <v>4.82</v>
      </c>
      <c r="G2115">
        <v>4</v>
      </c>
      <c r="H2115">
        <v>5030.75</v>
      </c>
      <c r="I2115">
        <v>3.3</v>
      </c>
    </row>
    <row r="2116" spans="1:9" x14ac:dyDescent="0.3">
      <c r="A2116" t="s">
        <v>2131</v>
      </c>
      <c r="B2116" t="s">
        <v>34</v>
      </c>
      <c r="C2116" t="s">
        <v>11</v>
      </c>
      <c r="D2116">
        <v>37</v>
      </c>
      <c r="E2116" s="1">
        <v>43422</v>
      </c>
      <c r="F2116">
        <v>2.72</v>
      </c>
      <c r="G2116">
        <v>1</v>
      </c>
      <c r="H2116">
        <v>11964.94</v>
      </c>
      <c r="I2116">
        <v>7</v>
      </c>
    </row>
    <row r="2117" spans="1:9" x14ac:dyDescent="0.3">
      <c r="A2117" t="s">
        <v>2132</v>
      </c>
      <c r="B2117" t="s">
        <v>18</v>
      </c>
      <c r="C2117" t="s">
        <v>14</v>
      </c>
      <c r="D2117">
        <v>58</v>
      </c>
      <c r="E2117" s="1">
        <v>43739</v>
      </c>
      <c r="F2117">
        <v>2.34</v>
      </c>
      <c r="G2117">
        <v>11</v>
      </c>
      <c r="H2117">
        <v>3518.8</v>
      </c>
      <c r="I2117">
        <v>6.1</v>
      </c>
    </row>
    <row r="2118" spans="1:9" x14ac:dyDescent="0.3">
      <c r="A2118" t="s">
        <v>2133</v>
      </c>
      <c r="B2118" t="s">
        <v>16</v>
      </c>
      <c r="C2118" t="s">
        <v>14</v>
      </c>
      <c r="D2118">
        <v>30</v>
      </c>
      <c r="E2118" s="1">
        <v>41864</v>
      </c>
      <c r="F2118">
        <v>4.01</v>
      </c>
      <c r="G2118">
        <v>7</v>
      </c>
      <c r="H2118">
        <v>9282.18</v>
      </c>
      <c r="I2118">
        <v>11.2</v>
      </c>
    </row>
    <row r="2119" spans="1:9" x14ac:dyDescent="0.3">
      <c r="A2119" t="s">
        <v>2134</v>
      </c>
      <c r="B2119" t="s">
        <v>24</v>
      </c>
      <c r="C2119" t="s">
        <v>11</v>
      </c>
      <c r="D2119">
        <v>54</v>
      </c>
      <c r="E2119" s="1">
        <v>44433</v>
      </c>
      <c r="F2119">
        <v>4.76</v>
      </c>
      <c r="G2119">
        <v>5</v>
      </c>
      <c r="H2119">
        <v>7128.81</v>
      </c>
      <c r="I2119">
        <v>4.2</v>
      </c>
    </row>
    <row r="2120" spans="1:9" x14ac:dyDescent="0.3">
      <c r="A2120" t="s">
        <v>2135</v>
      </c>
      <c r="B2120" t="s">
        <v>24</v>
      </c>
      <c r="C2120" t="s">
        <v>14</v>
      </c>
      <c r="D2120">
        <v>47</v>
      </c>
      <c r="E2120" s="1">
        <v>45194</v>
      </c>
      <c r="F2120">
        <v>1.71</v>
      </c>
      <c r="G2120">
        <v>1</v>
      </c>
      <c r="H2120">
        <v>4127.7299999999996</v>
      </c>
      <c r="I2120">
        <v>2.1</v>
      </c>
    </row>
    <row r="2121" spans="1:9" x14ac:dyDescent="0.3">
      <c r="A2121" t="s">
        <v>2136</v>
      </c>
      <c r="B2121" t="s">
        <v>16</v>
      </c>
      <c r="C2121" t="s">
        <v>11</v>
      </c>
      <c r="D2121">
        <v>59</v>
      </c>
      <c r="E2121" s="1">
        <v>44887</v>
      </c>
      <c r="F2121">
        <v>1.92</v>
      </c>
      <c r="G2121">
        <v>10</v>
      </c>
      <c r="H2121">
        <v>12436.25</v>
      </c>
      <c r="I2121">
        <v>2.9</v>
      </c>
    </row>
    <row r="2122" spans="1:9" x14ac:dyDescent="0.3">
      <c r="A2122" t="s">
        <v>2137</v>
      </c>
      <c r="B2122" t="s">
        <v>13</v>
      </c>
      <c r="C2122" t="s">
        <v>11</v>
      </c>
      <c r="D2122">
        <v>56</v>
      </c>
      <c r="E2122" s="1">
        <v>44392</v>
      </c>
      <c r="F2122">
        <v>2.4500000000000002</v>
      </c>
      <c r="G2122">
        <v>8</v>
      </c>
      <c r="H2122">
        <v>8179.43</v>
      </c>
      <c r="I2122">
        <v>4.3</v>
      </c>
    </row>
    <row r="2123" spans="1:9" x14ac:dyDescent="0.3">
      <c r="A2123" t="s">
        <v>2138</v>
      </c>
      <c r="B2123" t="s">
        <v>18</v>
      </c>
      <c r="C2123" t="s">
        <v>14</v>
      </c>
      <c r="D2123">
        <v>33</v>
      </c>
      <c r="E2123" s="1">
        <v>40494</v>
      </c>
      <c r="F2123">
        <v>3.68</v>
      </c>
      <c r="G2123">
        <v>8</v>
      </c>
      <c r="H2123">
        <v>4512.5</v>
      </c>
      <c r="I2123">
        <v>15</v>
      </c>
    </row>
    <row r="2124" spans="1:9" x14ac:dyDescent="0.3">
      <c r="A2124" t="s">
        <v>2139</v>
      </c>
      <c r="B2124" t="s">
        <v>10</v>
      </c>
      <c r="C2124" t="s">
        <v>11</v>
      </c>
      <c r="D2124">
        <v>33</v>
      </c>
      <c r="E2124" s="1">
        <v>41252</v>
      </c>
      <c r="F2124">
        <v>1.89</v>
      </c>
      <c r="G2124">
        <v>10</v>
      </c>
      <c r="H2124">
        <v>14135.06</v>
      </c>
      <c r="I2124">
        <v>12.9</v>
      </c>
    </row>
    <row r="2125" spans="1:9" x14ac:dyDescent="0.3">
      <c r="A2125" t="s">
        <v>2140</v>
      </c>
      <c r="B2125" t="s">
        <v>16</v>
      </c>
      <c r="C2125" t="s">
        <v>11</v>
      </c>
      <c r="D2125">
        <v>57</v>
      </c>
      <c r="E2125" s="1">
        <v>44150</v>
      </c>
      <c r="F2125">
        <v>4.96</v>
      </c>
      <c r="G2125">
        <v>9</v>
      </c>
      <c r="H2125">
        <v>3298.19</v>
      </c>
      <c r="I2125">
        <v>5</v>
      </c>
    </row>
    <row r="2126" spans="1:9" x14ac:dyDescent="0.3">
      <c r="A2126" t="s">
        <v>2141</v>
      </c>
      <c r="B2126" t="s">
        <v>10</v>
      </c>
      <c r="C2126" t="s">
        <v>11</v>
      </c>
      <c r="D2126">
        <v>59</v>
      </c>
      <c r="E2126" s="1">
        <v>41855</v>
      </c>
      <c r="F2126">
        <v>3.73</v>
      </c>
      <c r="G2126">
        <v>1</v>
      </c>
      <c r="H2126">
        <v>3233.46</v>
      </c>
      <c r="I2126">
        <v>11.3</v>
      </c>
    </row>
    <row r="2127" spans="1:9" x14ac:dyDescent="0.3">
      <c r="A2127" t="s">
        <v>2142</v>
      </c>
      <c r="B2127" t="s">
        <v>18</v>
      </c>
      <c r="C2127" t="s">
        <v>14</v>
      </c>
      <c r="D2127">
        <v>50</v>
      </c>
      <c r="E2127" s="1">
        <v>40483</v>
      </c>
      <c r="F2127">
        <v>1.75</v>
      </c>
      <c r="G2127">
        <v>10</v>
      </c>
      <c r="H2127">
        <v>14697.81</v>
      </c>
      <c r="I2127">
        <v>15</v>
      </c>
    </row>
    <row r="2128" spans="1:9" x14ac:dyDescent="0.3">
      <c r="A2128" t="s">
        <v>2143</v>
      </c>
      <c r="B2128" t="s">
        <v>34</v>
      </c>
      <c r="C2128" t="s">
        <v>11</v>
      </c>
      <c r="D2128">
        <v>29</v>
      </c>
      <c r="E2128" s="1">
        <v>43451</v>
      </c>
      <c r="F2128">
        <v>4.41</v>
      </c>
      <c r="G2128">
        <v>3</v>
      </c>
      <c r="H2128">
        <v>5085.01</v>
      </c>
      <c r="I2128">
        <v>6.9</v>
      </c>
    </row>
    <row r="2129" spans="1:9" x14ac:dyDescent="0.3">
      <c r="A2129" t="s">
        <v>2144</v>
      </c>
      <c r="B2129" t="s">
        <v>18</v>
      </c>
      <c r="C2129" t="s">
        <v>14</v>
      </c>
      <c r="D2129">
        <v>41</v>
      </c>
      <c r="E2129" s="1">
        <v>42318</v>
      </c>
      <c r="F2129">
        <v>2.63</v>
      </c>
      <c r="G2129">
        <v>15</v>
      </c>
      <c r="H2129">
        <v>14432.49</v>
      </c>
      <c r="I2129">
        <v>10</v>
      </c>
    </row>
    <row r="2130" spans="1:9" x14ac:dyDescent="0.3">
      <c r="A2130" t="s">
        <v>2145</v>
      </c>
      <c r="B2130" t="s">
        <v>18</v>
      </c>
      <c r="C2130" t="s">
        <v>11</v>
      </c>
      <c r="D2130">
        <v>58</v>
      </c>
      <c r="E2130" s="1">
        <v>45287</v>
      </c>
      <c r="F2130">
        <v>4.54</v>
      </c>
      <c r="G2130">
        <v>5</v>
      </c>
      <c r="H2130">
        <v>9071.3799999999992</v>
      </c>
      <c r="I2130">
        <v>1.8</v>
      </c>
    </row>
    <row r="2131" spans="1:9" x14ac:dyDescent="0.3">
      <c r="A2131" t="s">
        <v>2146</v>
      </c>
      <c r="B2131" t="s">
        <v>10</v>
      </c>
      <c r="C2131" t="s">
        <v>11</v>
      </c>
      <c r="D2131">
        <v>52</v>
      </c>
      <c r="E2131" s="1">
        <v>41381</v>
      </c>
      <c r="F2131">
        <v>2.2200000000000002</v>
      </c>
      <c r="G2131">
        <v>9</v>
      </c>
      <c r="H2131">
        <v>8277.14</v>
      </c>
      <c r="I2131">
        <v>12.6</v>
      </c>
    </row>
    <row r="2132" spans="1:9" x14ac:dyDescent="0.3">
      <c r="A2132" t="s">
        <v>2147</v>
      </c>
      <c r="B2132" t="s">
        <v>13</v>
      </c>
      <c r="C2132" t="s">
        <v>11</v>
      </c>
      <c r="D2132">
        <v>34</v>
      </c>
      <c r="E2132" s="1">
        <v>42673</v>
      </c>
      <c r="F2132">
        <v>3.59</v>
      </c>
      <c r="G2132">
        <v>1</v>
      </c>
      <c r="H2132">
        <v>4982.97</v>
      </c>
      <c r="I2132">
        <v>9</v>
      </c>
    </row>
    <row r="2133" spans="1:9" x14ac:dyDescent="0.3">
      <c r="A2133" t="s">
        <v>2148</v>
      </c>
      <c r="B2133" t="s">
        <v>34</v>
      </c>
      <c r="C2133" t="s">
        <v>14</v>
      </c>
      <c r="D2133">
        <v>36</v>
      </c>
      <c r="E2133" s="1">
        <v>44984</v>
      </c>
      <c r="F2133">
        <v>4.3600000000000003</v>
      </c>
      <c r="G2133">
        <v>5</v>
      </c>
      <c r="H2133">
        <v>9218.89</v>
      </c>
      <c r="I2133">
        <v>2.7</v>
      </c>
    </row>
    <row r="2134" spans="1:9" x14ac:dyDescent="0.3">
      <c r="A2134" t="s">
        <v>2149</v>
      </c>
      <c r="B2134" t="s">
        <v>18</v>
      </c>
      <c r="C2134" t="s">
        <v>14</v>
      </c>
      <c r="D2134">
        <v>26</v>
      </c>
      <c r="E2134" s="1">
        <v>40730</v>
      </c>
      <c r="F2134">
        <v>3.78</v>
      </c>
      <c r="G2134">
        <v>2</v>
      </c>
      <c r="H2134">
        <v>11457.68</v>
      </c>
      <c r="I2134">
        <v>14.3</v>
      </c>
    </row>
    <row r="2135" spans="1:9" x14ac:dyDescent="0.3">
      <c r="A2135" t="s">
        <v>2150</v>
      </c>
      <c r="B2135" t="s">
        <v>24</v>
      </c>
      <c r="C2135" t="s">
        <v>11</v>
      </c>
      <c r="D2135">
        <v>55</v>
      </c>
      <c r="E2135" s="1">
        <v>41081</v>
      </c>
      <c r="F2135">
        <v>2.0299999999999998</v>
      </c>
      <c r="G2135">
        <v>5</v>
      </c>
      <c r="H2135">
        <v>10716.35</v>
      </c>
      <c r="I2135">
        <v>13.4</v>
      </c>
    </row>
    <row r="2136" spans="1:9" x14ac:dyDescent="0.3">
      <c r="A2136" t="s">
        <v>2151</v>
      </c>
      <c r="B2136" t="s">
        <v>13</v>
      </c>
      <c r="C2136" t="s">
        <v>14</v>
      </c>
      <c r="D2136">
        <v>40</v>
      </c>
      <c r="E2136" s="1">
        <v>43453</v>
      </c>
      <c r="F2136">
        <v>2.39</v>
      </c>
      <c r="G2136">
        <v>12</v>
      </c>
      <c r="H2136">
        <v>13271.9</v>
      </c>
      <c r="I2136">
        <v>6.9</v>
      </c>
    </row>
    <row r="2137" spans="1:9" x14ac:dyDescent="0.3">
      <c r="A2137" t="s">
        <v>2152</v>
      </c>
      <c r="B2137" t="s">
        <v>10</v>
      </c>
      <c r="C2137" t="s">
        <v>11</v>
      </c>
      <c r="D2137">
        <v>33</v>
      </c>
      <c r="E2137" s="1">
        <v>43675</v>
      </c>
      <c r="F2137">
        <v>1.74</v>
      </c>
      <c r="G2137">
        <v>9</v>
      </c>
      <c r="H2137">
        <v>4978.55</v>
      </c>
      <c r="I2137">
        <v>6.3</v>
      </c>
    </row>
    <row r="2138" spans="1:9" x14ac:dyDescent="0.3">
      <c r="A2138" t="s">
        <v>2153</v>
      </c>
      <c r="B2138" t="s">
        <v>24</v>
      </c>
      <c r="C2138" t="s">
        <v>14</v>
      </c>
      <c r="D2138">
        <v>52</v>
      </c>
      <c r="E2138" s="1">
        <v>42676</v>
      </c>
      <c r="F2138">
        <v>3.74</v>
      </c>
      <c r="G2138">
        <v>5</v>
      </c>
      <c r="H2138">
        <v>9925.94</v>
      </c>
      <c r="I2138">
        <v>9</v>
      </c>
    </row>
    <row r="2139" spans="1:9" x14ac:dyDescent="0.3">
      <c r="A2139" t="s">
        <v>2154</v>
      </c>
      <c r="B2139" t="s">
        <v>16</v>
      </c>
      <c r="C2139" t="s">
        <v>14</v>
      </c>
      <c r="D2139">
        <v>26</v>
      </c>
      <c r="E2139" s="1">
        <v>42635</v>
      </c>
      <c r="F2139">
        <v>1.55</v>
      </c>
      <c r="G2139">
        <v>4</v>
      </c>
      <c r="H2139">
        <v>9406.39</v>
      </c>
      <c r="I2139">
        <v>9.1</v>
      </c>
    </row>
    <row r="2140" spans="1:9" x14ac:dyDescent="0.3">
      <c r="A2140" t="s">
        <v>2155</v>
      </c>
      <c r="B2140" t="s">
        <v>24</v>
      </c>
      <c r="C2140" t="s">
        <v>11</v>
      </c>
      <c r="D2140">
        <v>54</v>
      </c>
      <c r="E2140" s="1">
        <v>45488</v>
      </c>
      <c r="F2140">
        <v>3.64</v>
      </c>
      <c r="G2140">
        <v>10</v>
      </c>
      <c r="H2140">
        <v>10716.91</v>
      </c>
      <c r="I2140">
        <v>1.3</v>
      </c>
    </row>
    <row r="2141" spans="1:9" x14ac:dyDescent="0.3">
      <c r="A2141" t="s">
        <v>2156</v>
      </c>
      <c r="B2141" t="s">
        <v>24</v>
      </c>
      <c r="C2141" t="s">
        <v>11</v>
      </c>
      <c r="D2141">
        <v>32</v>
      </c>
      <c r="E2141" s="1">
        <v>42255</v>
      </c>
      <c r="F2141">
        <v>3.17</v>
      </c>
      <c r="G2141">
        <v>9</v>
      </c>
      <c r="H2141">
        <v>8674.35</v>
      </c>
      <c r="I2141">
        <v>10.199999999999999</v>
      </c>
    </row>
    <row r="2142" spans="1:9" x14ac:dyDescent="0.3">
      <c r="A2142" t="s">
        <v>2157</v>
      </c>
      <c r="B2142" t="s">
        <v>16</v>
      </c>
      <c r="C2142" t="s">
        <v>11</v>
      </c>
      <c r="D2142">
        <v>58</v>
      </c>
      <c r="E2142" s="1">
        <v>45517</v>
      </c>
      <c r="F2142">
        <v>1.97</v>
      </c>
      <c r="G2142">
        <v>15</v>
      </c>
      <c r="H2142">
        <v>3329.47</v>
      </c>
      <c r="I2142">
        <v>1.2</v>
      </c>
    </row>
    <row r="2143" spans="1:9" x14ac:dyDescent="0.3">
      <c r="A2143" t="s">
        <v>2158</v>
      </c>
      <c r="B2143" t="s">
        <v>18</v>
      </c>
      <c r="C2143" t="s">
        <v>11</v>
      </c>
      <c r="D2143">
        <v>30</v>
      </c>
      <c r="E2143" s="1">
        <v>42720</v>
      </c>
      <c r="F2143">
        <v>4.82</v>
      </c>
      <c r="G2143">
        <v>3</v>
      </c>
      <c r="H2143">
        <v>10131.459999999999</v>
      </c>
      <c r="I2143">
        <v>8.9</v>
      </c>
    </row>
    <row r="2144" spans="1:9" x14ac:dyDescent="0.3">
      <c r="A2144" t="s">
        <v>2159</v>
      </c>
      <c r="B2144" t="s">
        <v>16</v>
      </c>
      <c r="C2144" t="s">
        <v>11</v>
      </c>
      <c r="D2144">
        <v>34</v>
      </c>
      <c r="E2144" s="1">
        <v>44933</v>
      </c>
      <c r="F2144">
        <v>2</v>
      </c>
      <c r="G2144">
        <v>2</v>
      </c>
      <c r="H2144">
        <v>8209.15</v>
      </c>
      <c r="I2144">
        <v>2.8</v>
      </c>
    </row>
    <row r="2145" spans="1:9" x14ac:dyDescent="0.3">
      <c r="A2145" t="s">
        <v>2160</v>
      </c>
      <c r="B2145" t="s">
        <v>24</v>
      </c>
      <c r="C2145" t="s">
        <v>14</v>
      </c>
      <c r="D2145">
        <v>58</v>
      </c>
      <c r="E2145" s="1">
        <v>41868</v>
      </c>
      <c r="F2145">
        <v>2.99</v>
      </c>
      <c r="G2145">
        <v>5</v>
      </c>
      <c r="H2145">
        <v>9324.7999999999993</v>
      </c>
      <c r="I2145">
        <v>11.2</v>
      </c>
    </row>
    <row r="2146" spans="1:9" x14ac:dyDescent="0.3">
      <c r="A2146" t="s">
        <v>2161</v>
      </c>
      <c r="B2146" t="s">
        <v>13</v>
      </c>
      <c r="C2146" t="s">
        <v>14</v>
      </c>
      <c r="D2146">
        <v>57</v>
      </c>
      <c r="E2146" s="1">
        <v>42256</v>
      </c>
      <c r="F2146">
        <v>4.76</v>
      </c>
      <c r="G2146">
        <v>7</v>
      </c>
      <c r="H2146">
        <v>8232.24</v>
      </c>
      <c r="I2146">
        <v>10.199999999999999</v>
      </c>
    </row>
    <row r="2147" spans="1:9" x14ac:dyDescent="0.3">
      <c r="A2147" t="s">
        <v>2162</v>
      </c>
      <c r="B2147" t="s">
        <v>13</v>
      </c>
      <c r="C2147" t="s">
        <v>11</v>
      </c>
      <c r="D2147">
        <v>59</v>
      </c>
      <c r="E2147" s="1">
        <v>42890</v>
      </c>
      <c r="F2147">
        <v>4.76</v>
      </c>
      <c r="G2147">
        <v>2</v>
      </c>
      <c r="H2147">
        <v>4357.6000000000004</v>
      </c>
      <c r="I2147">
        <v>8.4</v>
      </c>
    </row>
    <row r="2148" spans="1:9" x14ac:dyDescent="0.3">
      <c r="A2148" t="s">
        <v>2163</v>
      </c>
      <c r="B2148" t="s">
        <v>18</v>
      </c>
      <c r="C2148" t="s">
        <v>11</v>
      </c>
      <c r="D2148">
        <v>42</v>
      </c>
      <c r="E2148" s="1">
        <v>40460</v>
      </c>
      <c r="F2148">
        <v>4.26</v>
      </c>
      <c r="G2148">
        <v>13</v>
      </c>
      <c r="H2148">
        <v>9903.7999999999993</v>
      </c>
      <c r="I2148">
        <v>15.1</v>
      </c>
    </row>
    <row r="2149" spans="1:9" x14ac:dyDescent="0.3">
      <c r="A2149" t="s">
        <v>2164</v>
      </c>
      <c r="B2149" t="s">
        <v>10</v>
      </c>
      <c r="C2149" t="s">
        <v>11</v>
      </c>
      <c r="D2149">
        <v>51</v>
      </c>
      <c r="E2149" s="1">
        <v>40408</v>
      </c>
      <c r="F2149">
        <v>2.99</v>
      </c>
      <c r="G2149">
        <v>3</v>
      </c>
      <c r="H2149">
        <v>8574.33</v>
      </c>
      <c r="I2149">
        <v>15.2</v>
      </c>
    </row>
    <row r="2150" spans="1:9" x14ac:dyDescent="0.3">
      <c r="A2150" t="s">
        <v>2165</v>
      </c>
      <c r="B2150" t="s">
        <v>24</v>
      </c>
      <c r="C2150" t="s">
        <v>14</v>
      </c>
      <c r="D2150">
        <v>46</v>
      </c>
      <c r="E2150" s="1">
        <v>41796</v>
      </c>
      <c r="F2150">
        <v>4.55</v>
      </c>
      <c r="G2150">
        <v>6</v>
      </c>
      <c r="H2150">
        <v>7191.95</v>
      </c>
      <c r="I2150">
        <v>11.4</v>
      </c>
    </row>
    <row r="2151" spans="1:9" x14ac:dyDescent="0.3">
      <c r="A2151" t="s">
        <v>2166</v>
      </c>
      <c r="B2151" t="s">
        <v>13</v>
      </c>
      <c r="C2151" t="s">
        <v>11</v>
      </c>
      <c r="D2151">
        <v>33</v>
      </c>
      <c r="E2151" s="1">
        <v>41624</v>
      </c>
      <c r="F2151">
        <v>2.57</v>
      </c>
      <c r="G2151">
        <v>2</v>
      </c>
      <c r="H2151">
        <v>13609.36</v>
      </c>
      <c r="I2151">
        <v>11.9</v>
      </c>
    </row>
    <row r="2152" spans="1:9" x14ac:dyDescent="0.3">
      <c r="A2152" t="s">
        <v>2167</v>
      </c>
      <c r="B2152" t="s">
        <v>13</v>
      </c>
      <c r="C2152" t="s">
        <v>11</v>
      </c>
      <c r="D2152">
        <v>54</v>
      </c>
      <c r="E2152" s="1">
        <v>40497</v>
      </c>
      <c r="F2152">
        <v>3.53</v>
      </c>
      <c r="G2152">
        <v>12</v>
      </c>
      <c r="H2152">
        <v>3990.69</v>
      </c>
      <c r="I2152">
        <v>15</v>
      </c>
    </row>
    <row r="2153" spans="1:9" x14ac:dyDescent="0.3">
      <c r="A2153" t="s">
        <v>2168</v>
      </c>
      <c r="B2153" t="s">
        <v>16</v>
      </c>
      <c r="C2153" t="s">
        <v>11</v>
      </c>
      <c r="D2153">
        <v>48</v>
      </c>
      <c r="E2153" s="1">
        <v>40225</v>
      </c>
      <c r="F2153">
        <v>3.53</v>
      </c>
      <c r="G2153">
        <v>5</v>
      </c>
      <c r="H2153">
        <v>11071.14</v>
      </c>
      <c r="I2153">
        <v>15.7</v>
      </c>
    </row>
    <row r="2154" spans="1:9" x14ac:dyDescent="0.3">
      <c r="A2154" t="s">
        <v>2169</v>
      </c>
      <c r="B2154" t="s">
        <v>18</v>
      </c>
      <c r="C2154" t="s">
        <v>11</v>
      </c>
      <c r="D2154">
        <v>41</v>
      </c>
      <c r="E2154" s="1">
        <v>40953</v>
      </c>
      <c r="F2154">
        <v>3.04</v>
      </c>
      <c r="G2154">
        <v>15</v>
      </c>
      <c r="H2154">
        <v>4366.7299999999996</v>
      </c>
      <c r="I2154">
        <v>13.7</v>
      </c>
    </row>
    <row r="2155" spans="1:9" x14ac:dyDescent="0.3">
      <c r="A2155" t="s">
        <v>2170</v>
      </c>
      <c r="B2155" t="s">
        <v>34</v>
      </c>
      <c r="C2155" t="s">
        <v>11</v>
      </c>
      <c r="D2155">
        <v>60</v>
      </c>
      <c r="E2155" s="1">
        <v>43957</v>
      </c>
      <c r="F2155">
        <v>4.96</v>
      </c>
      <c r="G2155">
        <v>6</v>
      </c>
      <c r="H2155">
        <v>6262.49</v>
      </c>
      <c r="I2155">
        <v>5.5</v>
      </c>
    </row>
    <row r="2156" spans="1:9" x14ac:dyDescent="0.3">
      <c r="A2156" t="s">
        <v>2171</v>
      </c>
      <c r="B2156" t="s">
        <v>16</v>
      </c>
      <c r="C2156" t="s">
        <v>14</v>
      </c>
      <c r="D2156">
        <v>33</v>
      </c>
      <c r="E2156" s="1">
        <v>45524</v>
      </c>
      <c r="F2156">
        <v>2.56</v>
      </c>
      <c r="G2156">
        <v>12</v>
      </c>
      <c r="H2156">
        <v>5530.71</v>
      </c>
      <c r="I2156">
        <v>1.2</v>
      </c>
    </row>
    <row r="2157" spans="1:9" x14ac:dyDescent="0.3">
      <c r="A2157" t="s">
        <v>2172</v>
      </c>
      <c r="B2157" t="s">
        <v>18</v>
      </c>
      <c r="C2157" t="s">
        <v>11</v>
      </c>
      <c r="D2157">
        <v>52</v>
      </c>
      <c r="E2157" s="1">
        <v>42890</v>
      </c>
      <c r="F2157">
        <v>2.62</v>
      </c>
      <c r="G2157">
        <v>7</v>
      </c>
      <c r="H2157">
        <v>12252.47</v>
      </c>
      <c r="I2157">
        <v>8.4</v>
      </c>
    </row>
    <row r="2158" spans="1:9" x14ac:dyDescent="0.3">
      <c r="A2158" t="s">
        <v>2173</v>
      </c>
      <c r="B2158" t="s">
        <v>18</v>
      </c>
      <c r="C2158" t="s">
        <v>11</v>
      </c>
      <c r="D2158">
        <v>44</v>
      </c>
      <c r="E2158" s="1">
        <v>44768</v>
      </c>
      <c r="F2158">
        <v>4.13</v>
      </c>
      <c r="G2158">
        <v>12</v>
      </c>
      <c r="H2158">
        <v>5630.55</v>
      </c>
      <c r="I2158">
        <v>3.3</v>
      </c>
    </row>
    <row r="2159" spans="1:9" x14ac:dyDescent="0.3">
      <c r="A2159" t="s">
        <v>2174</v>
      </c>
      <c r="B2159" t="s">
        <v>13</v>
      </c>
      <c r="C2159" t="s">
        <v>14</v>
      </c>
      <c r="D2159">
        <v>39</v>
      </c>
      <c r="E2159" s="1">
        <v>40738</v>
      </c>
      <c r="F2159">
        <v>3.79</v>
      </c>
      <c r="G2159">
        <v>13</v>
      </c>
      <c r="H2159">
        <v>4510.33</v>
      </c>
      <c r="I2159">
        <v>14.3</v>
      </c>
    </row>
    <row r="2160" spans="1:9" x14ac:dyDescent="0.3">
      <c r="A2160" t="s">
        <v>2175</v>
      </c>
      <c r="B2160" t="s">
        <v>34</v>
      </c>
      <c r="C2160" t="s">
        <v>11</v>
      </c>
      <c r="D2160">
        <v>36</v>
      </c>
      <c r="E2160" s="1">
        <v>41467</v>
      </c>
      <c r="F2160">
        <v>4.01</v>
      </c>
      <c r="G2160">
        <v>1</v>
      </c>
      <c r="H2160">
        <v>8229.58</v>
      </c>
      <c r="I2160">
        <v>12.3</v>
      </c>
    </row>
    <row r="2161" spans="1:9" x14ac:dyDescent="0.3">
      <c r="A2161" t="s">
        <v>2176</v>
      </c>
      <c r="B2161" t="s">
        <v>10</v>
      </c>
      <c r="C2161" t="s">
        <v>14</v>
      </c>
      <c r="D2161">
        <v>25</v>
      </c>
      <c r="E2161" s="1">
        <v>40922</v>
      </c>
      <c r="F2161">
        <v>4.58</v>
      </c>
      <c r="G2161">
        <v>10</v>
      </c>
      <c r="H2161">
        <v>6710.74</v>
      </c>
      <c r="I2161">
        <v>13.8</v>
      </c>
    </row>
    <row r="2162" spans="1:9" x14ac:dyDescent="0.3">
      <c r="A2162" t="s">
        <v>2177</v>
      </c>
      <c r="B2162" t="s">
        <v>24</v>
      </c>
      <c r="C2162" t="s">
        <v>14</v>
      </c>
      <c r="D2162">
        <v>56</v>
      </c>
      <c r="E2162" s="1">
        <v>45371</v>
      </c>
      <c r="F2162">
        <v>4.8099999999999996</v>
      </c>
      <c r="G2162">
        <v>11</v>
      </c>
      <c r="H2162">
        <v>9850.84</v>
      </c>
      <c r="I2162">
        <v>1.6</v>
      </c>
    </row>
    <row r="2163" spans="1:9" x14ac:dyDescent="0.3">
      <c r="A2163" t="s">
        <v>2178</v>
      </c>
      <c r="B2163" t="s">
        <v>34</v>
      </c>
      <c r="C2163" t="s">
        <v>11</v>
      </c>
      <c r="D2163">
        <v>55</v>
      </c>
      <c r="E2163" s="1">
        <v>43759</v>
      </c>
      <c r="F2163">
        <v>4.04</v>
      </c>
      <c r="G2163">
        <v>3</v>
      </c>
      <c r="H2163">
        <v>12616.83</v>
      </c>
      <c r="I2163">
        <v>6</v>
      </c>
    </row>
    <row r="2164" spans="1:9" x14ac:dyDescent="0.3">
      <c r="A2164" t="s">
        <v>2179</v>
      </c>
      <c r="B2164" t="s">
        <v>10</v>
      </c>
      <c r="C2164" t="s">
        <v>14</v>
      </c>
      <c r="D2164">
        <v>26</v>
      </c>
      <c r="E2164" s="1">
        <v>43159</v>
      </c>
      <c r="F2164">
        <v>2.6</v>
      </c>
      <c r="G2164">
        <v>9</v>
      </c>
      <c r="H2164">
        <v>5373.19</v>
      </c>
      <c r="I2164">
        <v>7.7</v>
      </c>
    </row>
    <row r="2165" spans="1:9" x14ac:dyDescent="0.3">
      <c r="A2165" t="s">
        <v>2180</v>
      </c>
      <c r="B2165" t="s">
        <v>24</v>
      </c>
      <c r="C2165" t="s">
        <v>11</v>
      </c>
      <c r="D2165">
        <v>26</v>
      </c>
      <c r="E2165" s="1">
        <v>43258</v>
      </c>
      <c r="F2165">
        <v>2.39</v>
      </c>
      <c r="G2165">
        <v>10</v>
      </c>
      <c r="H2165">
        <v>13350.98</v>
      </c>
      <c r="I2165">
        <v>7.4</v>
      </c>
    </row>
    <row r="2166" spans="1:9" x14ac:dyDescent="0.3">
      <c r="A2166" t="s">
        <v>2181</v>
      </c>
      <c r="B2166" t="s">
        <v>18</v>
      </c>
      <c r="C2166" t="s">
        <v>14</v>
      </c>
      <c r="D2166">
        <v>45</v>
      </c>
      <c r="E2166" s="1">
        <v>43120</v>
      </c>
      <c r="F2166">
        <v>3.18</v>
      </c>
      <c r="G2166">
        <v>13</v>
      </c>
      <c r="H2166">
        <v>13425.9</v>
      </c>
      <c r="I2166">
        <v>7.8</v>
      </c>
    </row>
    <row r="2167" spans="1:9" x14ac:dyDescent="0.3">
      <c r="A2167" t="s">
        <v>2182</v>
      </c>
      <c r="B2167" t="s">
        <v>16</v>
      </c>
      <c r="C2167" t="s">
        <v>11</v>
      </c>
      <c r="D2167">
        <v>35</v>
      </c>
      <c r="E2167" s="1">
        <v>42580</v>
      </c>
      <c r="F2167">
        <v>3.78</v>
      </c>
      <c r="G2167">
        <v>3</v>
      </c>
      <c r="H2167">
        <v>12621.9</v>
      </c>
      <c r="I2167">
        <v>9.3000000000000007</v>
      </c>
    </row>
    <row r="2168" spans="1:9" x14ac:dyDescent="0.3">
      <c r="A2168" t="s">
        <v>2183</v>
      </c>
      <c r="B2168" t="s">
        <v>13</v>
      </c>
      <c r="C2168" t="s">
        <v>14</v>
      </c>
      <c r="D2168">
        <v>54</v>
      </c>
      <c r="E2168" s="1">
        <v>43574</v>
      </c>
      <c r="F2168">
        <v>2.83</v>
      </c>
      <c r="G2168">
        <v>14</v>
      </c>
      <c r="H2168">
        <v>5986.19</v>
      </c>
      <c r="I2168">
        <v>6.5</v>
      </c>
    </row>
    <row r="2169" spans="1:9" x14ac:dyDescent="0.3">
      <c r="A2169" t="s">
        <v>2184</v>
      </c>
      <c r="B2169" t="s">
        <v>13</v>
      </c>
      <c r="C2169" t="s">
        <v>14</v>
      </c>
      <c r="D2169">
        <v>45</v>
      </c>
      <c r="E2169" s="1">
        <v>41299</v>
      </c>
      <c r="F2169">
        <v>3.24</v>
      </c>
      <c r="G2169">
        <v>12</v>
      </c>
      <c r="H2169">
        <v>9292.9</v>
      </c>
      <c r="I2169">
        <v>12.8</v>
      </c>
    </row>
    <row r="2170" spans="1:9" x14ac:dyDescent="0.3">
      <c r="A2170" t="s">
        <v>2185</v>
      </c>
      <c r="B2170" t="s">
        <v>16</v>
      </c>
      <c r="C2170" t="s">
        <v>11</v>
      </c>
      <c r="D2170">
        <v>29</v>
      </c>
      <c r="E2170" s="1">
        <v>44915</v>
      </c>
      <c r="F2170">
        <v>2</v>
      </c>
      <c r="G2170">
        <v>4</v>
      </c>
      <c r="H2170">
        <v>10880.68</v>
      </c>
      <c r="I2170">
        <v>2.9</v>
      </c>
    </row>
    <row r="2171" spans="1:9" x14ac:dyDescent="0.3">
      <c r="A2171" t="s">
        <v>2186</v>
      </c>
      <c r="B2171" t="s">
        <v>16</v>
      </c>
      <c r="C2171" t="s">
        <v>14</v>
      </c>
      <c r="D2171">
        <v>50</v>
      </c>
      <c r="E2171" s="1">
        <v>40647</v>
      </c>
      <c r="F2171">
        <v>4.2</v>
      </c>
      <c r="G2171">
        <v>3</v>
      </c>
      <c r="H2171">
        <v>7010.35</v>
      </c>
      <c r="I2171">
        <v>14.6</v>
      </c>
    </row>
    <row r="2172" spans="1:9" x14ac:dyDescent="0.3">
      <c r="A2172" t="s">
        <v>2187</v>
      </c>
      <c r="B2172" t="s">
        <v>18</v>
      </c>
      <c r="C2172" t="s">
        <v>14</v>
      </c>
      <c r="D2172">
        <v>25</v>
      </c>
      <c r="E2172" s="1">
        <v>43415</v>
      </c>
      <c r="F2172">
        <v>2.2000000000000002</v>
      </c>
      <c r="G2172">
        <v>8</v>
      </c>
      <c r="H2172">
        <v>5807.46</v>
      </c>
      <c r="I2172">
        <v>7</v>
      </c>
    </row>
    <row r="2173" spans="1:9" x14ac:dyDescent="0.3">
      <c r="A2173" t="s">
        <v>2188</v>
      </c>
      <c r="B2173" t="s">
        <v>18</v>
      </c>
      <c r="C2173" t="s">
        <v>11</v>
      </c>
      <c r="D2173">
        <v>47</v>
      </c>
      <c r="E2173" s="1">
        <v>41715</v>
      </c>
      <c r="F2173">
        <v>4.51</v>
      </c>
      <c r="G2173">
        <v>0</v>
      </c>
      <c r="H2173">
        <v>9798.98</v>
      </c>
      <c r="I2173">
        <v>11.6</v>
      </c>
    </row>
    <row r="2174" spans="1:9" x14ac:dyDescent="0.3">
      <c r="A2174" t="s">
        <v>2189</v>
      </c>
      <c r="B2174" t="s">
        <v>24</v>
      </c>
      <c r="C2174" t="s">
        <v>11</v>
      </c>
      <c r="D2174">
        <v>34</v>
      </c>
      <c r="E2174" s="1">
        <v>41881</v>
      </c>
      <c r="F2174">
        <v>4.4400000000000004</v>
      </c>
      <c r="G2174">
        <v>11</v>
      </c>
      <c r="H2174">
        <v>4602.21</v>
      </c>
      <c r="I2174">
        <v>11.2</v>
      </c>
    </row>
    <row r="2175" spans="1:9" x14ac:dyDescent="0.3">
      <c r="A2175" t="s">
        <v>2190</v>
      </c>
      <c r="B2175" t="s">
        <v>18</v>
      </c>
      <c r="C2175" t="s">
        <v>11</v>
      </c>
      <c r="D2175">
        <v>46</v>
      </c>
      <c r="E2175" s="1">
        <v>41037</v>
      </c>
      <c r="F2175">
        <v>4.9800000000000004</v>
      </c>
      <c r="G2175">
        <v>3</v>
      </c>
      <c r="H2175">
        <v>11863.97</v>
      </c>
      <c r="I2175">
        <v>13.5</v>
      </c>
    </row>
    <row r="2176" spans="1:9" x14ac:dyDescent="0.3">
      <c r="A2176" t="s">
        <v>2191</v>
      </c>
      <c r="B2176" t="s">
        <v>10</v>
      </c>
      <c r="C2176" t="s">
        <v>14</v>
      </c>
      <c r="D2176">
        <v>52</v>
      </c>
      <c r="E2176" s="1">
        <v>43779</v>
      </c>
      <c r="F2176">
        <v>2.48</v>
      </c>
      <c r="G2176">
        <v>6</v>
      </c>
      <c r="H2176">
        <v>9245.14</v>
      </c>
      <c r="I2176">
        <v>6</v>
      </c>
    </row>
    <row r="2177" spans="1:9" x14ac:dyDescent="0.3">
      <c r="A2177" t="s">
        <v>2192</v>
      </c>
      <c r="B2177" t="s">
        <v>10</v>
      </c>
      <c r="C2177" t="s">
        <v>11</v>
      </c>
      <c r="D2177">
        <v>25</v>
      </c>
      <c r="E2177" s="1">
        <v>41379</v>
      </c>
      <c r="F2177">
        <v>3.11</v>
      </c>
      <c r="G2177">
        <v>0</v>
      </c>
      <c r="H2177">
        <v>8780.93</v>
      </c>
      <c r="I2177">
        <v>12.6</v>
      </c>
    </row>
    <row r="2178" spans="1:9" x14ac:dyDescent="0.3">
      <c r="A2178" t="s">
        <v>2193</v>
      </c>
      <c r="B2178" t="s">
        <v>10</v>
      </c>
      <c r="C2178" t="s">
        <v>11</v>
      </c>
      <c r="D2178">
        <v>41</v>
      </c>
      <c r="E2178" s="1">
        <v>45418</v>
      </c>
      <c r="F2178">
        <v>4.74</v>
      </c>
      <c r="G2178">
        <v>12</v>
      </c>
      <c r="H2178">
        <v>10662.78</v>
      </c>
      <c r="I2178">
        <v>1.5</v>
      </c>
    </row>
    <row r="2179" spans="1:9" x14ac:dyDescent="0.3">
      <c r="A2179" t="s">
        <v>2194</v>
      </c>
      <c r="B2179" t="s">
        <v>10</v>
      </c>
      <c r="C2179" t="s">
        <v>14</v>
      </c>
      <c r="D2179">
        <v>32</v>
      </c>
      <c r="E2179" s="1">
        <v>44327</v>
      </c>
      <c r="F2179">
        <v>4.1500000000000004</v>
      </c>
      <c r="G2179">
        <v>8</v>
      </c>
      <c r="H2179">
        <v>13089.31</v>
      </c>
      <c r="I2179">
        <v>4.5</v>
      </c>
    </row>
    <row r="2180" spans="1:9" x14ac:dyDescent="0.3">
      <c r="A2180" t="s">
        <v>2195</v>
      </c>
      <c r="B2180" t="s">
        <v>18</v>
      </c>
      <c r="C2180" t="s">
        <v>11</v>
      </c>
      <c r="D2180">
        <v>25</v>
      </c>
      <c r="E2180" s="1">
        <v>42655</v>
      </c>
      <c r="F2180">
        <v>2.7</v>
      </c>
      <c r="G2180">
        <v>9</v>
      </c>
      <c r="H2180">
        <v>14761.06</v>
      </c>
      <c r="I2180">
        <v>9.1</v>
      </c>
    </row>
    <row r="2181" spans="1:9" x14ac:dyDescent="0.3">
      <c r="A2181" t="s">
        <v>2196</v>
      </c>
      <c r="B2181" t="s">
        <v>16</v>
      </c>
      <c r="C2181" t="s">
        <v>14</v>
      </c>
      <c r="D2181">
        <v>36</v>
      </c>
      <c r="E2181" s="1">
        <v>40338</v>
      </c>
      <c r="F2181">
        <v>4.53</v>
      </c>
      <c r="G2181">
        <v>8</v>
      </c>
      <c r="H2181">
        <v>13846.59</v>
      </c>
      <c r="I2181">
        <v>15.4</v>
      </c>
    </row>
    <row r="2182" spans="1:9" x14ac:dyDescent="0.3">
      <c r="A2182" t="s">
        <v>2197</v>
      </c>
      <c r="B2182" t="s">
        <v>10</v>
      </c>
      <c r="C2182" t="s">
        <v>14</v>
      </c>
      <c r="D2182">
        <v>36</v>
      </c>
      <c r="E2182" s="1">
        <v>45373</v>
      </c>
      <c r="F2182">
        <v>3.34</v>
      </c>
      <c r="G2182">
        <v>7</v>
      </c>
      <c r="H2182">
        <v>11354.81</v>
      </c>
      <c r="I2182">
        <v>1.6</v>
      </c>
    </row>
    <row r="2183" spans="1:9" x14ac:dyDescent="0.3">
      <c r="A2183" t="s">
        <v>2198</v>
      </c>
      <c r="B2183" t="s">
        <v>16</v>
      </c>
      <c r="C2183" t="s">
        <v>11</v>
      </c>
      <c r="D2183">
        <v>48</v>
      </c>
      <c r="E2183" s="1">
        <v>45678</v>
      </c>
      <c r="F2183">
        <v>4.53</v>
      </c>
      <c r="G2183">
        <v>7</v>
      </c>
      <c r="H2183">
        <v>14077.51</v>
      </c>
      <c r="I2183">
        <v>0.8</v>
      </c>
    </row>
    <row r="2184" spans="1:9" x14ac:dyDescent="0.3">
      <c r="A2184" t="s">
        <v>2199</v>
      </c>
      <c r="B2184" t="s">
        <v>16</v>
      </c>
      <c r="C2184" t="s">
        <v>14</v>
      </c>
      <c r="D2184">
        <v>53</v>
      </c>
      <c r="E2184" s="1">
        <v>41506</v>
      </c>
      <c r="F2184">
        <v>4.9400000000000004</v>
      </c>
      <c r="G2184">
        <v>6</v>
      </c>
      <c r="H2184">
        <v>3319.51</v>
      </c>
      <c r="I2184">
        <v>12.2</v>
      </c>
    </row>
    <row r="2185" spans="1:9" x14ac:dyDescent="0.3">
      <c r="A2185" t="s">
        <v>2200</v>
      </c>
      <c r="B2185" t="s">
        <v>24</v>
      </c>
      <c r="C2185" t="s">
        <v>11</v>
      </c>
      <c r="D2185">
        <v>42</v>
      </c>
      <c r="E2185" s="1">
        <v>43909</v>
      </c>
      <c r="F2185">
        <v>2.4300000000000002</v>
      </c>
      <c r="G2185">
        <v>9</v>
      </c>
      <c r="H2185">
        <v>6548.73</v>
      </c>
      <c r="I2185">
        <v>5.6</v>
      </c>
    </row>
    <row r="2186" spans="1:9" x14ac:dyDescent="0.3">
      <c r="A2186" t="s">
        <v>2201</v>
      </c>
      <c r="B2186" t="s">
        <v>18</v>
      </c>
      <c r="C2186" t="s">
        <v>11</v>
      </c>
      <c r="D2186">
        <v>45</v>
      </c>
      <c r="E2186" s="1">
        <v>41792</v>
      </c>
      <c r="F2186">
        <v>2.38</v>
      </c>
      <c r="G2186">
        <v>10</v>
      </c>
      <c r="H2186">
        <v>9051.24</v>
      </c>
      <c r="I2186">
        <v>11.4</v>
      </c>
    </row>
    <row r="2187" spans="1:9" x14ac:dyDescent="0.3">
      <c r="A2187" t="s">
        <v>2202</v>
      </c>
      <c r="B2187" t="s">
        <v>34</v>
      </c>
      <c r="C2187" t="s">
        <v>11</v>
      </c>
      <c r="D2187">
        <v>24</v>
      </c>
      <c r="E2187" s="1">
        <v>44572</v>
      </c>
      <c r="F2187">
        <v>2.82</v>
      </c>
      <c r="G2187">
        <v>6</v>
      </c>
      <c r="H2187">
        <v>11226.19</v>
      </c>
      <c r="I2187">
        <v>3.8</v>
      </c>
    </row>
    <row r="2188" spans="1:9" x14ac:dyDescent="0.3">
      <c r="A2188" t="s">
        <v>2203</v>
      </c>
      <c r="B2188" t="s">
        <v>16</v>
      </c>
      <c r="C2188" t="s">
        <v>11</v>
      </c>
      <c r="D2188">
        <v>58</v>
      </c>
      <c r="E2188" s="1">
        <v>43180</v>
      </c>
      <c r="F2188">
        <v>4.1100000000000003</v>
      </c>
      <c r="G2188">
        <v>2</v>
      </c>
      <c r="H2188">
        <v>7238.36</v>
      </c>
      <c r="I2188">
        <v>7.6</v>
      </c>
    </row>
    <row r="2189" spans="1:9" x14ac:dyDescent="0.3">
      <c r="A2189" t="s">
        <v>2204</v>
      </c>
      <c r="B2189" t="s">
        <v>16</v>
      </c>
      <c r="C2189" t="s">
        <v>14</v>
      </c>
      <c r="D2189">
        <v>32</v>
      </c>
      <c r="E2189" s="1">
        <v>40544</v>
      </c>
      <c r="F2189">
        <v>3.64</v>
      </c>
      <c r="G2189">
        <v>12</v>
      </c>
      <c r="H2189">
        <v>7211.59</v>
      </c>
      <c r="I2189">
        <v>14.8</v>
      </c>
    </row>
    <row r="2190" spans="1:9" x14ac:dyDescent="0.3">
      <c r="A2190" t="s">
        <v>2205</v>
      </c>
      <c r="B2190" t="s">
        <v>18</v>
      </c>
      <c r="C2190" t="s">
        <v>11</v>
      </c>
      <c r="D2190">
        <v>54</v>
      </c>
      <c r="E2190" s="1">
        <v>45860</v>
      </c>
      <c r="F2190">
        <v>2.79</v>
      </c>
      <c r="G2190">
        <v>4</v>
      </c>
      <c r="H2190">
        <v>8964.92</v>
      </c>
      <c r="I2190">
        <v>0.3</v>
      </c>
    </row>
    <row r="2191" spans="1:9" x14ac:dyDescent="0.3">
      <c r="A2191" t="s">
        <v>2206</v>
      </c>
      <c r="B2191" t="s">
        <v>24</v>
      </c>
      <c r="C2191" t="s">
        <v>14</v>
      </c>
      <c r="D2191">
        <v>33</v>
      </c>
      <c r="E2191" s="1">
        <v>42600</v>
      </c>
      <c r="F2191">
        <v>3.2</v>
      </c>
      <c r="G2191">
        <v>12</v>
      </c>
      <c r="H2191">
        <v>4695.16</v>
      </c>
      <c r="I2191">
        <v>9.1999999999999993</v>
      </c>
    </row>
    <row r="2192" spans="1:9" x14ac:dyDescent="0.3">
      <c r="A2192" t="s">
        <v>2207</v>
      </c>
      <c r="B2192" t="s">
        <v>24</v>
      </c>
      <c r="C2192" t="s">
        <v>14</v>
      </c>
      <c r="D2192">
        <v>49</v>
      </c>
      <c r="E2192" s="1">
        <v>42963</v>
      </c>
      <c r="F2192">
        <v>2.66</v>
      </c>
      <c r="G2192">
        <v>14</v>
      </c>
      <c r="H2192">
        <v>8466.5499999999993</v>
      </c>
      <c r="I2192">
        <v>8.1999999999999993</v>
      </c>
    </row>
    <row r="2193" spans="1:9" x14ac:dyDescent="0.3">
      <c r="A2193" t="s">
        <v>2208</v>
      </c>
      <c r="B2193" t="s">
        <v>24</v>
      </c>
      <c r="C2193" t="s">
        <v>11</v>
      </c>
      <c r="D2193">
        <v>28</v>
      </c>
      <c r="E2193" s="1">
        <v>41475</v>
      </c>
      <c r="F2193">
        <v>1.7</v>
      </c>
      <c r="G2193">
        <v>8</v>
      </c>
      <c r="H2193">
        <v>5301</v>
      </c>
      <c r="I2193">
        <v>12.3</v>
      </c>
    </row>
    <row r="2194" spans="1:9" x14ac:dyDescent="0.3">
      <c r="A2194" t="s">
        <v>2209</v>
      </c>
      <c r="B2194" t="s">
        <v>16</v>
      </c>
      <c r="C2194" t="s">
        <v>11</v>
      </c>
      <c r="D2194">
        <v>22</v>
      </c>
      <c r="E2194" s="1">
        <v>40984</v>
      </c>
      <c r="F2194">
        <v>2</v>
      </c>
      <c r="G2194">
        <v>15</v>
      </c>
      <c r="H2194">
        <v>3510.93</v>
      </c>
      <c r="I2194">
        <v>13.6</v>
      </c>
    </row>
    <row r="2195" spans="1:9" x14ac:dyDescent="0.3">
      <c r="A2195" t="s">
        <v>2210</v>
      </c>
      <c r="B2195" t="s">
        <v>18</v>
      </c>
      <c r="C2195" t="s">
        <v>14</v>
      </c>
      <c r="D2195">
        <v>27</v>
      </c>
      <c r="E2195" s="1">
        <v>41753</v>
      </c>
      <c r="F2195">
        <v>2.4</v>
      </c>
      <c r="G2195">
        <v>13</v>
      </c>
      <c r="H2195">
        <v>7774.59</v>
      </c>
      <c r="I2195">
        <v>11.5</v>
      </c>
    </row>
    <row r="2196" spans="1:9" x14ac:dyDescent="0.3">
      <c r="A2196" t="s">
        <v>2211</v>
      </c>
      <c r="B2196" t="s">
        <v>34</v>
      </c>
      <c r="C2196" t="s">
        <v>14</v>
      </c>
      <c r="D2196">
        <v>51</v>
      </c>
      <c r="E2196" s="1">
        <v>41419</v>
      </c>
      <c r="F2196">
        <v>3.62</v>
      </c>
      <c r="G2196">
        <v>14</v>
      </c>
      <c r="H2196">
        <v>5256.07</v>
      </c>
      <c r="I2196">
        <v>12.4</v>
      </c>
    </row>
    <row r="2197" spans="1:9" x14ac:dyDescent="0.3">
      <c r="A2197" t="s">
        <v>2212</v>
      </c>
      <c r="B2197" t="s">
        <v>18</v>
      </c>
      <c r="C2197" t="s">
        <v>14</v>
      </c>
      <c r="D2197">
        <v>52</v>
      </c>
      <c r="E2197" s="1">
        <v>41340</v>
      </c>
      <c r="F2197">
        <v>1.94</v>
      </c>
      <c r="G2197">
        <v>6</v>
      </c>
      <c r="H2197">
        <v>12813.29</v>
      </c>
      <c r="I2197">
        <v>12.7</v>
      </c>
    </row>
    <row r="2198" spans="1:9" x14ac:dyDescent="0.3">
      <c r="A2198" t="s">
        <v>2213</v>
      </c>
      <c r="B2198" t="s">
        <v>18</v>
      </c>
      <c r="C2198" t="s">
        <v>14</v>
      </c>
      <c r="D2198">
        <v>32</v>
      </c>
      <c r="E2198" s="1">
        <v>42899</v>
      </c>
      <c r="F2198">
        <v>2.29</v>
      </c>
      <c r="G2198">
        <v>4</v>
      </c>
      <c r="H2198">
        <v>5491.77</v>
      </c>
      <c r="I2198">
        <v>8.4</v>
      </c>
    </row>
    <row r="2199" spans="1:9" x14ac:dyDescent="0.3">
      <c r="A2199" t="s">
        <v>2214</v>
      </c>
      <c r="B2199" t="s">
        <v>18</v>
      </c>
      <c r="C2199" t="s">
        <v>11</v>
      </c>
      <c r="D2199">
        <v>53</v>
      </c>
      <c r="E2199" s="1">
        <v>43727</v>
      </c>
      <c r="F2199">
        <v>4.57</v>
      </c>
      <c r="G2199">
        <v>3</v>
      </c>
      <c r="H2199">
        <v>6390.37</v>
      </c>
      <c r="I2199">
        <v>6.1</v>
      </c>
    </row>
    <row r="2200" spans="1:9" x14ac:dyDescent="0.3">
      <c r="A2200" t="s">
        <v>2215</v>
      </c>
      <c r="B2200" t="s">
        <v>13</v>
      </c>
      <c r="C2200" t="s">
        <v>11</v>
      </c>
      <c r="D2200">
        <v>50</v>
      </c>
      <c r="E2200" s="1">
        <v>40561</v>
      </c>
      <c r="F2200">
        <v>3.36</v>
      </c>
      <c r="G2200">
        <v>2</v>
      </c>
      <c r="H2200">
        <v>12988.12</v>
      </c>
      <c r="I2200">
        <v>14.8</v>
      </c>
    </row>
    <row r="2201" spans="1:9" x14ac:dyDescent="0.3">
      <c r="A2201" t="s">
        <v>2216</v>
      </c>
      <c r="B2201" t="s">
        <v>16</v>
      </c>
      <c r="C2201" t="s">
        <v>14</v>
      </c>
      <c r="D2201">
        <v>26</v>
      </c>
      <c r="E2201" s="1">
        <v>42052</v>
      </c>
      <c r="F2201">
        <v>2.48</v>
      </c>
      <c r="G2201">
        <v>15</v>
      </c>
      <c r="H2201">
        <v>7784.6</v>
      </c>
      <c r="I2201">
        <v>10.7</v>
      </c>
    </row>
    <row r="2202" spans="1:9" x14ac:dyDescent="0.3">
      <c r="A2202" t="s">
        <v>2217</v>
      </c>
      <c r="B2202" t="s">
        <v>10</v>
      </c>
      <c r="C2202" t="s">
        <v>14</v>
      </c>
      <c r="D2202">
        <v>49</v>
      </c>
      <c r="E2202" s="1">
        <v>40858</v>
      </c>
      <c r="F2202">
        <v>2.99</v>
      </c>
      <c r="G2202">
        <v>4</v>
      </c>
      <c r="H2202">
        <v>9351.82</v>
      </c>
      <c r="I2202">
        <v>14</v>
      </c>
    </row>
    <row r="2203" spans="1:9" x14ac:dyDescent="0.3">
      <c r="A2203" t="s">
        <v>2218</v>
      </c>
      <c r="B2203" t="s">
        <v>18</v>
      </c>
      <c r="C2203" t="s">
        <v>11</v>
      </c>
      <c r="D2203">
        <v>58</v>
      </c>
      <c r="E2203" s="1">
        <v>40498</v>
      </c>
      <c r="F2203">
        <v>1.58</v>
      </c>
      <c r="G2203">
        <v>12</v>
      </c>
      <c r="H2203">
        <v>6856.83</v>
      </c>
      <c r="I2203">
        <v>15</v>
      </c>
    </row>
    <row r="2204" spans="1:9" x14ac:dyDescent="0.3">
      <c r="A2204" t="s">
        <v>2219</v>
      </c>
      <c r="B2204" t="s">
        <v>34</v>
      </c>
      <c r="C2204" t="s">
        <v>11</v>
      </c>
      <c r="D2204">
        <v>45</v>
      </c>
      <c r="E2204" s="1">
        <v>45129</v>
      </c>
      <c r="F2204">
        <v>3.11</v>
      </c>
      <c r="G2204">
        <v>15</v>
      </c>
      <c r="H2204">
        <v>4772.2</v>
      </c>
      <c r="I2204">
        <v>2.2999999999999998</v>
      </c>
    </row>
    <row r="2205" spans="1:9" x14ac:dyDescent="0.3">
      <c r="A2205" t="s">
        <v>2220</v>
      </c>
      <c r="B2205" t="s">
        <v>10</v>
      </c>
      <c r="C2205" t="s">
        <v>14</v>
      </c>
      <c r="D2205">
        <v>56</v>
      </c>
      <c r="E2205" s="1">
        <v>42832</v>
      </c>
      <c r="F2205">
        <v>4.1399999999999997</v>
      </c>
      <c r="G2205">
        <v>6</v>
      </c>
      <c r="H2205">
        <v>10154.620000000001</v>
      </c>
      <c r="I2205">
        <v>8.6</v>
      </c>
    </row>
    <row r="2206" spans="1:9" x14ac:dyDescent="0.3">
      <c r="A2206" t="s">
        <v>2221</v>
      </c>
      <c r="B2206" t="s">
        <v>13</v>
      </c>
      <c r="C2206" t="s">
        <v>11</v>
      </c>
      <c r="D2206">
        <v>38</v>
      </c>
      <c r="E2206" s="1">
        <v>41048</v>
      </c>
      <c r="F2206">
        <v>2.84</v>
      </c>
      <c r="G2206">
        <v>13</v>
      </c>
      <c r="H2206">
        <v>6675.95</v>
      </c>
      <c r="I2206">
        <v>13.5</v>
      </c>
    </row>
    <row r="2207" spans="1:9" x14ac:dyDescent="0.3">
      <c r="A2207" t="s">
        <v>2222</v>
      </c>
      <c r="B2207" t="s">
        <v>34</v>
      </c>
      <c r="C2207" t="s">
        <v>14</v>
      </c>
      <c r="D2207">
        <v>32</v>
      </c>
      <c r="E2207" s="1">
        <v>43784</v>
      </c>
      <c r="F2207">
        <v>3.22</v>
      </c>
      <c r="G2207">
        <v>4</v>
      </c>
      <c r="H2207">
        <v>6994.58</v>
      </c>
      <c r="I2207">
        <v>6</v>
      </c>
    </row>
    <row r="2208" spans="1:9" x14ac:dyDescent="0.3">
      <c r="A2208" t="s">
        <v>2223</v>
      </c>
      <c r="B2208" t="s">
        <v>16</v>
      </c>
      <c r="C2208" t="s">
        <v>14</v>
      </c>
      <c r="D2208">
        <v>49</v>
      </c>
      <c r="E2208" s="1">
        <v>42261</v>
      </c>
      <c r="F2208">
        <v>4.13</v>
      </c>
      <c r="G2208">
        <v>2</v>
      </c>
      <c r="H2208">
        <v>12434.92</v>
      </c>
      <c r="I2208">
        <v>10.1</v>
      </c>
    </row>
    <row r="2209" spans="1:9" x14ac:dyDescent="0.3">
      <c r="A2209" t="s">
        <v>2224</v>
      </c>
      <c r="B2209" t="s">
        <v>24</v>
      </c>
      <c r="C2209" t="s">
        <v>14</v>
      </c>
      <c r="D2209">
        <v>37</v>
      </c>
      <c r="E2209" s="1">
        <v>43872</v>
      </c>
      <c r="F2209">
        <v>5</v>
      </c>
      <c r="G2209">
        <v>5</v>
      </c>
      <c r="H2209">
        <v>11330.32</v>
      </c>
      <c r="I2209">
        <v>5.7</v>
      </c>
    </row>
    <row r="2210" spans="1:9" x14ac:dyDescent="0.3">
      <c r="A2210" t="s">
        <v>2225</v>
      </c>
      <c r="B2210" t="s">
        <v>24</v>
      </c>
      <c r="C2210" t="s">
        <v>11</v>
      </c>
      <c r="D2210">
        <v>38</v>
      </c>
      <c r="E2210" s="1">
        <v>45925</v>
      </c>
      <c r="F2210">
        <v>2.08</v>
      </c>
      <c r="G2210">
        <v>15</v>
      </c>
      <c r="H2210">
        <v>4265.7</v>
      </c>
      <c r="I2210">
        <v>0.1</v>
      </c>
    </row>
    <row r="2211" spans="1:9" x14ac:dyDescent="0.3">
      <c r="A2211" t="s">
        <v>2226</v>
      </c>
      <c r="B2211" t="s">
        <v>16</v>
      </c>
      <c r="C2211" t="s">
        <v>11</v>
      </c>
      <c r="D2211">
        <v>36</v>
      </c>
      <c r="E2211" s="1">
        <v>43301</v>
      </c>
      <c r="F2211">
        <v>2.2200000000000002</v>
      </c>
      <c r="G2211">
        <v>3</v>
      </c>
      <c r="H2211">
        <v>3911.73</v>
      </c>
      <c r="I2211">
        <v>7.3</v>
      </c>
    </row>
    <row r="2212" spans="1:9" x14ac:dyDescent="0.3">
      <c r="A2212" t="s">
        <v>2227</v>
      </c>
      <c r="B2212" t="s">
        <v>10</v>
      </c>
      <c r="C2212" t="s">
        <v>11</v>
      </c>
      <c r="D2212">
        <v>24</v>
      </c>
      <c r="E2212" s="1">
        <v>43807</v>
      </c>
      <c r="F2212">
        <v>3.84</v>
      </c>
      <c r="G2212">
        <v>10</v>
      </c>
      <c r="H2212">
        <v>7688.78</v>
      </c>
      <c r="I2212">
        <v>5.9</v>
      </c>
    </row>
    <row r="2213" spans="1:9" x14ac:dyDescent="0.3">
      <c r="A2213" t="s">
        <v>2228</v>
      </c>
      <c r="B2213" t="s">
        <v>24</v>
      </c>
      <c r="C2213" t="s">
        <v>11</v>
      </c>
      <c r="D2213">
        <v>50</v>
      </c>
      <c r="E2213" s="1">
        <v>44547</v>
      </c>
      <c r="F2213">
        <v>1.87</v>
      </c>
      <c r="G2213">
        <v>2</v>
      </c>
      <c r="H2213">
        <v>3472.36</v>
      </c>
      <c r="I2213">
        <v>3.9</v>
      </c>
    </row>
    <row r="2214" spans="1:9" x14ac:dyDescent="0.3">
      <c r="A2214" t="s">
        <v>2229</v>
      </c>
      <c r="B2214" t="s">
        <v>24</v>
      </c>
      <c r="C2214" t="s">
        <v>14</v>
      </c>
      <c r="D2214">
        <v>27</v>
      </c>
      <c r="E2214" s="1">
        <v>41383</v>
      </c>
      <c r="F2214">
        <v>2.0699999999999998</v>
      </c>
      <c r="G2214">
        <v>10</v>
      </c>
      <c r="H2214">
        <v>8342.24</v>
      </c>
      <c r="I2214">
        <v>12.5</v>
      </c>
    </row>
    <row r="2215" spans="1:9" x14ac:dyDescent="0.3">
      <c r="A2215" t="s">
        <v>2230</v>
      </c>
      <c r="B2215" t="s">
        <v>34</v>
      </c>
      <c r="C2215" t="s">
        <v>11</v>
      </c>
      <c r="D2215">
        <v>31</v>
      </c>
      <c r="E2215" s="1">
        <v>45764</v>
      </c>
      <c r="F2215">
        <v>4.63</v>
      </c>
      <c r="G2215">
        <v>13</v>
      </c>
      <c r="H2215">
        <v>9553.7199999999993</v>
      </c>
      <c r="I2215">
        <v>0.5</v>
      </c>
    </row>
    <row r="2216" spans="1:9" x14ac:dyDescent="0.3">
      <c r="A2216" t="s">
        <v>2231</v>
      </c>
      <c r="B2216" t="s">
        <v>10</v>
      </c>
      <c r="C2216" t="s">
        <v>11</v>
      </c>
      <c r="D2216">
        <v>52</v>
      </c>
      <c r="E2216" s="1">
        <v>43919</v>
      </c>
      <c r="F2216">
        <v>4.55</v>
      </c>
      <c r="G2216">
        <v>0</v>
      </c>
      <c r="H2216">
        <v>4022.84</v>
      </c>
      <c r="I2216">
        <v>5.6</v>
      </c>
    </row>
    <row r="2217" spans="1:9" x14ac:dyDescent="0.3">
      <c r="A2217" t="s">
        <v>2232</v>
      </c>
      <c r="B2217" t="s">
        <v>18</v>
      </c>
      <c r="C2217" t="s">
        <v>11</v>
      </c>
      <c r="D2217">
        <v>50</v>
      </c>
      <c r="E2217" s="1">
        <v>41522</v>
      </c>
      <c r="F2217">
        <v>2.83</v>
      </c>
      <c r="G2217">
        <v>10</v>
      </c>
      <c r="H2217">
        <v>7646.38</v>
      </c>
      <c r="I2217">
        <v>12.2</v>
      </c>
    </row>
    <row r="2218" spans="1:9" x14ac:dyDescent="0.3">
      <c r="A2218" t="s">
        <v>2233</v>
      </c>
      <c r="B2218" t="s">
        <v>16</v>
      </c>
      <c r="C2218" t="s">
        <v>14</v>
      </c>
      <c r="D2218">
        <v>26</v>
      </c>
      <c r="E2218" s="1">
        <v>43938</v>
      </c>
      <c r="F2218">
        <v>1.84</v>
      </c>
      <c r="G2218">
        <v>3</v>
      </c>
      <c r="H2218">
        <v>5550.49</v>
      </c>
      <c r="I2218">
        <v>5.5</v>
      </c>
    </row>
    <row r="2219" spans="1:9" x14ac:dyDescent="0.3">
      <c r="A2219" t="s">
        <v>2234</v>
      </c>
      <c r="B2219" t="s">
        <v>18</v>
      </c>
      <c r="C2219" t="s">
        <v>14</v>
      </c>
      <c r="D2219">
        <v>22</v>
      </c>
      <c r="E2219" s="1">
        <v>43978</v>
      </c>
      <c r="F2219">
        <v>1.75</v>
      </c>
      <c r="G2219">
        <v>9</v>
      </c>
      <c r="H2219">
        <v>8401.75</v>
      </c>
      <c r="I2219">
        <v>5.4</v>
      </c>
    </row>
    <row r="2220" spans="1:9" x14ac:dyDescent="0.3">
      <c r="A2220" t="s">
        <v>2235</v>
      </c>
      <c r="B2220" t="s">
        <v>10</v>
      </c>
      <c r="C2220" t="s">
        <v>14</v>
      </c>
      <c r="D2220">
        <v>30</v>
      </c>
      <c r="E2220" s="1">
        <v>42968</v>
      </c>
      <c r="F2220">
        <v>2.7</v>
      </c>
      <c r="G2220">
        <v>15</v>
      </c>
      <c r="H2220">
        <v>5945.83</v>
      </c>
      <c r="I2220">
        <v>8.1999999999999993</v>
      </c>
    </row>
    <row r="2221" spans="1:9" x14ac:dyDescent="0.3">
      <c r="A2221" t="s">
        <v>2236</v>
      </c>
      <c r="B2221" t="s">
        <v>34</v>
      </c>
      <c r="C2221" t="s">
        <v>11</v>
      </c>
      <c r="D2221">
        <v>26</v>
      </c>
      <c r="E2221" s="1">
        <v>40725</v>
      </c>
      <c r="F2221">
        <v>2.87</v>
      </c>
      <c r="G2221">
        <v>7</v>
      </c>
      <c r="H2221">
        <v>4687.75</v>
      </c>
      <c r="I2221">
        <v>14.3</v>
      </c>
    </row>
    <row r="2222" spans="1:9" x14ac:dyDescent="0.3">
      <c r="A2222" t="s">
        <v>2237</v>
      </c>
      <c r="B2222" t="s">
        <v>24</v>
      </c>
      <c r="C2222" t="s">
        <v>11</v>
      </c>
      <c r="D2222">
        <v>45</v>
      </c>
      <c r="E2222" s="1">
        <v>45206</v>
      </c>
      <c r="F2222">
        <v>2.2599999999999998</v>
      </c>
      <c r="G2222">
        <v>8</v>
      </c>
      <c r="H2222">
        <v>13831.51</v>
      </c>
      <c r="I2222">
        <v>2.1</v>
      </c>
    </row>
    <row r="2223" spans="1:9" x14ac:dyDescent="0.3">
      <c r="A2223" t="s">
        <v>2238</v>
      </c>
      <c r="B2223" t="s">
        <v>34</v>
      </c>
      <c r="C2223" t="s">
        <v>11</v>
      </c>
      <c r="D2223">
        <v>51</v>
      </c>
      <c r="E2223" s="1">
        <v>44011</v>
      </c>
      <c r="F2223">
        <v>3.63</v>
      </c>
      <c r="G2223">
        <v>10</v>
      </c>
      <c r="H2223">
        <v>6376.24</v>
      </c>
      <c r="I2223">
        <v>5.3</v>
      </c>
    </row>
    <row r="2224" spans="1:9" x14ac:dyDescent="0.3">
      <c r="A2224" t="s">
        <v>2239</v>
      </c>
      <c r="B2224" t="s">
        <v>13</v>
      </c>
      <c r="C2224" t="s">
        <v>14</v>
      </c>
      <c r="D2224">
        <v>54</v>
      </c>
      <c r="E2224" s="1">
        <v>40303</v>
      </c>
      <c r="F2224">
        <v>2.94</v>
      </c>
      <c r="G2224">
        <v>6</v>
      </c>
      <c r="H2224">
        <v>10056.65</v>
      </c>
      <c r="I2224">
        <v>15.5</v>
      </c>
    </row>
    <row r="2225" spans="1:9" x14ac:dyDescent="0.3">
      <c r="A2225" t="s">
        <v>2240</v>
      </c>
      <c r="B2225" t="s">
        <v>24</v>
      </c>
      <c r="C2225" t="s">
        <v>14</v>
      </c>
      <c r="D2225">
        <v>44</v>
      </c>
      <c r="E2225" s="1">
        <v>45649</v>
      </c>
      <c r="F2225">
        <v>2.33</v>
      </c>
      <c r="G2225">
        <v>11</v>
      </c>
      <c r="H2225">
        <v>5500.12</v>
      </c>
      <c r="I2225">
        <v>0.9</v>
      </c>
    </row>
    <row r="2226" spans="1:9" x14ac:dyDescent="0.3">
      <c r="A2226" t="s">
        <v>2241</v>
      </c>
      <c r="B2226" t="s">
        <v>16</v>
      </c>
      <c r="C2226" t="s">
        <v>11</v>
      </c>
      <c r="D2226">
        <v>42</v>
      </c>
      <c r="E2226" s="1">
        <v>41691</v>
      </c>
      <c r="F2226">
        <v>3.62</v>
      </c>
      <c r="G2226">
        <v>13</v>
      </c>
      <c r="H2226">
        <v>7569.2</v>
      </c>
      <c r="I2226">
        <v>11.7</v>
      </c>
    </row>
    <row r="2227" spans="1:9" x14ac:dyDescent="0.3">
      <c r="A2227" t="s">
        <v>2242</v>
      </c>
      <c r="B2227" t="s">
        <v>16</v>
      </c>
      <c r="C2227" t="s">
        <v>11</v>
      </c>
      <c r="D2227">
        <v>43</v>
      </c>
      <c r="E2227" s="1">
        <v>44230</v>
      </c>
      <c r="F2227">
        <v>3.29</v>
      </c>
      <c r="G2227">
        <v>3</v>
      </c>
      <c r="H2227">
        <v>8875.08</v>
      </c>
      <c r="I2227">
        <v>4.7</v>
      </c>
    </row>
    <row r="2228" spans="1:9" x14ac:dyDescent="0.3">
      <c r="A2228" t="s">
        <v>2243</v>
      </c>
      <c r="B2228" t="s">
        <v>13</v>
      </c>
      <c r="C2228" t="s">
        <v>11</v>
      </c>
      <c r="D2228">
        <v>56</v>
      </c>
      <c r="E2228" s="1">
        <v>44305</v>
      </c>
      <c r="F2228">
        <v>1.94</v>
      </c>
      <c r="G2228">
        <v>10</v>
      </c>
      <c r="H2228">
        <v>12114.64</v>
      </c>
      <c r="I2228">
        <v>4.5</v>
      </c>
    </row>
    <row r="2229" spans="1:9" x14ac:dyDescent="0.3">
      <c r="A2229" t="s">
        <v>2244</v>
      </c>
      <c r="B2229" t="s">
        <v>18</v>
      </c>
      <c r="C2229" t="s">
        <v>14</v>
      </c>
      <c r="D2229">
        <v>52</v>
      </c>
      <c r="E2229" s="1">
        <v>40621</v>
      </c>
      <c r="F2229">
        <v>4.22</v>
      </c>
      <c r="G2229">
        <v>8</v>
      </c>
      <c r="H2229">
        <v>10297.790000000001</v>
      </c>
      <c r="I2229">
        <v>14.6</v>
      </c>
    </row>
    <row r="2230" spans="1:9" x14ac:dyDescent="0.3">
      <c r="A2230" t="s">
        <v>2245</v>
      </c>
      <c r="B2230" t="s">
        <v>13</v>
      </c>
      <c r="C2230" t="s">
        <v>11</v>
      </c>
      <c r="D2230">
        <v>27</v>
      </c>
      <c r="E2230" s="1">
        <v>40499</v>
      </c>
      <c r="F2230">
        <v>2.7</v>
      </c>
      <c r="G2230">
        <v>1</v>
      </c>
      <c r="H2230">
        <v>3931.59</v>
      </c>
      <c r="I2230">
        <v>15</v>
      </c>
    </row>
    <row r="2231" spans="1:9" x14ac:dyDescent="0.3">
      <c r="A2231" t="s">
        <v>2246</v>
      </c>
      <c r="B2231" t="s">
        <v>34</v>
      </c>
      <c r="C2231" t="s">
        <v>11</v>
      </c>
      <c r="D2231">
        <v>59</v>
      </c>
      <c r="E2231" s="1">
        <v>41836</v>
      </c>
      <c r="F2231">
        <v>3.56</v>
      </c>
      <c r="G2231">
        <v>6</v>
      </c>
      <c r="H2231">
        <v>14241.1</v>
      </c>
      <c r="I2231">
        <v>11.3</v>
      </c>
    </row>
    <row r="2232" spans="1:9" x14ac:dyDescent="0.3">
      <c r="A2232" t="s">
        <v>2247</v>
      </c>
      <c r="B2232" t="s">
        <v>24</v>
      </c>
      <c r="C2232" t="s">
        <v>14</v>
      </c>
      <c r="D2232">
        <v>29</v>
      </c>
      <c r="E2232" s="1">
        <v>45192</v>
      </c>
      <c r="F2232">
        <v>2.58</v>
      </c>
      <c r="G2232">
        <v>11</v>
      </c>
      <c r="H2232">
        <v>5794.34</v>
      </c>
      <c r="I2232">
        <v>2.1</v>
      </c>
    </row>
    <row r="2233" spans="1:9" x14ac:dyDescent="0.3">
      <c r="A2233" t="s">
        <v>2248</v>
      </c>
      <c r="B2233" t="s">
        <v>24</v>
      </c>
      <c r="C2233" t="s">
        <v>11</v>
      </c>
      <c r="D2233">
        <v>34</v>
      </c>
      <c r="E2233" s="1">
        <v>44572</v>
      </c>
      <c r="F2233">
        <v>3.35</v>
      </c>
      <c r="G2233">
        <v>11</v>
      </c>
      <c r="H2233">
        <v>13924.24</v>
      </c>
      <c r="I2233">
        <v>3.8</v>
      </c>
    </row>
    <row r="2234" spans="1:9" x14ac:dyDescent="0.3">
      <c r="A2234" t="s">
        <v>2249</v>
      </c>
      <c r="B2234" t="s">
        <v>16</v>
      </c>
      <c r="C2234" t="s">
        <v>11</v>
      </c>
      <c r="D2234">
        <v>55</v>
      </c>
      <c r="E2234" s="1">
        <v>43163</v>
      </c>
      <c r="F2234">
        <v>1.51</v>
      </c>
      <c r="G2234">
        <v>1</v>
      </c>
      <c r="H2234">
        <v>5379.61</v>
      </c>
      <c r="I2234">
        <v>7.7</v>
      </c>
    </row>
    <row r="2235" spans="1:9" x14ac:dyDescent="0.3">
      <c r="A2235" t="s">
        <v>2250</v>
      </c>
      <c r="B2235" t="s">
        <v>34</v>
      </c>
      <c r="C2235" t="s">
        <v>14</v>
      </c>
      <c r="D2235">
        <v>37</v>
      </c>
      <c r="E2235" s="1">
        <v>40303</v>
      </c>
      <c r="F2235">
        <v>2.48</v>
      </c>
      <c r="G2235">
        <v>6</v>
      </c>
      <c r="H2235">
        <v>6779.82</v>
      </c>
      <c r="I2235">
        <v>15.5</v>
      </c>
    </row>
    <row r="2236" spans="1:9" x14ac:dyDescent="0.3">
      <c r="A2236" t="s">
        <v>2251</v>
      </c>
      <c r="B2236" t="s">
        <v>24</v>
      </c>
      <c r="C2236" t="s">
        <v>14</v>
      </c>
      <c r="D2236">
        <v>54</v>
      </c>
      <c r="E2236" s="1">
        <v>45576</v>
      </c>
      <c r="F2236">
        <v>4.2699999999999996</v>
      </c>
      <c r="G2236">
        <v>12</v>
      </c>
      <c r="H2236">
        <v>10971.08</v>
      </c>
      <c r="I2236">
        <v>1.1000000000000001</v>
      </c>
    </row>
    <row r="2237" spans="1:9" x14ac:dyDescent="0.3">
      <c r="A2237" t="s">
        <v>2252</v>
      </c>
      <c r="B2237" t="s">
        <v>16</v>
      </c>
      <c r="C2237" t="s">
        <v>11</v>
      </c>
      <c r="D2237">
        <v>33</v>
      </c>
      <c r="E2237" s="1">
        <v>43054</v>
      </c>
      <c r="F2237">
        <v>3.23</v>
      </c>
      <c r="G2237">
        <v>6</v>
      </c>
      <c r="H2237">
        <v>10193.68</v>
      </c>
      <c r="I2237">
        <v>8</v>
      </c>
    </row>
    <row r="2238" spans="1:9" x14ac:dyDescent="0.3">
      <c r="A2238" t="s">
        <v>2253</v>
      </c>
      <c r="B2238" t="s">
        <v>18</v>
      </c>
      <c r="C2238" t="s">
        <v>14</v>
      </c>
      <c r="D2238">
        <v>30</v>
      </c>
      <c r="E2238" s="1">
        <v>44774</v>
      </c>
      <c r="F2238">
        <v>4.82</v>
      </c>
      <c r="G2238">
        <v>1</v>
      </c>
      <c r="H2238">
        <v>5903.7</v>
      </c>
      <c r="I2238">
        <v>3.3</v>
      </c>
    </row>
    <row r="2239" spans="1:9" x14ac:dyDescent="0.3">
      <c r="A2239" t="s">
        <v>2254</v>
      </c>
      <c r="B2239" t="s">
        <v>34</v>
      </c>
      <c r="C2239" t="s">
        <v>11</v>
      </c>
      <c r="D2239">
        <v>30</v>
      </c>
      <c r="E2239" s="1">
        <v>44549</v>
      </c>
      <c r="F2239">
        <v>2.3199999999999998</v>
      </c>
      <c r="G2239">
        <v>10</v>
      </c>
      <c r="H2239">
        <v>4807.58</v>
      </c>
      <c r="I2239">
        <v>3.9</v>
      </c>
    </row>
    <row r="2240" spans="1:9" x14ac:dyDescent="0.3">
      <c r="A2240" t="s">
        <v>2255</v>
      </c>
      <c r="B2240" t="s">
        <v>24</v>
      </c>
      <c r="C2240" t="s">
        <v>11</v>
      </c>
      <c r="D2240">
        <v>32</v>
      </c>
      <c r="E2240" s="1">
        <v>40426</v>
      </c>
      <c r="F2240">
        <v>3.14</v>
      </c>
      <c r="G2240">
        <v>15</v>
      </c>
      <c r="H2240">
        <v>10875.06</v>
      </c>
      <c r="I2240">
        <v>15.2</v>
      </c>
    </row>
    <row r="2241" spans="1:9" x14ac:dyDescent="0.3">
      <c r="A2241" t="s">
        <v>2256</v>
      </c>
      <c r="B2241" t="s">
        <v>13</v>
      </c>
      <c r="C2241" t="s">
        <v>14</v>
      </c>
      <c r="D2241">
        <v>55</v>
      </c>
      <c r="E2241" s="1">
        <v>43297</v>
      </c>
      <c r="F2241">
        <v>2.74</v>
      </c>
      <c r="G2241">
        <v>13</v>
      </c>
      <c r="H2241">
        <v>8935.91</v>
      </c>
      <c r="I2241">
        <v>7.3</v>
      </c>
    </row>
    <row r="2242" spans="1:9" x14ac:dyDescent="0.3">
      <c r="A2242" t="s">
        <v>2257</v>
      </c>
      <c r="B2242" t="s">
        <v>16</v>
      </c>
      <c r="C2242" t="s">
        <v>14</v>
      </c>
      <c r="D2242">
        <v>53</v>
      </c>
      <c r="E2242" s="1">
        <v>43212</v>
      </c>
      <c r="F2242">
        <v>4.72</v>
      </c>
      <c r="G2242">
        <v>15</v>
      </c>
      <c r="H2242">
        <v>14693.61</v>
      </c>
      <c r="I2242">
        <v>7.5</v>
      </c>
    </row>
    <row r="2243" spans="1:9" x14ac:dyDescent="0.3">
      <c r="A2243" t="s">
        <v>2258</v>
      </c>
      <c r="B2243" t="s">
        <v>16</v>
      </c>
      <c r="C2243" t="s">
        <v>14</v>
      </c>
      <c r="D2243">
        <v>43</v>
      </c>
      <c r="E2243" s="1">
        <v>44563</v>
      </c>
      <c r="F2243">
        <v>2.15</v>
      </c>
      <c r="G2243">
        <v>14</v>
      </c>
      <c r="H2243">
        <v>10467.030000000001</v>
      </c>
      <c r="I2243">
        <v>3.8</v>
      </c>
    </row>
    <row r="2244" spans="1:9" x14ac:dyDescent="0.3">
      <c r="A2244" t="s">
        <v>2259</v>
      </c>
      <c r="B2244" t="s">
        <v>16</v>
      </c>
      <c r="C2244" t="s">
        <v>14</v>
      </c>
      <c r="D2244">
        <v>40</v>
      </c>
      <c r="E2244" s="1">
        <v>43651</v>
      </c>
      <c r="F2244">
        <v>1.52</v>
      </c>
      <c r="G2244">
        <v>6</v>
      </c>
      <c r="H2244">
        <v>3275.87</v>
      </c>
      <c r="I2244">
        <v>6.3</v>
      </c>
    </row>
    <row r="2245" spans="1:9" x14ac:dyDescent="0.3">
      <c r="A2245" t="s">
        <v>2260</v>
      </c>
      <c r="B2245" t="s">
        <v>34</v>
      </c>
      <c r="C2245" t="s">
        <v>14</v>
      </c>
      <c r="D2245">
        <v>31</v>
      </c>
      <c r="E2245" s="1">
        <v>42215</v>
      </c>
      <c r="F2245">
        <v>3.97</v>
      </c>
      <c r="G2245">
        <v>12</v>
      </c>
      <c r="H2245">
        <v>10189.17</v>
      </c>
      <c r="I2245">
        <v>10.3</v>
      </c>
    </row>
    <row r="2246" spans="1:9" x14ac:dyDescent="0.3">
      <c r="A2246" t="s">
        <v>2261</v>
      </c>
      <c r="B2246" t="s">
        <v>10</v>
      </c>
      <c r="C2246" t="s">
        <v>11</v>
      </c>
      <c r="D2246">
        <v>49</v>
      </c>
      <c r="E2246" s="1">
        <v>40582</v>
      </c>
      <c r="F2246">
        <v>4.99</v>
      </c>
      <c r="G2246">
        <v>1</v>
      </c>
      <c r="H2246">
        <v>12102.95</v>
      </c>
      <c r="I2246">
        <v>14.7</v>
      </c>
    </row>
    <row r="2247" spans="1:9" x14ac:dyDescent="0.3">
      <c r="A2247" t="s">
        <v>2262</v>
      </c>
      <c r="B2247" t="s">
        <v>13</v>
      </c>
      <c r="C2247" t="s">
        <v>14</v>
      </c>
      <c r="D2247">
        <v>39</v>
      </c>
      <c r="E2247" s="1">
        <v>43388</v>
      </c>
      <c r="F2247">
        <v>3.23</v>
      </c>
      <c r="G2247">
        <v>9</v>
      </c>
      <c r="H2247">
        <v>4198.67</v>
      </c>
      <c r="I2247">
        <v>7.1</v>
      </c>
    </row>
    <row r="2248" spans="1:9" x14ac:dyDescent="0.3">
      <c r="A2248" t="s">
        <v>2263</v>
      </c>
      <c r="B2248" t="s">
        <v>13</v>
      </c>
      <c r="C2248" t="s">
        <v>11</v>
      </c>
      <c r="D2248">
        <v>39</v>
      </c>
      <c r="E2248" s="1">
        <v>41689</v>
      </c>
      <c r="F2248">
        <v>1.51</v>
      </c>
      <c r="G2248">
        <v>15</v>
      </c>
      <c r="H2248">
        <v>13625.55</v>
      </c>
      <c r="I2248">
        <v>11.7</v>
      </c>
    </row>
    <row r="2249" spans="1:9" x14ac:dyDescent="0.3">
      <c r="A2249" t="s">
        <v>2264</v>
      </c>
      <c r="B2249" t="s">
        <v>10</v>
      </c>
      <c r="C2249" t="s">
        <v>14</v>
      </c>
      <c r="D2249">
        <v>47</v>
      </c>
      <c r="E2249" s="1">
        <v>41246</v>
      </c>
      <c r="F2249">
        <v>2.52</v>
      </c>
      <c r="G2249">
        <v>8</v>
      </c>
      <c r="H2249">
        <v>4588.67</v>
      </c>
      <c r="I2249">
        <v>12.9</v>
      </c>
    </row>
    <row r="2250" spans="1:9" x14ac:dyDescent="0.3">
      <c r="A2250" t="s">
        <v>2265</v>
      </c>
      <c r="B2250" t="s">
        <v>34</v>
      </c>
      <c r="C2250" t="s">
        <v>14</v>
      </c>
      <c r="D2250">
        <v>46</v>
      </c>
      <c r="E2250" s="1">
        <v>41284</v>
      </c>
      <c r="F2250">
        <v>3.05</v>
      </c>
      <c r="G2250">
        <v>2</v>
      </c>
      <c r="H2250">
        <v>13977.56</v>
      </c>
      <c r="I2250">
        <v>12.8</v>
      </c>
    </row>
    <row r="2251" spans="1:9" x14ac:dyDescent="0.3">
      <c r="A2251" t="s">
        <v>2266</v>
      </c>
      <c r="B2251" t="s">
        <v>24</v>
      </c>
      <c r="C2251" t="s">
        <v>11</v>
      </c>
      <c r="D2251">
        <v>39</v>
      </c>
      <c r="E2251" s="1">
        <v>44820</v>
      </c>
      <c r="F2251">
        <v>3.03</v>
      </c>
      <c r="G2251">
        <v>13</v>
      </c>
      <c r="H2251">
        <v>8842.61</v>
      </c>
      <c r="I2251">
        <v>3.1</v>
      </c>
    </row>
    <row r="2252" spans="1:9" x14ac:dyDescent="0.3">
      <c r="A2252" t="s">
        <v>2267</v>
      </c>
      <c r="B2252" t="s">
        <v>16</v>
      </c>
      <c r="C2252" t="s">
        <v>14</v>
      </c>
      <c r="D2252">
        <v>51</v>
      </c>
      <c r="E2252" s="1">
        <v>45335</v>
      </c>
      <c r="F2252">
        <v>1.51</v>
      </c>
      <c r="G2252">
        <v>3</v>
      </c>
      <c r="H2252">
        <v>3530.55</v>
      </c>
      <c r="I2252">
        <v>1.7</v>
      </c>
    </row>
    <row r="2253" spans="1:9" x14ac:dyDescent="0.3">
      <c r="A2253" t="s">
        <v>2268</v>
      </c>
      <c r="B2253" t="s">
        <v>34</v>
      </c>
      <c r="C2253" t="s">
        <v>11</v>
      </c>
      <c r="D2253">
        <v>38</v>
      </c>
      <c r="E2253" s="1">
        <v>43049</v>
      </c>
      <c r="F2253">
        <v>3.33</v>
      </c>
      <c r="G2253">
        <v>5</v>
      </c>
      <c r="H2253">
        <v>4770.93</v>
      </c>
      <c r="I2253">
        <v>8</v>
      </c>
    </row>
    <row r="2254" spans="1:9" x14ac:dyDescent="0.3">
      <c r="A2254" t="s">
        <v>2269</v>
      </c>
      <c r="B2254" t="s">
        <v>34</v>
      </c>
      <c r="C2254" t="s">
        <v>11</v>
      </c>
      <c r="D2254">
        <v>39</v>
      </c>
      <c r="E2254" s="1">
        <v>43422</v>
      </c>
      <c r="F2254">
        <v>2.2200000000000002</v>
      </c>
      <c r="G2254">
        <v>4</v>
      </c>
      <c r="H2254">
        <v>5012.5</v>
      </c>
      <c r="I2254">
        <v>7</v>
      </c>
    </row>
    <row r="2255" spans="1:9" x14ac:dyDescent="0.3">
      <c r="A2255" t="s">
        <v>2270</v>
      </c>
      <c r="B2255" t="s">
        <v>16</v>
      </c>
      <c r="C2255" t="s">
        <v>11</v>
      </c>
      <c r="D2255">
        <v>24</v>
      </c>
      <c r="E2255" s="1">
        <v>40244</v>
      </c>
      <c r="F2255">
        <v>4.17</v>
      </c>
      <c r="G2255">
        <v>14</v>
      </c>
      <c r="H2255">
        <v>12816.3</v>
      </c>
      <c r="I2255">
        <v>15.7</v>
      </c>
    </row>
    <row r="2256" spans="1:9" x14ac:dyDescent="0.3">
      <c r="A2256" t="s">
        <v>2271</v>
      </c>
      <c r="B2256" t="s">
        <v>18</v>
      </c>
      <c r="C2256" t="s">
        <v>11</v>
      </c>
      <c r="D2256">
        <v>30</v>
      </c>
      <c r="E2256" s="1">
        <v>41314</v>
      </c>
      <c r="F2256">
        <v>3.5</v>
      </c>
      <c r="G2256">
        <v>4</v>
      </c>
      <c r="H2256">
        <v>8904.15</v>
      </c>
      <c r="I2256">
        <v>12.7</v>
      </c>
    </row>
    <row r="2257" spans="1:9" x14ac:dyDescent="0.3">
      <c r="A2257" t="s">
        <v>2272</v>
      </c>
      <c r="B2257" t="s">
        <v>18</v>
      </c>
      <c r="C2257" t="s">
        <v>14</v>
      </c>
      <c r="D2257">
        <v>49</v>
      </c>
      <c r="E2257" s="1">
        <v>42798</v>
      </c>
      <c r="F2257">
        <v>3.54</v>
      </c>
      <c r="G2257">
        <v>9</v>
      </c>
      <c r="H2257">
        <v>10579.93</v>
      </c>
      <c r="I2257">
        <v>8.6999999999999993</v>
      </c>
    </row>
    <row r="2258" spans="1:9" x14ac:dyDescent="0.3">
      <c r="A2258" t="s">
        <v>2273</v>
      </c>
      <c r="B2258" t="s">
        <v>34</v>
      </c>
      <c r="C2258" t="s">
        <v>11</v>
      </c>
      <c r="D2258">
        <v>26</v>
      </c>
      <c r="E2258" s="1">
        <v>44441</v>
      </c>
      <c r="F2258">
        <v>4.78</v>
      </c>
      <c r="G2258">
        <v>6</v>
      </c>
      <c r="H2258">
        <v>9675.5499999999993</v>
      </c>
      <c r="I2258">
        <v>4.2</v>
      </c>
    </row>
    <row r="2259" spans="1:9" x14ac:dyDescent="0.3">
      <c r="A2259" t="s">
        <v>2274</v>
      </c>
      <c r="B2259" t="s">
        <v>24</v>
      </c>
      <c r="C2259" t="s">
        <v>14</v>
      </c>
      <c r="D2259">
        <v>44</v>
      </c>
      <c r="E2259" s="1">
        <v>44947</v>
      </c>
      <c r="F2259">
        <v>2.48</v>
      </c>
      <c r="G2259">
        <v>13</v>
      </c>
      <c r="H2259">
        <v>8966.92</v>
      </c>
      <c r="I2259">
        <v>2.8</v>
      </c>
    </row>
    <row r="2260" spans="1:9" x14ac:dyDescent="0.3">
      <c r="A2260" t="s">
        <v>2275</v>
      </c>
      <c r="B2260" t="s">
        <v>34</v>
      </c>
      <c r="C2260" t="s">
        <v>11</v>
      </c>
      <c r="D2260">
        <v>31</v>
      </c>
      <c r="E2260" s="1">
        <v>44286</v>
      </c>
      <c r="F2260">
        <v>1.57</v>
      </c>
      <c r="G2260">
        <v>1</v>
      </c>
      <c r="H2260">
        <v>8846.41</v>
      </c>
      <c r="I2260">
        <v>4.5999999999999996</v>
      </c>
    </row>
    <row r="2261" spans="1:9" x14ac:dyDescent="0.3">
      <c r="A2261" t="s">
        <v>2276</v>
      </c>
      <c r="B2261" t="s">
        <v>18</v>
      </c>
      <c r="C2261" t="s">
        <v>14</v>
      </c>
      <c r="D2261">
        <v>34</v>
      </c>
      <c r="E2261" s="1">
        <v>43823</v>
      </c>
      <c r="F2261">
        <v>3.68</v>
      </c>
      <c r="G2261">
        <v>15</v>
      </c>
      <c r="H2261">
        <v>9262.39</v>
      </c>
      <c r="I2261">
        <v>5.9</v>
      </c>
    </row>
    <row r="2262" spans="1:9" x14ac:dyDescent="0.3">
      <c r="A2262" t="s">
        <v>2277</v>
      </c>
      <c r="B2262" t="s">
        <v>18</v>
      </c>
      <c r="C2262" t="s">
        <v>14</v>
      </c>
      <c r="D2262">
        <v>55</v>
      </c>
      <c r="E2262" s="1">
        <v>42048</v>
      </c>
      <c r="F2262">
        <v>4.82</v>
      </c>
      <c r="G2262">
        <v>4</v>
      </c>
      <c r="H2262">
        <v>13148.05</v>
      </c>
      <c r="I2262">
        <v>10.7</v>
      </c>
    </row>
    <row r="2263" spans="1:9" x14ac:dyDescent="0.3">
      <c r="A2263" t="s">
        <v>2278</v>
      </c>
      <c r="B2263" t="s">
        <v>13</v>
      </c>
      <c r="C2263" t="s">
        <v>14</v>
      </c>
      <c r="D2263">
        <v>53</v>
      </c>
      <c r="E2263" s="1">
        <v>43057</v>
      </c>
      <c r="F2263">
        <v>3.57</v>
      </c>
      <c r="G2263">
        <v>6</v>
      </c>
      <c r="H2263">
        <v>12284.17</v>
      </c>
      <c r="I2263">
        <v>8</v>
      </c>
    </row>
    <row r="2264" spans="1:9" x14ac:dyDescent="0.3">
      <c r="A2264" t="s">
        <v>2279</v>
      </c>
      <c r="B2264" t="s">
        <v>34</v>
      </c>
      <c r="C2264" t="s">
        <v>11</v>
      </c>
      <c r="D2264">
        <v>32</v>
      </c>
      <c r="E2264" s="1">
        <v>45100</v>
      </c>
      <c r="F2264">
        <v>2.91</v>
      </c>
      <c r="G2264">
        <v>11</v>
      </c>
      <c r="H2264">
        <v>9189.0400000000009</v>
      </c>
      <c r="I2264">
        <v>2.4</v>
      </c>
    </row>
    <row r="2265" spans="1:9" x14ac:dyDescent="0.3">
      <c r="A2265" t="s">
        <v>2280</v>
      </c>
      <c r="B2265" t="s">
        <v>10</v>
      </c>
      <c r="C2265" t="s">
        <v>11</v>
      </c>
      <c r="D2265">
        <v>32</v>
      </c>
      <c r="E2265" s="1">
        <v>43488</v>
      </c>
      <c r="F2265">
        <v>1.77</v>
      </c>
      <c r="G2265">
        <v>7</v>
      </c>
      <c r="H2265">
        <v>12902.67</v>
      </c>
      <c r="I2265">
        <v>6.8</v>
      </c>
    </row>
    <row r="2266" spans="1:9" x14ac:dyDescent="0.3">
      <c r="A2266" t="s">
        <v>2281</v>
      </c>
      <c r="B2266" t="s">
        <v>16</v>
      </c>
      <c r="C2266" t="s">
        <v>14</v>
      </c>
      <c r="D2266">
        <v>57</v>
      </c>
      <c r="E2266" s="1">
        <v>43705</v>
      </c>
      <c r="F2266">
        <v>1.89</v>
      </c>
      <c r="G2266">
        <v>12</v>
      </c>
      <c r="H2266">
        <v>7377.43</v>
      </c>
      <c r="I2266">
        <v>6.2</v>
      </c>
    </row>
    <row r="2267" spans="1:9" x14ac:dyDescent="0.3">
      <c r="A2267" t="s">
        <v>2282</v>
      </c>
      <c r="B2267" t="s">
        <v>16</v>
      </c>
      <c r="C2267" t="s">
        <v>11</v>
      </c>
      <c r="D2267">
        <v>22</v>
      </c>
      <c r="E2267" s="1">
        <v>41387</v>
      </c>
      <c r="F2267">
        <v>3.14</v>
      </c>
      <c r="G2267">
        <v>3</v>
      </c>
      <c r="H2267">
        <v>12023.71</v>
      </c>
      <c r="I2267">
        <v>12.5</v>
      </c>
    </row>
    <row r="2268" spans="1:9" x14ac:dyDescent="0.3">
      <c r="A2268" t="s">
        <v>2283</v>
      </c>
      <c r="B2268" t="s">
        <v>18</v>
      </c>
      <c r="C2268" t="s">
        <v>11</v>
      </c>
      <c r="D2268">
        <v>41</v>
      </c>
      <c r="E2268" s="1">
        <v>43684</v>
      </c>
      <c r="F2268">
        <v>2.9</v>
      </c>
      <c r="G2268">
        <v>8</v>
      </c>
      <c r="H2268">
        <v>14558.56</v>
      </c>
      <c r="I2268">
        <v>6.2</v>
      </c>
    </row>
    <row r="2269" spans="1:9" x14ac:dyDescent="0.3">
      <c r="A2269" t="s">
        <v>2284</v>
      </c>
      <c r="B2269" t="s">
        <v>34</v>
      </c>
      <c r="C2269" t="s">
        <v>14</v>
      </c>
      <c r="D2269">
        <v>24</v>
      </c>
      <c r="E2269" s="1">
        <v>41656</v>
      </c>
      <c r="F2269">
        <v>4.9400000000000004</v>
      </c>
      <c r="G2269">
        <v>7</v>
      </c>
      <c r="H2269">
        <v>6561.57</v>
      </c>
      <c r="I2269">
        <v>11.8</v>
      </c>
    </row>
    <row r="2270" spans="1:9" x14ac:dyDescent="0.3">
      <c r="A2270" t="s">
        <v>2285</v>
      </c>
      <c r="B2270" t="s">
        <v>13</v>
      </c>
      <c r="C2270" t="s">
        <v>11</v>
      </c>
      <c r="D2270">
        <v>29</v>
      </c>
      <c r="E2270" s="1">
        <v>40430</v>
      </c>
      <c r="F2270">
        <v>3.09</v>
      </c>
      <c r="G2270">
        <v>9</v>
      </c>
      <c r="H2270">
        <v>5208.3599999999997</v>
      </c>
      <c r="I2270">
        <v>15.2</v>
      </c>
    </row>
    <row r="2271" spans="1:9" x14ac:dyDescent="0.3">
      <c r="A2271" t="s">
        <v>2286</v>
      </c>
      <c r="B2271" t="s">
        <v>18</v>
      </c>
      <c r="C2271" t="s">
        <v>11</v>
      </c>
      <c r="D2271">
        <v>25</v>
      </c>
      <c r="E2271" s="1">
        <v>42568</v>
      </c>
      <c r="F2271">
        <v>3.01</v>
      </c>
      <c r="G2271">
        <v>7</v>
      </c>
      <c r="H2271">
        <v>11094.47</v>
      </c>
      <c r="I2271">
        <v>9.3000000000000007</v>
      </c>
    </row>
    <row r="2272" spans="1:9" x14ac:dyDescent="0.3">
      <c r="A2272" t="s">
        <v>2287</v>
      </c>
      <c r="B2272" t="s">
        <v>24</v>
      </c>
      <c r="C2272" t="s">
        <v>11</v>
      </c>
      <c r="D2272">
        <v>37</v>
      </c>
      <c r="E2272" s="1">
        <v>40985</v>
      </c>
      <c r="F2272">
        <v>1.79</v>
      </c>
      <c r="G2272">
        <v>13</v>
      </c>
      <c r="H2272">
        <v>14015.84</v>
      </c>
      <c r="I2272">
        <v>13.6</v>
      </c>
    </row>
    <row r="2273" spans="1:9" x14ac:dyDescent="0.3">
      <c r="A2273" t="s">
        <v>2288</v>
      </c>
      <c r="B2273" t="s">
        <v>10</v>
      </c>
      <c r="C2273" t="s">
        <v>11</v>
      </c>
      <c r="D2273">
        <v>53</v>
      </c>
      <c r="E2273" s="1">
        <v>41840</v>
      </c>
      <c r="F2273">
        <v>3.11</v>
      </c>
      <c r="G2273">
        <v>11</v>
      </c>
      <c r="H2273">
        <v>14015.01</v>
      </c>
      <c r="I2273">
        <v>11.3</v>
      </c>
    </row>
    <row r="2274" spans="1:9" x14ac:dyDescent="0.3">
      <c r="A2274" t="s">
        <v>2289</v>
      </c>
      <c r="B2274" t="s">
        <v>34</v>
      </c>
      <c r="C2274" t="s">
        <v>11</v>
      </c>
      <c r="D2274">
        <v>59</v>
      </c>
      <c r="E2274" s="1">
        <v>43362</v>
      </c>
      <c r="F2274">
        <v>2.94</v>
      </c>
      <c r="G2274">
        <v>4</v>
      </c>
      <c r="H2274">
        <v>13444.83</v>
      </c>
      <c r="I2274">
        <v>7.1</v>
      </c>
    </row>
    <row r="2275" spans="1:9" x14ac:dyDescent="0.3">
      <c r="A2275" t="s">
        <v>2290</v>
      </c>
      <c r="B2275" t="s">
        <v>16</v>
      </c>
      <c r="C2275" t="s">
        <v>11</v>
      </c>
      <c r="D2275">
        <v>37</v>
      </c>
      <c r="E2275" s="1">
        <v>43615</v>
      </c>
      <c r="F2275">
        <v>4.0599999999999996</v>
      </c>
      <c r="G2275">
        <v>0</v>
      </c>
      <c r="H2275">
        <v>3537.33</v>
      </c>
      <c r="I2275">
        <v>6.4</v>
      </c>
    </row>
    <row r="2276" spans="1:9" x14ac:dyDescent="0.3">
      <c r="A2276" t="s">
        <v>2291</v>
      </c>
      <c r="B2276" t="s">
        <v>24</v>
      </c>
      <c r="C2276" t="s">
        <v>11</v>
      </c>
      <c r="D2276">
        <v>29</v>
      </c>
      <c r="E2276" s="1">
        <v>40989</v>
      </c>
      <c r="F2276">
        <v>4.12</v>
      </c>
      <c r="G2276">
        <v>15</v>
      </c>
      <c r="H2276">
        <v>11547.1</v>
      </c>
      <c r="I2276">
        <v>13.6</v>
      </c>
    </row>
    <row r="2277" spans="1:9" x14ac:dyDescent="0.3">
      <c r="A2277" t="s">
        <v>2292</v>
      </c>
      <c r="B2277" t="s">
        <v>13</v>
      </c>
      <c r="C2277" t="s">
        <v>14</v>
      </c>
      <c r="D2277">
        <v>35</v>
      </c>
      <c r="E2277" s="1">
        <v>44060</v>
      </c>
      <c r="F2277">
        <v>4.04</v>
      </c>
      <c r="G2277">
        <v>7</v>
      </c>
      <c r="H2277">
        <v>10513.67</v>
      </c>
      <c r="I2277">
        <v>5.2</v>
      </c>
    </row>
    <row r="2278" spans="1:9" x14ac:dyDescent="0.3">
      <c r="A2278" t="s">
        <v>2293</v>
      </c>
      <c r="B2278" t="s">
        <v>10</v>
      </c>
      <c r="C2278" t="s">
        <v>14</v>
      </c>
      <c r="D2278">
        <v>40</v>
      </c>
      <c r="E2278" s="1">
        <v>44833</v>
      </c>
      <c r="F2278">
        <v>4.96</v>
      </c>
      <c r="G2278">
        <v>7</v>
      </c>
      <c r="H2278">
        <v>8642.01</v>
      </c>
      <c r="I2278">
        <v>3.1</v>
      </c>
    </row>
    <row r="2279" spans="1:9" x14ac:dyDescent="0.3">
      <c r="A2279" t="s">
        <v>2294</v>
      </c>
      <c r="B2279" t="s">
        <v>16</v>
      </c>
      <c r="C2279" t="s">
        <v>11</v>
      </c>
      <c r="D2279">
        <v>56</v>
      </c>
      <c r="E2279" s="1">
        <v>44625</v>
      </c>
      <c r="F2279">
        <v>1.9</v>
      </c>
      <c r="G2279">
        <v>7</v>
      </c>
      <c r="H2279">
        <v>11530.81</v>
      </c>
      <c r="I2279">
        <v>3.7</v>
      </c>
    </row>
    <row r="2280" spans="1:9" x14ac:dyDescent="0.3">
      <c r="A2280" t="s">
        <v>2295</v>
      </c>
      <c r="B2280" t="s">
        <v>24</v>
      </c>
      <c r="C2280" t="s">
        <v>14</v>
      </c>
      <c r="D2280">
        <v>32</v>
      </c>
      <c r="E2280" s="1">
        <v>42562</v>
      </c>
      <c r="F2280">
        <v>4.03</v>
      </c>
      <c r="G2280">
        <v>1</v>
      </c>
      <c r="H2280">
        <v>8023.49</v>
      </c>
      <c r="I2280">
        <v>9.3000000000000007</v>
      </c>
    </row>
    <row r="2281" spans="1:9" x14ac:dyDescent="0.3">
      <c r="A2281" t="s">
        <v>2296</v>
      </c>
      <c r="B2281" t="s">
        <v>16</v>
      </c>
      <c r="C2281" t="s">
        <v>14</v>
      </c>
      <c r="D2281">
        <v>55</v>
      </c>
      <c r="E2281" s="1">
        <v>41405</v>
      </c>
      <c r="F2281">
        <v>2.25</v>
      </c>
      <c r="G2281">
        <v>14</v>
      </c>
      <c r="H2281">
        <v>5420.57</v>
      </c>
      <c r="I2281">
        <v>12.5</v>
      </c>
    </row>
    <row r="2282" spans="1:9" x14ac:dyDescent="0.3">
      <c r="A2282" t="s">
        <v>2297</v>
      </c>
      <c r="B2282" t="s">
        <v>18</v>
      </c>
      <c r="C2282" t="s">
        <v>11</v>
      </c>
      <c r="D2282">
        <v>24</v>
      </c>
      <c r="E2282" s="1">
        <v>42751</v>
      </c>
      <c r="F2282">
        <v>4.75</v>
      </c>
      <c r="G2282">
        <v>1</v>
      </c>
      <c r="H2282">
        <v>11539.55</v>
      </c>
      <c r="I2282">
        <v>8.8000000000000007</v>
      </c>
    </row>
    <row r="2283" spans="1:9" x14ac:dyDescent="0.3">
      <c r="A2283" t="s">
        <v>2298</v>
      </c>
      <c r="B2283" t="s">
        <v>16</v>
      </c>
      <c r="C2283" t="s">
        <v>14</v>
      </c>
      <c r="D2283">
        <v>29</v>
      </c>
      <c r="E2283" s="1">
        <v>42896</v>
      </c>
      <c r="F2283">
        <v>4.82</v>
      </c>
      <c r="G2283">
        <v>15</v>
      </c>
      <c r="H2283">
        <v>3062.84</v>
      </c>
      <c r="I2283">
        <v>8.4</v>
      </c>
    </row>
    <row r="2284" spans="1:9" x14ac:dyDescent="0.3">
      <c r="A2284" t="s">
        <v>2299</v>
      </c>
      <c r="B2284" t="s">
        <v>18</v>
      </c>
      <c r="C2284" t="s">
        <v>11</v>
      </c>
      <c r="D2284">
        <v>60</v>
      </c>
      <c r="E2284" s="1">
        <v>40976</v>
      </c>
      <c r="F2284">
        <v>4.4400000000000004</v>
      </c>
      <c r="G2284">
        <v>11</v>
      </c>
      <c r="H2284">
        <v>3295.01</v>
      </c>
      <c r="I2284">
        <v>13.7</v>
      </c>
    </row>
    <row r="2285" spans="1:9" x14ac:dyDescent="0.3">
      <c r="A2285" t="s">
        <v>2300</v>
      </c>
      <c r="B2285" t="s">
        <v>13</v>
      </c>
      <c r="C2285" t="s">
        <v>11</v>
      </c>
      <c r="D2285">
        <v>35</v>
      </c>
      <c r="E2285" s="1">
        <v>41394</v>
      </c>
      <c r="F2285">
        <v>2.23</v>
      </c>
      <c r="G2285">
        <v>12</v>
      </c>
      <c r="H2285">
        <v>11979.89</v>
      </c>
      <c r="I2285">
        <v>12.5</v>
      </c>
    </row>
    <row r="2286" spans="1:9" x14ac:dyDescent="0.3">
      <c r="A2286" t="s">
        <v>2301</v>
      </c>
      <c r="B2286" t="s">
        <v>18</v>
      </c>
      <c r="C2286" t="s">
        <v>14</v>
      </c>
      <c r="D2286">
        <v>47</v>
      </c>
      <c r="E2286" s="1">
        <v>41683</v>
      </c>
      <c r="F2286">
        <v>4.93</v>
      </c>
      <c r="G2286">
        <v>14</v>
      </c>
      <c r="H2286">
        <v>4438.03</v>
      </c>
      <c r="I2286">
        <v>11.7</v>
      </c>
    </row>
    <row r="2287" spans="1:9" x14ac:dyDescent="0.3">
      <c r="A2287" t="s">
        <v>2302</v>
      </c>
      <c r="B2287" t="s">
        <v>34</v>
      </c>
      <c r="C2287" t="s">
        <v>14</v>
      </c>
      <c r="D2287">
        <v>51</v>
      </c>
      <c r="E2287" s="1">
        <v>43896</v>
      </c>
      <c r="F2287">
        <v>2.52</v>
      </c>
      <c r="G2287">
        <v>14</v>
      </c>
      <c r="H2287">
        <v>13216.69</v>
      </c>
      <c r="I2287">
        <v>5.7</v>
      </c>
    </row>
    <row r="2288" spans="1:9" x14ac:dyDescent="0.3">
      <c r="A2288" t="s">
        <v>2303</v>
      </c>
      <c r="B2288" t="s">
        <v>24</v>
      </c>
      <c r="C2288" t="s">
        <v>14</v>
      </c>
      <c r="D2288">
        <v>55</v>
      </c>
      <c r="E2288" s="1">
        <v>43566</v>
      </c>
      <c r="F2288">
        <v>3.52</v>
      </c>
      <c r="G2288">
        <v>5</v>
      </c>
      <c r="H2288">
        <v>14977.72</v>
      </c>
      <c r="I2288">
        <v>6.6</v>
      </c>
    </row>
    <row r="2289" spans="1:9" x14ac:dyDescent="0.3">
      <c r="A2289" t="s">
        <v>2304</v>
      </c>
      <c r="B2289" t="s">
        <v>18</v>
      </c>
      <c r="C2289" t="s">
        <v>14</v>
      </c>
      <c r="D2289">
        <v>57</v>
      </c>
      <c r="E2289" s="1">
        <v>41800</v>
      </c>
      <c r="F2289">
        <v>2.73</v>
      </c>
      <c r="G2289">
        <v>9</v>
      </c>
      <c r="H2289">
        <v>13029.84</v>
      </c>
      <c r="I2289">
        <v>11.4</v>
      </c>
    </row>
    <row r="2290" spans="1:9" x14ac:dyDescent="0.3">
      <c r="A2290" t="s">
        <v>2305</v>
      </c>
      <c r="B2290" t="s">
        <v>10</v>
      </c>
      <c r="C2290" t="s">
        <v>14</v>
      </c>
      <c r="D2290">
        <v>49</v>
      </c>
      <c r="E2290" s="1">
        <v>45311</v>
      </c>
      <c r="F2290">
        <v>4.49</v>
      </c>
      <c r="G2290">
        <v>0</v>
      </c>
      <c r="H2290">
        <v>9875.6</v>
      </c>
      <c r="I2290">
        <v>1.8</v>
      </c>
    </row>
    <row r="2291" spans="1:9" x14ac:dyDescent="0.3">
      <c r="A2291" t="s">
        <v>2306</v>
      </c>
      <c r="B2291" t="s">
        <v>10</v>
      </c>
      <c r="C2291" t="s">
        <v>14</v>
      </c>
      <c r="D2291">
        <v>39</v>
      </c>
      <c r="E2291" s="1">
        <v>40371</v>
      </c>
      <c r="F2291">
        <v>3.39</v>
      </c>
      <c r="G2291">
        <v>13</v>
      </c>
      <c r="H2291">
        <v>3302.17</v>
      </c>
      <c r="I2291">
        <v>15.3</v>
      </c>
    </row>
    <row r="2292" spans="1:9" x14ac:dyDescent="0.3">
      <c r="A2292" t="s">
        <v>2307</v>
      </c>
      <c r="B2292" t="s">
        <v>18</v>
      </c>
      <c r="C2292" t="s">
        <v>11</v>
      </c>
      <c r="D2292">
        <v>45</v>
      </c>
      <c r="E2292" s="1">
        <v>42316</v>
      </c>
      <c r="F2292">
        <v>2.93</v>
      </c>
      <c r="G2292">
        <v>14</v>
      </c>
      <c r="H2292">
        <v>5506.38</v>
      </c>
      <c r="I2292">
        <v>10</v>
      </c>
    </row>
    <row r="2293" spans="1:9" x14ac:dyDescent="0.3">
      <c r="A2293" t="s">
        <v>2308</v>
      </c>
      <c r="B2293" t="s">
        <v>10</v>
      </c>
      <c r="C2293" t="s">
        <v>14</v>
      </c>
      <c r="D2293">
        <v>29</v>
      </c>
      <c r="E2293" s="1">
        <v>43501</v>
      </c>
      <c r="F2293">
        <v>4.3600000000000003</v>
      </c>
      <c r="G2293">
        <v>7</v>
      </c>
      <c r="H2293">
        <v>11894.89</v>
      </c>
      <c r="I2293">
        <v>6.7</v>
      </c>
    </row>
    <row r="2294" spans="1:9" x14ac:dyDescent="0.3">
      <c r="A2294" t="s">
        <v>2309</v>
      </c>
      <c r="B2294" t="s">
        <v>10</v>
      </c>
      <c r="C2294" t="s">
        <v>11</v>
      </c>
      <c r="D2294">
        <v>29</v>
      </c>
      <c r="E2294" s="1">
        <v>40265</v>
      </c>
      <c r="F2294">
        <v>4.38</v>
      </c>
      <c r="G2294">
        <v>6</v>
      </c>
      <c r="H2294">
        <v>11503.32</v>
      </c>
      <c r="I2294">
        <v>15.6</v>
      </c>
    </row>
    <row r="2295" spans="1:9" x14ac:dyDescent="0.3">
      <c r="A2295" t="s">
        <v>2310</v>
      </c>
      <c r="B2295" t="s">
        <v>10</v>
      </c>
      <c r="C2295" t="s">
        <v>14</v>
      </c>
      <c r="D2295">
        <v>34</v>
      </c>
      <c r="E2295" s="1">
        <v>45871</v>
      </c>
      <c r="F2295">
        <v>2.67</v>
      </c>
      <c r="G2295">
        <v>11</v>
      </c>
      <c r="H2295">
        <v>6295.03</v>
      </c>
      <c r="I2295">
        <v>0.2</v>
      </c>
    </row>
    <row r="2296" spans="1:9" x14ac:dyDescent="0.3">
      <c r="A2296" t="s">
        <v>2311</v>
      </c>
      <c r="B2296" t="s">
        <v>13</v>
      </c>
      <c r="C2296" t="s">
        <v>11</v>
      </c>
      <c r="D2296">
        <v>36</v>
      </c>
      <c r="E2296" s="1">
        <v>45812</v>
      </c>
      <c r="F2296">
        <v>4.79</v>
      </c>
      <c r="G2296">
        <v>5</v>
      </c>
      <c r="H2296">
        <v>13034.09</v>
      </c>
      <c r="I2296">
        <v>0.4</v>
      </c>
    </row>
    <row r="2297" spans="1:9" x14ac:dyDescent="0.3">
      <c r="A2297" t="s">
        <v>2312</v>
      </c>
      <c r="B2297" t="s">
        <v>16</v>
      </c>
      <c r="C2297" t="s">
        <v>11</v>
      </c>
      <c r="D2297">
        <v>23</v>
      </c>
      <c r="E2297" s="1">
        <v>43765</v>
      </c>
      <c r="F2297">
        <v>4.3</v>
      </c>
      <c r="G2297">
        <v>9</v>
      </c>
      <c r="H2297">
        <v>10714.54</v>
      </c>
      <c r="I2297">
        <v>6</v>
      </c>
    </row>
    <row r="2298" spans="1:9" x14ac:dyDescent="0.3">
      <c r="A2298" t="s">
        <v>2313</v>
      </c>
      <c r="B2298" t="s">
        <v>16</v>
      </c>
      <c r="C2298" t="s">
        <v>14</v>
      </c>
      <c r="D2298">
        <v>49</v>
      </c>
      <c r="E2298" s="1">
        <v>42812</v>
      </c>
      <c r="F2298">
        <v>4.1500000000000004</v>
      </c>
      <c r="G2298">
        <v>0</v>
      </c>
      <c r="H2298">
        <v>14416.69</v>
      </c>
      <c r="I2298">
        <v>8.6</v>
      </c>
    </row>
    <row r="2299" spans="1:9" x14ac:dyDescent="0.3">
      <c r="A2299" t="s">
        <v>2314</v>
      </c>
      <c r="B2299" t="s">
        <v>10</v>
      </c>
      <c r="C2299" t="s">
        <v>11</v>
      </c>
      <c r="D2299">
        <v>44</v>
      </c>
      <c r="E2299" s="1">
        <v>45549</v>
      </c>
      <c r="F2299">
        <v>2.76</v>
      </c>
      <c r="G2299">
        <v>7</v>
      </c>
      <c r="H2299">
        <v>9848.68</v>
      </c>
      <c r="I2299">
        <v>1.1000000000000001</v>
      </c>
    </row>
    <row r="2300" spans="1:9" x14ac:dyDescent="0.3">
      <c r="A2300" t="s">
        <v>2315</v>
      </c>
      <c r="B2300" t="s">
        <v>10</v>
      </c>
      <c r="C2300" t="s">
        <v>11</v>
      </c>
      <c r="D2300">
        <v>30</v>
      </c>
      <c r="E2300" s="1">
        <v>44510</v>
      </c>
      <c r="F2300">
        <v>2.72</v>
      </c>
      <c r="G2300">
        <v>7</v>
      </c>
      <c r="H2300">
        <v>3775.64</v>
      </c>
      <c r="I2300">
        <v>4</v>
      </c>
    </row>
    <row r="2301" spans="1:9" x14ac:dyDescent="0.3">
      <c r="A2301" t="s">
        <v>2316</v>
      </c>
      <c r="B2301" t="s">
        <v>16</v>
      </c>
      <c r="C2301" t="s">
        <v>14</v>
      </c>
      <c r="D2301">
        <v>36</v>
      </c>
      <c r="E2301" s="1">
        <v>43978</v>
      </c>
      <c r="F2301">
        <v>1.51</v>
      </c>
      <c r="G2301">
        <v>9</v>
      </c>
      <c r="H2301">
        <v>10816.42</v>
      </c>
      <c r="I2301">
        <v>5.4</v>
      </c>
    </row>
    <row r="2302" spans="1:9" x14ac:dyDescent="0.3">
      <c r="A2302" t="s">
        <v>2317</v>
      </c>
      <c r="B2302" t="s">
        <v>10</v>
      </c>
      <c r="C2302" t="s">
        <v>14</v>
      </c>
      <c r="D2302">
        <v>60</v>
      </c>
      <c r="E2302" s="1">
        <v>42425</v>
      </c>
      <c r="F2302">
        <v>4.43</v>
      </c>
      <c r="G2302">
        <v>6</v>
      </c>
      <c r="H2302">
        <v>11635.61</v>
      </c>
      <c r="I2302">
        <v>9.6999999999999993</v>
      </c>
    </row>
    <row r="2303" spans="1:9" x14ac:dyDescent="0.3">
      <c r="A2303" t="s">
        <v>2318</v>
      </c>
      <c r="B2303" t="s">
        <v>13</v>
      </c>
      <c r="C2303" t="s">
        <v>11</v>
      </c>
      <c r="D2303">
        <v>24</v>
      </c>
      <c r="E2303" s="1">
        <v>42334</v>
      </c>
      <c r="F2303">
        <v>1.56</v>
      </c>
      <c r="G2303">
        <v>13</v>
      </c>
      <c r="H2303">
        <v>3265.1</v>
      </c>
      <c r="I2303">
        <v>9.9</v>
      </c>
    </row>
    <row r="2304" spans="1:9" x14ac:dyDescent="0.3">
      <c r="A2304" t="s">
        <v>2319</v>
      </c>
      <c r="B2304" t="s">
        <v>13</v>
      </c>
      <c r="C2304" t="s">
        <v>14</v>
      </c>
      <c r="D2304">
        <v>39</v>
      </c>
      <c r="E2304" s="1">
        <v>44193</v>
      </c>
      <c r="F2304">
        <v>4.68</v>
      </c>
      <c r="G2304">
        <v>8</v>
      </c>
      <c r="H2304">
        <v>12659.24</v>
      </c>
      <c r="I2304">
        <v>4.8</v>
      </c>
    </row>
    <row r="2305" spans="1:9" x14ac:dyDescent="0.3">
      <c r="A2305" t="s">
        <v>2320</v>
      </c>
      <c r="B2305" t="s">
        <v>16</v>
      </c>
      <c r="C2305" t="s">
        <v>14</v>
      </c>
      <c r="D2305">
        <v>46</v>
      </c>
      <c r="E2305" s="1">
        <v>41060</v>
      </c>
      <c r="F2305">
        <v>2.74</v>
      </c>
      <c r="G2305">
        <v>11</v>
      </c>
      <c r="H2305">
        <v>10213.89</v>
      </c>
      <c r="I2305">
        <v>13.4</v>
      </c>
    </row>
    <row r="2306" spans="1:9" x14ac:dyDescent="0.3">
      <c r="A2306" t="s">
        <v>2321</v>
      </c>
      <c r="B2306" t="s">
        <v>13</v>
      </c>
      <c r="C2306" t="s">
        <v>14</v>
      </c>
      <c r="D2306">
        <v>33</v>
      </c>
      <c r="E2306" s="1">
        <v>41167</v>
      </c>
      <c r="F2306">
        <v>3.02</v>
      </c>
      <c r="G2306">
        <v>1</v>
      </c>
      <c r="H2306">
        <v>7349.17</v>
      </c>
      <c r="I2306">
        <v>13.1</v>
      </c>
    </row>
    <row r="2307" spans="1:9" x14ac:dyDescent="0.3">
      <c r="A2307" t="s">
        <v>2322</v>
      </c>
      <c r="B2307" t="s">
        <v>16</v>
      </c>
      <c r="C2307" t="s">
        <v>14</v>
      </c>
      <c r="D2307">
        <v>57</v>
      </c>
      <c r="E2307" s="1">
        <v>43581</v>
      </c>
      <c r="F2307">
        <v>4.57</v>
      </c>
      <c r="G2307">
        <v>7</v>
      </c>
      <c r="H2307">
        <v>4462.63</v>
      </c>
      <c r="I2307">
        <v>6.5</v>
      </c>
    </row>
    <row r="2308" spans="1:9" x14ac:dyDescent="0.3">
      <c r="A2308" t="s">
        <v>2323</v>
      </c>
      <c r="B2308" t="s">
        <v>13</v>
      </c>
      <c r="C2308" t="s">
        <v>14</v>
      </c>
      <c r="D2308">
        <v>57</v>
      </c>
      <c r="E2308" s="1">
        <v>41421</v>
      </c>
      <c r="F2308">
        <v>3.66</v>
      </c>
      <c r="G2308">
        <v>10</v>
      </c>
      <c r="H2308">
        <v>7997.33</v>
      </c>
      <c r="I2308">
        <v>12.4</v>
      </c>
    </row>
    <row r="2309" spans="1:9" x14ac:dyDescent="0.3">
      <c r="A2309" t="s">
        <v>2324</v>
      </c>
      <c r="B2309" t="s">
        <v>24</v>
      </c>
      <c r="C2309" t="s">
        <v>14</v>
      </c>
      <c r="D2309">
        <v>42</v>
      </c>
      <c r="E2309" s="1">
        <v>45908</v>
      </c>
      <c r="F2309">
        <v>4.29</v>
      </c>
      <c r="G2309">
        <v>14</v>
      </c>
      <c r="H2309">
        <v>5971.52</v>
      </c>
      <c r="I2309">
        <v>0.1</v>
      </c>
    </row>
    <row r="2310" spans="1:9" x14ac:dyDescent="0.3">
      <c r="A2310" t="s">
        <v>2325</v>
      </c>
      <c r="B2310" t="s">
        <v>34</v>
      </c>
      <c r="C2310" t="s">
        <v>14</v>
      </c>
      <c r="D2310">
        <v>31</v>
      </c>
      <c r="E2310" s="1">
        <v>44835</v>
      </c>
      <c r="F2310">
        <v>4.0999999999999996</v>
      </c>
      <c r="G2310">
        <v>11</v>
      </c>
      <c r="H2310">
        <v>9812.27</v>
      </c>
      <c r="I2310">
        <v>3.1</v>
      </c>
    </row>
    <row r="2311" spans="1:9" x14ac:dyDescent="0.3">
      <c r="A2311" t="s">
        <v>2326</v>
      </c>
      <c r="B2311" t="s">
        <v>10</v>
      </c>
      <c r="C2311" t="s">
        <v>14</v>
      </c>
      <c r="D2311">
        <v>30</v>
      </c>
      <c r="E2311" s="1">
        <v>43959</v>
      </c>
      <c r="F2311">
        <v>3.26</v>
      </c>
      <c r="G2311">
        <v>6</v>
      </c>
      <c r="H2311">
        <v>13741.44</v>
      </c>
      <c r="I2311">
        <v>5.5</v>
      </c>
    </row>
    <row r="2312" spans="1:9" x14ac:dyDescent="0.3">
      <c r="A2312" t="s">
        <v>2327</v>
      </c>
      <c r="B2312" t="s">
        <v>24</v>
      </c>
      <c r="C2312" t="s">
        <v>11</v>
      </c>
      <c r="D2312">
        <v>47</v>
      </c>
      <c r="E2312" s="1">
        <v>45377</v>
      </c>
      <c r="F2312">
        <v>3.76</v>
      </c>
      <c r="G2312">
        <v>2</v>
      </c>
      <c r="H2312">
        <v>13508.14</v>
      </c>
      <c r="I2312">
        <v>1.6</v>
      </c>
    </row>
    <row r="2313" spans="1:9" x14ac:dyDescent="0.3">
      <c r="A2313" t="s">
        <v>2328</v>
      </c>
      <c r="B2313" t="s">
        <v>18</v>
      </c>
      <c r="C2313" t="s">
        <v>11</v>
      </c>
      <c r="D2313">
        <v>54</v>
      </c>
      <c r="E2313" s="1">
        <v>44285</v>
      </c>
      <c r="F2313">
        <v>2.0299999999999998</v>
      </c>
      <c r="G2313">
        <v>6</v>
      </c>
      <c r="H2313">
        <v>11338.88</v>
      </c>
      <c r="I2313">
        <v>4.5999999999999996</v>
      </c>
    </row>
    <row r="2314" spans="1:9" x14ac:dyDescent="0.3">
      <c r="A2314" t="s">
        <v>2329</v>
      </c>
      <c r="B2314" t="s">
        <v>34</v>
      </c>
      <c r="C2314" t="s">
        <v>11</v>
      </c>
      <c r="D2314">
        <v>30</v>
      </c>
      <c r="E2314" s="1">
        <v>41084</v>
      </c>
      <c r="F2314">
        <v>2.2599999999999998</v>
      </c>
      <c r="G2314">
        <v>12</v>
      </c>
      <c r="H2314">
        <v>7567.77</v>
      </c>
      <c r="I2314">
        <v>13.4</v>
      </c>
    </row>
    <row r="2315" spans="1:9" x14ac:dyDescent="0.3">
      <c r="A2315" t="s">
        <v>2330</v>
      </c>
      <c r="B2315" t="s">
        <v>16</v>
      </c>
      <c r="C2315" t="s">
        <v>14</v>
      </c>
      <c r="D2315">
        <v>60</v>
      </c>
      <c r="E2315" s="1">
        <v>44282</v>
      </c>
      <c r="F2315">
        <v>2.1</v>
      </c>
      <c r="G2315">
        <v>4</v>
      </c>
      <c r="H2315">
        <v>5466.33</v>
      </c>
      <c r="I2315">
        <v>4.5999999999999996</v>
      </c>
    </row>
    <row r="2316" spans="1:9" x14ac:dyDescent="0.3">
      <c r="A2316" t="s">
        <v>2331</v>
      </c>
      <c r="B2316" t="s">
        <v>10</v>
      </c>
      <c r="C2316" t="s">
        <v>14</v>
      </c>
      <c r="D2316">
        <v>24</v>
      </c>
      <c r="E2316" s="1">
        <v>43709</v>
      </c>
      <c r="F2316">
        <v>2.12</v>
      </c>
      <c r="G2316">
        <v>2</v>
      </c>
      <c r="H2316">
        <v>3060.42</v>
      </c>
      <c r="I2316">
        <v>6.2</v>
      </c>
    </row>
    <row r="2317" spans="1:9" x14ac:dyDescent="0.3">
      <c r="A2317" t="s">
        <v>2332</v>
      </c>
      <c r="B2317" t="s">
        <v>18</v>
      </c>
      <c r="C2317" t="s">
        <v>14</v>
      </c>
      <c r="D2317">
        <v>57</v>
      </c>
      <c r="E2317" s="1">
        <v>40181</v>
      </c>
      <c r="F2317">
        <v>3.84</v>
      </c>
      <c r="G2317">
        <v>2</v>
      </c>
      <c r="H2317">
        <v>9915.7000000000007</v>
      </c>
      <c r="I2317">
        <v>15.8</v>
      </c>
    </row>
    <row r="2318" spans="1:9" x14ac:dyDescent="0.3">
      <c r="A2318" t="s">
        <v>2333</v>
      </c>
      <c r="B2318" t="s">
        <v>34</v>
      </c>
      <c r="C2318" t="s">
        <v>14</v>
      </c>
      <c r="D2318">
        <v>35</v>
      </c>
      <c r="E2318" s="1">
        <v>43610</v>
      </c>
      <c r="F2318">
        <v>4.18</v>
      </c>
      <c r="G2318">
        <v>7</v>
      </c>
      <c r="H2318">
        <v>8046.48</v>
      </c>
      <c r="I2318">
        <v>6.4</v>
      </c>
    </row>
    <row r="2319" spans="1:9" x14ac:dyDescent="0.3">
      <c r="A2319" t="s">
        <v>2334</v>
      </c>
      <c r="B2319" t="s">
        <v>24</v>
      </c>
      <c r="C2319" t="s">
        <v>14</v>
      </c>
      <c r="D2319">
        <v>37</v>
      </c>
      <c r="E2319" s="1">
        <v>44762</v>
      </c>
      <c r="F2319">
        <v>3.82</v>
      </c>
      <c r="G2319">
        <v>13</v>
      </c>
      <c r="H2319">
        <v>6977.56</v>
      </c>
      <c r="I2319">
        <v>3.3</v>
      </c>
    </row>
    <row r="2320" spans="1:9" x14ac:dyDescent="0.3">
      <c r="A2320" t="s">
        <v>2335</v>
      </c>
      <c r="B2320" t="s">
        <v>34</v>
      </c>
      <c r="C2320" t="s">
        <v>14</v>
      </c>
      <c r="D2320">
        <v>55</v>
      </c>
      <c r="E2320" s="1">
        <v>44357</v>
      </c>
      <c r="F2320">
        <v>4.28</v>
      </c>
      <c r="G2320">
        <v>3</v>
      </c>
      <c r="H2320">
        <v>6837.82</v>
      </c>
      <c r="I2320">
        <v>4.4000000000000004</v>
      </c>
    </row>
    <row r="2321" spans="1:9" x14ac:dyDescent="0.3">
      <c r="A2321" t="s">
        <v>2336</v>
      </c>
      <c r="B2321" t="s">
        <v>13</v>
      </c>
      <c r="C2321" t="s">
        <v>11</v>
      </c>
      <c r="D2321">
        <v>26</v>
      </c>
      <c r="E2321" s="1">
        <v>45469</v>
      </c>
      <c r="F2321">
        <v>3.05</v>
      </c>
      <c r="G2321">
        <v>11</v>
      </c>
      <c r="H2321">
        <v>9127.09</v>
      </c>
      <c r="I2321">
        <v>1.4</v>
      </c>
    </row>
    <row r="2322" spans="1:9" x14ac:dyDescent="0.3">
      <c r="A2322" t="s">
        <v>2337</v>
      </c>
      <c r="B2322" t="s">
        <v>16</v>
      </c>
      <c r="C2322" t="s">
        <v>11</v>
      </c>
      <c r="D2322">
        <v>56</v>
      </c>
      <c r="E2322" s="1">
        <v>43155</v>
      </c>
      <c r="F2322">
        <v>2.15</v>
      </c>
      <c r="G2322">
        <v>2</v>
      </c>
      <c r="H2322">
        <v>8397.3799999999992</v>
      </c>
      <c r="I2322">
        <v>7.7</v>
      </c>
    </row>
    <row r="2323" spans="1:9" x14ac:dyDescent="0.3">
      <c r="A2323" t="s">
        <v>2338</v>
      </c>
      <c r="B2323" t="s">
        <v>10</v>
      </c>
      <c r="C2323" t="s">
        <v>11</v>
      </c>
      <c r="D2323">
        <v>36</v>
      </c>
      <c r="E2323" s="1">
        <v>41915</v>
      </c>
      <c r="F2323">
        <v>3.57</v>
      </c>
      <c r="G2323">
        <v>3</v>
      </c>
      <c r="H2323">
        <v>11603.53</v>
      </c>
      <c r="I2323">
        <v>11.1</v>
      </c>
    </row>
    <row r="2324" spans="1:9" x14ac:dyDescent="0.3">
      <c r="A2324" t="s">
        <v>2339</v>
      </c>
      <c r="B2324" t="s">
        <v>13</v>
      </c>
      <c r="C2324" t="s">
        <v>11</v>
      </c>
      <c r="D2324">
        <v>39</v>
      </c>
      <c r="E2324" s="1">
        <v>42851</v>
      </c>
      <c r="F2324">
        <v>4.1500000000000004</v>
      </c>
      <c r="G2324">
        <v>9</v>
      </c>
      <c r="H2324">
        <v>6490.04</v>
      </c>
      <c r="I2324">
        <v>8.5</v>
      </c>
    </row>
    <row r="2325" spans="1:9" x14ac:dyDescent="0.3">
      <c r="A2325" t="s">
        <v>2340</v>
      </c>
      <c r="B2325" t="s">
        <v>18</v>
      </c>
      <c r="C2325" t="s">
        <v>11</v>
      </c>
      <c r="D2325">
        <v>36</v>
      </c>
      <c r="E2325" s="1">
        <v>45134</v>
      </c>
      <c r="F2325">
        <v>3.02</v>
      </c>
      <c r="G2325">
        <v>8</v>
      </c>
      <c r="H2325">
        <v>13315.28</v>
      </c>
      <c r="I2325">
        <v>2.2999999999999998</v>
      </c>
    </row>
    <row r="2326" spans="1:9" x14ac:dyDescent="0.3">
      <c r="A2326" t="s">
        <v>2341</v>
      </c>
      <c r="B2326" t="s">
        <v>16</v>
      </c>
      <c r="C2326" t="s">
        <v>11</v>
      </c>
      <c r="D2326">
        <v>54</v>
      </c>
      <c r="E2326" s="1">
        <v>43147</v>
      </c>
      <c r="F2326">
        <v>3.68</v>
      </c>
      <c r="G2326">
        <v>2</v>
      </c>
      <c r="H2326">
        <v>10607.12</v>
      </c>
      <c r="I2326">
        <v>7.7</v>
      </c>
    </row>
    <row r="2327" spans="1:9" x14ac:dyDescent="0.3">
      <c r="A2327" t="s">
        <v>2342</v>
      </c>
      <c r="B2327" t="s">
        <v>13</v>
      </c>
      <c r="C2327" t="s">
        <v>11</v>
      </c>
      <c r="D2327">
        <v>26</v>
      </c>
      <c r="E2327" s="1">
        <v>40484</v>
      </c>
      <c r="F2327">
        <v>2.81</v>
      </c>
      <c r="G2327">
        <v>1</v>
      </c>
      <c r="H2327">
        <v>3767.89</v>
      </c>
      <c r="I2327">
        <v>15</v>
      </c>
    </row>
    <row r="2328" spans="1:9" x14ac:dyDescent="0.3">
      <c r="A2328" t="s">
        <v>2343</v>
      </c>
      <c r="B2328" t="s">
        <v>34</v>
      </c>
      <c r="C2328" t="s">
        <v>14</v>
      </c>
      <c r="D2328">
        <v>49</v>
      </c>
      <c r="E2328" s="1">
        <v>42652</v>
      </c>
      <c r="F2328">
        <v>3.01</v>
      </c>
      <c r="G2328">
        <v>8</v>
      </c>
      <c r="H2328">
        <v>10139.23</v>
      </c>
      <c r="I2328">
        <v>9.1</v>
      </c>
    </row>
    <row r="2329" spans="1:9" x14ac:dyDescent="0.3">
      <c r="A2329" t="s">
        <v>2344</v>
      </c>
      <c r="B2329" t="s">
        <v>34</v>
      </c>
      <c r="C2329" t="s">
        <v>14</v>
      </c>
      <c r="D2329">
        <v>39</v>
      </c>
      <c r="E2329" s="1">
        <v>43121</v>
      </c>
      <c r="F2329">
        <v>3.28</v>
      </c>
      <c r="G2329">
        <v>5</v>
      </c>
      <c r="H2329">
        <v>7296.74</v>
      </c>
      <c r="I2329">
        <v>7.8</v>
      </c>
    </row>
    <row r="2330" spans="1:9" x14ac:dyDescent="0.3">
      <c r="A2330" t="s">
        <v>2345</v>
      </c>
      <c r="B2330" t="s">
        <v>16</v>
      </c>
      <c r="C2330" t="s">
        <v>14</v>
      </c>
      <c r="D2330">
        <v>48</v>
      </c>
      <c r="E2330" s="1">
        <v>41945</v>
      </c>
      <c r="F2330">
        <v>2.67</v>
      </c>
      <c r="G2330">
        <v>14</v>
      </c>
      <c r="H2330">
        <v>12794.74</v>
      </c>
      <c r="I2330">
        <v>11</v>
      </c>
    </row>
    <row r="2331" spans="1:9" x14ac:dyDescent="0.3">
      <c r="A2331" t="s">
        <v>2346</v>
      </c>
      <c r="B2331" t="s">
        <v>10</v>
      </c>
      <c r="C2331" t="s">
        <v>14</v>
      </c>
      <c r="D2331">
        <v>24</v>
      </c>
      <c r="E2331" s="1">
        <v>41811</v>
      </c>
      <c r="F2331">
        <v>4.62</v>
      </c>
      <c r="G2331">
        <v>10</v>
      </c>
      <c r="H2331">
        <v>4547.8900000000003</v>
      </c>
      <c r="I2331">
        <v>11.4</v>
      </c>
    </row>
    <row r="2332" spans="1:9" x14ac:dyDescent="0.3">
      <c r="A2332" t="s">
        <v>2347</v>
      </c>
      <c r="B2332" t="s">
        <v>18</v>
      </c>
      <c r="C2332" t="s">
        <v>14</v>
      </c>
      <c r="D2332">
        <v>34</v>
      </c>
      <c r="E2332" s="1">
        <v>40388</v>
      </c>
      <c r="F2332">
        <v>4.76</v>
      </c>
      <c r="G2332">
        <v>6</v>
      </c>
      <c r="H2332">
        <v>5851.89</v>
      </c>
      <c r="I2332">
        <v>15.3</v>
      </c>
    </row>
    <row r="2333" spans="1:9" x14ac:dyDescent="0.3">
      <c r="A2333" t="s">
        <v>2348</v>
      </c>
      <c r="B2333" t="s">
        <v>13</v>
      </c>
      <c r="C2333" t="s">
        <v>14</v>
      </c>
      <c r="D2333">
        <v>30</v>
      </c>
      <c r="E2333" s="1">
        <v>41666</v>
      </c>
      <c r="F2333">
        <v>2.75</v>
      </c>
      <c r="G2333">
        <v>13</v>
      </c>
      <c r="H2333">
        <v>13955.13</v>
      </c>
      <c r="I2333">
        <v>11.8</v>
      </c>
    </row>
    <row r="2334" spans="1:9" x14ac:dyDescent="0.3">
      <c r="A2334" t="s">
        <v>2349</v>
      </c>
      <c r="B2334" t="s">
        <v>18</v>
      </c>
      <c r="C2334" t="s">
        <v>11</v>
      </c>
      <c r="D2334">
        <v>51</v>
      </c>
      <c r="E2334" s="1">
        <v>41320</v>
      </c>
      <c r="F2334">
        <v>4.04</v>
      </c>
      <c r="G2334">
        <v>6</v>
      </c>
      <c r="H2334">
        <v>6030.5</v>
      </c>
      <c r="I2334">
        <v>12.7</v>
      </c>
    </row>
    <row r="2335" spans="1:9" x14ac:dyDescent="0.3">
      <c r="A2335" t="s">
        <v>2350</v>
      </c>
      <c r="B2335" t="s">
        <v>10</v>
      </c>
      <c r="C2335" t="s">
        <v>14</v>
      </c>
      <c r="D2335">
        <v>33</v>
      </c>
      <c r="E2335" s="1">
        <v>45838</v>
      </c>
      <c r="F2335">
        <v>3.41</v>
      </c>
      <c r="G2335">
        <v>8</v>
      </c>
      <c r="H2335">
        <v>13681.52</v>
      </c>
      <c r="I2335">
        <v>0.3</v>
      </c>
    </row>
    <row r="2336" spans="1:9" x14ac:dyDescent="0.3">
      <c r="A2336" t="s">
        <v>2351</v>
      </c>
      <c r="B2336" t="s">
        <v>16</v>
      </c>
      <c r="C2336" t="s">
        <v>11</v>
      </c>
      <c r="D2336">
        <v>50</v>
      </c>
      <c r="E2336" s="1">
        <v>40578</v>
      </c>
      <c r="F2336">
        <v>2.41</v>
      </c>
      <c r="G2336">
        <v>5</v>
      </c>
      <c r="H2336">
        <v>8991.66</v>
      </c>
      <c r="I2336">
        <v>14.8</v>
      </c>
    </row>
    <row r="2337" spans="1:9" x14ac:dyDescent="0.3">
      <c r="A2337" t="s">
        <v>2352</v>
      </c>
      <c r="B2337" t="s">
        <v>10</v>
      </c>
      <c r="C2337" t="s">
        <v>14</v>
      </c>
      <c r="D2337">
        <v>56</v>
      </c>
      <c r="E2337" s="1">
        <v>40258</v>
      </c>
      <c r="F2337">
        <v>4.6100000000000003</v>
      </c>
      <c r="G2337">
        <v>14</v>
      </c>
      <c r="H2337">
        <v>13475.1</v>
      </c>
      <c r="I2337">
        <v>15.6</v>
      </c>
    </row>
    <row r="2338" spans="1:9" x14ac:dyDescent="0.3">
      <c r="A2338" t="s">
        <v>2353</v>
      </c>
      <c r="B2338" t="s">
        <v>16</v>
      </c>
      <c r="C2338" t="s">
        <v>14</v>
      </c>
      <c r="D2338">
        <v>43</v>
      </c>
      <c r="E2338" s="1">
        <v>40512</v>
      </c>
      <c r="F2338">
        <v>4.12</v>
      </c>
      <c r="G2338">
        <v>3</v>
      </c>
      <c r="H2338">
        <v>3625.93</v>
      </c>
      <c r="I2338">
        <v>14.9</v>
      </c>
    </row>
    <row r="2339" spans="1:9" x14ac:dyDescent="0.3">
      <c r="A2339" t="s">
        <v>2354</v>
      </c>
      <c r="B2339" t="s">
        <v>13</v>
      </c>
      <c r="C2339" t="s">
        <v>14</v>
      </c>
      <c r="D2339">
        <v>28</v>
      </c>
      <c r="E2339" s="1">
        <v>45259</v>
      </c>
      <c r="F2339">
        <v>4.95</v>
      </c>
      <c r="G2339">
        <v>11</v>
      </c>
      <c r="H2339">
        <v>10949.8</v>
      </c>
      <c r="I2339">
        <v>1.9</v>
      </c>
    </row>
    <row r="2340" spans="1:9" x14ac:dyDescent="0.3">
      <c r="A2340" t="s">
        <v>2355</v>
      </c>
      <c r="B2340" t="s">
        <v>10</v>
      </c>
      <c r="C2340" t="s">
        <v>11</v>
      </c>
      <c r="D2340">
        <v>49</v>
      </c>
      <c r="E2340" s="1">
        <v>44829</v>
      </c>
      <c r="F2340">
        <v>3.12</v>
      </c>
      <c r="G2340">
        <v>12</v>
      </c>
      <c r="H2340">
        <v>13368.85</v>
      </c>
      <c r="I2340">
        <v>3.1</v>
      </c>
    </row>
    <row r="2341" spans="1:9" x14ac:dyDescent="0.3">
      <c r="A2341" t="s">
        <v>2356</v>
      </c>
      <c r="B2341" t="s">
        <v>34</v>
      </c>
      <c r="C2341" t="s">
        <v>14</v>
      </c>
      <c r="D2341">
        <v>53</v>
      </c>
      <c r="E2341" s="1">
        <v>45830</v>
      </c>
      <c r="F2341">
        <v>1.8</v>
      </c>
      <c r="G2341">
        <v>6</v>
      </c>
      <c r="H2341">
        <v>4431.1899999999996</v>
      </c>
      <c r="I2341">
        <v>0.4</v>
      </c>
    </row>
    <row r="2342" spans="1:9" x14ac:dyDescent="0.3">
      <c r="A2342" t="s">
        <v>2357</v>
      </c>
      <c r="B2342" t="s">
        <v>10</v>
      </c>
      <c r="C2342" t="s">
        <v>11</v>
      </c>
      <c r="D2342">
        <v>26</v>
      </c>
      <c r="E2342" s="1">
        <v>41422</v>
      </c>
      <c r="F2342">
        <v>2.64</v>
      </c>
      <c r="G2342">
        <v>6</v>
      </c>
      <c r="H2342">
        <v>9448.27</v>
      </c>
      <c r="I2342">
        <v>12.4</v>
      </c>
    </row>
    <row r="2343" spans="1:9" x14ac:dyDescent="0.3">
      <c r="A2343" t="s">
        <v>2358</v>
      </c>
      <c r="B2343" t="s">
        <v>10</v>
      </c>
      <c r="C2343" t="s">
        <v>14</v>
      </c>
      <c r="D2343">
        <v>39</v>
      </c>
      <c r="E2343" s="1">
        <v>41517</v>
      </c>
      <c r="F2343">
        <v>4.8899999999999997</v>
      </c>
      <c r="G2343">
        <v>1</v>
      </c>
      <c r="H2343">
        <v>4773.43</v>
      </c>
      <c r="I2343">
        <v>12.2</v>
      </c>
    </row>
    <row r="2344" spans="1:9" x14ac:dyDescent="0.3">
      <c r="A2344" t="s">
        <v>2359</v>
      </c>
      <c r="B2344" t="s">
        <v>34</v>
      </c>
      <c r="C2344" t="s">
        <v>14</v>
      </c>
      <c r="D2344">
        <v>40</v>
      </c>
      <c r="E2344" s="1">
        <v>45216</v>
      </c>
      <c r="F2344">
        <v>4.8600000000000003</v>
      </c>
      <c r="G2344">
        <v>4</v>
      </c>
      <c r="H2344">
        <v>7059.4</v>
      </c>
      <c r="I2344">
        <v>2</v>
      </c>
    </row>
    <row r="2345" spans="1:9" x14ac:dyDescent="0.3">
      <c r="A2345" t="s">
        <v>2360</v>
      </c>
      <c r="B2345" t="s">
        <v>18</v>
      </c>
      <c r="C2345" t="s">
        <v>14</v>
      </c>
      <c r="D2345">
        <v>48</v>
      </c>
      <c r="E2345" s="1">
        <v>42417</v>
      </c>
      <c r="F2345">
        <v>4.34</v>
      </c>
      <c r="G2345">
        <v>0</v>
      </c>
      <c r="H2345">
        <v>11966.89</v>
      </c>
      <c r="I2345">
        <v>9.6999999999999993</v>
      </c>
    </row>
    <row r="2346" spans="1:9" x14ac:dyDescent="0.3">
      <c r="A2346" t="s">
        <v>2361</v>
      </c>
      <c r="B2346" t="s">
        <v>10</v>
      </c>
      <c r="C2346" t="s">
        <v>14</v>
      </c>
      <c r="D2346">
        <v>56</v>
      </c>
      <c r="E2346" s="1">
        <v>42515</v>
      </c>
      <c r="F2346">
        <v>4.8899999999999997</v>
      </c>
      <c r="G2346">
        <v>0</v>
      </c>
      <c r="H2346">
        <v>8883.43</v>
      </c>
      <c r="I2346">
        <v>9.4</v>
      </c>
    </row>
    <row r="2347" spans="1:9" x14ac:dyDescent="0.3">
      <c r="A2347" t="s">
        <v>2362</v>
      </c>
      <c r="B2347" t="s">
        <v>24</v>
      </c>
      <c r="C2347" t="s">
        <v>11</v>
      </c>
      <c r="D2347">
        <v>34</v>
      </c>
      <c r="E2347" s="1">
        <v>43490</v>
      </c>
      <c r="F2347">
        <v>2.59</v>
      </c>
      <c r="G2347">
        <v>9</v>
      </c>
      <c r="H2347">
        <v>4034.25</v>
      </c>
      <c r="I2347">
        <v>6.8</v>
      </c>
    </row>
    <row r="2348" spans="1:9" x14ac:dyDescent="0.3">
      <c r="A2348" t="s">
        <v>2363</v>
      </c>
      <c r="B2348" t="s">
        <v>10</v>
      </c>
      <c r="C2348" t="s">
        <v>11</v>
      </c>
      <c r="D2348">
        <v>49</v>
      </c>
      <c r="E2348" s="1">
        <v>44464</v>
      </c>
      <c r="F2348">
        <v>2.57</v>
      </c>
      <c r="G2348">
        <v>7</v>
      </c>
      <c r="H2348">
        <v>6193.22</v>
      </c>
      <c r="I2348">
        <v>4.0999999999999996</v>
      </c>
    </row>
    <row r="2349" spans="1:9" x14ac:dyDescent="0.3">
      <c r="A2349" t="s">
        <v>2364</v>
      </c>
      <c r="B2349" t="s">
        <v>13</v>
      </c>
      <c r="C2349" t="s">
        <v>14</v>
      </c>
      <c r="D2349">
        <v>26</v>
      </c>
      <c r="E2349" s="1">
        <v>41504</v>
      </c>
      <c r="F2349">
        <v>1.58</v>
      </c>
      <c r="G2349">
        <v>13</v>
      </c>
      <c r="H2349">
        <v>9457.39</v>
      </c>
      <c r="I2349">
        <v>12.2</v>
      </c>
    </row>
    <row r="2350" spans="1:9" x14ac:dyDescent="0.3">
      <c r="A2350" t="s">
        <v>2365</v>
      </c>
      <c r="B2350" t="s">
        <v>18</v>
      </c>
      <c r="C2350" t="s">
        <v>11</v>
      </c>
      <c r="D2350">
        <v>24</v>
      </c>
      <c r="E2350" s="1">
        <v>42504</v>
      </c>
      <c r="F2350">
        <v>4.2</v>
      </c>
      <c r="G2350">
        <v>1</v>
      </c>
      <c r="H2350">
        <v>7006.61</v>
      </c>
      <c r="I2350">
        <v>9.5</v>
      </c>
    </row>
    <row r="2351" spans="1:9" x14ac:dyDescent="0.3">
      <c r="A2351" t="s">
        <v>2366</v>
      </c>
      <c r="B2351" t="s">
        <v>18</v>
      </c>
      <c r="C2351" t="s">
        <v>11</v>
      </c>
      <c r="D2351">
        <v>41</v>
      </c>
      <c r="E2351" s="1">
        <v>41566</v>
      </c>
      <c r="F2351">
        <v>2.6</v>
      </c>
      <c r="G2351">
        <v>10</v>
      </c>
      <c r="H2351">
        <v>11479.57</v>
      </c>
      <c r="I2351">
        <v>12</v>
      </c>
    </row>
    <row r="2352" spans="1:9" x14ac:dyDescent="0.3">
      <c r="A2352" t="s">
        <v>2367</v>
      </c>
      <c r="B2352" t="s">
        <v>24</v>
      </c>
      <c r="C2352" t="s">
        <v>14</v>
      </c>
      <c r="D2352">
        <v>45</v>
      </c>
      <c r="E2352" s="1">
        <v>43483</v>
      </c>
      <c r="F2352">
        <v>4.1399999999999997</v>
      </c>
      <c r="G2352">
        <v>11</v>
      </c>
      <c r="H2352">
        <v>4853.6400000000003</v>
      </c>
      <c r="I2352">
        <v>6.8</v>
      </c>
    </row>
    <row r="2353" spans="1:9" x14ac:dyDescent="0.3">
      <c r="A2353" t="s">
        <v>2368</v>
      </c>
      <c r="B2353" t="s">
        <v>16</v>
      </c>
      <c r="C2353" t="s">
        <v>11</v>
      </c>
      <c r="D2353">
        <v>23</v>
      </c>
      <c r="E2353" s="1">
        <v>42775</v>
      </c>
      <c r="F2353">
        <v>3.61</v>
      </c>
      <c r="G2353">
        <v>15</v>
      </c>
      <c r="H2353">
        <v>7608.65</v>
      </c>
      <c r="I2353">
        <v>8.6999999999999993</v>
      </c>
    </row>
    <row r="2354" spans="1:9" x14ac:dyDescent="0.3">
      <c r="A2354" t="s">
        <v>2369</v>
      </c>
      <c r="B2354" t="s">
        <v>13</v>
      </c>
      <c r="C2354" t="s">
        <v>11</v>
      </c>
      <c r="D2354">
        <v>27</v>
      </c>
      <c r="E2354" s="1">
        <v>44667</v>
      </c>
      <c r="F2354">
        <v>2.5299999999999998</v>
      </c>
      <c r="G2354">
        <v>6</v>
      </c>
      <c r="H2354">
        <v>3301.4</v>
      </c>
      <c r="I2354">
        <v>3.5</v>
      </c>
    </row>
    <row r="2355" spans="1:9" x14ac:dyDescent="0.3">
      <c r="A2355" t="s">
        <v>2370</v>
      </c>
      <c r="B2355" t="s">
        <v>34</v>
      </c>
      <c r="C2355" t="s">
        <v>11</v>
      </c>
      <c r="D2355">
        <v>30</v>
      </c>
      <c r="E2355" s="1">
        <v>42462</v>
      </c>
      <c r="F2355">
        <v>3.19</v>
      </c>
      <c r="G2355">
        <v>8</v>
      </c>
      <c r="H2355">
        <v>5635.64</v>
      </c>
      <c r="I2355">
        <v>9.6</v>
      </c>
    </row>
    <row r="2356" spans="1:9" x14ac:dyDescent="0.3">
      <c r="A2356" t="s">
        <v>2371</v>
      </c>
      <c r="B2356" t="s">
        <v>34</v>
      </c>
      <c r="C2356" t="s">
        <v>11</v>
      </c>
      <c r="D2356">
        <v>54</v>
      </c>
      <c r="E2356" s="1">
        <v>45238</v>
      </c>
      <c r="F2356">
        <v>3.25</v>
      </c>
      <c r="G2356">
        <v>4</v>
      </c>
      <c r="H2356">
        <v>7005.4</v>
      </c>
      <c r="I2356">
        <v>2</v>
      </c>
    </row>
    <row r="2357" spans="1:9" x14ac:dyDescent="0.3">
      <c r="A2357" t="s">
        <v>2372</v>
      </c>
      <c r="B2357" t="s">
        <v>24</v>
      </c>
      <c r="C2357" t="s">
        <v>11</v>
      </c>
      <c r="D2357">
        <v>32</v>
      </c>
      <c r="E2357" s="1">
        <v>45847</v>
      </c>
      <c r="F2357">
        <v>2.86</v>
      </c>
      <c r="G2357">
        <v>10</v>
      </c>
      <c r="H2357">
        <v>11282.28</v>
      </c>
      <c r="I2357">
        <v>0.3</v>
      </c>
    </row>
    <row r="2358" spans="1:9" x14ac:dyDescent="0.3">
      <c r="A2358" t="s">
        <v>2373</v>
      </c>
      <c r="B2358" t="s">
        <v>18</v>
      </c>
      <c r="C2358" t="s">
        <v>14</v>
      </c>
      <c r="D2358">
        <v>47</v>
      </c>
      <c r="E2358" s="1">
        <v>43118</v>
      </c>
      <c r="F2358">
        <v>2.57</v>
      </c>
      <c r="G2358">
        <v>10</v>
      </c>
      <c r="H2358">
        <v>9603.18</v>
      </c>
      <c r="I2358">
        <v>7.8</v>
      </c>
    </row>
    <row r="2359" spans="1:9" x14ac:dyDescent="0.3">
      <c r="A2359" t="s">
        <v>2374</v>
      </c>
      <c r="B2359" t="s">
        <v>34</v>
      </c>
      <c r="C2359" t="s">
        <v>11</v>
      </c>
      <c r="D2359">
        <v>48</v>
      </c>
      <c r="E2359" s="1">
        <v>40514</v>
      </c>
      <c r="F2359">
        <v>4.66</v>
      </c>
      <c r="G2359">
        <v>4</v>
      </c>
      <c r="H2359">
        <v>8759.6200000000008</v>
      </c>
      <c r="I2359">
        <v>14.9</v>
      </c>
    </row>
    <row r="2360" spans="1:9" x14ac:dyDescent="0.3">
      <c r="A2360" t="s">
        <v>2375</v>
      </c>
      <c r="B2360" t="s">
        <v>16</v>
      </c>
      <c r="C2360" t="s">
        <v>11</v>
      </c>
      <c r="D2360">
        <v>29</v>
      </c>
      <c r="E2360" s="1">
        <v>40773</v>
      </c>
      <c r="F2360">
        <v>3.18</v>
      </c>
      <c r="G2360">
        <v>1</v>
      </c>
      <c r="H2360">
        <v>11498.33</v>
      </c>
      <c r="I2360">
        <v>14.2</v>
      </c>
    </row>
    <row r="2361" spans="1:9" x14ac:dyDescent="0.3">
      <c r="A2361" t="s">
        <v>2376</v>
      </c>
      <c r="B2361" t="s">
        <v>24</v>
      </c>
      <c r="C2361" t="s">
        <v>14</v>
      </c>
      <c r="D2361">
        <v>28</v>
      </c>
      <c r="E2361" s="1">
        <v>43704</v>
      </c>
      <c r="F2361">
        <v>3.74</v>
      </c>
      <c r="G2361">
        <v>9</v>
      </c>
      <c r="H2361">
        <v>11725.52</v>
      </c>
      <c r="I2361">
        <v>6.2</v>
      </c>
    </row>
    <row r="2362" spans="1:9" x14ac:dyDescent="0.3">
      <c r="A2362" t="s">
        <v>2377</v>
      </c>
      <c r="B2362" t="s">
        <v>18</v>
      </c>
      <c r="C2362" t="s">
        <v>11</v>
      </c>
      <c r="D2362">
        <v>51</v>
      </c>
      <c r="E2362" s="1">
        <v>43433</v>
      </c>
      <c r="F2362">
        <v>1.58</v>
      </c>
      <c r="G2362">
        <v>15</v>
      </c>
      <c r="H2362">
        <v>5767.34</v>
      </c>
      <c r="I2362">
        <v>6.9</v>
      </c>
    </row>
    <row r="2363" spans="1:9" x14ac:dyDescent="0.3">
      <c r="A2363" t="s">
        <v>2378</v>
      </c>
      <c r="B2363" t="s">
        <v>16</v>
      </c>
      <c r="C2363" t="s">
        <v>11</v>
      </c>
      <c r="D2363">
        <v>60</v>
      </c>
      <c r="E2363" s="1">
        <v>41285</v>
      </c>
      <c r="F2363">
        <v>3.61</v>
      </c>
      <c r="G2363">
        <v>8</v>
      </c>
      <c r="H2363">
        <v>4228.6000000000004</v>
      </c>
      <c r="I2363">
        <v>12.8</v>
      </c>
    </row>
    <row r="2364" spans="1:9" x14ac:dyDescent="0.3">
      <c r="A2364" t="s">
        <v>2379</v>
      </c>
      <c r="B2364" t="s">
        <v>24</v>
      </c>
      <c r="C2364" t="s">
        <v>11</v>
      </c>
      <c r="D2364">
        <v>60</v>
      </c>
      <c r="E2364" s="1">
        <v>42263</v>
      </c>
      <c r="F2364">
        <v>2.2000000000000002</v>
      </c>
      <c r="G2364">
        <v>2</v>
      </c>
      <c r="H2364">
        <v>11760.44</v>
      </c>
      <c r="I2364">
        <v>10.1</v>
      </c>
    </row>
    <row r="2365" spans="1:9" x14ac:dyDescent="0.3">
      <c r="A2365" t="s">
        <v>2380</v>
      </c>
      <c r="B2365" t="s">
        <v>24</v>
      </c>
      <c r="C2365" t="s">
        <v>14</v>
      </c>
      <c r="D2365">
        <v>30</v>
      </c>
      <c r="E2365" s="1">
        <v>43117</v>
      </c>
      <c r="F2365">
        <v>2</v>
      </c>
      <c r="G2365">
        <v>6</v>
      </c>
      <c r="H2365">
        <v>14500.22</v>
      </c>
      <c r="I2365">
        <v>7.8</v>
      </c>
    </row>
    <row r="2366" spans="1:9" x14ac:dyDescent="0.3">
      <c r="A2366" t="s">
        <v>2381</v>
      </c>
      <c r="B2366" t="s">
        <v>24</v>
      </c>
      <c r="C2366" t="s">
        <v>11</v>
      </c>
      <c r="D2366">
        <v>36</v>
      </c>
      <c r="E2366" s="1">
        <v>45838</v>
      </c>
      <c r="F2366">
        <v>2.57</v>
      </c>
      <c r="G2366">
        <v>2</v>
      </c>
      <c r="H2366">
        <v>11583.6</v>
      </c>
      <c r="I2366">
        <v>0.3</v>
      </c>
    </row>
    <row r="2367" spans="1:9" x14ac:dyDescent="0.3">
      <c r="A2367" t="s">
        <v>2382</v>
      </c>
      <c r="B2367" t="s">
        <v>10</v>
      </c>
      <c r="C2367" t="s">
        <v>14</v>
      </c>
      <c r="D2367">
        <v>58</v>
      </c>
      <c r="E2367" s="1">
        <v>41238</v>
      </c>
      <c r="F2367">
        <v>3.98</v>
      </c>
      <c r="G2367">
        <v>7</v>
      </c>
      <c r="H2367">
        <v>4517.18</v>
      </c>
      <c r="I2367">
        <v>12.9</v>
      </c>
    </row>
    <row r="2368" spans="1:9" x14ac:dyDescent="0.3">
      <c r="A2368" t="s">
        <v>2383</v>
      </c>
      <c r="B2368" t="s">
        <v>16</v>
      </c>
      <c r="C2368" t="s">
        <v>11</v>
      </c>
      <c r="D2368">
        <v>30</v>
      </c>
      <c r="E2368" s="1">
        <v>45927</v>
      </c>
      <c r="F2368">
        <v>3.25</v>
      </c>
      <c r="G2368">
        <v>3</v>
      </c>
      <c r="H2368">
        <v>11229.45</v>
      </c>
      <c r="I2368">
        <v>0.1</v>
      </c>
    </row>
    <row r="2369" spans="1:9" x14ac:dyDescent="0.3">
      <c r="A2369" t="s">
        <v>2384</v>
      </c>
      <c r="B2369" t="s">
        <v>24</v>
      </c>
      <c r="C2369" t="s">
        <v>14</v>
      </c>
      <c r="D2369">
        <v>56</v>
      </c>
      <c r="E2369" s="1">
        <v>43933</v>
      </c>
      <c r="F2369">
        <v>3.62</v>
      </c>
      <c r="G2369">
        <v>7</v>
      </c>
      <c r="H2369">
        <v>13363.01</v>
      </c>
      <c r="I2369">
        <v>5.6</v>
      </c>
    </row>
    <row r="2370" spans="1:9" x14ac:dyDescent="0.3">
      <c r="A2370" t="s">
        <v>2385</v>
      </c>
      <c r="B2370" t="s">
        <v>13</v>
      </c>
      <c r="C2370" t="s">
        <v>14</v>
      </c>
      <c r="D2370">
        <v>37</v>
      </c>
      <c r="E2370" s="1">
        <v>43191</v>
      </c>
      <c r="F2370">
        <v>4.32</v>
      </c>
      <c r="G2370">
        <v>0</v>
      </c>
      <c r="H2370">
        <v>10606.09</v>
      </c>
      <c r="I2370">
        <v>7.6</v>
      </c>
    </row>
    <row r="2371" spans="1:9" x14ac:dyDescent="0.3">
      <c r="A2371" t="s">
        <v>2386</v>
      </c>
      <c r="B2371" t="s">
        <v>13</v>
      </c>
      <c r="C2371" t="s">
        <v>11</v>
      </c>
      <c r="D2371">
        <v>30</v>
      </c>
      <c r="E2371" s="1">
        <v>43007</v>
      </c>
      <c r="F2371">
        <v>4.83</v>
      </c>
      <c r="G2371">
        <v>11</v>
      </c>
      <c r="H2371">
        <v>8167.42</v>
      </c>
      <c r="I2371">
        <v>8.1</v>
      </c>
    </row>
    <row r="2372" spans="1:9" x14ac:dyDescent="0.3">
      <c r="A2372" t="s">
        <v>2387</v>
      </c>
      <c r="B2372" t="s">
        <v>16</v>
      </c>
      <c r="C2372" t="s">
        <v>14</v>
      </c>
      <c r="D2372">
        <v>39</v>
      </c>
      <c r="E2372" s="1">
        <v>42472</v>
      </c>
      <c r="F2372">
        <v>4.97</v>
      </c>
      <c r="G2372">
        <v>3</v>
      </c>
      <c r="H2372">
        <v>6211.57</v>
      </c>
      <c r="I2372">
        <v>9.6</v>
      </c>
    </row>
    <row r="2373" spans="1:9" x14ac:dyDescent="0.3">
      <c r="A2373" t="s">
        <v>2388</v>
      </c>
      <c r="B2373" t="s">
        <v>34</v>
      </c>
      <c r="C2373" t="s">
        <v>11</v>
      </c>
      <c r="D2373">
        <v>42</v>
      </c>
      <c r="E2373" s="1">
        <v>43801</v>
      </c>
      <c r="F2373">
        <v>2.76</v>
      </c>
      <c r="G2373">
        <v>2</v>
      </c>
      <c r="H2373">
        <v>6860.05</v>
      </c>
      <c r="I2373">
        <v>5.9</v>
      </c>
    </row>
    <row r="2374" spans="1:9" x14ac:dyDescent="0.3">
      <c r="A2374" t="s">
        <v>2389</v>
      </c>
      <c r="B2374" t="s">
        <v>16</v>
      </c>
      <c r="C2374" t="s">
        <v>14</v>
      </c>
      <c r="D2374">
        <v>28</v>
      </c>
      <c r="E2374" s="1">
        <v>43803</v>
      </c>
      <c r="F2374">
        <v>4.37</v>
      </c>
      <c r="G2374">
        <v>2</v>
      </c>
      <c r="H2374">
        <v>8825.4500000000007</v>
      </c>
      <c r="I2374">
        <v>5.9</v>
      </c>
    </row>
    <row r="2375" spans="1:9" x14ac:dyDescent="0.3">
      <c r="A2375" t="s">
        <v>2390</v>
      </c>
      <c r="B2375" t="s">
        <v>18</v>
      </c>
      <c r="C2375" t="s">
        <v>14</v>
      </c>
      <c r="D2375">
        <v>51</v>
      </c>
      <c r="E2375" s="1">
        <v>40655</v>
      </c>
      <c r="F2375">
        <v>3.18</v>
      </c>
      <c r="G2375">
        <v>7</v>
      </c>
      <c r="H2375">
        <v>9661.8799999999992</v>
      </c>
      <c r="I2375">
        <v>14.5</v>
      </c>
    </row>
    <row r="2376" spans="1:9" x14ac:dyDescent="0.3">
      <c r="A2376" t="s">
        <v>2391</v>
      </c>
      <c r="B2376" t="s">
        <v>24</v>
      </c>
      <c r="C2376" t="s">
        <v>11</v>
      </c>
      <c r="D2376">
        <v>60</v>
      </c>
      <c r="E2376" s="1">
        <v>43786</v>
      </c>
      <c r="F2376">
        <v>1.69</v>
      </c>
      <c r="G2376">
        <v>5</v>
      </c>
      <c r="H2376">
        <v>4349.72</v>
      </c>
      <c r="I2376">
        <v>6</v>
      </c>
    </row>
    <row r="2377" spans="1:9" x14ac:dyDescent="0.3">
      <c r="A2377" t="s">
        <v>2392</v>
      </c>
      <c r="B2377" t="s">
        <v>10</v>
      </c>
      <c r="C2377" t="s">
        <v>11</v>
      </c>
      <c r="D2377">
        <v>35</v>
      </c>
      <c r="E2377" s="1">
        <v>40728</v>
      </c>
      <c r="F2377">
        <v>2.09</v>
      </c>
      <c r="G2377">
        <v>13</v>
      </c>
      <c r="H2377">
        <v>4618.87</v>
      </c>
      <c r="I2377">
        <v>14.3</v>
      </c>
    </row>
    <row r="2378" spans="1:9" x14ac:dyDescent="0.3">
      <c r="A2378" t="s">
        <v>2393</v>
      </c>
      <c r="B2378" t="s">
        <v>34</v>
      </c>
      <c r="C2378" t="s">
        <v>11</v>
      </c>
      <c r="D2378">
        <v>27</v>
      </c>
      <c r="E2378" s="1">
        <v>41803</v>
      </c>
      <c r="F2378">
        <v>2.79</v>
      </c>
      <c r="G2378">
        <v>4</v>
      </c>
      <c r="H2378">
        <v>3482.62</v>
      </c>
      <c r="I2378">
        <v>11.4</v>
      </c>
    </row>
    <row r="2379" spans="1:9" x14ac:dyDescent="0.3">
      <c r="A2379" t="s">
        <v>2394</v>
      </c>
      <c r="B2379" t="s">
        <v>13</v>
      </c>
      <c r="C2379" t="s">
        <v>14</v>
      </c>
      <c r="D2379">
        <v>49</v>
      </c>
      <c r="E2379" s="1">
        <v>43897</v>
      </c>
      <c r="F2379">
        <v>2.96</v>
      </c>
      <c r="G2379">
        <v>11</v>
      </c>
      <c r="H2379">
        <v>14959.72</v>
      </c>
      <c r="I2379">
        <v>5.7</v>
      </c>
    </row>
    <row r="2380" spans="1:9" x14ac:dyDescent="0.3">
      <c r="A2380" t="s">
        <v>2395</v>
      </c>
      <c r="B2380" t="s">
        <v>10</v>
      </c>
      <c r="C2380" t="s">
        <v>14</v>
      </c>
      <c r="D2380">
        <v>37</v>
      </c>
      <c r="E2380" s="1">
        <v>44602</v>
      </c>
      <c r="F2380">
        <v>2.4</v>
      </c>
      <c r="G2380">
        <v>14</v>
      </c>
      <c r="H2380">
        <v>4606.07</v>
      </c>
      <c r="I2380">
        <v>3.7</v>
      </c>
    </row>
    <row r="2381" spans="1:9" x14ac:dyDescent="0.3">
      <c r="A2381" t="s">
        <v>2396</v>
      </c>
      <c r="B2381" t="s">
        <v>10</v>
      </c>
      <c r="C2381" t="s">
        <v>14</v>
      </c>
      <c r="D2381">
        <v>30</v>
      </c>
      <c r="E2381" s="1">
        <v>42470</v>
      </c>
      <c r="F2381">
        <v>2.93</v>
      </c>
      <c r="G2381">
        <v>15</v>
      </c>
      <c r="H2381">
        <v>10243.86</v>
      </c>
      <c r="I2381">
        <v>9.6</v>
      </c>
    </row>
    <row r="2382" spans="1:9" x14ac:dyDescent="0.3">
      <c r="A2382" t="s">
        <v>2397</v>
      </c>
      <c r="B2382" t="s">
        <v>34</v>
      </c>
      <c r="C2382" t="s">
        <v>11</v>
      </c>
      <c r="D2382">
        <v>23</v>
      </c>
      <c r="E2382" s="1">
        <v>40553</v>
      </c>
      <c r="F2382">
        <v>2.4300000000000002</v>
      </c>
      <c r="G2382">
        <v>0</v>
      </c>
      <c r="H2382">
        <v>10043.23</v>
      </c>
      <c r="I2382">
        <v>14.8</v>
      </c>
    </row>
    <row r="2383" spans="1:9" x14ac:dyDescent="0.3">
      <c r="A2383" t="s">
        <v>2398</v>
      </c>
      <c r="B2383" t="s">
        <v>34</v>
      </c>
      <c r="C2383" t="s">
        <v>14</v>
      </c>
      <c r="D2383">
        <v>44</v>
      </c>
      <c r="E2383" s="1">
        <v>41465</v>
      </c>
      <c r="F2383">
        <v>4.0599999999999996</v>
      </c>
      <c r="G2383">
        <v>8</v>
      </c>
      <c r="H2383">
        <v>3918.02</v>
      </c>
      <c r="I2383">
        <v>12.3</v>
      </c>
    </row>
    <row r="2384" spans="1:9" x14ac:dyDescent="0.3">
      <c r="A2384" t="s">
        <v>2399</v>
      </c>
      <c r="B2384" t="s">
        <v>16</v>
      </c>
      <c r="C2384" t="s">
        <v>14</v>
      </c>
      <c r="D2384">
        <v>22</v>
      </c>
      <c r="E2384" s="1">
        <v>42494</v>
      </c>
      <c r="F2384">
        <v>1.6</v>
      </c>
      <c r="G2384">
        <v>15</v>
      </c>
      <c r="H2384">
        <v>8707.19</v>
      </c>
      <c r="I2384">
        <v>9.5</v>
      </c>
    </row>
    <row r="2385" spans="1:9" x14ac:dyDescent="0.3">
      <c r="A2385" t="s">
        <v>2400</v>
      </c>
      <c r="B2385" t="s">
        <v>34</v>
      </c>
      <c r="C2385" t="s">
        <v>11</v>
      </c>
      <c r="D2385">
        <v>45</v>
      </c>
      <c r="E2385" s="1">
        <v>44744</v>
      </c>
      <c r="F2385">
        <v>4.32</v>
      </c>
      <c r="G2385">
        <v>11</v>
      </c>
      <c r="H2385">
        <v>8032.17</v>
      </c>
      <c r="I2385">
        <v>3.3</v>
      </c>
    </row>
    <row r="2386" spans="1:9" x14ac:dyDescent="0.3">
      <c r="A2386" t="s">
        <v>2401</v>
      </c>
      <c r="B2386" t="s">
        <v>18</v>
      </c>
      <c r="C2386" t="s">
        <v>14</v>
      </c>
      <c r="D2386">
        <v>50</v>
      </c>
      <c r="E2386" s="1">
        <v>45490</v>
      </c>
      <c r="F2386">
        <v>3.96</v>
      </c>
      <c r="G2386">
        <v>12</v>
      </c>
      <c r="H2386">
        <v>11906.15</v>
      </c>
      <c r="I2386">
        <v>1.3</v>
      </c>
    </row>
    <row r="2387" spans="1:9" x14ac:dyDescent="0.3">
      <c r="A2387" t="s">
        <v>2402</v>
      </c>
      <c r="B2387" t="s">
        <v>10</v>
      </c>
      <c r="C2387" t="s">
        <v>14</v>
      </c>
      <c r="D2387">
        <v>48</v>
      </c>
      <c r="E2387" s="1">
        <v>41575</v>
      </c>
      <c r="F2387">
        <v>2.78</v>
      </c>
      <c r="G2387">
        <v>2</v>
      </c>
      <c r="H2387">
        <v>8681.14</v>
      </c>
      <c r="I2387">
        <v>12</v>
      </c>
    </row>
    <row r="2388" spans="1:9" x14ac:dyDescent="0.3">
      <c r="A2388" t="s">
        <v>2403</v>
      </c>
      <c r="B2388" t="s">
        <v>13</v>
      </c>
      <c r="C2388" t="s">
        <v>11</v>
      </c>
      <c r="D2388">
        <v>30</v>
      </c>
      <c r="E2388" s="1">
        <v>41137</v>
      </c>
      <c r="F2388">
        <v>3.67</v>
      </c>
      <c r="G2388">
        <v>6</v>
      </c>
      <c r="H2388">
        <v>12350.49</v>
      </c>
      <c r="I2388">
        <v>13.2</v>
      </c>
    </row>
    <row r="2389" spans="1:9" x14ac:dyDescent="0.3">
      <c r="A2389" t="s">
        <v>2404</v>
      </c>
      <c r="B2389" t="s">
        <v>18</v>
      </c>
      <c r="C2389" t="s">
        <v>14</v>
      </c>
      <c r="D2389">
        <v>56</v>
      </c>
      <c r="E2389" s="1">
        <v>45282</v>
      </c>
      <c r="F2389">
        <v>1.68</v>
      </c>
      <c r="G2389">
        <v>13</v>
      </c>
      <c r="H2389">
        <v>7177.98</v>
      </c>
      <c r="I2389">
        <v>1.9</v>
      </c>
    </row>
    <row r="2390" spans="1:9" x14ac:dyDescent="0.3">
      <c r="A2390" t="s">
        <v>2405</v>
      </c>
      <c r="B2390" t="s">
        <v>13</v>
      </c>
      <c r="C2390" t="s">
        <v>11</v>
      </c>
      <c r="D2390">
        <v>33</v>
      </c>
      <c r="E2390" s="1">
        <v>41955</v>
      </c>
      <c r="F2390">
        <v>2.0499999999999998</v>
      </c>
      <c r="G2390">
        <v>4</v>
      </c>
      <c r="H2390">
        <v>9021.5300000000007</v>
      </c>
      <c r="I2390">
        <v>11</v>
      </c>
    </row>
    <row r="2391" spans="1:9" x14ac:dyDescent="0.3">
      <c r="A2391" t="s">
        <v>2406</v>
      </c>
      <c r="B2391" t="s">
        <v>24</v>
      </c>
      <c r="C2391" t="s">
        <v>14</v>
      </c>
      <c r="D2391">
        <v>46</v>
      </c>
      <c r="E2391" s="1">
        <v>43749</v>
      </c>
      <c r="F2391">
        <v>2.5299999999999998</v>
      </c>
      <c r="G2391">
        <v>10</v>
      </c>
      <c r="H2391">
        <v>12130.71</v>
      </c>
      <c r="I2391">
        <v>6.1</v>
      </c>
    </row>
    <row r="2392" spans="1:9" x14ac:dyDescent="0.3">
      <c r="A2392" t="s">
        <v>2407</v>
      </c>
      <c r="B2392" t="s">
        <v>24</v>
      </c>
      <c r="C2392" t="s">
        <v>11</v>
      </c>
      <c r="D2392">
        <v>37</v>
      </c>
      <c r="E2392" s="1">
        <v>43944</v>
      </c>
      <c r="F2392">
        <v>3.02</v>
      </c>
      <c r="G2392">
        <v>11</v>
      </c>
      <c r="H2392">
        <v>14110.28</v>
      </c>
      <c r="I2392">
        <v>5.5</v>
      </c>
    </row>
    <row r="2393" spans="1:9" x14ac:dyDescent="0.3">
      <c r="A2393" t="s">
        <v>2408</v>
      </c>
      <c r="B2393" t="s">
        <v>24</v>
      </c>
      <c r="C2393" t="s">
        <v>14</v>
      </c>
      <c r="D2393">
        <v>32</v>
      </c>
      <c r="E2393" s="1">
        <v>41022</v>
      </c>
      <c r="F2393">
        <v>4.6900000000000004</v>
      </c>
      <c r="G2393">
        <v>4</v>
      </c>
      <c r="H2393">
        <v>4329.2700000000004</v>
      </c>
      <c r="I2393">
        <v>13.5</v>
      </c>
    </row>
    <row r="2394" spans="1:9" x14ac:dyDescent="0.3">
      <c r="A2394" t="s">
        <v>2409</v>
      </c>
      <c r="B2394" t="s">
        <v>13</v>
      </c>
      <c r="C2394" t="s">
        <v>14</v>
      </c>
      <c r="D2394">
        <v>26</v>
      </c>
      <c r="E2394" s="1">
        <v>43291</v>
      </c>
      <c r="F2394">
        <v>3.5</v>
      </c>
      <c r="G2394">
        <v>12</v>
      </c>
      <c r="H2394">
        <v>11375.11</v>
      </c>
      <c r="I2394">
        <v>7.3</v>
      </c>
    </row>
    <row r="2395" spans="1:9" x14ac:dyDescent="0.3">
      <c r="A2395" t="s">
        <v>2410</v>
      </c>
      <c r="B2395" t="s">
        <v>24</v>
      </c>
      <c r="C2395" t="s">
        <v>11</v>
      </c>
      <c r="D2395">
        <v>32</v>
      </c>
      <c r="E2395" s="1">
        <v>42939</v>
      </c>
      <c r="F2395">
        <v>2.76</v>
      </c>
      <c r="G2395">
        <v>15</v>
      </c>
      <c r="H2395">
        <v>6399.45</v>
      </c>
      <c r="I2395">
        <v>8.3000000000000007</v>
      </c>
    </row>
    <row r="2396" spans="1:9" x14ac:dyDescent="0.3">
      <c r="A2396" t="s">
        <v>2411</v>
      </c>
      <c r="B2396" t="s">
        <v>18</v>
      </c>
      <c r="C2396" t="s">
        <v>14</v>
      </c>
      <c r="D2396">
        <v>23</v>
      </c>
      <c r="E2396" s="1">
        <v>43517</v>
      </c>
      <c r="F2396">
        <v>4.08</v>
      </c>
      <c r="G2396">
        <v>1</v>
      </c>
      <c r="H2396">
        <v>12838.25</v>
      </c>
      <c r="I2396">
        <v>6.7</v>
      </c>
    </row>
    <row r="2397" spans="1:9" x14ac:dyDescent="0.3">
      <c r="A2397" t="s">
        <v>2412</v>
      </c>
      <c r="B2397" t="s">
        <v>18</v>
      </c>
      <c r="C2397" t="s">
        <v>11</v>
      </c>
      <c r="D2397">
        <v>28</v>
      </c>
      <c r="E2397" s="1">
        <v>42775</v>
      </c>
      <c r="F2397">
        <v>2.12</v>
      </c>
      <c r="G2397">
        <v>4</v>
      </c>
      <c r="H2397">
        <v>10204.75</v>
      </c>
      <c r="I2397">
        <v>8.6999999999999993</v>
      </c>
    </row>
    <row r="2398" spans="1:9" x14ac:dyDescent="0.3">
      <c r="A2398" t="s">
        <v>2413</v>
      </c>
      <c r="B2398" t="s">
        <v>34</v>
      </c>
      <c r="C2398" t="s">
        <v>11</v>
      </c>
      <c r="D2398">
        <v>57</v>
      </c>
      <c r="E2398" s="1">
        <v>43031</v>
      </c>
      <c r="F2398">
        <v>4.95</v>
      </c>
      <c r="G2398">
        <v>5</v>
      </c>
      <c r="H2398">
        <v>10401.92</v>
      </c>
      <c r="I2398">
        <v>8</v>
      </c>
    </row>
    <row r="2399" spans="1:9" x14ac:dyDescent="0.3">
      <c r="A2399" t="s">
        <v>2414</v>
      </c>
      <c r="B2399" t="s">
        <v>24</v>
      </c>
      <c r="C2399" t="s">
        <v>11</v>
      </c>
      <c r="D2399">
        <v>48</v>
      </c>
      <c r="E2399" s="1">
        <v>44886</v>
      </c>
      <c r="F2399">
        <v>2.1</v>
      </c>
      <c r="G2399">
        <v>4</v>
      </c>
      <c r="H2399">
        <v>7183.89</v>
      </c>
      <c r="I2399">
        <v>2.9</v>
      </c>
    </row>
    <row r="2400" spans="1:9" x14ac:dyDescent="0.3">
      <c r="A2400" t="s">
        <v>2415</v>
      </c>
      <c r="B2400" t="s">
        <v>18</v>
      </c>
      <c r="C2400" t="s">
        <v>11</v>
      </c>
      <c r="D2400">
        <v>31</v>
      </c>
      <c r="E2400" s="1">
        <v>44659</v>
      </c>
      <c r="F2400">
        <v>1.94</v>
      </c>
      <c r="G2400">
        <v>2</v>
      </c>
      <c r="H2400">
        <v>3314.6</v>
      </c>
      <c r="I2400">
        <v>3.6</v>
      </c>
    </row>
    <row r="2401" spans="1:9" x14ac:dyDescent="0.3">
      <c r="A2401" t="s">
        <v>2416</v>
      </c>
      <c r="B2401" t="s">
        <v>16</v>
      </c>
      <c r="C2401" t="s">
        <v>11</v>
      </c>
      <c r="D2401">
        <v>46</v>
      </c>
      <c r="E2401" s="1">
        <v>40552</v>
      </c>
      <c r="F2401">
        <v>1.54</v>
      </c>
      <c r="G2401">
        <v>13</v>
      </c>
      <c r="H2401">
        <v>9904.09</v>
      </c>
      <c r="I2401">
        <v>14.8</v>
      </c>
    </row>
    <row r="2402" spans="1:9" x14ac:dyDescent="0.3">
      <c r="A2402" t="s">
        <v>2417</v>
      </c>
      <c r="B2402" t="s">
        <v>16</v>
      </c>
      <c r="C2402" t="s">
        <v>11</v>
      </c>
      <c r="D2402">
        <v>47</v>
      </c>
      <c r="E2402" s="1">
        <v>45400</v>
      </c>
      <c r="F2402">
        <v>1.72</v>
      </c>
      <c r="G2402">
        <v>5</v>
      </c>
      <c r="H2402">
        <v>10888.05</v>
      </c>
      <c r="I2402">
        <v>1.5</v>
      </c>
    </row>
    <row r="2403" spans="1:9" x14ac:dyDescent="0.3">
      <c r="A2403" t="s">
        <v>2418</v>
      </c>
      <c r="B2403" t="s">
        <v>16</v>
      </c>
      <c r="C2403" t="s">
        <v>14</v>
      </c>
      <c r="D2403">
        <v>39</v>
      </c>
      <c r="E2403" s="1">
        <v>42154</v>
      </c>
      <c r="F2403">
        <v>2.66</v>
      </c>
      <c r="G2403">
        <v>8</v>
      </c>
      <c r="H2403">
        <v>12641.43</v>
      </c>
      <c r="I2403">
        <v>10.4</v>
      </c>
    </row>
    <row r="2404" spans="1:9" x14ac:dyDescent="0.3">
      <c r="A2404" t="s">
        <v>2419</v>
      </c>
      <c r="B2404" t="s">
        <v>18</v>
      </c>
      <c r="C2404" t="s">
        <v>14</v>
      </c>
      <c r="D2404">
        <v>23</v>
      </c>
      <c r="E2404" s="1">
        <v>43887</v>
      </c>
      <c r="F2404">
        <v>2.63</v>
      </c>
      <c r="G2404">
        <v>8</v>
      </c>
      <c r="H2404">
        <v>12643.07</v>
      </c>
      <c r="I2404">
        <v>5.7</v>
      </c>
    </row>
    <row r="2405" spans="1:9" x14ac:dyDescent="0.3">
      <c r="A2405" t="s">
        <v>2420</v>
      </c>
      <c r="B2405" t="s">
        <v>18</v>
      </c>
      <c r="C2405" t="s">
        <v>14</v>
      </c>
      <c r="D2405">
        <v>37</v>
      </c>
      <c r="E2405" s="1">
        <v>43903</v>
      </c>
      <c r="F2405">
        <v>4.92</v>
      </c>
      <c r="G2405">
        <v>9</v>
      </c>
      <c r="H2405">
        <v>4295.79</v>
      </c>
      <c r="I2405">
        <v>5.6</v>
      </c>
    </row>
    <row r="2406" spans="1:9" x14ac:dyDescent="0.3">
      <c r="A2406" t="s">
        <v>2421</v>
      </c>
      <c r="B2406" t="s">
        <v>34</v>
      </c>
      <c r="C2406" t="s">
        <v>11</v>
      </c>
      <c r="D2406">
        <v>22</v>
      </c>
      <c r="E2406" s="1">
        <v>44135</v>
      </c>
      <c r="F2406">
        <v>2.79</v>
      </c>
      <c r="G2406">
        <v>2</v>
      </c>
      <c r="H2406">
        <v>11856.44</v>
      </c>
      <c r="I2406">
        <v>5</v>
      </c>
    </row>
    <row r="2407" spans="1:9" x14ac:dyDescent="0.3">
      <c r="A2407" t="s">
        <v>2422</v>
      </c>
      <c r="B2407" t="s">
        <v>24</v>
      </c>
      <c r="C2407" t="s">
        <v>14</v>
      </c>
      <c r="D2407">
        <v>37</v>
      </c>
      <c r="E2407" s="1">
        <v>44400</v>
      </c>
      <c r="F2407">
        <v>4.9800000000000004</v>
      </c>
      <c r="G2407">
        <v>4</v>
      </c>
      <c r="H2407">
        <v>12853.09</v>
      </c>
      <c r="I2407">
        <v>4.3</v>
      </c>
    </row>
    <row r="2408" spans="1:9" x14ac:dyDescent="0.3">
      <c r="A2408" t="s">
        <v>2423</v>
      </c>
      <c r="B2408" t="s">
        <v>18</v>
      </c>
      <c r="C2408" t="s">
        <v>11</v>
      </c>
      <c r="D2408">
        <v>51</v>
      </c>
      <c r="E2408" s="1">
        <v>43131</v>
      </c>
      <c r="F2408">
        <v>4.33</v>
      </c>
      <c r="G2408">
        <v>1</v>
      </c>
      <c r="H2408">
        <v>11400.11</v>
      </c>
      <c r="I2408">
        <v>7.8</v>
      </c>
    </row>
    <row r="2409" spans="1:9" x14ac:dyDescent="0.3">
      <c r="A2409" t="s">
        <v>2424</v>
      </c>
      <c r="B2409" t="s">
        <v>13</v>
      </c>
      <c r="C2409" t="s">
        <v>11</v>
      </c>
      <c r="D2409">
        <v>44</v>
      </c>
      <c r="E2409" s="1">
        <v>45328</v>
      </c>
      <c r="F2409">
        <v>2.23</v>
      </c>
      <c r="G2409">
        <v>6</v>
      </c>
      <c r="H2409">
        <v>5388.61</v>
      </c>
      <c r="I2409">
        <v>1.7</v>
      </c>
    </row>
    <row r="2410" spans="1:9" x14ac:dyDescent="0.3">
      <c r="A2410" t="s">
        <v>2425</v>
      </c>
      <c r="B2410" t="s">
        <v>24</v>
      </c>
      <c r="C2410" t="s">
        <v>14</v>
      </c>
      <c r="D2410">
        <v>42</v>
      </c>
      <c r="E2410" s="1">
        <v>44385</v>
      </c>
      <c r="F2410">
        <v>4.24</v>
      </c>
      <c r="G2410">
        <v>7</v>
      </c>
      <c r="H2410">
        <v>10884.07</v>
      </c>
      <c r="I2410">
        <v>4.3</v>
      </c>
    </row>
    <row r="2411" spans="1:9" x14ac:dyDescent="0.3">
      <c r="A2411" t="s">
        <v>2426</v>
      </c>
      <c r="B2411" t="s">
        <v>13</v>
      </c>
      <c r="C2411" t="s">
        <v>14</v>
      </c>
      <c r="D2411">
        <v>37</v>
      </c>
      <c r="E2411" s="1">
        <v>41728</v>
      </c>
      <c r="F2411">
        <v>4.5</v>
      </c>
      <c r="G2411">
        <v>3</v>
      </c>
      <c r="H2411">
        <v>7095.2</v>
      </c>
      <c r="I2411">
        <v>11.6</v>
      </c>
    </row>
    <row r="2412" spans="1:9" x14ac:dyDescent="0.3">
      <c r="A2412" t="s">
        <v>2427</v>
      </c>
      <c r="B2412" t="s">
        <v>16</v>
      </c>
      <c r="C2412" t="s">
        <v>11</v>
      </c>
      <c r="D2412">
        <v>29</v>
      </c>
      <c r="E2412" s="1">
        <v>45570</v>
      </c>
      <c r="F2412">
        <v>2.42</v>
      </c>
      <c r="G2412">
        <v>3</v>
      </c>
      <c r="H2412">
        <v>6100.97</v>
      </c>
      <c r="I2412">
        <v>1.1000000000000001</v>
      </c>
    </row>
    <row r="2413" spans="1:9" x14ac:dyDescent="0.3">
      <c r="A2413" t="s">
        <v>2428</v>
      </c>
      <c r="B2413" t="s">
        <v>18</v>
      </c>
      <c r="C2413" t="s">
        <v>11</v>
      </c>
      <c r="D2413">
        <v>48</v>
      </c>
      <c r="E2413" s="1">
        <v>42488</v>
      </c>
      <c r="F2413">
        <v>2.84</v>
      </c>
      <c r="G2413">
        <v>13</v>
      </c>
      <c r="H2413">
        <v>12344.93</v>
      </c>
      <c r="I2413">
        <v>9.5</v>
      </c>
    </row>
    <row r="2414" spans="1:9" x14ac:dyDescent="0.3">
      <c r="A2414" t="s">
        <v>2429</v>
      </c>
      <c r="B2414" t="s">
        <v>24</v>
      </c>
      <c r="C2414" t="s">
        <v>11</v>
      </c>
      <c r="D2414">
        <v>30</v>
      </c>
      <c r="E2414" s="1">
        <v>42250</v>
      </c>
      <c r="F2414">
        <v>4.95</v>
      </c>
      <c r="G2414">
        <v>10</v>
      </c>
      <c r="H2414">
        <v>8309.25</v>
      </c>
      <c r="I2414">
        <v>10.199999999999999</v>
      </c>
    </row>
    <row r="2415" spans="1:9" x14ac:dyDescent="0.3">
      <c r="A2415" t="s">
        <v>2430</v>
      </c>
      <c r="B2415" t="s">
        <v>16</v>
      </c>
      <c r="C2415" t="s">
        <v>11</v>
      </c>
      <c r="D2415">
        <v>60</v>
      </c>
      <c r="E2415" s="1">
        <v>45418</v>
      </c>
      <c r="F2415">
        <v>3.46</v>
      </c>
      <c r="G2415">
        <v>6</v>
      </c>
      <c r="H2415">
        <v>7878.04</v>
      </c>
      <c r="I2415">
        <v>1.5</v>
      </c>
    </row>
    <row r="2416" spans="1:9" x14ac:dyDescent="0.3">
      <c r="A2416" t="s">
        <v>2431</v>
      </c>
      <c r="B2416" t="s">
        <v>34</v>
      </c>
      <c r="C2416" t="s">
        <v>11</v>
      </c>
      <c r="D2416">
        <v>28</v>
      </c>
      <c r="E2416" s="1">
        <v>41277</v>
      </c>
      <c r="F2416">
        <v>3.74</v>
      </c>
      <c r="G2416">
        <v>8</v>
      </c>
      <c r="H2416">
        <v>6605.11</v>
      </c>
      <c r="I2416">
        <v>12.8</v>
      </c>
    </row>
    <row r="2417" spans="1:9" x14ac:dyDescent="0.3">
      <c r="A2417" t="s">
        <v>2432</v>
      </c>
      <c r="B2417" t="s">
        <v>34</v>
      </c>
      <c r="C2417" t="s">
        <v>11</v>
      </c>
      <c r="D2417">
        <v>32</v>
      </c>
      <c r="E2417" s="1">
        <v>42594</v>
      </c>
      <c r="F2417">
        <v>3.08</v>
      </c>
      <c r="G2417">
        <v>10</v>
      </c>
      <c r="H2417">
        <v>4553.1400000000003</v>
      </c>
      <c r="I2417">
        <v>9.1999999999999993</v>
      </c>
    </row>
    <row r="2418" spans="1:9" x14ac:dyDescent="0.3">
      <c r="A2418" t="s">
        <v>2433</v>
      </c>
      <c r="B2418" t="s">
        <v>34</v>
      </c>
      <c r="C2418" t="s">
        <v>11</v>
      </c>
      <c r="D2418">
        <v>31</v>
      </c>
      <c r="E2418" s="1">
        <v>44308</v>
      </c>
      <c r="F2418">
        <v>4.96</v>
      </c>
      <c r="G2418">
        <v>13</v>
      </c>
      <c r="H2418">
        <v>7880.6</v>
      </c>
      <c r="I2418">
        <v>4.5</v>
      </c>
    </row>
    <row r="2419" spans="1:9" x14ac:dyDescent="0.3">
      <c r="A2419" t="s">
        <v>2434</v>
      </c>
      <c r="B2419" t="s">
        <v>10</v>
      </c>
      <c r="C2419" t="s">
        <v>14</v>
      </c>
      <c r="D2419">
        <v>53</v>
      </c>
      <c r="E2419" s="1">
        <v>43473</v>
      </c>
      <c r="F2419">
        <v>3.94</v>
      </c>
      <c r="G2419">
        <v>11</v>
      </c>
      <c r="H2419">
        <v>14661.66</v>
      </c>
      <c r="I2419">
        <v>6.8</v>
      </c>
    </row>
    <row r="2420" spans="1:9" x14ac:dyDescent="0.3">
      <c r="A2420" t="s">
        <v>2435</v>
      </c>
      <c r="B2420" t="s">
        <v>13</v>
      </c>
      <c r="C2420" t="s">
        <v>11</v>
      </c>
      <c r="D2420">
        <v>53</v>
      </c>
      <c r="E2420" s="1">
        <v>42461</v>
      </c>
      <c r="F2420">
        <v>4.24</v>
      </c>
      <c r="G2420">
        <v>7</v>
      </c>
      <c r="H2420">
        <v>3713.38</v>
      </c>
      <c r="I2420">
        <v>9.6</v>
      </c>
    </row>
    <row r="2421" spans="1:9" x14ac:dyDescent="0.3">
      <c r="A2421" t="s">
        <v>2436</v>
      </c>
      <c r="B2421" t="s">
        <v>18</v>
      </c>
      <c r="C2421" t="s">
        <v>11</v>
      </c>
      <c r="D2421">
        <v>27</v>
      </c>
      <c r="E2421" s="1">
        <v>44940</v>
      </c>
      <c r="F2421">
        <v>2.5</v>
      </c>
      <c r="G2421">
        <v>3</v>
      </c>
      <c r="H2421">
        <v>4831.68</v>
      </c>
      <c r="I2421">
        <v>2.8</v>
      </c>
    </row>
    <row r="2422" spans="1:9" x14ac:dyDescent="0.3">
      <c r="A2422" t="s">
        <v>2437</v>
      </c>
      <c r="B2422" t="s">
        <v>34</v>
      </c>
      <c r="C2422" t="s">
        <v>11</v>
      </c>
      <c r="D2422">
        <v>55</v>
      </c>
      <c r="E2422" s="1">
        <v>41376</v>
      </c>
      <c r="F2422">
        <v>4.4000000000000004</v>
      </c>
      <c r="G2422">
        <v>3</v>
      </c>
      <c r="H2422">
        <v>12559.8</v>
      </c>
      <c r="I2422">
        <v>12.6</v>
      </c>
    </row>
    <row r="2423" spans="1:9" x14ac:dyDescent="0.3">
      <c r="A2423" t="s">
        <v>2438</v>
      </c>
      <c r="B2423" t="s">
        <v>13</v>
      </c>
      <c r="C2423" t="s">
        <v>11</v>
      </c>
      <c r="D2423">
        <v>22</v>
      </c>
      <c r="E2423" s="1">
        <v>45851</v>
      </c>
      <c r="F2423">
        <v>3.3</v>
      </c>
      <c r="G2423">
        <v>15</v>
      </c>
      <c r="H2423">
        <v>14853.44</v>
      </c>
      <c r="I2423">
        <v>0.3</v>
      </c>
    </row>
    <row r="2424" spans="1:9" x14ac:dyDescent="0.3">
      <c r="A2424" t="s">
        <v>2439</v>
      </c>
      <c r="B2424" t="s">
        <v>24</v>
      </c>
      <c r="C2424" t="s">
        <v>11</v>
      </c>
      <c r="D2424">
        <v>49</v>
      </c>
      <c r="E2424" s="1">
        <v>40962</v>
      </c>
      <c r="F2424">
        <v>4</v>
      </c>
      <c r="G2424">
        <v>13</v>
      </c>
      <c r="H2424">
        <v>8565.49</v>
      </c>
      <c r="I2424">
        <v>13.7</v>
      </c>
    </row>
    <row r="2425" spans="1:9" x14ac:dyDescent="0.3">
      <c r="A2425" t="s">
        <v>2440</v>
      </c>
      <c r="B2425" t="s">
        <v>10</v>
      </c>
      <c r="C2425" t="s">
        <v>14</v>
      </c>
      <c r="D2425">
        <v>41</v>
      </c>
      <c r="E2425" s="1">
        <v>41573</v>
      </c>
      <c r="F2425">
        <v>2.0299999999999998</v>
      </c>
      <c r="G2425">
        <v>7</v>
      </c>
      <c r="H2425">
        <v>13269.02</v>
      </c>
      <c r="I2425">
        <v>12</v>
      </c>
    </row>
    <row r="2426" spans="1:9" x14ac:dyDescent="0.3">
      <c r="A2426" t="s">
        <v>2441</v>
      </c>
      <c r="B2426" t="s">
        <v>24</v>
      </c>
      <c r="C2426" t="s">
        <v>14</v>
      </c>
      <c r="D2426">
        <v>33</v>
      </c>
      <c r="E2426" s="1">
        <v>43032</v>
      </c>
      <c r="F2426">
        <v>4.58</v>
      </c>
      <c r="G2426">
        <v>4</v>
      </c>
      <c r="H2426">
        <v>9169.3799999999992</v>
      </c>
      <c r="I2426">
        <v>8</v>
      </c>
    </row>
    <row r="2427" spans="1:9" x14ac:dyDescent="0.3">
      <c r="A2427" t="s">
        <v>2442</v>
      </c>
      <c r="B2427" t="s">
        <v>10</v>
      </c>
      <c r="C2427" t="s">
        <v>11</v>
      </c>
      <c r="D2427">
        <v>35</v>
      </c>
      <c r="E2427" s="1">
        <v>40970</v>
      </c>
      <c r="F2427">
        <v>3.02</v>
      </c>
      <c r="G2427">
        <v>12</v>
      </c>
      <c r="H2427">
        <v>3107.21</v>
      </c>
      <c r="I2427">
        <v>13.7</v>
      </c>
    </row>
    <row r="2428" spans="1:9" x14ac:dyDescent="0.3">
      <c r="A2428" t="s">
        <v>2443</v>
      </c>
      <c r="B2428" t="s">
        <v>16</v>
      </c>
      <c r="C2428" t="s">
        <v>14</v>
      </c>
      <c r="D2428">
        <v>43</v>
      </c>
      <c r="E2428" s="1">
        <v>43462</v>
      </c>
      <c r="F2428">
        <v>4.82</v>
      </c>
      <c r="G2428">
        <v>9</v>
      </c>
      <c r="H2428">
        <v>6127.74</v>
      </c>
      <c r="I2428">
        <v>6.8</v>
      </c>
    </row>
    <row r="2429" spans="1:9" x14ac:dyDescent="0.3">
      <c r="A2429" t="s">
        <v>2444</v>
      </c>
      <c r="B2429" t="s">
        <v>34</v>
      </c>
      <c r="C2429" t="s">
        <v>14</v>
      </c>
      <c r="D2429">
        <v>35</v>
      </c>
      <c r="E2429" s="1">
        <v>44243</v>
      </c>
      <c r="F2429">
        <v>3.78</v>
      </c>
      <c r="G2429">
        <v>8</v>
      </c>
      <c r="H2429">
        <v>4448</v>
      </c>
      <c r="I2429">
        <v>4.7</v>
      </c>
    </row>
    <row r="2430" spans="1:9" x14ac:dyDescent="0.3">
      <c r="A2430" t="s">
        <v>2445</v>
      </c>
      <c r="B2430" t="s">
        <v>13</v>
      </c>
      <c r="C2430" t="s">
        <v>11</v>
      </c>
      <c r="D2430">
        <v>49</v>
      </c>
      <c r="E2430" s="1">
        <v>42218</v>
      </c>
      <c r="F2430">
        <v>4.12</v>
      </c>
      <c r="G2430">
        <v>14</v>
      </c>
      <c r="H2430">
        <v>7474.69</v>
      </c>
      <c r="I2430">
        <v>10.3</v>
      </c>
    </row>
    <row r="2431" spans="1:9" x14ac:dyDescent="0.3">
      <c r="A2431" t="s">
        <v>2446</v>
      </c>
      <c r="B2431" t="s">
        <v>10</v>
      </c>
      <c r="C2431" t="s">
        <v>11</v>
      </c>
      <c r="D2431">
        <v>40</v>
      </c>
      <c r="E2431" s="1">
        <v>44754</v>
      </c>
      <c r="F2431">
        <v>3.92</v>
      </c>
      <c r="G2431">
        <v>1</v>
      </c>
      <c r="H2431">
        <v>6270.49</v>
      </c>
      <c r="I2431">
        <v>3.3</v>
      </c>
    </row>
    <row r="2432" spans="1:9" x14ac:dyDescent="0.3">
      <c r="A2432" t="s">
        <v>2447</v>
      </c>
      <c r="B2432" t="s">
        <v>24</v>
      </c>
      <c r="C2432" t="s">
        <v>11</v>
      </c>
      <c r="D2432">
        <v>26</v>
      </c>
      <c r="E2432" s="1">
        <v>45078</v>
      </c>
      <c r="F2432">
        <v>4.93</v>
      </c>
      <c r="G2432">
        <v>11</v>
      </c>
      <c r="H2432">
        <v>9833.98</v>
      </c>
      <c r="I2432">
        <v>2.4</v>
      </c>
    </row>
    <row r="2433" spans="1:9" x14ac:dyDescent="0.3">
      <c r="A2433" t="s">
        <v>2448</v>
      </c>
      <c r="B2433" t="s">
        <v>10</v>
      </c>
      <c r="C2433" t="s">
        <v>11</v>
      </c>
      <c r="D2433">
        <v>34</v>
      </c>
      <c r="E2433" s="1">
        <v>45099</v>
      </c>
      <c r="F2433">
        <v>2.2799999999999998</v>
      </c>
      <c r="G2433">
        <v>3</v>
      </c>
      <c r="H2433">
        <v>10785.11</v>
      </c>
      <c r="I2433">
        <v>2.4</v>
      </c>
    </row>
    <row r="2434" spans="1:9" x14ac:dyDescent="0.3">
      <c r="A2434" t="s">
        <v>2449</v>
      </c>
      <c r="B2434" t="s">
        <v>34</v>
      </c>
      <c r="C2434" t="s">
        <v>11</v>
      </c>
      <c r="D2434">
        <v>31</v>
      </c>
      <c r="E2434" s="1">
        <v>45912</v>
      </c>
      <c r="F2434">
        <v>2.06</v>
      </c>
      <c r="G2434">
        <v>3</v>
      </c>
      <c r="H2434">
        <v>9720.24</v>
      </c>
      <c r="I2434">
        <v>0.1</v>
      </c>
    </row>
    <row r="2435" spans="1:9" x14ac:dyDescent="0.3">
      <c r="A2435" t="s">
        <v>2450</v>
      </c>
      <c r="B2435" t="s">
        <v>34</v>
      </c>
      <c r="C2435" t="s">
        <v>11</v>
      </c>
      <c r="D2435">
        <v>60</v>
      </c>
      <c r="E2435" s="1">
        <v>45351</v>
      </c>
      <c r="F2435">
        <v>3.85</v>
      </c>
      <c r="G2435">
        <v>6</v>
      </c>
      <c r="H2435">
        <v>11527.25</v>
      </c>
      <c r="I2435">
        <v>1.7</v>
      </c>
    </row>
    <row r="2436" spans="1:9" x14ac:dyDescent="0.3">
      <c r="A2436" t="s">
        <v>2451</v>
      </c>
      <c r="B2436" t="s">
        <v>24</v>
      </c>
      <c r="C2436" t="s">
        <v>11</v>
      </c>
      <c r="D2436">
        <v>52</v>
      </c>
      <c r="E2436" s="1">
        <v>44093</v>
      </c>
      <c r="F2436">
        <v>2.82</v>
      </c>
      <c r="G2436">
        <v>8</v>
      </c>
      <c r="H2436">
        <v>10980.04</v>
      </c>
      <c r="I2436">
        <v>5.0999999999999996</v>
      </c>
    </row>
    <row r="2437" spans="1:9" x14ac:dyDescent="0.3">
      <c r="A2437" t="s">
        <v>2452</v>
      </c>
      <c r="B2437" t="s">
        <v>18</v>
      </c>
      <c r="C2437" t="s">
        <v>14</v>
      </c>
      <c r="D2437">
        <v>22</v>
      </c>
      <c r="E2437" s="1">
        <v>41723</v>
      </c>
      <c r="F2437">
        <v>3.71</v>
      </c>
      <c r="G2437">
        <v>8</v>
      </c>
      <c r="H2437">
        <v>6933.18</v>
      </c>
      <c r="I2437">
        <v>11.6</v>
      </c>
    </row>
    <row r="2438" spans="1:9" x14ac:dyDescent="0.3">
      <c r="A2438" t="s">
        <v>2453</v>
      </c>
      <c r="B2438" t="s">
        <v>24</v>
      </c>
      <c r="C2438" t="s">
        <v>14</v>
      </c>
      <c r="D2438">
        <v>42</v>
      </c>
      <c r="E2438" s="1">
        <v>43854</v>
      </c>
      <c r="F2438">
        <v>3.84</v>
      </c>
      <c r="G2438">
        <v>12</v>
      </c>
      <c r="H2438">
        <v>11504.65</v>
      </c>
      <c r="I2438">
        <v>5.8</v>
      </c>
    </row>
    <row r="2439" spans="1:9" x14ac:dyDescent="0.3">
      <c r="A2439" t="s">
        <v>2454</v>
      </c>
      <c r="B2439" t="s">
        <v>18</v>
      </c>
      <c r="C2439" t="s">
        <v>14</v>
      </c>
      <c r="D2439">
        <v>49</v>
      </c>
      <c r="E2439" s="1">
        <v>42727</v>
      </c>
      <c r="F2439">
        <v>1.81</v>
      </c>
      <c r="G2439">
        <v>6</v>
      </c>
      <c r="H2439">
        <v>9295</v>
      </c>
      <c r="I2439">
        <v>8.9</v>
      </c>
    </row>
    <row r="2440" spans="1:9" x14ac:dyDescent="0.3">
      <c r="A2440" t="s">
        <v>2455</v>
      </c>
      <c r="B2440" t="s">
        <v>10</v>
      </c>
      <c r="C2440" t="s">
        <v>11</v>
      </c>
      <c r="D2440">
        <v>55</v>
      </c>
      <c r="E2440" s="1">
        <v>43849</v>
      </c>
      <c r="F2440">
        <v>3.54</v>
      </c>
      <c r="G2440">
        <v>13</v>
      </c>
      <c r="H2440">
        <v>10990.58</v>
      </c>
      <c r="I2440">
        <v>5.8</v>
      </c>
    </row>
    <row r="2441" spans="1:9" x14ac:dyDescent="0.3">
      <c r="A2441" t="s">
        <v>2456</v>
      </c>
      <c r="B2441" t="s">
        <v>10</v>
      </c>
      <c r="C2441" t="s">
        <v>14</v>
      </c>
      <c r="D2441">
        <v>29</v>
      </c>
      <c r="E2441" s="1">
        <v>44062</v>
      </c>
      <c r="F2441">
        <v>2.84</v>
      </c>
      <c r="G2441">
        <v>4</v>
      </c>
      <c r="H2441">
        <v>11999.88</v>
      </c>
      <c r="I2441">
        <v>5.2</v>
      </c>
    </row>
    <row r="2442" spans="1:9" x14ac:dyDescent="0.3">
      <c r="A2442" t="s">
        <v>2457</v>
      </c>
      <c r="B2442" t="s">
        <v>10</v>
      </c>
      <c r="C2442" t="s">
        <v>14</v>
      </c>
      <c r="D2442">
        <v>22</v>
      </c>
      <c r="E2442" s="1">
        <v>41909</v>
      </c>
      <c r="F2442">
        <v>3.51</v>
      </c>
      <c r="G2442">
        <v>13</v>
      </c>
      <c r="H2442">
        <v>14010.44</v>
      </c>
      <c r="I2442">
        <v>11.1</v>
      </c>
    </row>
    <row r="2443" spans="1:9" x14ac:dyDescent="0.3">
      <c r="A2443" t="s">
        <v>2458</v>
      </c>
      <c r="B2443" t="s">
        <v>16</v>
      </c>
      <c r="C2443" t="s">
        <v>14</v>
      </c>
      <c r="D2443">
        <v>52</v>
      </c>
      <c r="E2443" s="1">
        <v>42881</v>
      </c>
      <c r="F2443">
        <v>4.47</v>
      </c>
      <c r="G2443">
        <v>10</v>
      </c>
      <c r="H2443">
        <v>9741.98</v>
      </c>
      <c r="I2443">
        <v>8.4</v>
      </c>
    </row>
    <row r="2444" spans="1:9" x14ac:dyDescent="0.3">
      <c r="A2444" t="s">
        <v>2459</v>
      </c>
      <c r="B2444" t="s">
        <v>24</v>
      </c>
      <c r="C2444" t="s">
        <v>11</v>
      </c>
      <c r="D2444">
        <v>34</v>
      </c>
      <c r="E2444" s="1">
        <v>40594</v>
      </c>
      <c r="F2444">
        <v>4.7699999999999996</v>
      </c>
      <c r="G2444">
        <v>4</v>
      </c>
      <c r="H2444">
        <v>3904.14</v>
      </c>
      <c r="I2444">
        <v>14.7</v>
      </c>
    </row>
    <row r="2445" spans="1:9" x14ac:dyDescent="0.3">
      <c r="A2445" t="s">
        <v>2460</v>
      </c>
      <c r="B2445" t="s">
        <v>24</v>
      </c>
      <c r="C2445" t="s">
        <v>11</v>
      </c>
      <c r="D2445">
        <v>27</v>
      </c>
      <c r="E2445" s="1">
        <v>40739</v>
      </c>
      <c r="F2445">
        <v>4.1399999999999997</v>
      </c>
      <c r="G2445">
        <v>9</v>
      </c>
      <c r="H2445">
        <v>12562.57</v>
      </c>
      <c r="I2445">
        <v>14.3</v>
      </c>
    </row>
    <row r="2446" spans="1:9" x14ac:dyDescent="0.3">
      <c r="A2446" t="s">
        <v>2461</v>
      </c>
      <c r="B2446" t="s">
        <v>18</v>
      </c>
      <c r="C2446" t="s">
        <v>14</v>
      </c>
      <c r="D2446">
        <v>56</v>
      </c>
      <c r="E2446" s="1">
        <v>45425</v>
      </c>
      <c r="F2446">
        <v>1.54</v>
      </c>
      <c r="G2446">
        <v>2</v>
      </c>
      <c r="H2446">
        <v>14588.43</v>
      </c>
      <c r="I2446">
        <v>1.5</v>
      </c>
    </row>
    <row r="2447" spans="1:9" x14ac:dyDescent="0.3">
      <c r="A2447" t="s">
        <v>2462</v>
      </c>
      <c r="B2447" t="s">
        <v>24</v>
      </c>
      <c r="C2447" t="s">
        <v>14</v>
      </c>
      <c r="D2447">
        <v>34</v>
      </c>
      <c r="E2447" s="1">
        <v>41121</v>
      </c>
      <c r="F2447">
        <v>4.2699999999999996</v>
      </c>
      <c r="G2447">
        <v>13</v>
      </c>
      <c r="H2447">
        <v>7498.47</v>
      </c>
      <c r="I2447">
        <v>13.3</v>
      </c>
    </row>
    <row r="2448" spans="1:9" x14ac:dyDescent="0.3">
      <c r="A2448" t="s">
        <v>2463</v>
      </c>
      <c r="B2448" t="s">
        <v>13</v>
      </c>
      <c r="C2448" t="s">
        <v>14</v>
      </c>
      <c r="D2448">
        <v>60</v>
      </c>
      <c r="E2448" s="1">
        <v>42990</v>
      </c>
      <c r="F2448">
        <v>1.85</v>
      </c>
      <c r="G2448">
        <v>14</v>
      </c>
      <c r="H2448">
        <v>7250.71</v>
      </c>
      <c r="I2448">
        <v>8.1</v>
      </c>
    </row>
    <row r="2449" spans="1:9" x14ac:dyDescent="0.3">
      <c r="A2449" t="s">
        <v>2464</v>
      </c>
      <c r="B2449" t="s">
        <v>18</v>
      </c>
      <c r="C2449" t="s">
        <v>14</v>
      </c>
      <c r="D2449">
        <v>52</v>
      </c>
      <c r="E2449" s="1">
        <v>40615</v>
      </c>
      <c r="F2449">
        <v>2.1800000000000002</v>
      </c>
      <c r="G2449">
        <v>4</v>
      </c>
      <c r="H2449">
        <v>7046.68</v>
      </c>
      <c r="I2449">
        <v>14.6</v>
      </c>
    </row>
    <row r="2450" spans="1:9" x14ac:dyDescent="0.3">
      <c r="A2450" t="s">
        <v>2465</v>
      </c>
      <c r="B2450" t="s">
        <v>16</v>
      </c>
      <c r="C2450" t="s">
        <v>14</v>
      </c>
      <c r="D2450">
        <v>50</v>
      </c>
      <c r="E2450" s="1">
        <v>45799</v>
      </c>
      <c r="F2450">
        <v>4.8899999999999997</v>
      </c>
      <c r="G2450">
        <v>6</v>
      </c>
      <c r="H2450">
        <v>10266.85</v>
      </c>
      <c r="I2450">
        <v>0.4</v>
      </c>
    </row>
    <row r="2451" spans="1:9" x14ac:dyDescent="0.3">
      <c r="A2451" t="s">
        <v>2466</v>
      </c>
      <c r="B2451" t="s">
        <v>13</v>
      </c>
      <c r="C2451" t="s">
        <v>14</v>
      </c>
      <c r="D2451">
        <v>53</v>
      </c>
      <c r="E2451" s="1">
        <v>44064</v>
      </c>
      <c r="F2451">
        <v>4.4400000000000004</v>
      </c>
      <c r="G2451">
        <v>0</v>
      </c>
      <c r="H2451">
        <v>11167.52</v>
      </c>
      <c r="I2451">
        <v>5.2</v>
      </c>
    </row>
    <row r="2452" spans="1:9" x14ac:dyDescent="0.3">
      <c r="A2452" t="s">
        <v>2467</v>
      </c>
      <c r="B2452" t="s">
        <v>18</v>
      </c>
      <c r="C2452" t="s">
        <v>11</v>
      </c>
      <c r="D2452">
        <v>48</v>
      </c>
      <c r="E2452" s="1">
        <v>43948</v>
      </c>
      <c r="F2452">
        <v>2.39</v>
      </c>
      <c r="G2452">
        <v>3</v>
      </c>
      <c r="H2452">
        <v>4250.3500000000004</v>
      </c>
      <c r="I2452">
        <v>5.5</v>
      </c>
    </row>
    <row r="2453" spans="1:9" x14ac:dyDescent="0.3">
      <c r="A2453" t="s">
        <v>2468</v>
      </c>
      <c r="B2453" t="s">
        <v>13</v>
      </c>
      <c r="C2453" t="s">
        <v>11</v>
      </c>
      <c r="D2453">
        <v>43</v>
      </c>
      <c r="E2453" s="1">
        <v>41035</v>
      </c>
      <c r="F2453">
        <v>1.77</v>
      </c>
      <c r="G2453">
        <v>11</v>
      </c>
      <c r="H2453">
        <v>8015.26</v>
      </c>
      <c r="I2453">
        <v>13.5</v>
      </c>
    </row>
    <row r="2454" spans="1:9" x14ac:dyDescent="0.3">
      <c r="A2454" t="s">
        <v>2469</v>
      </c>
      <c r="B2454" t="s">
        <v>18</v>
      </c>
      <c r="C2454" t="s">
        <v>11</v>
      </c>
      <c r="D2454">
        <v>47</v>
      </c>
      <c r="E2454" s="1">
        <v>44587</v>
      </c>
      <c r="F2454">
        <v>1.79</v>
      </c>
      <c r="G2454">
        <v>3</v>
      </c>
      <c r="H2454">
        <v>4091.91</v>
      </c>
      <c r="I2454">
        <v>3.8</v>
      </c>
    </row>
    <row r="2455" spans="1:9" x14ac:dyDescent="0.3">
      <c r="A2455" t="s">
        <v>2470</v>
      </c>
      <c r="B2455" t="s">
        <v>24</v>
      </c>
      <c r="C2455" t="s">
        <v>14</v>
      </c>
      <c r="D2455">
        <v>37</v>
      </c>
      <c r="E2455" s="1">
        <v>40710</v>
      </c>
      <c r="F2455">
        <v>1.72</v>
      </c>
      <c r="G2455">
        <v>5</v>
      </c>
      <c r="H2455">
        <v>4643.6000000000004</v>
      </c>
      <c r="I2455">
        <v>14.4</v>
      </c>
    </row>
    <row r="2456" spans="1:9" x14ac:dyDescent="0.3">
      <c r="A2456" t="s">
        <v>2471</v>
      </c>
      <c r="B2456" t="s">
        <v>24</v>
      </c>
      <c r="C2456" t="s">
        <v>14</v>
      </c>
      <c r="D2456">
        <v>27</v>
      </c>
      <c r="E2456" s="1">
        <v>43176</v>
      </c>
      <c r="F2456">
        <v>1.76</v>
      </c>
      <c r="G2456">
        <v>15</v>
      </c>
      <c r="H2456">
        <v>7947.1</v>
      </c>
      <c r="I2456">
        <v>7.6</v>
      </c>
    </row>
    <row r="2457" spans="1:9" x14ac:dyDescent="0.3">
      <c r="A2457" t="s">
        <v>2472</v>
      </c>
      <c r="B2457" t="s">
        <v>18</v>
      </c>
      <c r="C2457" t="s">
        <v>14</v>
      </c>
      <c r="D2457">
        <v>43</v>
      </c>
      <c r="E2457" s="1">
        <v>45252</v>
      </c>
      <c r="F2457">
        <v>2.08</v>
      </c>
      <c r="G2457">
        <v>12</v>
      </c>
      <c r="H2457">
        <v>12379.18</v>
      </c>
      <c r="I2457">
        <v>1.9</v>
      </c>
    </row>
    <row r="2458" spans="1:9" x14ac:dyDescent="0.3">
      <c r="A2458" t="s">
        <v>2473</v>
      </c>
      <c r="B2458" t="s">
        <v>10</v>
      </c>
      <c r="C2458" t="s">
        <v>11</v>
      </c>
      <c r="D2458">
        <v>53</v>
      </c>
      <c r="E2458" s="1">
        <v>44143</v>
      </c>
      <c r="F2458">
        <v>3.22</v>
      </c>
      <c r="G2458">
        <v>14</v>
      </c>
      <c r="H2458">
        <v>8073.02</v>
      </c>
      <c r="I2458">
        <v>5</v>
      </c>
    </row>
    <row r="2459" spans="1:9" x14ac:dyDescent="0.3">
      <c r="A2459" t="s">
        <v>2474</v>
      </c>
      <c r="B2459" t="s">
        <v>16</v>
      </c>
      <c r="C2459" t="s">
        <v>11</v>
      </c>
      <c r="D2459">
        <v>33</v>
      </c>
      <c r="E2459" s="1">
        <v>43742</v>
      </c>
      <c r="F2459">
        <v>4.67</v>
      </c>
      <c r="G2459">
        <v>7</v>
      </c>
      <c r="H2459">
        <v>3703.17</v>
      </c>
      <c r="I2459">
        <v>6.1</v>
      </c>
    </row>
    <row r="2460" spans="1:9" x14ac:dyDescent="0.3">
      <c r="A2460" t="s">
        <v>2475</v>
      </c>
      <c r="B2460" t="s">
        <v>13</v>
      </c>
      <c r="C2460" t="s">
        <v>14</v>
      </c>
      <c r="D2460">
        <v>44</v>
      </c>
      <c r="E2460" s="1">
        <v>41151</v>
      </c>
      <c r="F2460">
        <v>2.59</v>
      </c>
      <c r="G2460">
        <v>6</v>
      </c>
      <c r="H2460">
        <v>13496.08</v>
      </c>
      <c r="I2460">
        <v>13.2</v>
      </c>
    </row>
    <row r="2461" spans="1:9" x14ac:dyDescent="0.3">
      <c r="A2461" t="s">
        <v>2476</v>
      </c>
      <c r="B2461" t="s">
        <v>34</v>
      </c>
      <c r="C2461" t="s">
        <v>14</v>
      </c>
      <c r="D2461">
        <v>47</v>
      </c>
      <c r="E2461" s="1">
        <v>42419</v>
      </c>
      <c r="F2461">
        <v>4.54</v>
      </c>
      <c r="G2461">
        <v>3</v>
      </c>
      <c r="H2461">
        <v>10346.83</v>
      </c>
      <c r="I2461">
        <v>9.6999999999999993</v>
      </c>
    </row>
    <row r="2462" spans="1:9" x14ac:dyDescent="0.3">
      <c r="A2462" t="s">
        <v>2477</v>
      </c>
      <c r="B2462" t="s">
        <v>16</v>
      </c>
      <c r="C2462" t="s">
        <v>14</v>
      </c>
      <c r="D2462">
        <v>45</v>
      </c>
      <c r="E2462" s="1">
        <v>41241</v>
      </c>
      <c r="F2462">
        <v>1.97</v>
      </c>
      <c r="G2462">
        <v>11</v>
      </c>
      <c r="H2462">
        <v>12337.27</v>
      </c>
      <c r="I2462">
        <v>12.9</v>
      </c>
    </row>
    <row r="2463" spans="1:9" x14ac:dyDescent="0.3">
      <c r="A2463" t="s">
        <v>2478</v>
      </c>
      <c r="B2463" t="s">
        <v>34</v>
      </c>
      <c r="C2463" t="s">
        <v>11</v>
      </c>
      <c r="D2463">
        <v>24</v>
      </c>
      <c r="E2463" s="1">
        <v>41583</v>
      </c>
      <c r="F2463">
        <v>3.92</v>
      </c>
      <c r="G2463">
        <v>6</v>
      </c>
      <c r="H2463">
        <v>5101.71</v>
      </c>
      <c r="I2463">
        <v>12</v>
      </c>
    </row>
    <row r="2464" spans="1:9" x14ac:dyDescent="0.3">
      <c r="A2464" t="s">
        <v>2479</v>
      </c>
      <c r="B2464" t="s">
        <v>34</v>
      </c>
      <c r="C2464" t="s">
        <v>14</v>
      </c>
      <c r="D2464">
        <v>36</v>
      </c>
      <c r="E2464" s="1">
        <v>41837</v>
      </c>
      <c r="F2464">
        <v>2.09</v>
      </c>
      <c r="G2464">
        <v>4</v>
      </c>
      <c r="H2464">
        <v>3782.93</v>
      </c>
      <c r="I2464">
        <v>11.3</v>
      </c>
    </row>
    <row r="2465" spans="1:9" x14ac:dyDescent="0.3">
      <c r="A2465" t="s">
        <v>2480</v>
      </c>
      <c r="B2465" t="s">
        <v>16</v>
      </c>
      <c r="C2465" t="s">
        <v>14</v>
      </c>
      <c r="D2465">
        <v>60</v>
      </c>
      <c r="E2465" s="1">
        <v>41647</v>
      </c>
      <c r="F2465">
        <v>3.6</v>
      </c>
      <c r="G2465">
        <v>2</v>
      </c>
      <c r="H2465">
        <v>14372.58</v>
      </c>
      <c r="I2465">
        <v>11.8</v>
      </c>
    </row>
    <row r="2466" spans="1:9" x14ac:dyDescent="0.3">
      <c r="A2466" t="s">
        <v>2481</v>
      </c>
      <c r="B2466" t="s">
        <v>16</v>
      </c>
      <c r="C2466" t="s">
        <v>14</v>
      </c>
      <c r="D2466">
        <v>45</v>
      </c>
      <c r="E2466" s="1">
        <v>44540</v>
      </c>
      <c r="F2466">
        <v>4.6100000000000003</v>
      </c>
      <c r="G2466">
        <v>8</v>
      </c>
      <c r="H2466">
        <v>5681.76</v>
      </c>
      <c r="I2466">
        <v>3.9</v>
      </c>
    </row>
    <row r="2467" spans="1:9" x14ac:dyDescent="0.3">
      <c r="A2467" t="s">
        <v>2482</v>
      </c>
      <c r="B2467" t="s">
        <v>10</v>
      </c>
      <c r="C2467" t="s">
        <v>14</v>
      </c>
      <c r="D2467">
        <v>50</v>
      </c>
      <c r="E2467" s="1">
        <v>44669</v>
      </c>
      <c r="F2467">
        <v>4.97</v>
      </c>
      <c r="G2467">
        <v>0</v>
      </c>
      <c r="H2467">
        <v>7260.18</v>
      </c>
      <c r="I2467">
        <v>3.5</v>
      </c>
    </row>
    <row r="2468" spans="1:9" x14ac:dyDescent="0.3">
      <c r="A2468" t="s">
        <v>2483</v>
      </c>
      <c r="B2468" t="s">
        <v>16</v>
      </c>
      <c r="C2468" t="s">
        <v>11</v>
      </c>
      <c r="D2468">
        <v>38</v>
      </c>
      <c r="E2468" s="1">
        <v>43388</v>
      </c>
      <c r="F2468">
        <v>1.85</v>
      </c>
      <c r="G2468">
        <v>0</v>
      </c>
      <c r="H2468">
        <v>12631.69</v>
      </c>
      <c r="I2468">
        <v>7.1</v>
      </c>
    </row>
    <row r="2469" spans="1:9" x14ac:dyDescent="0.3">
      <c r="A2469" t="s">
        <v>2484</v>
      </c>
      <c r="B2469" t="s">
        <v>10</v>
      </c>
      <c r="C2469" t="s">
        <v>14</v>
      </c>
      <c r="D2469">
        <v>36</v>
      </c>
      <c r="E2469" s="1">
        <v>41148</v>
      </c>
      <c r="F2469">
        <v>2.8</v>
      </c>
      <c r="G2469">
        <v>2</v>
      </c>
      <c r="H2469">
        <v>13277.99</v>
      </c>
      <c r="I2469">
        <v>13.2</v>
      </c>
    </row>
    <row r="2470" spans="1:9" x14ac:dyDescent="0.3">
      <c r="A2470" t="s">
        <v>2485</v>
      </c>
      <c r="B2470" t="s">
        <v>10</v>
      </c>
      <c r="C2470" t="s">
        <v>14</v>
      </c>
      <c r="D2470">
        <v>50</v>
      </c>
      <c r="E2470" s="1">
        <v>44558</v>
      </c>
      <c r="F2470">
        <v>2.2400000000000002</v>
      </c>
      <c r="G2470">
        <v>13</v>
      </c>
      <c r="H2470">
        <v>9383.58</v>
      </c>
      <c r="I2470">
        <v>3.8</v>
      </c>
    </row>
    <row r="2471" spans="1:9" x14ac:dyDescent="0.3">
      <c r="A2471" t="s">
        <v>2486</v>
      </c>
      <c r="B2471" t="s">
        <v>34</v>
      </c>
      <c r="C2471" t="s">
        <v>11</v>
      </c>
      <c r="D2471">
        <v>30</v>
      </c>
      <c r="E2471" s="1">
        <v>40441</v>
      </c>
      <c r="F2471">
        <v>2.96</v>
      </c>
      <c r="G2471">
        <v>0</v>
      </c>
      <c r="H2471">
        <v>12237.29</v>
      </c>
      <c r="I2471">
        <v>15.1</v>
      </c>
    </row>
    <row r="2472" spans="1:9" x14ac:dyDescent="0.3">
      <c r="A2472" t="s">
        <v>2487</v>
      </c>
      <c r="B2472" t="s">
        <v>13</v>
      </c>
      <c r="C2472" t="s">
        <v>11</v>
      </c>
      <c r="D2472">
        <v>57</v>
      </c>
      <c r="E2472" s="1">
        <v>41035</v>
      </c>
      <c r="F2472">
        <v>3.62</v>
      </c>
      <c r="G2472">
        <v>8</v>
      </c>
      <c r="H2472">
        <v>14559.99</v>
      </c>
      <c r="I2472">
        <v>13.5</v>
      </c>
    </row>
    <row r="2473" spans="1:9" x14ac:dyDescent="0.3">
      <c r="A2473" t="s">
        <v>2488</v>
      </c>
      <c r="B2473" t="s">
        <v>16</v>
      </c>
      <c r="C2473" t="s">
        <v>14</v>
      </c>
      <c r="D2473">
        <v>26</v>
      </c>
      <c r="E2473" s="1">
        <v>42997</v>
      </c>
      <c r="F2473">
        <v>4.07</v>
      </c>
      <c r="G2473">
        <v>11</v>
      </c>
      <c r="H2473">
        <v>7972</v>
      </c>
      <c r="I2473">
        <v>8.1</v>
      </c>
    </row>
    <row r="2474" spans="1:9" x14ac:dyDescent="0.3">
      <c r="A2474" t="s">
        <v>2489</v>
      </c>
      <c r="B2474" t="s">
        <v>18</v>
      </c>
      <c r="C2474" t="s">
        <v>11</v>
      </c>
      <c r="D2474">
        <v>57</v>
      </c>
      <c r="E2474" s="1">
        <v>40272</v>
      </c>
      <c r="F2474">
        <v>4.97</v>
      </c>
      <c r="G2474">
        <v>12</v>
      </c>
      <c r="H2474">
        <v>12522.99</v>
      </c>
      <c r="I2474">
        <v>15.6</v>
      </c>
    </row>
    <row r="2475" spans="1:9" x14ac:dyDescent="0.3">
      <c r="A2475" t="s">
        <v>2490</v>
      </c>
      <c r="B2475" t="s">
        <v>16</v>
      </c>
      <c r="C2475" t="s">
        <v>11</v>
      </c>
      <c r="D2475">
        <v>37</v>
      </c>
      <c r="E2475" s="1">
        <v>40656</v>
      </c>
      <c r="F2475">
        <v>2.58</v>
      </c>
      <c r="G2475">
        <v>11</v>
      </c>
      <c r="H2475">
        <v>3532.86</v>
      </c>
      <c r="I2475">
        <v>14.5</v>
      </c>
    </row>
    <row r="2476" spans="1:9" x14ac:dyDescent="0.3">
      <c r="A2476" t="s">
        <v>2491</v>
      </c>
      <c r="B2476" t="s">
        <v>24</v>
      </c>
      <c r="C2476" t="s">
        <v>14</v>
      </c>
      <c r="D2476">
        <v>33</v>
      </c>
      <c r="E2476" s="1">
        <v>44189</v>
      </c>
      <c r="F2476">
        <v>3.36</v>
      </c>
      <c r="G2476">
        <v>7</v>
      </c>
      <c r="H2476">
        <v>11699.23</v>
      </c>
      <c r="I2476">
        <v>4.9000000000000004</v>
      </c>
    </row>
    <row r="2477" spans="1:9" x14ac:dyDescent="0.3">
      <c r="A2477" t="s">
        <v>2492</v>
      </c>
      <c r="B2477" t="s">
        <v>13</v>
      </c>
      <c r="C2477" t="s">
        <v>14</v>
      </c>
      <c r="D2477">
        <v>52</v>
      </c>
      <c r="E2477" s="1">
        <v>42407</v>
      </c>
      <c r="F2477">
        <v>4.91</v>
      </c>
      <c r="G2477">
        <v>2</v>
      </c>
      <c r="H2477">
        <v>9010.68</v>
      </c>
      <c r="I2477">
        <v>9.6999999999999993</v>
      </c>
    </row>
    <row r="2478" spans="1:9" x14ac:dyDescent="0.3">
      <c r="A2478" t="s">
        <v>2493</v>
      </c>
      <c r="B2478" t="s">
        <v>34</v>
      </c>
      <c r="C2478" t="s">
        <v>11</v>
      </c>
      <c r="D2478">
        <v>22</v>
      </c>
      <c r="E2478" s="1">
        <v>45760</v>
      </c>
      <c r="F2478">
        <v>4.38</v>
      </c>
      <c r="G2478">
        <v>10</v>
      </c>
      <c r="H2478">
        <v>13094.84</v>
      </c>
      <c r="I2478">
        <v>0.6</v>
      </c>
    </row>
    <row r="2479" spans="1:9" x14ac:dyDescent="0.3">
      <c r="A2479" t="s">
        <v>2494</v>
      </c>
      <c r="B2479" t="s">
        <v>34</v>
      </c>
      <c r="C2479" t="s">
        <v>14</v>
      </c>
      <c r="D2479">
        <v>22</v>
      </c>
      <c r="E2479" s="1">
        <v>40286</v>
      </c>
      <c r="F2479">
        <v>4.12</v>
      </c>
      <c r="G2479">
        <v>8</v>
      </c>
      <c r="H2479">
        <v>4369.67</v>
      </c>
      <c r="I2479">
        <v>15.6</v>
      </c>
    </row>
    <row r="2480" spans="1:9" x14ac:dyDescent="0.3">
      <c r="A2480" t="s">
        <v>2495</v>
      </c>
      <c r="B2480" t="s">
        <v>13</v>
      </c>
      <c r="C2480" t="s">
        <v>14</v>
      </c>
      <c r="D2480">
        <v>56</v>
      </c>
      <c r="E2480" s="1">
        <v>44028</v>
      </c>
      <c r="F2480">
        <v>3.01</v>
      </c>
      <c r="G2480">
        <v>3</v>
      </c>
      <c r="H2480">
        <v>5011.66</v>
      </c>
      <c r="I2480">
        <v>5.3</v>
      </c>
    </row>
    <row r="2481" spans="1:9" x14ac:dyDescent="0.3">
      <c r="A2481" t="s">
        <v>2496</v>
      </c>
      <c r="B2481" t="s">
        <v>34</v>
      </c>
      <c r="C2481" t="s">
        <v>11</v>
      </c>
      <c r="D2481">
        <v>46</v>
      </c>
      <c r="E2481" s="1">
        <v>45537</v>
      </c>
      <c r="F2481">
        <v>4.16</v>
      </c>
      <c r="G2481">
        <v>5</v>
      </c>
      <c r="H2481">
        <v>12390.5</v>
      </c>
      <c r="I2481">
        <v>1.2</v>
      </c>
    </row>
    <row r="2482" spans="1:9" x14ac:dyDescent="0.3">
      <c r="A2482" t="s">
        <v>2497</v>
      </c>
      <c r="B2482" t="s">
        <v>16</v>
      </c>
      <c r="C2482" t="s">
        <v>14</v>
      </c>
      <c r="D2482">
        <v>42</v>
      </c>
      <c r="E2482" s="1">
        <v>42835</v>
      </c>
      <c r="F2482">
        <v>4.17</v>
      </c>
      <c r="G2482">
        <v>9</v>
      </c>
      <c r="H2482">
        <v>6423.36</v>
      </c>
      <c r="I2482">
        <v>8.6</v>
      </c>
    </row>
    <row r="2483" spans="1:9" x14ac:dyDescent="0.3">
      <c r="A2483" t="s">
        <v>2498</v>
      </c>
      <c r="B2483" t="s">
        <v>18</v>
      </c>
      <c r="C2483" t="s">
        <v>14</v>
      </c>
      <c r="D2483">
        <v>46</v>
      </c>
      <c r="E2483" s="1">
        <v>45100</v>
      </c>
      <c r="F2483">
        <v>3.67</v>
      </c>
      <c r="G2483">
        <v>7</v>
      </c>
      <c r="H2483">
        <v>14180.64</v>
      </c>
      <c r="I2483">
        <v>2.4</v>
      </c>
    </row>
    <row r="2484" spans="1:9" x14ac:dyDescent="0.3">
      <c r="A2484" t="s">
        <v>2499</v>
      </c>
      <c r="B2484" t="s">
        <v>18</v>
      </c>
      <c r="C2484" t="s">
        <v>11</v>
      </c>
      <c r="D2484">
        <v>59</v>
      </c>
      <c r="E2484" s="1">
        <v>43091</v>
      </c>
      <c r="F2484">
        <v>4.08</v>
      </c>
      <c r="G2484">
        <v>9</v>
      </c>
      <c r="H2484">
        <v>7507.35</v>
      </c>
      <c r="I2484">
        <v>7.9</v>
      </c>
    </row>
    <row r="2485" spans="1:9" x14ac:dyDescent="0.3">
      <c r="A2485" t="s">
        <v>2500</v>
      </c>
      <c r="B2485" t="s">
        <v>24</v>
      </c>
      <c r="C2485" t="s">
        <v>11</v>
      </c>
      <c r="D2485">
        <v>46</v>
      </c>
      <c r="E2485" s="1">
        <v>41981</v>
      </c>
      <c r="F2485">
        <v>3.43</v>
      </c>
      <c r="G2485">
        <v>5</v>
      </c>
      <c r="H2485">
        <v>4025.87</v>
      </c>
      <c r="I2485">
        <v>10.9</v>
      </c>
    </row>
    <row r="2486" spans="1:9" x14ac:dyDescent="0.3">
      <c r="A2486" t="s">
        <v>2501</v>
      </c>
      <c r="B2486" t="s">
        <v>13</v>
      </c>
      <c r="C2486" t="s">
        <v>14</v>
      </c>
      <c r="D2486">
        <v>26</v>
      </c>
      <c r="E2486" s="1">
        <v>45532</v>
      </c>
      <c r="F2486">
        <v>1.8</v>
      </c>
      <c r="G2486">
        <v>10</v>
      </c>
      <c r="H2486">
        <v>11066.47</v>
      </c>
      <c r="I2486">
        <v>1.2</v>
      </c>
    </row>
    <row r="2487" spans="1:9" x14ac:dyDescent="0.3">
      <c r="A2487" t="s">
        <v>2502</v>
      </c>
      <c r="B2487" t="s">
        <v>16</v>
      </c>
      <c r="C2487" t="s">
        <v>11</v>
      </c>
      <c r="D2487">
        <v>43</v>
      </c>
      <c r="E2487" s="1">
        <v>44001</v>
      </c>
      <c r="F2487">
        <v>4.46</v>
      </c>
      <c r="G2487">
        <v>15</v>
      </c>
      <c r="H2487">
        <v>12032.13</v>
      </c>
      <c r="I2487">
        <v>5.4</v>
      </c>
    </row>
    <row r="2488" spans="1:9" x14ac:dyDescent="0.3">
      <c r="A2488" t="s">
        <v>2503</v>
      </c>
      <c r="B2488" t="s">
        <v>13</v>
      </c>
      <c r="C2488" t="s">
        <v>14</v>
      </c>
      <c r="D2488">
        <v>47</v>
      </c>
      <c r="E2488" s="1">
        <v>42717</v>
      </c>
      <c r="F2488">
        <v>1.91</v>
      </c>
      <c r="G2488">
        <v>5</v>
      </c>
      <c r="H2488">
        <v>7808.62</v>
      </c>
      <c r="I2488">
        <v>8.9</v>
      </c>
    </row>
    <row r="2489" spans="1:9" x14ac:dyDescent="0.3">
      <c r="A2489" t="s">
        <v>2504</v>
      </c>
      <c r="B2489" t="s">
        <v>16</v>
      </c>
      <c r="C2489" t="s">
        <v>14</v>
      </c>
      <c r="D2489">
        <v>58</v>
      </c>
      <c r="E2489" s="1">
        <v>42677</v>
      </c>
      <c r="F2489">
        <v>2.84</v>
      </c>
      <c r="G2489">
        <v>15</v>
      </c>
      <c r="H2489">
        <v>4135.04</v>
      </c>
      <c r="I2489">
        <v>9</v>
      </c>
    </row>
    <row r="2490" spans="1:9" x14ac:dyDescent="0.3">
      <c r="A2490" t="s">
        <v>2505</v>
      </c>
      <c r="B2490" t="s">
        <v>34</v>
      </c>
      <c r="C2490" t="s">
        <v>14</v>
      </c>
      <c r="D2490">
        <v>42</v>
      </c>
      <c r="E2490" s="1">
        <v>45050</v>
      </c>
      <c r="F2490">
        <v>3.12</v>
      </c>
      <c r="G2490">
        <v>7</v>
      </c>
      <c r="H2490">
        <v>10996.37</v>
      </c>
      <c r="I2490">
        <v>2.5</v>
      </c>
    </row>
    <row r="2491" spans="1:9" x14ac:dyDescent="0.3">
      <c r="A2491" t="s">
        <v>2506</v>
      </c>
      <c r="B2491" t="s">
        <v>13</v>
      </c>
      <c r="C2491" t="s">
        <v>11</v>
      </c>
      <c r="D2491">
        <v>25</v>
      </c>
      <c r="E2491" s="1">
        <v>44299</v>
      </c>
      <c r="F2491">
        <v>2.37</v>
      </c>
      <c r="G2491">
        <v>14</v>
      </c>
      <c r="H2491">
        <v>9834.08</v>
      </c>
      <c r="I2491">
        <v>4.5999999999999996</v>
      </c>
    </row>
    <row r="2492" spans="1:9" x14ac:dyDescent="0.3">
      <c r="A2492" t="s">
        <v>2507</v>
      </c>
      <c r="B2492" t="s">
        <v>16</v>
      </c>
      <c r="C2492" t="s">
        <v>11</v>
      </c>
      <c r="D2492">
        <v>38</v>
      </c>
      <c r="E2492" s="1">
        <v>43279</v>
      </c>
      <c r="F2492">
        <v>4.91</v>
      </c>
      <c r="G2492">
        <v>0</v>
      </c>
      <c r="H2492">
        <v>14430.15</v>
      </c>
      <c r="I2492">
        <v>7.4</v>
      </c>
    </row>
    <row r="2493" spans="1:9" x14ac:dyDescent="0.3">
      <c r="A2493" t="s">
        <v>2508</v>
      </c>
      <c r="B2493" t="s">
        <v>10</v>
      </c>
      <c r="C2493" t="s">
        <v>11</v>
      </c>
      <c r="D2493">
        <v>33</v>
      </c>
      <c r="E2493" s="1">
        <v>43276</v>
      </c>
      <c r="F2493">
        <v>2.97</v>
      </c>
      <c r="G2493">
        <v>0</v>
      </c>
      <c r="H2493">
        <v>13805.56</v>
      </c>
      <c r="I2493">
        <v>7.4</v>
      </c>
    </row>
    <row r="2494" spans="1:9" x14ac:dyDescent="0.3">
      <c r="A2494" t="s">
        <v>2509</v>
      </c>
      <c r="B2494" t="s">
        <v>13</v>
      </c>
      <c r="C2494" t="s">
        <v>14</v>
      </c>
      <c r="D2494">
        <v>22</v>
      </c>
      <c r="E2494" s="1">
        <v>44034</v>
      </c>
      <c r="F2494">
        <v>4.05</v>
      </c>
      <c r="G2494">
        <v>5</v>
      </c>
      <c r="H2494">
        <v>10774.95</v>
      </c>
      <c r="I2494">
        <v>5.3</v>
      </c>
    </row>
    <row r="2495" spans="1:9" x14ac:dyDescent="0.3">
      <c r="A2495" t="s">
        <v>2510</v>
      </c>
      <c r="B2495" t="s">
        <v>24</v>
      </c>
      <c r="C2495" t="s">
        <v>11</v>
      </c>
      <c r="D2495">
        <v>31</v>
      </c>
      <c r="E2495" s="1">
        <v>40604</v>
      </c>
      <c r="F2495">
        <v>3.84</v>
      </c>
      <c r="G2495">
        <v>2</v>
      </c>
      <c r="H2495">
        <v>10635.62</v>
      </c>
      <c r="I2495">
        <v>14.7</v>
      </c>
    </row>
    <row r="2496" spans="1:9" x14ac:dyDescent="0.3">
      <c r="A2496" t="s">
        <v>2511</v>
      </c>
      <c r="B2496" t="s">
        <v>34</v>
      </c>
      <c r="C2496" t="s">
        <v>11</v>
      </c>
      <c r="D2496">
        <v>53</v>
      </c>
      <c r="E2496" s="1">
        <v>45758</v>
      </c>
      <c r="F2496">
        <v>1.59</v>
      </c>
      <c r="G2496">
        <v>13</v>
      </c>
      <c r="H2496">
        <v>12590.19</v>
      </c>
      <c r="I2496">
        <v>0.6</v>
      </c>
    </row>
    <row r="2497" spans="1:9" x14ac:dyDescent="0.3">
      <c r="A2497" t="s">
        <v>2512</v>
      </c>
      <c r="B2497" t="s">
        <v>16</v>
      </c>
      <c r="C2497" t="s">
        <v>11</v>
      </c>
      <c r="D2497">
        <v>42</v>
      </c>
      <c r="E2497" s="1">
        <v>43942</v>
      </c>
      <c r="F2497">
        <v>2</v>
      </c>
      <c r="G2497">
        <v>0</v>
      </c>
      <c r="H2497">
        <v>10584.24</v>
      </c>
      <c r="I2497">
        <v>5.5</v>
      </c>
    </row>
    <row r="2498" spans="1:9" x14ac:dyDescent="0.3">
      <c r="A2498" t="s">
        <v>2513</v>
      </c>
      <c r="B2498" t="s">
        <v>24</v>
      </c>
      <c r="C2498" t="s">
        <v>14</v>
      </c>
      <c r="D2498">
        <v>29</v>
      </c>
      <c r="E2498" s="1">
        <v>42700</v>
      </c>
      <c r="F2498">
        <v>4.13</v>
      </c>
      <c r="G2498">
        <v>13</v>
      </c>
      <c r="H2498">
        <v>10614.61</v>
      </c>
      <c r="I2498">
        <v>8.9</v>
      </c>
    </row>
    <row r="2499" spans="1:9" x14ac:dyDescent="0.3">
      <c r="A2499" t="s">
        <v>2514</v>
      </c>
      <c r="B2499" t="s">
        <v>16</v>
      </c>
      <c r="C2499" t="s">
        <v>14</v>
      </c>
      <c r="D2499">
        <v>38</v>
      </c>
      <c r="E2499" s="1">
        <v>41407</v>
      </c>
      <c r="F2499">
        <v>4.04</v>
      </c>
      <c r="G2499">
        <v>15</v>
      </c>
      <c r="H2499">
        <v>6919.39</v>
      </c>
      <c r="I2499">
        <v>12.5</v>
      </c>
    </row>
    <row r="2500" spans="1:9" x14ac:dyDescent="0.3">
      <c r="A2500" t="s">
        <v>2515</v>
      </c>
      <c r="B2500" t="s">
        <v>10</v>
      </c>
      <c r="C2500" t="s">
        <v>11</v>
      </c>
      <c r="D2500">
        <v>26</v>
      </c>
      <c r="E2500" s="1">
        <v>45961</v>
      </c>
      <c r="F2500">
        <v>2.4300000000000002</v>
      </c>
      <c r="G2500">
        <v>10</v>
      </c>
      <c r="H2500">
        <v>8035.46</v>
      </c>
      <c r="I2500">
        <v>0</v>
      </c>
    </row>
    <row r="2501" spans="1:9" x14ac:dyDescent="0.3">
      <c r="A2501" t="s">
        <v>2516</v>
      </c>
      <c r="B2501" t="s">
        <v>16</v>
      </c>
      <c r="C2501" t="s">
        <v>11</v>
      </c>
      <c r="D2501">
        <v>31</v>
      </c>
      <c r="E2501" s="1">
        <v>40193</v>
      </c>
      <c r="F2501">
        <v>1.59</v>
      </c>
      <c r="G2501">
        <v>9</v>
      </c>
      <c r="H2501">
        <v>4553.21</v>
      </c>
      <c r="I2501">
        <v>15.8</v>
      </c>
    </row>
    <row r="2502" spans="1:9" x14ac:dyDescent="0.3">
      <c r="A2502" t="s">
        <v>2517</v>
      </c>
      <c r="B2502" t="s">
        <v>16</v>
      </c>
      <c r="C2502" t="s">
        <v>11</v>
      </c>
      <c r="D2502">
        <v>33</v>
      </c>
      <c r="E2502" s="1">
        <v>44487</v>
      </c>
      <c r="F2502">
        <v>2.58</v>
      </c>
      <c r="G2502">
        <v>13</v>
      </c>
      <c r="H2502">
        <v>14575.49</v>
      </c>
      <c r="I2502">
        <v>4</v>
      </c>
    </row>
    <row r="2503" spans="1:9" x14ac:dyDescent="0.3">
      <c r="A2503" t="s">
        <v>2518</v>
      </c>
      <c r="B2503" t="s">
        <v>34</v>
      </c>
      <c r="C2503" t="s">
        <v>14</v>
      </c>
      <c r="D2503">
        <v>46</v>
      </c>
      <c r="E2503" s="1">
        <v>43537</v>
      </c>
      <c r="F2503">
        <v>4.97</v>
      </c>
      <c r="G2503">
        <v>3</v>
      </c>
      <c r="H2503">
        <v>7491.53</v>
      </c>
      <c r="I2503">
        <v>6.6</v>
      </c>
    </row>
    <row r="2504" spans="1:9" x14ac:dyDescent="0.3">
      <c r="A2504" t="s">
        <v>2519</v>
      </c>
      <c r="B2504" t="s">
        <v>13</v>
      </c>
      <c r="C2504" t="s">
        <v>14</v>
      </c>
      <c r="D2504">
        <v>44</v>
      </c>
      <c r="E2504" s="1">
        <v>45560</v>
      </c>
      <c r="F2504">
        <v>2.97</v>
      </c>
      <c r="G2504">
        <v>9</v>
      </c>
      <c r="H2504">
        <v>5990.01</v>
      </c>
      <c r="I2504">
        <v>1.1000000000000001</v>
      </c>
    </row>
    <row r="2505" spans="1:9" x14ac:dyDescent="0.3">
      <c r="A2505" t="s">
        <v>2520</v>
      </c>
      <c r="B2505" t="s">
        <v>18</v>
      </c>
      <c r="C2505" t="s">
        <v>11</v>
      </c>
      <c r="D2505">
        <v>23</v>
      </c>
      <c r="E2505" s="1">
        <v>42784</v>
      </c>
      <c r="F2505">
        <v>1.59</v>
      </c>
      <c r="G2505">
        <v>10</v>
      </c>
      <c r="H2505">
        <v>5981.41</v>
      </c>
      <c r="I2505">
        <v>8.6999999999999993</v>
      </c>
    </row>
    <row r="2506" spans="1:9" x14ac:dyDescent="0.3">
      <c r="A2506" t="s">
        <v>2521</v>
      </c>
      <c r="B2506" t="s">
        <v>13</v>
      </c>
      <c r="C2506" t="s">
        <v>14</v>
      </c>
      <c r="D2506">
        <v>46</v>
      </c>
      <c r="E2506" s="1">
        <v>45536</v>
      </c>
      <c r="F2506">
        <v>4.93</v>
      </c>
      <c r="G2506">
        <v>9</v>
      </c>
      <c r="H2506">
        <v>4870.3599999999997</v>
      </c>
      <c r="I2506">
        <v>1.2</v>
      </c>
    </row>
    <row r="2507" spans="1:9" x14ac:dyDescent="0.3">
      <c r="A2507" t="s">
        <v>2522</v>
      </c>
      <c r="B2507" t="s">
        <v>16</v>
      </c>
      <c r="C2507" t="s">
        <v>14</v>
      </c>
      <c r="D2507">
        <v>60</v>
      </c>
      <c r="E2507" s="1">
        <v>45119</v>
      </c>
      <c r="F2507">
        <v>4.2699999999999996</v>
      </c>
      <c r="G2507">
        <v>5</v>
      </c>
      <c r="H2507">
        <v>11041.85</v>
      </c>
      <c r="I2507">
        <v>2.2999999999999998</v>
      </c>
    </row>
    <row r="2508" spans="1:9" x14ac:dyDescent="0.3">
      <c r="A2508" t="s">
        <v>2523</v>
      </c>
      <c r="B2508" t="s">
        <v>10</v>
      </c>
      <c r="C2508" t="s">
        <v>14</v>
      </c>
      <c r="D2508">
        <v>46</v>
      </c>
      <c r="E2508" s="1">
        <v>44487</v>
      </c>
      <c r="F2508">
        <v>4.87</v>
      </c>
      <c r="G2508">
        <v>5</v>
      </c>
      <c r="H2508">
        <v>12939.99</v>
      </c>
      <c r="I2508">
        <v>4</v>
      </c>
    </row>
    <row r="2509" spans="1:9" x14ac:dyDescent="0.3">
      <c r="A2509" t="s">
        <v>2524</v>
      </c>
      <c r="B2509" t="s">
        <v>16</v>
      </c>
      <c r="C2509" t="s">
        <v>11</v>
      </c>
      <c r="D2509">
        <v>22</v>
      </c>
      <c r="E2509" s="1">
        <v>40994</v>
      </c>
      <c r="F2509">
        <v>2.95</v>
      </c>
      <c r="G2509">
        <v>3</v>
      </c>
      <c r="H2509">
        <v>7997.87</v>
      </c>
      <c r="I2509">
        <v>13.6</v>
      </c>
    </row>
    <row r="2510" spans="1:9" x14ac:dyDescent="0.3">
      <c r="A2510" t="s">
        <v>2525</v>
      </c>
      <c r="B2510" t="s">
        <v>10</v>
      </c>
      <c r="C2510" t="s">
        <v>11</v>
      </c>
      <c r="D2510">
        <v>31</v>
      </c>
      <c r="E2510" s="1">
        <v>45524</v>
      </c>
      <c r="F2510">
        <v>3.46</v>
      </c>
      <c r="G2510">
        <v>5</v>
      </c>
      <c r="H2510">
        <v>6907.05</v>
      </c>
      <c r="I2510">
        <v>1.2</v>
      </c>
    </row>
    <row r="2511" spans="1:9" x14ac:dyDescent="0.3">
      <c r="A2511" t="s">
        <v>2526</v>
      </c>
      <c r="B2511" t="s">
        <v>16</v>
      </c>
      <c r="C2511" t="s">
        <v>11</v>
      </c>
      <c r="D2511">
        <v>55</v>
      </c>
      <c r="E2511" s="1">
        <v>43048</v>
      </c>
      <c r="F2511">
        <v>2.95</v>
      </c>
      <c r="G2511">
        <v>9</v>
      </c>
      <c r="H2511">
        <v>10722.68</v>
      </c>
      <c r="I2511">
        <v>8</v>
      </c>
    </row>
    <row r="2512" spans="1:9" x14ac:dyDescent="0.3">
      <c r="A2512" t="s">
        <v>2527</v>
      </c>
      <c r="B2512" t="s">
        <v>13</v>
      </c>
      <c r="C2512" t="s">
        <v>11</v>
      </c>
      <c r="D2512">
        <v>37</v>
      </c>
      <c r="E2512" s="1">
        <v>45822</v>
      </c>
      <c r="F2512">
        <v>3.35</v>
      </c>
      <c r="G2512">
        <v>14</v>
      </c>
      <c r="H2512">
        <v>14833.85</v>
      </c>
      <c r="I2512">
        <v>0.4</v>
      </c>
    </row>
    <row r="2513" spans="1:9" x14ac:dyDescent="0.3">
      <c r="A2513" t="s">
        <v>2528</v>
      </c>
      <c r="B2513" t="s">
        <v>10</v>
      </c>
      <c r="C2513" t="s">
        <v>14</v>
      </c>
      <c r="D2513">
        <v>37</v>
      </c>
      <c r="E2513" s="1">
        <v>43986</v>
      </c>
      <c r="F2513">
        <v>3.8</v>
      </c>
      <c r="G2513">
        <v>3</v>
      </c>
      <c r="H2513">
        <v>3859.83</v>
      </c>
      <c r="I2513">
        <v>5.4</v>
      </c>
    </row>
    <row r="2514" spans="1:9" x14ac:dyDescent="0.3">
      <c r="A2514" t="s">
        <v>2529</v>
      </c>
      <c r="B2514" t="s">
        <v>18</v>
      </c>
      <c r="C2514" t="s">
        <v>14</v>
      </c>
      <c r="D2514">
        <v>35</v>
      </c>
      <c r="E2514" s="1">
        <v>42958</v>
      </c>
      <c r="F2514">
        <v>3.85</v>
      </c>
      <c r="G2514">
        <v>1</v>
      </c>
      <c r="H2514">
        <v>12604.82</v>
      </c>
      <c r="I2514">
        <v>8.1999999999999993</v>
      </c>
    </row>
    <row r="2515" spans="1:9" x14ac:dyDescent="0.3">
      <c r="A2515" t="s">
        <v>2530</v>
      </c>
      <c r="B2515" t="s">
        <v>34</v>
      </c>
      <c r="C2515" t="s">
        <v>14</v>
      </c>
      <c r="D2515">
        <v>40</v>
      </c>
      <c r="E2515" s="1">
        <v>45045</v>
      </c>
      <c r="F2515">
        <v>3.21</v>
      </c>
      <c r="G2515">
        <v>7</v>
      </c>
      <c r="H2515">
        <v>7743.74</v>
      </c>
      <c r="I2515">
        <v>2.5</v>
      </c>
    </row>
    <row r="2516" spans="1:9" x14ac:dyDescent="0.3">
      <c r="A2516" t="s">
        <v>2531</v>
      </c>
      <c r="B2516" t="s">
        <v>10</v>
      </c>
      <c r="C2516" t="s">
        <v>11</v>
      </c>
      <c r="D2516">
        <v>23</v>
      </c>
      <c r="E2516" s="1">
        <v>40380</v>
      </c>
      <c r="F2516">
        <v>3.47</v>
      </c>
      <c r="G2516">
        <v>2</v>
      </c>
      <c r="H2516">
        <v>14742.56</v>
      </c>
      <c r="I2516">
        <v>15.3</v>
      </c>
    </row>
    <row r="2517" spans="1:9" x14ac:dyDescent="0.3">
      <c r="A2517" t="s">
        <v>2532</v>
      </c>
      <c r="B2517" t="s">
        <v>16</v>
      </c>
      <c r="C2517" t="s">
        <v>14</v>
      </c>
      <c r="D2517">
        <v>54</v>
      </c>
      <c r="E2517" s="1">
        <v>41449</v>
      </c>
      <c r="F2517">
        <v>2.57</v>
      </c>
      <c r="G2517">
        <v>6</v>
      </c>
      <c r="H2517">
        <v>13192.52</v>
      </c>
      <c r="I2517">
        <v>12.4</v>
      </c>
    </row>
    <row r="2518" spans="1:9" x14ac:dyDescent="0.3">
      <c r="A2518" t="s">
        <v>2533</v>
      </c>
      <c r="B2518" t="s">
        <v>16</v>
      </c>
      <c r="C2518" t="s">
        <v>11</v>
      </c>
      <c r="D2518">
        <v>58</v>
      </c>
      <c r="E2518" s="1">
        <v>40460</v>
      </c>
      <c r="F2518">
        <v>1.52</v>
      </c>
      <c r="G2518">
        <v>10</v>
      </c>
      <c r="H2518">
        <v>12465.74</v>
      </c>
      <c r="I2518">
        <v>15.1</v>
      </c>
    </row>
    <row r="2519" spans="1:9" x14ac:dyDescent="0.3">
      <c r="A2519" t="s">
        <v>2534</v>
      </c>
      <c r="B2519" t="s">
        <v>24</v>
      </c>
      <c r="C2519" t="s">
        <v>11</v>
      </c>
      <c r="D2519">
        <v>26</v>
      </c>
      <c r="E2519" s="1">
        <v>42154</v>
      </c>
      <c r="F2519">
        <v>3.03</v>
      </c>
      <c r="G2519">
        <v>15</v>
      </c>
      <c r="H2519">
        <v>11285.47</v>
      </c>
      <c r="I2519">
        <v>10.4</v>
      </c>
    </row>
    <row r="2520" spans="1:9" x14ac:dyDescent="0.3">
      <c r="A2520" t="s">
        <v>2535</v>
      </c>
      <c r="B2520" t="s">
        <v>10</v>
      </c>
      <c r="C2520" t="s">
        <v>11</v>
      </c>
      <c r="D2520">
        <v>32</v>
      </c>
      <c r="E2520" s="1">
        <v>40764</v>
      </c>
      <c r="F2520">
        <v>4.4000000000000004</v>
      </c>
      <c r="G2520">
        <v>3</v>
      </c>
      <c r="H2520">
        <v>7235.72</v>
      </c>
      <c r="I2520">
        <v>14.2</v>
      </c>
    </row>
    <row r="2521" spans="1:9" x14ac:dyDescent="0.3">
      <c r="A2521" t="s">
        <v>2536</v>
      </c>
      <c r="B2521" t="s">
        <v>10</v>
      </c>
      <c r="C2521" t="s">
        <v>11</v>
      </c>
      <c r="D2521">
        <v>40</v>
      </c>
      <c r="E2521" s="1">
        <v>43452</v>
      </c>
      <c r="F2521">
        <v>4.5999999999999996</v>
      </c>
      <c r="G2521">
        <v>13</v>
      </c>
      <c r="H2521">
        <v>11128.53</v>
      </c>
      <c r="I2521">
        <v>6.9</v>
      </c>
    </row>
    <row r="2522" spans="1:9" x14ac:dyDescent="0.3">
      <c r="A2522" t="s">
        <v>2537</v>
      </c>
      <c r="B2522" t="s">
        <v>13</v>
      </c>
      <c r="C2522" t="s">
        <v>14</v>
      </c>
      <c r="D2522">
        <v>59</v>
      </c>
      <c r="E2522" s="1">
        <v>44096</v>
      </c>
      <c r="F2522">
        <v>2.2599999999999998</v>
      </c>
      <c r="G2522">
        <v>5</v>
      </c>
      <c r="H2522">
        <v>7393.8</v>
      </c>
      <c r="I2522">
        <v>5.0999999999999996</v>
      </c>
    </row>
    <row r="2523" spans="1:9" x14ac:dyDescent="0.3">
      <c r="A2523" t="s">
        <v>2538</v>
      </c>
      <c r="B2523" t="s">
        <v>16</v>
      </c>
      <c r="C2523" t="s">
        <v>11</v>
      </c>
      <c r="D2523">
        <v>42</v>
      </c>
      <c r="E2523" s="1">
        <v>45021</v>
      </c>
      <c r="F2523">
        <v>4.21</v>
      </c>
      <c r="G2523">
        <v>7</v>
      </c>
      <c r="H2523">
        <v>4292.62</v>
      </c>
      <c r="I2523">
        <v>2.6</v>
      </c>
    </row>
    <row r="2524" spans="1:9" x14ac:dyDescent="0.3">
      <c r="A2524" t="s">
        <v>2539</v>
      </c>
      <c r="B2524" t="s">
        <v>24</v>
      </c>
      <c r="C2524" t="s">
        <v>11</v>
      </c>
      <c r="D2524">
        <v>42</v>
      </c>
      <c r="E2524" s="1">
        <v>41986</v>
      </c>
      <c r="F2524">
        <v>4.54</v>
      </c>
      <c r="G2524">
        <v>12</v>
      </c>
      <c r="H2524">
        <v>10896.96</v>
      </c>
      <c r="I2524">
        <v>10.9</v>
      </c>
    </row>
    <row r="2525" spans="1:9" x14ac:dyDescent="0.3">
      <c r="A2525" t="s">
        <v>2540</v>
      </c>
      <c r="B2525" t="s">
        <v>34</v>
      </c>
      <c r="C2525" t="s">
        <v>11</v>
      </c>
      <c r="D2525">
        <v>59</v>
      </c>
      <c r="E2525" s="1">
        <v>42263</v>
      </c>
      <c r="F2525">
        <v>3.33</v>
      </c>
      <c r="G2525">
        <v>4</v>
      </c>
      <c r="H2525">
        <v>4383.74</v>
      </c>
      <c r="I2525">
        <v>10.1</v>
      </c>
    </row>
    <row r="2526" spans="1:9" x14ac:dyDescent="0.3">
      <c r="A2526" t="s">
        <v>2541</v>
      </c>
      <c r="B2526" t="s">
        <v>34</v>
      </c>
      <c r="C2526" t="s">
        <v>11</v>
      </c>
      <c r="D2526">
        <v>36</v>
      </c>
      <c r="E2526" s="1">
        <v>44172</v>
      </c>
      <c r="F2526">
        <v>2.35</v>
      </c>
      <c r="G2526">
        <v>13</v>
      </c>
      <c r="H2526">
        <v>10023.540000000001</v>
      </c>
      <c r="I2526">
        <v>4.9000000000000004</v>
      </c>
    </row>
    <row r="2527" spans="1:9" x14ac:dyDescent="0.3">
      <c r="A2527" t="s">
        <v>2542</v>
      </c>
      <c r="B2527" t="s">
        <v>16</v>
      </c>
      <c r="C2527" t="s">
        <v>11</v>
      </c>
      <c r="D2527">
        <v>29</v>
      </c>
      <c r="E2527" s="1">
        <v>43053</v>
      </c>
      <c r="F2527">
        <v>2.2200000000000002</v>
      </c>
      <c r="G2527">
        <v>7</v>
      </c>
      <c r="H2527">
        <v>11777.97</v>
      </c>
      <c r="I2527">
        <v>8</v>
      </c>
    </row>
    <row r="2528" spans="1:9" x14ac:dyDescent="0.3">
      <c r="A2528" t="s">
        <v>2543</v>
      </c>
      <c r="B2528" t="s">
        <v>18</v>
      </c>
      <c r="C2528" t="s">
        <v>11</v>
      </c>
      <c r="D2528">
        <v>25</v>
      </c>
      <c r="E2528" s="1">
        <v>42824</v>
      </c>
      <c r="F2528">
        <v>2.5499999999999998</v>
      </c>
      <c r="G2528">
        <v>8</v>
      </c>
      <c r="H2528">
        <v>3011.25</v>
      </c>
      <c r="I2528">
        <v>8.6</v>
      </c>
    </row>
    <row r="2529" spans="1:9" x14ac:dyDescent="0.3">
      <c r="A2529" t="s">
        <v>2544</v>
      </c>
      <c r="B2529" t="s">
        <v>16</v>
      </c>
      <c r="C2529" t="s">
        <v>14</v>
      </c>
      <c r="D2529">
        <v>55</v>
      </c>
      <c r="E2529" s="1">
        <v>41592</v>
      </c>
      <c r="F2529">
        <v>2.17</v>
      </c>
      <c r="G2529">
        <v>4</v>
      </c>
      <c r="H2529">
        <v>10344.049999999999</v>
      </c>
      <c r="I2529">
        <v>12</v>
      </c>
    </row>
    <row r="2530" spans="1:9" x14ac:dyDescent="0.3">
      <c r="A2530" t="s">
        <v>2545</v>
      </c>
      <c r="B2530" t="s">
        <v>10</v>
      </c>
      <c r="C2530" t="s">
        <v>11</v>
      </c>
      <c r="D2530">
        <v>31</v>
      </c>
      <c r="E2530" s="1">
        <v>42324</v>
      </c>
      <c r="F2530">
        <v>3.95</v>
      </c>
      <c r="G2530">
        <v>0</v>
      </c>
      <c r="H2530">
        <v>7233.26</v>
      </c>
      <c r="I2530">
        <v>10</v>
      </c>
    </row>
    <row r="2531" spans="1:9" x14ac:dyDescent="0.3">
      <c r="A2531" t="s">
        <v>2546</v>
      </c>
      <c r="B2531" t="s">
        <v>24</v>
      </c>
      <c r="C2531" t="s">
        <v>11</v>
      </c>
      <c r="D2531">
        <v>42</v>
      </c>
      <c r="E2531" s="1">
        <v>45378</v>
      </c>
      <c r="F2531">
        <v>2.2999999999999998</v>
      </c>
      <c r="G2531">
        <v>8</v>
      </c>
      <c r="H2531">
        <v>12611.45</v>
      </c>
      <c r="I2531">
        <v>1.6</v>
      </c>
    </row>
    <row r="2532" spans="1:9" x14ac:dyDescent="0.3">
      <c r="A2532" t="s">
        <v>2547</v>
      </c>
      <c r="B2532" t="s">
        <v>18</v>
      </c>
      <c r="C2532" t="s">
        <v>11</v>
      </c>
      <c r="D2532">
        <v>28</v>
      </c>
      <c r="E2532" s="1">
        <v>42909</v>
      </c>
      <c r="F2532">
        <v>2.37</v>
      </c>
      <c r="G2532">
        <v>13</v>
      </c>
      <c r="H2532">
        <v>12205.91</v>
      </c>
      <c r="I2532">
        <v>8.4</v>
      </c>
    </row>
    <row r="2533" spans="1:9" x14ac:dyDescent="0.3">
      <c r="A2533" t="s">
        <v>2548</v>
      </c>
      <c r="B2533" t="s">
        <v>16</v>
      </c>
      <c r="C2533" t="s">
        <v>11</v>
      </c>
      <c r="D2533">
        <v>31</v>
      </c>
      <c r="E2533" s="1">
        <v>41196</v>
      </c>
      <c r="F2533">
        <v>2.77</v>
      </c>
      <c r="G2533">
        <v>15</v>
      </c>
      <c r="H2533">
        <v>4248.72</v>
      </c>
      <c r="I2533">
        <v>13.1</v>
      </c>
    </row>
    <row r="2534" spans="1:9" x14ac:dyDescent="0.3">
      <c r="A2534" t="s">
        <v>2549</v>
      </c>
      <c r="B2534" t="s">
        <v>34</v>
      </c>
      <c r="C2534" t="s">
        <v>14</v>
      </c>
      <c r="D2534">
        <v>55</v>
      </c>
      <c r="E2534" s="1">
        <v>43484</v>
      </c>
      <c r="F2534">
        <v>3.64</v>
      </c>
      <c r="G2534">
        <v>12</v>
      </c>
      <c r="H2534">
        <v>12873.87</v>
      </c>
      <c r="I2534">
        <v>6.8</v>
      </c>
    </row>
    <row r="2535" spans="1:9" x14ac:dyDescent="0.3">
      <c r="A2535" t="s">
        <v>2550</v>
      </c>
      <c r="B2535" t="s">
        <v>34</v>
      </c>
      <c r="C2535" t="s">
        <v>11</v>
      </c>
      <c r="D2535">
        <v>57</v>
      </c>
      <c r="E2535" s="1">
        <v>44874</v>
      </c>
      <c r="F2535">
        <v>4.71</v>
      </c>
      <c r="G2535">
        <v>4</v>
      </c>
      <c r="H2535">
        <v>11537.44</v>
      </c>
      <c r="I2535">
        <v>3</v>
      </c>
    </row>
    <row r="2536" spans="1:9" x14ac:dyDescent="0.3">
      <c r="A2536" t="s">
        <v>2551</v>
      </c>
      <c r="B2536" t="s">
        <v>10</v>
      </c>
      <c r="C2536" t="s">
        <v>14</v>
      </c>
      <c r="D2536">
        <v>33</v>
      </c>
      <c r="E2536" s="1">
        <v>41836</v>
      </c>
      <c r="F2536">
        <v>1.68</v>
      </c>
      <c r="G2536">
        <v>13</v>
      </c>
      <c r="H2536">
        <v>14967.34</v>
      </c>
      <c r="I2536">
        <v>11.3</v>
      </c>
    </row>
    <row r="2537" spans="1:9" x14ac:dyDescent="0.3">
      <c r="A2537" t="s">
        <v>2552</v>
      </c>
      <c r="B2537" t="s">
        <v>10</v>
      </c>
      <c r="C2537" t="s">
        <v>11</v>
      </c>
      <c r="D2537">
        <v>55</v>
      </c>
      <c r="E2537" s="1">
        <v>41454</v>
      </c>
      <c r="F2537">
        <v>3.8</v>
      </c>
      <c r="G2537">
        <v>4</v>
      </c>
      <c r="H2537">
        <v>4507.42</v>
      </c>
      <c r="I2537">
        <v>12.4</v>
      </c>
    </row>
    <row r="2538" spans="1:9" x14ac:dyDescent="0.3">
      <c r="A2538" t="s">
        <v>2553</v>
      </c>
      <c r="B2538" t="s">
        <v>18</v>
      </c>
      <c r="C2538" t="s">
        <v>14</v>
      </c>
      <c r="D2538">
        <v>36</v>
      </c>
      <c r="E2538" s="1">
        <v>45437</v>
      </c>
      <c r="F2538">
        <v>4.18</v>
      </c>
      <c r="G2538">
        <v>14</v>
      </c>
      <c r="H2538">
        <v>9141.2000000000007</v>
      </c>
      <c r="I2538">
        <v>1.4</v>
      </c>
    </row>
    <row r="2539" spans="1:9" x14ac:dyDescent="0.3">
      <c r="A2539" t="s">
        <v>2554</v>
      </c>
      <c r="B2539" t="s">
        <v>16</v>
      </c>
      <c r="C2539" t="s">
        <v>11</v>
      </c>
      <c r="D2539">
        <v>27</v>
      </c>
      <c r="E2539" s="1">
        <v>43476</v>
      </c>
      <c r="F2539">
        <v>3.56</v>
      </c>
      <c r="G2539">
        <v>1</v>
      </c>
      <c r="H2539">
        <v>9456.1299999999992</v>
      </c>
      <c r="I2539">
        <v>6.8</v>
      </c>
    </row>
    <row r="2540" spans="1:9" x14ac:dyDescent="0.3">
      <c r="A2540" t="s">
        <v>2555</v>
      </c>
      <c r="B2540" t="s">
        <v>34</v>
      </c>
      <c r="C2540" t="s">
        <v>11</v>
      </c>
      <c r="D2540">
        <v>39</v>
      </c>
      <c r="E2540" s="1">
        <v>43915</v>
      </c>
      <c r="F2540">
        <v>3.77</v>
      </c>
      <c r="G2540">
        <v>5</v>
      </c>
      <c r="H2540">
        <v>10898.44</v>
      </c>
      <c r="I2540">
        <v>5.6</v>
      </c>
    </row>
    <row r="2541" spans="1:9" x14ac:dyDescent="0.3">
      <c r="A2541" t="s">
        <v>2556</v>
      </c>
      <c r="B2541" t="s">
        <v>24</v>
      </c>
      <c r="C2541" t="s">
        <v>14</v>
      </c>
      <c r="D2541">
        <v>40</v>
      </c>
      <c r="E2541" s="1">
        <v>45887</v>
      </c>
      <c r="F2541">
        <v>2.97</v>
      </c>
      <c r="G2541">
        <v>5</v>
      </c>
      <c r="H2541">
        <v>7421.5</v>
      </c>
      <c r="I2541">
        <v>0.2</v>
      </c>
    </row>
    <row r="2542" spans="1:9" x14ac:dyDescent="0.3">
      <c r="A2542" t="s">
        <v>2557</v>
      </c>
      <c r="B2542" t="s">
        <v>18</v>
      </c>
      <c r="C2542" t="s">
        <v>11</v>
      </c>
      <c r="D2542">
        <v>45</v>
      </c>
      <c r="E2542" s="1">
        <v>40203</v>
      </c>
      <c r="F2542">
        <v>3.5</v>
      </c>
      <c r="G2542">
        <v>14</v>
      </c>
      <c r="H2542">
        <v>8094.48</v>
      </c>
      <c r="I2542">
        <v>15.8</v>
      </c>
    </row>
    <row r="2543" spans="1:9" x14ac:dyDescent="0.3">
      <c r="A2543" t="s">
        <v>2558</v>
      </c>
      <c r="B2543" t="s">
        <v>16</v>
      </c>
      <c r="C2543" t="s">
        <v>11</v>
      </c>
      <c r="D2543">
        <v>47</v>
      </c>
      <c r="E2543" s="1">
        <v>40840</v>
      </c>
      <c r="F2543">
        <v>4.53</v>
      </c>
      <c r="G2543">
        <v>7</v>
      </c>
      <c r="H2543">
        <v>6036.29</v>
      </c>
      <c r="I2543">
        <v>14</v>
      </c>
    </row>
    <row r="2544" spans="1:9" x14ac:dyDescent="0.3">
      <c r="A2544" t="s">
        <v>2559</v>
      </c>
      <c r="B2544" t="s">
        <v>10</v>
      </c>
      <c r="C2544" t="s">
        <v>14</v>
      </c>
      <c r="D2544">
        <v>48</v>
      </c>
      <c r="E2544" s="1">
        <v>44114</v>
      </c>
      <c r="F2544">
        <v>3.73</v>
      </c>
      <c r="G2544">
        <v>1</v>
      </c>
      <c r="H2544">
        <v>12827.73</v>
      </c>
      <c r="I2544">
        <v>5.0999999999999996</v>
      </c>
    </row>
    <row r="2545" spans="1:9" x14ac:dyDescent="0.3">
      <c r="A2545" t="s">
        <v>2560</v>
      </c>
      <c r="B2545" t="s">
        <v>34</v>
      </c>
      <c r="C2545" t="s">
        <v>11</v>
      </c>
      <c r="D2545">
        <v>35</v>
      </c>
      <c r="E2545" s="1">
        <v>41341</v>
      </c>
      <c r="F2545">
        <v>2.06</v>
      </c>
      <c r="G2545">
        <v>9</v>
      </c>
      <c r="H2545">
        <v>9655.4599999999991</v>
      </c>
      <c r="I2545">
        <v>12.7</v>
      </c>
    </row>
    <row r="2546" spans="1:9" x14ac:dyDescent="0.3">
      <c r="A2546" t="s">
        <v>2561</v>
      </c>
      <c r="B2546" t="s">
        <v>24</v>
      </c>
      <c r="C2546" t="s">
        <v>11</v>
      </c>
      <c r="D2546">
        <v>43</v>
      </c>
      <c r="E2546" s="1">
        <v>41825</v>
      </c>
      <c r="F2546">
        <v>2.71</v>
      </c>
      <c r="G2546">
        <v>10</v>
      </c>
      <c r="H2546">
        <v>13167.48</v>
      </c>
      <c r="I2546">
        <v>11.3</v>
      </c>
    </row>
    <row r="2547" spans="1:9" x14ac:dyDescent="0.3">
      <c r="A2547" t="s">
        <v>2562</v>
      </c>
      <c r="B2547" t="s">
        <v>34</v>
      </c>
      <c r="C2547" t="s">
        <v>11</v>
      </c>
      <c r="D2547">
        <v>39</v>
      </c>
      <c r="E2547" s="1">
        <v>43402</v>
      </c>
      <c r="F2547">
        <v>4.6500000000000004</v>
      </c>
      <c r="G2547">
        <v>2</v>
      </c>
      <c r="H2547">
        <v>3576.42</v>
      </c>
      <c r="I2547">
        <v>7</v>
      </c>
    </row>
    <row r="2548" spans="1:9" x14ac:dyDescent="0.3">
      <c r="A2548" t="s">
        <v>2563</v>
      </c>
      <c r="B2548" t="s">
        <v>24</v>
      </c>
      <c r="C2548" t="s">
        <v>11</v>
      </c>
      <c r="D2548">
        <v>26</v>
      </c>
      <c r="E2548" s="1">
        <v>43046</v>
      </c>
      <c r="F2548">
        <v>2.85</v>
      </c>
      <c r="G2548">
        <v>1</v>
      </c>
      <c r="H2548">
        <v>11433.45</v>
      </c>
      <c r="I2548">
        <v>8</v>
      </c>
    </row>
    <row r="2549" spans="1:9" x14ac:dyDescent="0.3">
      <c r="A2549" t="s">
        <v>2564</v>
      </c>
      <c r="B2549" t="s">
        <v>10</v>
      </c>
      <c r="C2549" t="s">
        <v>11</v>
      </c>
      <c r="D2549">
        <v>56</v>
      </c>
      <c r="E2549" s="1">
        <v>41879</v>
      </c>
      <c r="F2549">
        <v>2.48</v>
      </c>
      <c r="G2549">
        <v>2</v>
      </c>
      <c r="H2549">
        <v>3441.66</v>
      </c>
      <c r="I2549">
        <v>11.2</v>
      </c>
    </row>
    <row r="2550" spans="1:9" x14ac:dyDescent="0.3">
      <c r="A2550" t="s">
        <v>2565</v>
      </c>
      <c r="B2550" t="s">
        <v>34</v>
      </c>
      <c r="C2550" t="s">
        <v>14</v>
      </c>
      <c r="D2550">
        <v>38</v>
      </c>
      <c r="E2550" s="1">
        <v>42847</v>
      </c>
      <c r="F2550">
        <v>4.07</v>
      </c>
      <c r="G2550">
        <v>7</v>
      </c>
      <c r="H2550">
        <v>5112.8999999999996</v>
      </c>
      <c r="I2550">
        <v>8.5</v>
      </c>
    </row>
    <row r="2551" spans="1:9" x14ac:dyDescent="0.3">
      <c r="A2551" t="s">
        <v>2566</v>
      </c>
      <c r="B2551" t="s">
        <v>24</v>
      </c>
      <c r="C2551" t="s">
        <v>14</v>
      </c>
      <c r="D2551">
        <v>44</v>
      </c>
      <c r="E2551" s="1">
        <v>44223</v>
      </c>
      <c r="F2551">
        <v>4.17</v>
      </c>
      <c r="G2551">
        <v>0</v>
      </c>
      <c r="H2551">
        <v>3258.32</v>
      </c>
      <c r="I2551">
        <v>4.8</v>
      </c>
    </row>
    <row r="2552" spans="1:9" x14ac:dyDescent="0.3">
      <c r="A2552" t="s">
        <v>2567</v>
      </c>
      <c r="B2552" t="s">
        <v>34</v>
      </c>
      <c r="C2552" t="s">
        <v>14</v>
      </c>
      <c r="D2552">
        <v>39</v>
      </c>
      <c r="E2552" s="1">
        <v>42170</v>
      </c>
      <c r="F2552">
        <v>3.66</v>
      </c>
      <c r="G2552">
        <v>0</v>
      </c>
      <c r="H2552">
        <v>12295.47</v>
      </c>
      <c r="I2552">
        <v>10.4</v>
      </c>
    </row>
    <row r="2553" spans="1:9" x14ac:dyDescent="0.3">
      <c r="A2553" t="s">
        <v>2568</v>
      </c>
      <c r="B2553" t="s">
        <v>16</v>
      </c>
      <c r="C2553" t="s">
        <v>14</v>
      </c>
      <c r="D2553">
        <v>29</v>
      </c>
      <c r="E2553" s="1">
        <v>44180</v>
      </c>
      <c r="F2553">
        <v>3.42</v>
      </c>
      <c r="G2553">
        <v>13</v>
      </c>
      <c r="H2553">
        <v>10394.81</v>
      </c>
      <c r="I2553">
        <v>4.9000000000000004</v>
      </c>
    </row>
    <row r="2554" spans="1:9" x14ac:dyDescent="0.3">
      <c r="A2554" t="s">
        <v>2569</v>
      </c>
      <c r="B2554" t="s">
        <v>13</v>
      </c>
      <c r="C2554" t="s">
        <v>14</v>
      </c>
      <c r="D2554">
        <v>42</v>
      </c>
      <c r="E2554" s="1">
        <v>40845</v>
      </c>
      <c r="F2554">
        <v>2.17</v>
      </c>
      <c r="G2554">
        <v>14</v>
      </c>
      <c r="H2554">
        <v>9359.6</v>
      </c>
      <c r="I2554">
        <v>14</v>
      </c>
    </row>
    <row r="2555" spans="1:9" x14ac:dyDescent="0.3">
      <c r="A2555" t="s">
        <v>2570</v>
      </c>
      <c r="B2555" t="s">
        <v>13</v>
      </c>
      <c r="C2555" t="s">
        <v>11</v>
      </c>
      <c r="D2555">
        <v>39</v>
      </c>
      <c r="E2555" s="1">
        <v>41984</v>
      </c>
      <c r="F2555">
        <v>2.98</v>
      </c>
      <c r="G2555">
        <v>7</v>
      </c>
      <c r="H2555">
        <v>10153.68</v>
      </c>
      <c r="I2555">
        <v>10.9</v>
      </c>
    </row>
    <row r="2556" spans="1:9" x14ac:dyDescent="0.3">
      <c r="A2556" t="s">
        <v>2571</v>
      </c>
      <c r="B2556" t="s">
        <v>13</v>
      </c>
      <c r="C2556" t="s">
        <v>11</v>
      </c>
      <c r="D2556">
        <v>36</v>
      </c>
      <c r="E2556" s="1">
        <v>41062</v>
      </c>
      <c r="F2556">
        <v>4.13</v>
      </c>
      <c r="G2556">
        <v>14</v>
      </c>
      <c r="H2556">
        <v>10321.74</v>
      </c>
      <c r="I2556">
        <v>13.4</v>
      </c>
    </row>
    <row r="2557" spans="1:9" x14ac:dyDescent="0.3">
      <c r="A2557" t="s">
        <v>2572</v>
      </c>
      <c r="B2557" t="s">
        <v>10</v>
      </c>
      <c r="C2557" t="s">
        <v>14</v>
      </c>
      <c r="D2557">
        <v>27</v>
      </c>
      <c r="E2557" s="1">
        <v>42024</v>
      </c>
      <c r="F2557">
        <v>4.32</v>
      </c>
      <c r="G2557">
        <v>12</v>
      </c>
      <c r="H2557">
        <v>13365.55</v>
      </c>
      <c r="I2557">
        <v>10.8</v>
      </c>
    </row>
    <row r="2558" spans="1:9" x14ac:dyDescent="0.3">
      <c r="A2558" t="s">
        <v>2573</v>
      </c>
      <c r="B2558" t="s">
        <v>24</v>
      </c>
      <c r="C2558" t="s">
        <v>11</v>
      </c>
      <c r="D2558">
        <v>37</v>
      </c>
      <c r="E2558" s="1">
        <v>42368</v>
      </c>
      <c r="F2558">
        <v>4.1900000000000004</v>
      </c>
      <c r="G2558">
        <v>8</v>
      </c>
      <c r="H2558">
        <v>4408.9399999999996</v>
      </c>
      <c r="I2558">
        <v>9.8000000000000007</v>
      </c>
    </row>
    <row r="2559" spans="1:9" x14ac:dyDescent="0.3">
      <c r="A2559" t="s">
        <v>2574</v>
      </c>
      <c r="B2559" t="s">
        <v>16</v>
      </c>
      <c r="C2559" t="s">
        <v>11</v>
      </c>
      <c r="D2559">
        <v>49</v>
      </c>
      <c r="E2559" s="1">
        <v>40518</v>
      </c>
      <c r="F2559">
        <v>1.66</v>
      </c>
      <c r="G2559">
        <v>1</v>
      </c>
      <c r="H2559">
        <v>5874.02</v>
      </c>
      <c r="I2559">
        <v>14.9</v>
      </c>
    </row>
    <row r="2560" spans="1:9" x14ac:dyDescent="0.3">
      <c r="A2560" t="s">
        <v>2575</v>
      </c>
      <c r="B2560" t="s">
        <v>10</v>
      </c>
      <c r="C2560" t="s">
        <v>14</v>
      </c>
      <c r="D2560">
        <v>22</v>
      </c>
      <c r="E2560" s="1">
        <v>41494</v>
      </c>
      <c r="F2560">
        <v>3.38</v>
      </c>
      <c r="G2560">
        <v>5</v>
      </c>
      <c r="H2560">
        <v>8412.09</v>
      </c>
      <c r="I2560">
        <v>12.2</v>
      </c>
    </row>
    <row r="2561" spans="1:9" x14ac:dyDescent="0.3">
      <c r="A2561" t="s">
        <v>2576</v>
      </c>
      <c r="B2561" t="s">
        <v>18</v>
      </c>
      <c r="C2561" t="s">
        <v>14</v>
      </c>
      <c r="D2561">
        <v>42</v>
      </c>
      <c r="E2561" s="1">
        <v>43910</v>
      </c>
      <c r="F2561">
        <v>3.96</v>
      </c>
      <c r="G2561">
        <v>12</v>
      </c>
      <c r="H2561">
        <v>13817.24</v>
      </c>
      <c r="I2561">
        <v>5.6</v>
      </c>
    </row>
    <row r="2562" spans="1:9" x14ac:dyDescent="0.3">
      <c r="A2562" t="s">
        <v>2577</v>
      </c>
      <c r="B2562" t="s">
        <v>24</v>
      </c>
      <c r="C2562" t="s">
        <v>11</v>
      </c>
      <c r="D2562">
        <v>23</v>
      </c>
      <c r="E2562" s="1">
        <v>44309</v>
      </c>
      <c r="F2562">
        <v>1.76</v>
      </c>
      <c r="G2562">
        <v>5</v>
      </c>
      <c r="H2562">
        <v>6640.08</v>
      </c>
      <c r="I2562">
        <v>4.5</v>
      </c>
    </row>
    <row r="2563" spans="1:9" x14ac:dyDescent="0.3">
      <c r="A2563" t="s">
        <v>2578</v>
      </c>
      <c r="B2563" t="s">
        <v>13</v>
      </c>
      <c r="C2563" t="s">
        <v>14</v>
      </c>
      <c r="D2563">
        <v>39</v>
      </c>
      <c r="E2563" s="1">
        <v>43885</v>
      </c>
      <c r="F2563">
        <v>1.58</v>
      </c>
      <c r="G2563">
        <v>12</v>
      </c>
      <c r="H2563">
        <v>10212.56</v>
      </c>
      <c r="I2563">
        <v>5.7</v>
      </c>
    </row>
    <row r="2564" spans="1:9" x14ac:dyDescent="0.3">
      <c r="A2564" t="s">
        <v>2579</v>
      </c>
      <c r="B2564" t="s">
        <v>18</v>
      </c>
      <c r="C2564" t="s">
        <v>11</v>
      </c>
      <c r="D2564">
        <v>22</v>
      </c>
      <c r="E2564" s="1">
        <v>43341</v>
      </c>
      <c r="F2564">
        <v>3.02</v>
      </c>
      <c r="G2564">
        <v>5</v>
      </c>
      <c r="H2564">
        <v>4802.07</v>
      </c>
      <c r="I2564">
        <v>7.2</v>
      </c>
    </row>
    <row r="2565" spans="1:9" x14ac:dyDescent="0.3">
      <c r="A2565" t="s">
        <v>2580</v>
      </c>
      <c r="B2565" t="s">
        <v>10</v>
      </c>
      <c r="C2565" t="s">
        <v>11</v>
      </c>
      <c r="D2565">
        <v>44</v>
      </c>
      <c r="E2565" s="1">
        <v>40847</v>
      </c>
      <c r="F2565">
        <v>1.87</v>
      </c>
      <c r="G2565">
        <v>13</v>
      </c>
      <c r="H2565">
        <v>8487.27</v>
      </c>
      <c r="I2565">
        <v>14</v>
      </c>
    </row>
    <row r="2566" spans="1:9" x14ac:dyDescent="0.3">
      <c r="A2566" t="s">
        <v>2581</v>
      </c>
      <c r="B2566" t="s">
        <v>34</v>
      </c>
      <c r="C2566" t="s">
        <v>11</v>
      </c>
      <c r="D2566">
        <v>47</v>
      </c>
      <c r="E2566" s="1">
        <v>41797</v>
      </c>
      <c r="F2566">
        <v>2.7</v>
      </c>
      <c r="G2566">
        <v>1</v>
      </c>
      <c r="H2566">
        <v>9154.5499999999993</v>
      </c>
      <c r="I2566">
        <v>11.4</v>
      </c>
    </row>
    <row r="2567" spans="1:9" x14ac:dyDescent="0.3">
      <c r="A2567" t="s">
        <v>2582</v>
      </c>
      <c r="B2567" t="s">
        <v>24</v>
      </c>
      <c r="C2567" t="s">
        <v>11</v>
      </c>
      <c r="D2567">
        <v>32</v>
      </c>
      <c r="E2567" s="1">
        <v>43013</v>
      </c>
      <c r="F2567">
        <v>2.29</v>
      </c>
      <c r="G2567">
        <v>5</v>
      </c>
      <c r="H2567">
        <v>9664.92</v>
      </c>
      <c r="I2567">
        <v>8.1</v>
      </c>
    </row>
    <row r="2568" spans="1:9" x14ac:dyDescent="0.3">
      <c r="A2568" t="s">
        <v>2583</v>
      </c>
      <c r="B2568" t="s">
        <v>18</v>
      </c>
      <c r="C2568" t="s">
        <v>11</v>
      </c>
      <c r="D2568">
        <v>44</v>
      </c>
      <c r="E2568" s="1">
        <v>45715</v>
      </c>
      <c r="F2568">
        <v>2.4900000000000002</v>
      </c>
      <c r="G2568">
        <v>12</v>
      </c>
      <c r="H2568">
        <v>4865.3100000000004</v>
      </c>
      <c r="I2568">
        <v>0.7</v>
      </c>
    </row>
    <row r="2569" spans="1:9" x14ac:dyDescent="0.3">
      <c r="A2569" t="s">
        <v>2584</v>
      </c>
      <c r="B2569" t="s">
        <v>10</v>
      </c>
      <c r="C2569" t="s">
        <v>11</v>
      </c>
      <c r="D2569">
        <v>38</v>
      </c>
      <c r="E2569" s="1">
        <v>41053</v>
      </c>
      <c r="F2569">
        <v>4.32</v>
      </c>
      <c r="G2569">
        <v>2</v>
      </c>
      <c r="H2569">
        <v>11598.17</v>
      </c>
      <c r="I2569">
        <v>13.4</v>
      </c>
    </row>
    <row r="2570" spans="1:9" x14ac:dyDescent="0.3">
      <c r="A2570" t="s">
        <v>2585</v>
      </c>
      <c r="B2570" t="s">
        <v>24</v>
      </c>
      <c r="C2570" t="s">
        <v>14</v>
      </c>
      <c r="D2570">
        <v>58</v>
      </c>
      <c r="E2570" s="1">
        <v>41373</v>
      </c>
      <c r="F2570">
        <v>4.93</v>
      </c>
      <c r="G2570">
        <v>4</v>
      </c>
      <c r="H2570">
        <v>7845.83</v>
      </c>
      <c r="I2570">
        <v>12.6</v>
      </c>
    </row>
    <row r="2571" spans="1:9" x14ac:dyDescent="0.3">
      <c r="A2571" t="s">
        <v>2586</v>
      </c>
      <c r="B2571" t="s">
        <v>16</v>
      </c>
      <c r="C2571" t="s">
        <v>14</v>
      </c>
      <c r="D2571">
        <v>47</v>
      </c>
      <c r="E2571" s="1">
        <v>45047</v>
      </c>
      <c r="F2571">
        <v>3.62</v>
      </c>
      <c r="G2571">
        <v>7</v>
      </c>
      <c r="H2571">
        <v>4619.8100000000004</v>
      </c>
      <c r="I2571">
        <v>2.5</v>
      </c>
    </row>
    <row r="2572" spans="1:9" x14ac:dyDescent="0.3">
      <c r="A2572" t="s">
        <v>2587</v>
      </c>
      <c r="B2572" t="s">
        <v>10</v>
      </c>
      <c r="C2572" t="s">
        <v>11</v>
      </c>
      <c r="D2572">
        <v>33</v>
      </c>
      <c r="E2572" s="1">
        <v>40943</v>
      </c>
      <c r="F2572">
        <v>2.56</v>
      </c>
      <c r="G2572">
        <v>7</v>
      </c>
      <c r="H2572">
        <v>10103.700000000001</v>
      </c>
      <c r="I2572">
        <v>13.8</v>
      </c>
    </row>
    <row r="2573" spans="1:9" x14ac:dyDescent="0.3">
      <c r="A2573" t="s">
        <v>2588</v>
      </c>
      <c r="B2573" t="s">
        <v>24</v>
      </c>
      <c r="C2573" t="s">
        <v>11</v>
      </c>
      <c r="D2573">
        <v>37</v>
      </c>
      <c r="E2573" s="1">
        <v>42096</v>
      </c>
      <c r="F2573">
        <v>3.09</v>
      </c>
      <c r="G2573">
        <v>12</v>
      </c>
      <c r="H2573">
        <v>6698.15</v>
      </c>
      <c r="I2573">
        <v>10.6</v>
      </c>
    </row>
    <row r="2574" spans="1:9" x14ac:dyDescent="0.3">
      <c r="A2574" t="s">
        <v>2589</v>
      </c>
      <c r="B2574" t="s">
        <v>34</v>
      </c>
      <c r="C2574" t="s">
        <v>11</v>
      </c>
      <c r="D2574">
        <v>41</v>
      </c>
      <c r="E2574" s="1">
        <v>40334</v>
      </c>
      <c r="F2574">
        <v>2.4700000000000002</v>
      </c>
      <c r="G2574">
        <v>0</v>
      </c>
      <c r="H2574">
        <v>10058.34</v>
      </c>
      <c r="I2574">
        <v>15.4</v>
      </c>
    </row>
    <row r="2575" spans="1:9" x14ac:dyDescent="0.3">
      <c r="A2575" t="s">
        <v>2590</v>
      </c>
      <c r="B2575" t="s">
        <v>13</v>
      </c>
      <c r="C2575" t="s">
        <v>14</v>
      </c>
      <c r="D2575">
        <v>50</v>
      </c>
      <c r="E2575" s="1">
        <v>45867</v>
      </c>
      <c r="F2575">
        <v>4.37</v>
      </c>
      <c r="G2575">
        <v>12</v>
      </c>
      <c r="H2575">
        <v>5018.1000000000004</v>
      </c>
      <c r="I2575">
        <v>0.3</v>
      </c>
    </row>
    <row r="2576" spans="1:9" x14ac:dyDescent="0.3">
      <c r="A2576" t="s">
        <v>2591</v>
      </c>
      <c r="B2576" t="s">
        <v>18</v>
      </c>
      <c r="C2576" t="s">
        <v>14</v>
      </c>
      <c r="D2576">
        <v>48</v>
      </c>
      <c r="E2576" s="1">
        <v>45342</v>
      </c>
      <c r="F2576">
        <v>4.7</v>
      </c>
      <c r="G2576">
        <v>9</v>
      </c>
      <c r="H2576">
        <v>4162.6099999999997</v>
      </c>
      <c r="I2576">
        <v>1.7</v>
      </c>
    </row>
    <row r="2577" spans="1:9" x14ac:dyDescent="0.3">
      <c r="A2577" t="s">
        <v>2592</v>
      </c>
      <c r="B2577" t="s">
        <v>16</v>
      </c>
      <c r="C2577" t="s">
        <v>11</v>
      </c>
      <c r="D2577">
        <v>46</v>
      </c>
      <c r="E2577" s="1">
        <v>45116</v>
      </c>
      <c r="F2577">
        <v>4.46</v>
      </c>
      <c r="G2577">
        <v>13</v>
      </c>
      <c r="H2577">
        <v>9706.0400000000009</v>
      </c>
      <c r="I2577">
        <v>2.2999999999999998</v>
      </c>
    </row>
    <row r="2578" spans="1:9" x14ac:dyDescent="0.3">
      <c r="A2578" t="s">
        <v>2593</v>
      </c>
      <c r="B2578" t="s">
        <v>16</v>
      </c>
      <c r="C2578" t="s">
        <v>14</v>
      </c>
      <c r="D2578">
        <v>39</v>
      </c>
      <c r="E2578" s="1">
        <v>45214</v>
      </c>
      <c r="F2578">
        <v>2.92</v>
      </c>
      <c r="G2578">
        <v>5</v>
      </c>
      <c r="H2578">
        <v>4959.8999999999996</v>
      </c>
      <c r="I2578">
        <v>2</v>
      </c>
    </row>
    <row r="2579" spans="1:9" x14ac:dyDescent="0.3">
      <c r="A2579" t="s">
        <v>2594</v>
      </c>
      <c r="B2579" t="s">
        <v>24</v>
      </c>
      <c r="C2579" t="s">
        <v>14</v>
      </c>
      <c r="D2579">
        <v>32</v>
      </c>
      <c r="E2579" s="1">
        <v>45898</v>
      </c>
      <c r="F2579">
        <v>2.38</v>
      </c>
      <c r="G2579">
        <v>1</v>
      </c>
      <c r="H2579">
        <v>8903.8799999999992</v>
      </c>
      <c r="I2579">
        <v>0.2</v>
      </c>
    </row>
    <row r="2580" spans="1:9" x14ac:dyDescent="0.3">
      <c r="A2580" t="s">
        <v>2595</v>
      </c>
      <c r="B2580" t="s">
        <v>34</v>
      </c>
      <c r="C2580" t="s">
        <v>14</v>
      </c>
      <c r="D2580">
        <v>59</v>
      </c>
      <c r="E2580" s="1">
        <v>45732</v>
      </c>
      <c r="F2580">
        <v>4.8600000000000003</v>
      </c>
      <c r="G2580">
        <v>9</v>
      </c>
      <c r="H2580">
        <v>9076.4500000000007</v>
      </c>
      <c r="I2580">
        <v>0.6</v>
      </c>
    </row>
    <row r="2581" spans="1:9" x14ac:dyDescent="0.3">
      <c r="A2581" t="s">
        <v>2596</v>
      </c>
      <c r="B2581" t="s">
        <v>34</v>
      </c>
      <c r="C2581" t="s">
        <v>14</v>
      </c>
      <c r="D2581">
        <v>56</v>
      </c>
      <c r="E2581" s="1">
        <v>40353</v>
      </c>
      <c r="F2581">
        <v>2.12</v>
      </c>
      <c r="G2581">
        <v>1</v>
      </c>
      <c r="H2581">
        <v>12201.28</v>
      </c>
      <c r="I2581">
        <v>15.4</v>
      </c>
    </row>
    <row r="2582" spans="1:9" x14ac:dyDescent="0.3">
      <c r="A2582" t="s">
        <v>2597</v>
      </c>
      <c r="B2582" t="s">
        <v>16</v>
      </c>
      <c r="C2582" t="s">
        <v>11</v>
      </c>
      <c r="D2582">
        <v>36</v>
      </c>
      <c r="E2582" s="1">
        <v>42345</v>
      </c>
      <c r="F2582">
        <v>4.8</v>
      </c>
      <c r="G2582">
        <v>3</v>
      </c>
      <c r="H2582">
        <v>10115.209999999999</v>
      </c>
      <c r="I2582">
        <v>9.9</v>
      </c>
    </row>
    <row r="2583" spans="1:9" x14ac:dyDescent="0.3">
      <c r="A2583" t="s">
        <v>2598</v>
      </c>
      <c r="B2583" t="s">
        <v>10</v>
      </c>
      <c r="C2583" t="s">
        <v>14</v>
      </c>
      <c r="D2583">
        <v>60</v>
      </c>
      <c r="E2583" s="1">
        <v>41249</v>
      </c>
      <c r="F2583">
        <v>2.15</v>
      </c>
      <c r="G2583">
        <v>12</v>
      </c>
      <c r="H2583">
        <v>5504.54</v>
      </c>
      <c r="I2583">
        <v>12.9</v>
      </c>
    </row>
    <row r="2584" spans="1:9" x14ac:dyDescent="0.3">
      <c r="A2584" t="s">
        <v>2599</v>
      </c>
      <c r="B2584" t="s">
        <v>10</v>
      </c>
      <c r="C2584" t="s">
        <v>14</v>
      </c>
      <c r="D2584">
        <v>59</v>
      </c>
      <c r="E2584" s="1">
        <v>44626</v>
      </c>
      <c r="F2584">
        <v>3.79</v>
      </c>
      <c r="G2584">
        <v>8</v>
      </c>
      <c r="H2584">
        <v>12378.36</v>
      </c>
      <c r="I2584">
        <v>3.7</v>
      </c>
    </row>
    <row r="2585" spans="1:9" x14ac:dyDescent="0.3">
      <c r="A2585" t="s">
        <v>2600</v>
      </c>
      <c r="B2585" t="s">
        <v>24</v>
      </c>
      <c r="C2585" t="s">
        <v>11</v>
      </c>
      <c r="D2585">
        <v>33</v>
      </c>
      <c r="E2585" s="1">
        <v>44846</v>
      </c>
      <c r="F2585">
        <v>3.09</v>
      </c>
      <c r="G2585">
        <v>12</v>
      </c>
      <c r="H2585">
        <v>3068.67</v>
      </c>
      <c r="I2585">
        <v>3.1</v>
      </c>
    </row>
    <row r="2586" spans="1:9" x14ac:dyDescent="0.3">
      <c r="A2586" t="s">
        <v>2601</v>
      </c>
      <c r="B2586" t="s">
        <v>24</v>
      </c>
      <c r="C2586" t="s">
        <v>11</v>
      </c>
      <c r="D2586">
        <v>26</v>
      </c>
      <c r="E2586" s="1">
        <v>45545</v>
      </c>
      <c r="F2586">
        <v>4.03</v>
      </c>
      <c r="G2586">
        <v>8</v>
      </c>
      <c r="H2586">
        <v>3039.42</v>
      </c>
      <c r="I2586">
        <v>1.1000000000000001</v>
      </c>
    </row>
    <row r="2587" spans="1:9" x14ac:dyDescent="0.3">
      <c r="A2587" t="s">
        <v>2602</v>
      </c>
      <c r="B2587" t="s">
        <v>16</v>
      </c>
      <c r="C2587" t="s">
        <v>11</v>
      </c>
      <c r="D2587">
        <v>52</v>
      </c>
      <c r="E2587" s="1">
        <v>42828</v>
      </c>
      <c r="F2587">
        <v>3.09</v>
      </c>
      <c r="G2587">
        <v>6</v>
      </c>
      <c r="H2587">
        <v>3635.61</v>
      </c>
      <c r="I2587">
        <v>8.6</v>
      </c>
    </row>
    <row r="2588" spans="1:9" x14ac:dyDescent="0.3">
      <c r="A2588" t="s">
        <v>2603</v>
      </c>
      <c r="B2588" t="s">
        <v>16</v>
      </c>
      <c r="C2588" t="s">
        <v>14</v>
      </c>
      <c r="D2588">
        <v>22</v>
      </c>
      <c r="E2588" s="1">
        <v>44389</v>
      </c>
      <c r="F2588">
        <v>4.43</v>
      </c>
      <c r="G2588">
        <v>11</v>
      </c>
      <c r="H2588">
        <v>8382.9500000000007</v>
      </c>
      <c r="I2588">
        <v>4.3</v>
      </c>
    </row>
    <row r="2589" spans="1:9" x14ac:dyDescent="0.3">
      <c r="A2589" t="s">
        <v>2604</v>
      </c>
      <c r="B2589" t="s">
        <v>34</v>
      </c>
      <c r="C2589" t="s">
        <v>11</v>
      </c>
      <c r="D2589">
        <v>47</v>
      </c>
      <c r="E2589" s="1">
        <v>40217</v>
      </c>
      <c r="F2589">
        <v>2.33</v>
      </c>
      <c r="G2589">
        <v>6</v>
      </c>
      <c r="H2589">
        <v>8536.99</v>
      </c>
      <c r="I2589">
        <v>15.7</v>
      </c>
    </row>
    <row r="2590" spans="1:9" x14ac:dyDescent="0.3">
      <c r="A2590" t="s">
        <v>2605</v>
      </c>
      <c r="B2590" t="s">
        <v>18</v>
      </c>
      <c r="C2590" t="s">
        <v>14</v>
      </c>
      <c r="D2590">
        <v>26</v>
      </c>
      <c r="E2590" s="1">
        <v>45428</v>
      </c>
      <c r="F2590">
        <v>4.66</v>
      </c>
      <c r="G2590">
        <v>6</v>
      </c>
      <c r="H2590">
        <v>11159.15</v>
      </c>
      <c r="I2590">
        <v>1.5</v>
      </c>
    </row>
    <row r="2591" spans="1:9" x14ac:dyDescent="0.3">
      <c r="A2591" t="s">
        <v>2606</v>
      </c>
      <c r="B2591" t="s">
        <v>16</v>
      </c>
      <c r="C2591" t="s">
        <v>11</v>
      </c>
      <c r="D2591">
        <v>45</v>
      </c>
      <c r="E2591" s="1">
        <v>40758</v>
      </c>
      <c r="F2591">
        <v>2.02</v>
      </c>
      <c r="G2591">
        <v>5</v>
      </c>
      <c r="H2591">
        <v>7559.41</v>
      </c>
      <c r="I2591">
        <v>14.3</v>
      </c>
    </row>
    <row r="2592" spans="1:9" x14ac:dyDescent="0.3">
      <c r="A2592" t="s">
        <v>2607</v>
      </c>
      <c r="B2592" t="s">
        <v>18</v>
      </c>
      <c r="C2592" t="s">
        <v>14</v>
      </c>
      <c r="D2592">
        <v>40</v>
      </c>
      <c r="E2592" s="1">
        <v>43430</v>
      </c>
      <c r="F2592">
        <v>1.8</v>
      </c>
      <c r="G2592">
        <v>7</v>
      </c>
      <c r="H2592">
        <v>6720.08</v>
      </c>
      <c r="I2592">
        <v>6.9</v>
      </c>
    </row>
    <row r="2593" spans="1:9" x14ac:dyDescent="0.3">
      <c r="A2593" t="s">
        <v>2608</v>
      </c>
      <c r="B2593" t="s">
        <v>10</v>
      </c>
      <c r="C2593" t="s">
        <v>14</v>
      </c>
      <c r="D2593">
        <v>24</v>
      </c>
      <c r="E2593" s="1">
        <v>42709</v>
      </c>
      <c r="F2593">
        <v>1.74</v>
      </c>
      <c r="G2593">
        <v>0</v>
      </c>
      <c r="H2593">
        <v>11201.51</v>
      </c>
      <c r="I2593">
        <v>8.9</v>
      </c>
    </row>
    <row r="2594" spans="1:9" x14ac:dyDescent="0.3">
      <c r="A2594" t="s">
        <v>2609</v>
      </c>
      <c r="B2594" t="s">
        <v>18</v>
      </c>
      <c r="C2594" t="s">
        <v>14</v>
      </c>
      <c r="D2594">
        <v>53</v>
      </c>
      <c r="E2594" s="1">
        <v>44244</v>
      </c>
      <c r="F2594">
        <v>2.4</v>
      </c>
      <c r="G2594">
        <v>8</v>
      </c>
      <c r="H2594">
        <v>4140.3</v>
      </c>
      <c r="I2594">
        <v>4.7</v>
      </c>
    </row>
    <row r="2595" spans="1:9" x14ac:dyDescent="0.3">
      <c r="A2595" t="s">
        <v>2610</v>
      </c>
      <c r="B2595" t="s">
        <v>18</v>
      </c>
      <c r="C2595" t="s">
        <v>11</v>
      </c>
      <c r="D2595">
        <v>45</v>
      </c>
      <c r="E2595" s="1">
        <v>41261</v>
      </c>
      <c r="F2595">
        <v>4.33</v>
      </c>
      <c r="G2595">
        <v>13</v>
      </c>
      <c r="H2595">
        <v>11971.97</v>
      </c>
      <c r="I2595">
        <v>12.9</v>
      </c>
    </row>
    <row r="2596" spans="1:9" x14ac:dyDescent="0.3">
      <c r="A2596" t="s">
        <v>2611</v>
      </c>
      <c r="B2596" t="s">
        <v>24</v>
      </c>
      <c r="C2596" t="s">
        <v>14</v>
      </c>
      <c r="D2596">
        <v>26</v>
      </c>
      <c r="E2596" s="1">
        <v>44062</v>
      </c>
      <c r="F2596">
        <v>3.83</v>
      </c>
      <c r="G2596">
        <v>3</v>
      </c>
      <c r="H2596">
        <v>4524.96</v>
      </c>
      <c r="I2596">
        <v>5.2</v>
      </c>
    </row>
    <row r="2597" spans="1:9" x14ac:dyDescent="0.3">
      <c r="A2597" t="s">
        <v>2612</v>
      </c>
      <c r="B2597" t="s">
        <v>16</v>
      </c>
      <c r="C2597" t="s">
        <v>14</v>
      </c>
      <c r="D2597">
        <v>43</v>
      </c>
      <c r="E2597" s="1">
        <v>44482</v>
      </c>
      <c r="F2597">
        <v>4.91</v>
      </c>
      <c r="G2597">
        <v>15</v>
      </c>
      <c r="H2597">
        <v>14117.47</v>
      </c>
      <c r="I2597">
        <v>4.0999999999999996</v>
      </c>
    </row>
    <row r="2598" spans="1:9" x14ac:dyDescent="0.3">
      <c r="A2598" t="s">
        <v>2613</v>
      </c>
      <c r="B2598" t="s">
        <v>18</v>
      </c>
      <c r="C2598" t="s">
        <v>14</v>
      </c>
      <c r="D2598">
        <v>56</v>
      </c>
      <c r="E2598" s="1">
        <v>41958</v>
      </c>
      <c r="F2598">
        <v>3.29</v>
      </c>
      <c r="G2598">
        <v>13</v>
      </c>
      <c r="H2598">
        <v>9750.09</v>
      </c>
      <c r="I2598">
        <v>11</v>
      </c>
    </row>
    <row r="2599" spans="1:9" x14ac:dyDescent="0.3">
      <c r="A2599" t="s">
        <v>2614</v>
      </c>
      <c r="B2599" t="s">
        <v>34</v>
      </c>
      <c r="C2599" t="s">
        <v>11</v>
      </c>
      <c r="D2599">
        <v>45</v>
      </c>
      <c r="E2599" s="1">
        <v>45156</v>
      </c>
      <c r="F2599">
        <v>3.48</v>
      </c>
      <c r="G2599">
        <v>0</v>
      </c>
      <c r="H2599">
        <v>12735.61</v>
      </c>
      <c r="I2599">
        <v>2.2000000000000002</v>
      </c>
    </row>
    <row r="2600" spans="1:9" x14ac:dyDescent="0.3">
      <c r="A2600" t="s">
        <v>2615</v>
      </c>
      <c r="B2600" t="s">
        <v>18</v>
      </c>
      <c r="C2600" t="s">
        <v>11</v>
      </c>
      <c r="D2600">
        <v>37</v>
      </c>
      <c r="E2600" s="1">
        <v>40343</v>
      </c>
      <c r="F2600">
        <v>4.63</v>
      </c>
      <c r="G2600">
        <v>11</v>
      </c>
      <c r="H2600">
        <v>6337.93</v>
      </c>
      <c r="I2600">
        <v>15.4</v>
      </c>
    </row>
    <row r="2601" spans="1:9" x14ac:dyDescent="0.3">
      <c r="A2601" t="s">
        <v>2616</v>
      </c>
      <c r="B2601" t="s">
        <v>13</v>
      </c>
      <c r="C2601" t="s">
        <v>11</v>
      </c>
      <c r="D2601">
        <v>38</v>
      </c>
      <c r="E2601" s="1">
        <v>40243</v>
      </c>
      <c r="F2601">
        <v>2.84</v>
      </c>
      <c r="G2601">
        <v>0</v>
      </c>
      <c r="H2601">
        <v>11503.82</v>
      </c>
      <c r="I2601">
        <v>15.7</v>
      </c>
    </row>
    <row r="2602" spans="1:9" x14ac:dyDescent="0.3">
      <c r="A2602" t="s">
        <v>2617</v>
      </c>
      <c r="B2602" t="s">
        <v>10</v>
      </c>
      <c r="C2602" t="s">
        <v>14</v>
      </c>
      <c r="D2602">
        <v>43</v>
      </c>
      <c r="E2602" s="1">
        <v>41410</v>
      </c>
      <c r="F2602">
        <v>4.4800000000000004</v>
      </c>
      <c r="G2602">
        <v>8</v>
      </c>
      <c r="H2602">
        <v>9018.39</v>
      </c>
      <c r="I2602">
        <v>12.5</v>
      </c>
    </row>
    <row r="2603" spans="1:9" x14ac:dyDescent="0.3">
      <c r="A2603" t="s">
        <v>2618</v>
      </c>
      <c r="B2603" t="s">
        <v>18</v>
      </c>
      <c r="C2603" t="s">
        <v>11</v>
      </c>
      <c r="D2603">
        <v>30</v>
      </c>
      <c r="E2603" s="1">
        <v>43973</v>
      </c>
      <c r="F2603">
        <v>4.7</v>
      </c>
      <c r="G2603">
        <v>1</v>
      </c>
      <c r="H2603">
        <v>11249.52</v>
      </c>
      <c r="I2603">
        <v>5.4</v>
      </c>
    </row>
    <row r="2604" spans="1:9" x14ac:dyDescent="0.3">
      <c r="A2604" t="s">
        <v>2619</v>
      </c>
      <c r="B2604" t="s">
        <v>24</v>
      </c>
      <c r="C2604" t="s">
        <v>11</v>
      </c>
      <c r="D2604">
        <v>36</v>
      </c>
      <c r="E2604" s="1">
        <v>43491</v>
      </c>
      <c r="F2604">
        <v>2.37</v>
      </c>
      <c r="G2604">
        <v>1</v>
      </c>
      <c r="H2604">
        <v>9634.06</v>
      </c>
      <c r="I2604">
        <v>6.8</v>
      </c>
    </row>
    <row r="2605" spans="1:9" x14ac:dyDescent="0.3">
      <c r="A2605" t="s">
        <v>2620</v>
      </c>
      <c r="B2605" t="s">
        <v>10</v>
      </c>
      <c r="C2605" t="s">
        <v>11</v>
      </c>
      <c r="D2605">
        <v>27</v>
      </c>
      <c r="E2605" s="1">
        <v>43757</v>
      </c>
      <c r="F2605">
        <v>2.84</v>
      </c>
      <c r="G2605">
        <v>14</v>
      </c>
      <c r="H2605">
        <v>6815.39</v>
      </c>
      <c r="I2605">
        <v>6</v>
      </c>
    </row>
    <row r="2606" spans="1:9" x14ac:dyDescent="0.3">
      <c r="A2606" t="s">
        <v>2621</v>
      </c>
      <c r="B2606" t="s">
        <v>16</v>
      </c>
      <c r="C2606" t="s">
        <v>11</v>
      </c>
      <c r="D2606">
        <v>43</v>
      </c>
      <c r="E2606" s="1">
        <v>44443</v>
      </c>
      <c r="F2606">
        <v>1.98</v>
      </c>
      <c r="G2606">
        <v>15</v>
      </c>
      <c r="H2606">
        <v>6182.53</v>
      </c>
      <c r="I2606">
        <v>4.2</v>
      </c>
    </row>
    <row r="2607" spans="1:9" x14ac:dyDescent="0.3">
      <c r="A2607" t="s">
        <v>2622</v>
      </c>
      <c r="B2607" t="s">
        <v>24</v>
      </c>
      <c r="C2607" t="s">
        <v>11</v>
      </c>
      <c r="D2607">
        <v>47</v>
      </c>
      <c r="E2607" s="1">
        <v>44610</v>
      </c>
      <c r="F2607">
        <v>4.25</v>
      </c>
      <c r="G2607">
        <v>11</v>
      </c>
      <c r="H2607">
        <v>14530.04</v>
      </c>
      <c r="I2607">
        <v>3.7</v>
      </c>
    </row>
    <row r="2608" spans="1:9" x14ac:dyDescent="0.3">
      <c r="A2608" t="s">
        <v>2623</v>
      </c>
      <c r="B2608" t="s">
        <v>10</v>
      </c>
      <c r="C2608" t="s">
        <v>14</v>
      </c>
      <c r="D2608">
        <v>55</v>
      </c>
      <c r="E2608" s="1">
        <v>42554</v>
      </c>
      <c r="F2608">
        <v>3.86</v>
      </c>
      <c r="G2608">
        <v>6</v>
      </c>
      <c r="H2608">
        <v>3908.86</v>
      </c>
      <c r="I2608">
        <v>9.3000000000000007</v>
      </c>
    </row>
    <row r="2609" spans="1:9" x14ac:dyDescent="0.3">
      <c r="A2609" t="s">
        <v>2624</v>
      </c>
      <c r="B2609" t="s">
        <v>10</v>
      </c>
      <c r="C2609" t="s">
        <v>11</v>
      </c>
      <c r="D2609">
        <v>58</v>
      </c>
      <c r="E2609" s="1">
        <v>40972</v>
      </c>
      <c r="F2609">
        <v>5</v>
      </c>
      <c r="G2609">
        <v>12</v>
      </c>
      <c r="H2609">
        <v>13837.62</v>
      </c>
      <c r="I2609">
        <v>13.7</v>
      </c>
    </row>
    <row r="2610" spans="1:9" x14ac:dyDescent="0.3">
      <c r="A2610" t="s">
        <v>2625</v>
      </c>
      <c r="B2610" t="s">
        <v>16</v>
      </c>
      <c r="C2610" t="s">
        <v>11</v>
      </c>
      <c r="D2610">
        <v>51</v>
      </c>
      <c r="E2610" s="1">
        <v>43168</v>
      </c>
      <c r="F2610">
        <v>4.95</v>
      </c>
      <c r="G2610">
        <v>4</v>
      </c>
      <c r="H2610">
        <v>5569.62</v>
      </c>
      <c r="I2610">
        <v>7.7</v>
      </c>
    </row>
    <row r="2611" spans="1:9" x14ac:dyDescent="0.3">
      <c r="A2611" t="s">
        <v>2626</v>
      </c>
      <c r="B2611" t="s">
        <v>13</v>
      </c>
      <c r="C2611" t="s">
        <v>14</v>
      </c>
      <c r="D2611">
        <v>59</v>
      </c>
      <c r="E2611" s="1">
        <v>44501</v>
      </c>
      <c r="F2611">
        <v>1.53</v>
      </c>
      <c r="G2611">
        <v>6</v>
      </c>
      <c r="H2611">
        <v>5310.52</v>
      </c>
      <c r="I2611">
        <v>4</v>
      </c>
    </row>
    <row r="2612" spans="1:9" x14ac:dyDescent="0.3">
      <c r="A2612" t="s">
        <v>2627</v>
      </c>
      <c r="B2612" t="s">
        <v>16</v>
      </c>
      <c r="C2612" t="s">
        <v>14</v>
      </c>
      <c r="D2612">
        <v>48</v>
      </c>
      <c r="E2612" s="1">
        <v>41897</v>
      </c>
      <c r="F2612">
        <v>3.74</v>
      </c>
      <c r="G2612">
        <v>11</v>
      </c>
      <c r="H2612">
        <v>6103.62</v>
      </c>
      <c r="I2612">
        <v>11.1</v>
      </c>
    </row>
    <row r="2613" spans="1:9" x14ac:dyDescent="0.3">
      <c r="A2613" t="s">
        <v>2628</v>
      </c>
      <c r="B2613" t="s">
        <v>24</v>
      </c>
      <c r="C2613" t="s">
        <v>14</v>
      </c>
      <c r="D2613">
        <v>36</v>
      </c>
      <c r="E2613" s="1">
        <v>45816</v>
      </c>
      <c r="F2613">
        <v>2.95</v>
      </c>
      <c r="G2613">
        <v>4</v>
      </c>
      <c r="H2613">
        <v>13123.94</v>
      </c>
      <c r="I2613">
        <v>0.4</v>
      </c>
    </row>
    <row r="2614" spans="1:9" x14ac:dyDescent="0.3">
      <c r="A2614" t="s">
        <v>2629</v>
      </c>
      <c r="B2614" t="s">
        <v>10</v>
      </c>
      <c r="C2614" t="s">
        <v>14</v>
      </c>
      <c r="D2614">
        <v>51</v>
      </c>
      <c r="E2614" s="1">
        <v>43369</v>
      </c>
      <c r="F2614">
        <v>1.63</v>
      </c>
      <c r="G2614">
        <v>3</v>
      </c>
      <c r="H2614">
        <v>11423.43</v>
      </c>
      <c r="I2614">
        <v>7.1</v>
      </c>
    </row>
    <row r="2615" spans="1:9" x14ac:dyDescent="0.3">
      <c r="A2615" t="s">
        <v>2630</v>
      </c>
      <c r="B2615" t="s">
        <v>16</v>
      </c>
      <c r="C2615" t="s">
        <v>14</v>
      </c>
      <c r="D2615">
        <v>43</v>
      </c>
      <c r="E2615" s="1">
        <v>45454</v>
      </c>
      <c r="F2615">
        <v>4.1100000000000003</v>
      </c>
      <c r="G2615">
        <v>3</v>
      </c>
      <c r="H2615">
        <v>14313.88</v>
      </c>
      <c r="I2615">
        <v>1.4</v>
      </c>
    </row>
    <row r="2616" spans="1:9" x14ac:dyDescent="0.3">
      <c r="A2616" t="s">
        <v>2631</v>
      </c>
      <c r="B2616" t="s">
        <v>13</v>
      </c>
      <c r="C2616" t="s">
        <v>14</v>
      </c>
      <c r="D2616">
        <v>50</v>
      </c>
      <c r="E2616" s="1">
        <v>45884</v>
      </c>
      <c r="F2616">
        <v>2.71</v>
      </c>
      <c r="G2616">
        <v>7</v>
      </c>
      <c r="H2616">
        <v>8766.56</v>
      </c>
      <c r="I2616">
        <v>0.2</v>
      </c>
    </row>
    <row r="2617" spans="1:9" x14ac:dyDescent="0.3">
      <c r="A2617" t="s">
        <v>2632</v>
      </c>
      <c r="B2617" t="s">
        <v>13</v>
      </c>
      <c r="C2617" t="s">
        <v>11</v>
      </c>
      <c r="D2617">
        <v>34</v>
      </c>
      <c r="E2617" s="1">
        <v>43929</v>
      </c>
      <c r="F2617">
        <v>1.96</v>
      </c>
      <c r="G2617">
        <v>4</v>
      </c>
      <c r="H2617">
        <v>3480.57</v>
      </c>
      <c r="I2617">
        <v>5.6</v>
      </c>
    </row>
    <row r="2618" spans="1:9" x14ac:dyDescent="0.3">
      <c r="A2618" t="s">
        <v>2633</v>
      </c>
      <c r="B2618" t="s">
        <v>24</v>
      </c>
      <c r="C2618" t="s">
        <v>11</v>
      </c>
      <c r="D2618">
        <v>24</v>
      </c>
      <c r="E2618" s="1">
        <v>43264</v>
      </c>
      <c r="F2618">
        <v>4.38</v>
      </c>
      <c r="G2618">
        <v>10</v>
      </c>
      <c r="H2618">
        <v>6084.89</v>
      </c>
      <c r="I2618">
        <v>7.4</v>
      </c>
    </row>
    <row r="2619" spans="1:9" x14ac:dyDescent="0.3">
      <c r="A2619" t="s">
        <v>2634</v>
      </c>
      <c r="B2619" t="s">
        <v>34</v>
      </c>
      <c r="C2619" t="s">
        <v>14</v>
      </c>
      <c r="D2619">
        <v>54</v>
      </c>
      <c r="E2619" s="1">
        <v>45727</v>
      </c>
      <c r="F2619">
        <v>3.31</v>
      </c>
      <c r="G2619">
        <v>3</v>
      </c>
      <c r="H2619">
        <v>14276.21</v>
      </c>
      <c r="I2619">
        <v>0.6</v>
      </c>
    </row>
    <row r="2620" spans="1:9" x14ac:dyDescent="0.3">
      <c r="A2620" t="s">
        <v>2635</v>
      </c>
      <c r="B2620" t="s">
        <v>18</v>
      </c>
      <c r="C2620" t="s">
        <v>11</v>
      </c>
      <c r="D2620">
        <v>59</v>
      </c>
      <c r="E2620" s="1">
        <v>45927</v>
      </c>
      <c r="F2620">
        <v>2.85</v>
      </c>
      <c r="G2620">
        <v>3</v>
      </c>
      <c r="H2620">
        <v>7124.93</v>
      </c>
      <c r="I2620">
        <v>0.1</v>
      </c>
    </row>
    <row r="2621" spans="1:9" x14ac:dyDescent="0.3">
      <c r="A2621" t="s">
        <v>2636</v>
      </c>
      <c r="B2621" t="s">
        <v>13</v>
      </c>
      <c r="C2621" t="s">
        <v>14</v>
      </c>
      <c r="D2621">
        <v>43</v>
      </c>
      <c r="E2621" s="1">
        <v>41244</v>
      </c>
      <c r="F2621">
        <v>2.2799999999999998</v>
      </c>
      <c r="G2621">
        <v>5</v>
      </c>
      <c r="H2621">
        <v>3216.89</v>
      </c>
      <c r="I2621">
        <v>12.9</v>
      </c>
    </row>
    <row r="2622" spans="1:9" x14ac:dyDescent="0.3">
      <c r="A2622" t="s">
        <v>2637</v>
      </c>
      <c r="B2622" t="s">
        <v>34</v>
      </c>
      <c r="C2622" t="s">
        <v>14</v>
      </c>
      <c r="D2622">
        <v>30</v>
      </c>
      <c r="E2622" s="1">
        <v>45159</v>
      </c>
      <c r="F2622">
        <v>1.51</v>
      </c>
      <c r="G2622">
        <v>12</v>
      </c>
      <c r="H2622">
        <v>12883.38</v>
      </c>
      <c r="I2622">
        <v>2.2000000000000002</v>
      </c>
    </row>
    <row r="2623" spans="1:9" x14ac:dyDescent="0.3">
      <c r="A2623" t="s">
        <v>2638</v>
      </c>
      <c r="B2623" t="s">
        <v>10</v>
      </c>
      <c r="C2623" t="s">
        <v>11</v>
      </c>
      <c r="D2623">
        <v>60</v>
      </c>
      <c r="E2623" s="1">
        <v>45169</v>
      </c>
      <c r="F2623">
        <v>2.75</v>
      </c>
      <c r="G2623">
        <v>11</v>
      </c>
      <c r="H2623">
        <v>8938.58</v>
      </c>
      <c r="I2623">
        <v>2.2000000000000002</v>
      </c>
    </row>
    <row r="2624" spans="1:9" x14ac:dyDescent="0.3">
      <c r="A2624" t="s">
        <v>2639</v>
      </c>
      <c r="B2624" t="s">
        <v>10</v>
      </c>
      <c r="C2624" t="s">
        <v>11</v>
      </c>
      <c r="D2624">
        <v>23</v>
      </c>
      <c r="E2624" s="1">
        <v>44995</v>
      </c>
      <c r="F2624">
        <v>1.94</v>
      </c>
      <c r="G2624">
        <v>5</v>
      </c>
      <c r="H2624">
        <v>11503.53</v>
      </c>
      <c r="I2624">
        <v>2.6</v>
      </c>
    </row>
    <row r="2625" spans="1:9" x14ac:dyDescent="0.3">
      <c r="A2625" t="s">
        <v>2640</v>
      </c>
      <c r="B2625" t="s">
        <v>13</v>
      </c>
      <c r="C2625" t="s">
        <v>14</v>
      </c>
      <c r="D2625">
        <v>47</v>
      </c>
      <c r="E2625" s="1">
        <v>44221</v>
      </c>
      <c r="F2625">
        <v>3.89</v>
      </c>
      <c r="G2625">
        <v>6</v>
      </c>
      <c r="H2625">
        <v>5063.4799999999996</v>
      </c>
      <c r="I2625">
        <v>4.8</v>
      </c>
    </row>
    <row r="2626" spans="1:9" x14ac:dyDescent="0.3">
      <c r="A2626" t="s">
        <v>2641</v>
      </c>
      <c r="B2626" t="s">
        <v>13</v>
      </c>
      <c r="C2626" t="s">
        <v>14</v>
      </c>
      <c r="D2626">
        <v>41</v>
      </c>
      <c r="E2626" s="1">
        <v>40321</v>
      </c>
      <c r="F2626">
        <v>2.1</v>
      </c>
      <c r="G2626">
        <v>12</v>
      </c>
      <c r="H2626">
        <v>10505.96</v>
      </c>
      <c r="I2626">
        <v>15.5</v>
      </c>
    </row>
    <row r="2627" spans="1:9" x14ac:dyDescent="0.3">
      <c r="A2627" t="s">
        <v>2642</v>
      </c>
      <c r="B2627" t="s">
        <v>16</v>
      </c>
      <c r="C2627" t="s">
        <v>14</v>
      </c>
      <c r="D2627">
        <v>33</v>
      </c>
      <c r="E2627" s="1">
        <v>40948</v>
      </c>
      <c r="F2627">
        <v>2.93</v>
      </c>
      <c r="G2627">
        <v>3</v>
      </c>
      <c r="H2627">
        <v>10819.17</v>
      </c>
      <c r="I2627">
        <v>13.7</v>
      </c>
    </row>
    <row r="2628" spans="1:9" x14ac:dyDescent="0.3">
      <c r="A2628" t="s">
        <v>2643</v>
      </c>
      <c r="B2628" t="s">
        <v>13</v>
      </c>
      <c r="C2628" t="s">
        <v>14</v>
      </c>
      <c r="D2628">
        <v>30</v>
      </c>
      <c r="E2628" s="1">
        <v>42358</v>
      </c>
      <c r="F2628">
        <v>2.4900000000000002</v>
      </c>
      <c r="G2628">
        <v>15</v>
      </c>
      <c r="H2628">
        <v>7004.67</v>
      </c>
      <c r="I2628">
        <v>9.9</v>
      </c>
    </row>
    <row r="2629" spans="1:9" x14ac:dyDescent="0.3">
      <c r="A2629" t="s">
        <v>2644</v>
      </c>
      <c r="B2629" t="s">
        <v>16</v>
      </c>
      <c r="C2629" t="s">
        <v>11</v>
      </c>
      <c r="D2629">
        <v>51</v>
      </c>
      <c r="E2629" s="1">
        <v>40363</v>
      </c>
      <c r="F2629">
        <v>2.97</v>
      </c>
      <c r="G2629">
        <v>10</v>
      </c>
      <c r="H2629">
        <v>5184.04</v>
      </c>
      <c r="I2629">
        <v>15.3</v>
      </c>
    </row>
    <row r="2630" spans="1:9" x14ac:dyDescent="0.3">
      <c r="A2630" t="s">
        <v>2645</v>
      </c>
      <c r="B2630" t="s">
        <v>34</v>
      </c>
      <c r="C2630" t="s">
        <v>11</v>
      </c>
      <c r="D2630">
        <v>37</v>
      </c>
      <c r="E2630" s="1">
        <v>43699</v>
      </c>
      <c r="F2630">
        <v>4.28</v>
      </c>
      <c r="G2630">
        <v>9</v>
      </c>
      <c r="H2630">
        <v>13685.78</v>
      </c>
      <c r="I2630">
        <v>6.2</v>
      </c>
    </row>
    <row r="2631" spans="1:9" x14ac:dyDescent="0.3">
      <c r="A2631" t="s">
        <v>2646</v>
      </c>
      <c r="B2631" t="s">
        <v>13</v>
      </c>
      <c r="C2631" t="s">
        <v>14</v>
      </c>
      <c r="D2631">
        <v>25</v>
      </c>
      <c r="E2631" s="1">
        <v>44715</v>
      </c>
      <c r="F2631">
        <v>2.97</v>
      </c>
      <c r="G2631">
        <v>7</v>
      </c>
      <c r="H2631">
        <v>12316.44</v>
      </c>
      <c r="I2631">
        <v>3.4</v>
      </c>
    </row>
    <row r="2632" spans="1:9" x14ac:dyDescent="0.3">
      <c r="A2632" t="s">
        <v>2647</v>
      </c>
      <c r="B2632" t="s">
        <v>18</v>
      </c>
      <c r="C2632" t="s">
        <v>11</v>
      </c>
      <c r="D2632">
        <v>45</v>
      </c>
      <c r="E2632" s="1">
        <v>40180</v>
      </c>
      <c r="F2632">
        <v>4.5199999999999996</v>
      </c>
      <c r="G2632">
        <v>2</v>
      </c>
      <c r="H2632">
        <v>5698.08</v>
      </c>
      <c r="I2632">
        <v>15.8</v>
      </c>
    </row>
    <row r="2633" spans="1:9" x14ac:dyDescent="0.3">
      <c r="A2633" t="s">
        <v>2648</v>
      </c>
      <c r="B2633" t="s">
        <v>10</v>
      </c>
      <c r="C2633" t="s">
        <v>11</v>
      </c>
      <c r="D2633">
        <v>49</v>
      </c>
      <c r="E2633" s="1">
        <v>43360</v>
      </c>
      <c r="F2633">
        <v>4.17</v>
      </c>
      <c r="G2633">
        <v>9</v>
      </c>
      <c r="H2633">
        <v>8686.17</v>
      </c>
      <c r="I2633">
        <v>7.1</v>
      </c>
    </row>
    <row r="2634" spans="1:9" x14ac:dyDescent="0.3">
      <c r="A2634" t="s">
        <v>2649</v>
      </c>
      <c r="B2634" t="s">
        <v>18</v>
      </c>
      <c r="C2634" t="s">
        <v>14</v>
      </c>
      <c r="D2634">
        <v>49</v>
      </c>
      <c r="E2634" s="1">
        <v>43417</v>
      </c>
      <c r="F2634">
        <v>4.6399999999999997</v>
      </c>
      <c r="G2634">
        <v>8</v>
      </c>
      <c r="H2634">
        <v>3600.32</v>
      </c>
      <c r="I2634">
        <v>7</v>
      </c>
    </row>
    <row r="2635" spans="1:9" x14ac:dyDescent="0.3">
      <c r="A2635" t="s">
        <v>2650</v>
      </c>
      <c r="B2635" t="s">
        <v>34</v>
      </c>
      <c r="C2635" t="s">
        <v>11</v>
      </c>
      <c r="D2635">
        <v>28</v>
      </c>
      <c r="E2635" s="1">
        <v>42443</v>
      </c>
      <c r="F2635">
        <v>1.97</v>
      </c>
      <c r="G2635">
        <v>3</v>
      </c>
      <c r="H2635">
        <v>9056.9</v>
      </c>
      <c r="I2635">
        <v>9.6</v>
      </c>
    </row>
    <row r="2636" spans="1:9" x14ac:dyDescent="0.3">
      <c r="A2636" t="s">
        <v>2651</v>
      </c>
      <c r="B2636" t="s">
        <v>10</v>
      </c>
      <c r="C2636" t="s">
        <v>11</v>
      </c>
      <c r="D2636">
        <v>33</v>
      </c>
      <c r="E2636" s="1">
        <v>42731</v>
      </c>
      <c r="F2636">
        <v>4.21</v>
      </c>
      <c r="G2636">
        <v>0</v>
      </c>
      <c r="H2636">
        <v>12444.87</v>
      </c>
      <c r="I2636">
        <v>8.9</v>
      </c>
    </row>
    <row r="2637" spans="1:9" x14ac:dyDescent="0.3">
      <c r="A2637" t="s">
        <v>2652</v>
      </c>
      <c r="B2637" t="s">
        <v>18</v>
      </c>
      <c r="C2637" t="s">
        <v>11</v>
      </c>
      <c r="D2637">
        <v>55</v>
      </c>
      <c r="E2637" s="1">
        <v>42908</v>
      </c>
      <c r="F2637">
        <v>2.66</v>
      </c>
      <c r="G2637">
        <v>11</v>
      </c>
      <c r="H2637">
        <v>11582.37</v>
      </c>
      <c r="I2637">
        <v>8.4</v>
      </c>
    </row>
    <row r="2638" spans="1:9" x14ac:dyDescent="0.3">
      <c r="A2638" t="s">
        <v>2653</v>
      </c>
      <c r="B2638" t="s">
        <v>18</v>
      </c>
      <c r="C2638" t="s">
        <v>14</v>
      </c>
      <c r="D2638">
        <v>30</v>
      </c>
      <c r="E2638" s="1">
        <v>41902</v>
      </c>
      <c r="F2638">
        <v>2.67</v>
      </c>
      <c r="G2638">
        <v>14</v>
      </c>
      <c r="H2638">
        <v>6151.89</v>
      </c>
      <c r="I2638">
        <v>11.1</v>
      </c>
    </row>
    <row r="2639" spans="1:9" x14ac:dyDescent="0.3">
      <c r="A2639" t="s">
        <v>2654</v>
      </c>
      <c r="B2639" t="s">
        <v>18</v>
      </c>
      <c r="C2639" t="s">
        <v>11</v>
      </c>
      <c r="D2639">
        <v>25</v>
      </c>
      <c r="E2639" s="1">
        <v>44014</v>
      </c>
      <c r="F2639">
        <v>3.7</v>
      </c>
      <c r="G2639">
        <v>4</v>
      </c>
      <c r="H2639">
        <v>9512.7000000000007</v>
      </c>
      <c r="I2639">
        <v>5.3</v>
      </c>
    </row>
    <row r="2640" spans="1:9" x14ac:dyDescent="0.3">
      <c r="A2640" t="s">
        <v>2655</v>
      </c>
      <c r="B2640" t="s">
        <v>34</v>
      </c>
      <c r="C2640" t="s">
        <v>14</v>
      </c>
      <c r="D2640">
        <v>41</v>
      </c>
      <c r="E2640" s="1">
        <v>40529</v>
      </c>
      <c r="F2640">
        <v>2.0499999999999998</v>
      </c>
      <c r="G2640">
        <v>12</v>
      </c>
      <c r="H2640">
        <v>10162.950000000001</v>
      </c>
      <c r="I2640">
        <v>14.9</v>
      </c>
    </row>
    <row r="2641" spans="1:9" x14ac:dyDescent="0.3">
      <c r="A2641" t="s">
        <v>2656</v>
      </c>
      <c r="B2641" t="s">
        <v>34</v>
      </c>
      <c r="C2641" t="s">
        <v>14</v>
      </c>
      <c r="D2641">
        <v>53</v>
      </c>
      <c r="E2641" s="1">
        <v>44238</v>
      </c>
      <c r="F2641">
        <v>2.21</v>
      </c>
      <c r="G2641">
        <v>8</v>
      </c>
      <c r="H2641">
        <v>10832.55</v>
      </c>
      <c r="I2641">
        <v>4.7</v>
      </c>
    </row>
    <row r="2642" spans="1:9" x14ac:dyDescent="0.3">
      <c r="A2642" t="s">
        <v>2657</v>
      </c>
      <c r="B2642" t="s">
        <v>16</v>
      </c>
      <c r="C2642" t="s">
        <v>11</v>
      </c>
      <c r="D2642">
        <v>53</v>
      </c>
      <c r="E2642" s="1">
        <v>45489</v>
      </c>
      <c r="F2642">
        <v>3.26</v>
      </c>
      <c r="G2642">
        <v>4</v>
      </c>
      <c r="H2642">
        <v>12340.17</v>
      </c>
      <c r="I2642">
        <v>1.3</v>
      </c>
    </row>
    <row r="2643" spans="1:9" x14ac:dyDescent="0.3">
      <c r="A2643" t="s">
        <v>2658</v>
      </c>
      <c r="B2643" t="s">
        <v>34</v>
      </c>
      <c r="C2643" t="s">
        <v>11</v>
      </c>
      <c r="D2643">
        <v>27</v>
      </c>
      <c r="E2643" s="1">
        <v>44860</v>
      </c>
      <c r="F2643">
        <v>2.68</v>
      </c>
      <c r="G2643">
        <v>1</v>
      </c>
      <c r="H2643">
        <v>4046.55</v>
      </c>
      <c r="I2643">
        <v>3</v>
      </c>
    </row>
    <row r="2644" spans="1:9" x14ac:dyDescent="0.3">
      <c r="A2644" t="s">
        <v>2659</v>
      </c>
      <c r="B2644" t="s">
        <v>34</v>
      </c>
      <c r="C2644" t="s">
        <v>14</v>
      </c>
      <c r="D2644">
        <v>40</v>
      </c>
      <c r="E2644" s="1">
        <v>41219</v>
      </c>
      <c r="F2644">
        <v>3.69</v>
      </c>
      <c r="G2644">
        <v>15</v>
      </c>
      <c r="H2644">
        <v>6074.08</v>
      </c>
      <c r="I2644">
        <v>13</v>
      </c>
    </row>
    <row r="2645" spans="1:9" x14ac:dyDescent="0.3">
      <c r="A2645" t="s">
        <v>2660</v>
      </c>
      <c r="B2645" t="s">
        <v>34</v>
      </c>
      <c r="C2645" t="s">
        <v>11</v>
      </c>
      <c r="D2645">
        <v>45</v>
      </c>
      <c r="E2645" s="1">
        <v>44191</v>
      </c>
      <c r="F2645">
        <v>2.75</v>
      </c>
      <c r="G2645">
        <v>6</v>
      </c>
      <c r="H2645">
        <v>14772</v>
      </c>
      <c r="I2645">
        <v>4.9000000000000004</v>
      </c>
    </row>
    <row r="2646" spans="1:9" x14ac:dyDescent="0.3">
      <c r="A2646" t="s">
        <v>2661</v>
      </c>
      <c r="B2646" t="s">
        <v>10</v>
      </c>
      <c r="C2646" t="s">
        <v>14</v>
      </c>
      <c r="D2646">
        <v>28</v>
      </c>
      <c r="E2646" s="1">
        <v>43840</v>
      </c>
      <c r="F2646">
        <v>4.09</v>
      </c>
      <c r="G2646">
        <v>10</v>
      </c>
      <c r="H2646">
        <v>12116.69</v>
      </c>
      <c r="I2646">
        <v>5.8</v>
      </c>
    </row>
    <row r="2647" spans="1:9" x14ac:dyDescent="0.3">
      <c r="A2647" t="s">
        <v>2662</v>
      </c>
      <c r="B2647" t="s">
        <v>18</v>
      </c>
      <c r="C2647" t="s">
        <v>11</v>
      </c>
      <c r="D2647">
        <v>25</v>
      </c>
      <c r="E2647" s="1">
        <v>42590</v>
      </c>
      <c r="F2647">
        <v>3.6</v>
      </c>
      <c r="G2647">
        <v>11</v>
      </c>
      <c r="H2647">
        <v>4042.64</v>
      </c>
      <c r="I2647">
        <v>9.1999999999999993</v>
      </c>
    </row>
    <row r="2648" spans="1:9" x14ac:dyDescent="0.3">
      <c r="A2648" t="s">
        <v>2663</v>
      </c>
      <c r="B2648" t="s">
        <v>24</v>
      </c>
      <c r="C2648" t="s">
        <v>14</v>
      </c>
      <c r="D2648">
        <v>24</v>
      </c>
      <c r="E2648" s="1">
        <v>45643</v>
      </c>
      <c r="F2648">
        <v>2.54</v>
      </c>
      <c r="G2648">
        <v>5</v>
      </c>
      <c r="H2648">
        <v>8928.0300000000007</v>
      </c>
      <c r="I2648">
        <v>0.9</v>
      </c>
    </row>
    <row r="2649" spans="1:9" x14ac:dyDescent="0.3">
      <c r="A2649" t="s">
        <v>2664</v>
      </c>
      <c r="B2649" t="s">
        <v>24</v>
      </c>
      <c r="C2649" t="s">
        <v>14</v>
      </c>
      <c r="D2649">
        <v>41</v>
      </c>
      <c r="E2649" s="1">
        <v>45587</v>
      </c>
      <c r="F2649">
        <v>1.88</v>
      </c>
      <c r="G2649">
        <v>13</v>
      </c>
      <c r="H2649">
        <v>6578.62</v>
      </c>
      <c r="I2649">
        <v>1</v>
      </c>
    </row>
    <row r="2650" spans="1:9" x14ac:dyDescent="0.3">
      <c r="A2650" t="s">
        <v>2665</v>
      </c>
      <c r="B2650" t="s">
        <v>18</v>
      </c>
      <c r="C2650" t="s">
        <v>11</v>
      </c>
      <c r="D2650">
        <v>22</v>
      </c>
      <c r="E2650" s="1">
        <v>41528</v>
      </c>
      <c r="F2650">
        <v>3.97</v>
      </c>
      <c r="G2650">
        <v>1</v>
      </c>
      <c r="H2650">
        <v>4114.21</v>
      </c>
      <c r="I2650">
        <v>12.1</v>
      </c>
    </row>
    <row r="2651" spans="1:9" x14ac:dyDescent="0.3">
      <c r="A2651" t="s">
        <v>2666</v>
      </c>
      <c r="B2651" t="s">
        <v>34</v>
      </c>
      <c r="C2651" t="s">
        <v>14</v>
      </c>
      <c r="D2651">
        <v>38</v>
      </c>
      <c r="E2651" s="1">
        <v>44619</v>
      </c>
      <c r="F2651">
        <v>2.62</v>
      </c>
      <c r="G2651">
        <v>3</v>
      </c>
      <c r="H2651">
        <v>14582.65</v>
      </c>
      <c r="I2651">
        <v>3.7</v>
      </c>
    </row>
    <row r="2652" spans="1:9" x14ac:dyDescent="0.3">
      <c r="A2652" t="s">
        <v>2667</v>
      </c>
      <c r="B2652" t="s">
        <v>34</v>
      </c>
      <c r="C2652" t="s">
        <v>14</v>
      </c>
      <c r="D2652">
        <v>52</v>
      </c>
      <c r="E2652" s="1">
        <v>44116</v>
      </c>
      <c r="F2652">
        <v>3.2</v>
      </c>
      <c r="G2652">
        <v>12</v>
      </c>
      <c r="H2652">
        <v>13239.84</v>
      </c>
      <c r="I2652">
        <v>5.0999999999999996</v>
      </c>
    </row>
    <row r="2653" spans="1:9" x14ac:dyDescent="0.3">
      <c r="A2653" t="s">
        <v>2668</v>
      </c>
      <c r="B2653" t="s">
        <v>13</v>
      </c>
      <c r="C2653" t="s">
        <v>14</v>
      </c>
      <c r="D2653">
        <v>24</v>
      </c>
      <c r="E2653" s="1">
        <v>40266</v>
      </c>
      <c r="F2653">
        <v>2.44</v>
      </c>
      <c r="G2653">
        <v>1</v>
      </c>
      <c r="H2653">
        <v>9332.73</v>
      </c>
      <c r="I2653">
        <v>15.6</v>
      </c>
    </row>
    <row r="2654" spans="1:9" x14ac:dyDescent="0.3">
      <c r="A2654" t="s">
        <v>2669</v>
      </c>
      <c r="B2654" t="s">
        <v>10</v>
      </c>
      <c r="C2654" t="s">
        <v>14</v>
      </c>
      <c r="D2654">
        <v>25</v>
      </c>
      <c r="E2654" s="1">
        <v>44243</v>
      </c>
      <c r="F2654">
        <v>4.09</v>
      </c>
      <c r="G2654">
        <v>9</v>
      </c>
      <c r="H2654">
        <v>13771</v>
      </c>
      <c r="I2654">
        <v>4.7</v>
      </c>
    </row>
    <row r="2655" spans="1:9" x14ac:dyDescent="0.3">
      <c r="A2655" t="s">
        <v>2670</v>
      </c>
      <c r="B2655" t="s">
        <v>10</v>
      </c>
      <c r="C2655" t="s">
        <v>14</v>
      </c>
      <c r="D2655">
        <v>30</v>
      </c>
      <c r="E2655" s="1">
        <v>45451</v>
      </c>
      <c r="F2655">
        <v>4.5</v>
      </c>
      <c r="G2655">
        <v>13</v>
      </c>
      <c r="H2655">
        <v>12551.86</v>
      </c>
      <c r="I2655">
        <v>1.4</v>
      </c>
    </row>
    <row r="2656" spans="1:9" x14ac:dyDescent="0.3">
      <c r="A2656" t="s">
        <v>2671</v>
      </c>
      <c r="B2656" t="s">
        <v>24</v>
      </c>
      <c r="C2656" t="s">
        <v>14</v>
      </c>
      <c r="D2656">
        <v>41</v>
      </c>
      <c r="E2656" s="1">
        <v>44614</v>
      </c>
      <c r="F2656">
        <v>1.86</v>
      </c>
      <c r="G2656">
        <v>8</v>
      </c>
      <c r="H2656">
        <v>7408.54</v>
      </c>
      <c r="I2656">
        <v>3.7</v>
      </c>
    </row>
    <row r="2657" spans="1:9" x14ac:dyDescent="0.3">
      <c r="A2657" t="s">
        <v>2672</v>
      </c>
      <c r="B2657" t="s">
        <v>13</v>
      </c>
      <c r="C2657" t="s">
        <v>14</v>
      </c>
      <c r="D2657">
        <v>41</v>
      </c>
      <c r="E2657" s="1">
        <v>40863</v>
      </c>
      <c r="F2657">
        <v>4.83</v>
      </c>
      <c r="G2657">
        <v>3</v>
      </c>
      <c r="H2657">
        <v>14603.33</v>
      </c>
      <c r="I2657">
        <v>14</v>
      </c>
    </row>
    <row r="2658" spans="1:9" x14ac:dyDescent="0.3">
      <c r="A2658" t="s">
        <v>2673</v>
      </c>
      <c r="B2658" t="s">
        <v>16</v>
      </c>
      <c r="C2658" t="s">
        <v>11</v>
      </c>
      <c r="D2658">
        <v>39</v>
      </c>
      <c r="E2658" s="1">
        <v>43520</v>
      </c>
      <c r="F2658">
        <v>4</v>
      </c>
      <c r="G2658">
        <v>15</v>
      </c>
      <c r="H2658">
        <v>12295.17</v>
      </c>
      <c r="I2658">
        <v>6.7</v>
      </c>
    </row>
    <row r="2659" spans="1:9" x14ac:dyDescent="0.3">
      <c r="A2659" t="s">
        <v>2674</v>
      </c>
      <c r="B2659" t="s">
        <v>18</v>
      </c>
      <c r="C2659" t="s">
        <v>11</v>
      </c>
      <c r="D2659">
        <v>58</v>
      </c>
      <c r="E2659" s="1">
        <v>40599</v>
      </c>
      <c r="F2659">
        <v>4.55</v>
      </c>
      <c r="G2659">
        <v>2</v>
      </c>
      <c r="H2659">
        <v>10604.35</v>
      </c>
      <c r="I2659">
        <v>14.7</v>
      </c>
    </row>
    <row r="2660" spans="1:9" x14ac:dyDescent="0.3">
      <c r="A2660" t="s">
        <v>2675</v>
      </c>
      <c r="B2660" t="s">
        <v>18</v>
      </c>
      <c r="C2660" t="s">
        <v>11</v>
      </c>
      <c r="D2660">
        <v>48</v>
      </c>
      <c r="E2660" s="1">
        <v>40929</v>
      </c>
      <c r="F2660">
        <v>3.36</v>
      </c>
      <c r="G2660">
        <v>10</v>
      </c>
      <c r="H2660">
        <v>13665.49</v>
      </c>
      <c r="I2660">
        <v>13.8</v>
      </c>
    </row>
    <row r="2661" spans="1:9" x14ac:dyDescent="0.3">
      <c r="A2661" t="s">
        <v>2676</v>
      </c>
      <c r="B2661" t="s">
        <v>24</v>
      </c>
      <c r="C2661" t="s">
        <v>11</v>
      </c>
      <c r="D2661">
        <v>48</v>
      </c>
      <c r="E2661" s="1">
        <v>42183</v>
      </c>
      <c r="F2661">
        <v>3.54</v>
      </c>
      <c r="G2661">
        <v>2</v>
      </c>
      <c r="H2661">
        <v>9026.82</v>
      </c>
      <c r="I2661">
        <v>10.4</v>
      </c>
    </row>
    <row r="2662" spans="1:9" x14ac:dyDescent="0.3">
      <c r="A2662" t="s">
        <v>2677</v>
      </c>
      <c r="B2662" t="s">
        <v>34</v>
      </c>
      <c r="C2662" t="s">
        <v>14</v>
      </c>
      <c r="D2662">
        <v>46</v>
      </c>
      <c r="E2662" s="1">
        <v>45159</v>
      </c>
      <c r="F2662">
        <v>3.55</v>
      </c>
      <c r="G2662">
        <v>10</v>
      </c>
      <c r="H2662">
        <v>5393.08</v>
      </c>
      <c r="I2662">
        <v>2.2000000000000002</v>
      </c>
    </row>
    <row r="2663" spans="1:9" x14ac:dyDescent="0.3">
      <c r="A2663" t="s">
        <v>2678</v>
      </c>
      <c r="B2663" t="s">
        <v>34</v>
      </c>
      <c r="C2663" t="s">
        <v>11</v>
      </c>
      <c r="D2663">
        <v>53</v>
      </c>
      <c r="E2663" s="1">
        <v>44192</v>
      </c>
      <c r="F2663">
        <v>4.67</v>
      </c>
      <c r="G2663">
        <v>5</v>
      </c>
      <c r="H2663">
        <v>5162.6899999999996</v>
      </c>
      <c r="I2663">
        <v>4.8</v>
      </c>
    </row>
    <row r="2664" spans="1:9" x14ac:dyDescent="0.3">
      <c r="A2664" t="s">
        <v>2679</v>
      </c>
      <c r="B2664" t="s">
        <v>16</v>
      </c>
      <c r="C2664" t="s">
        <v>14</v>
      </c>
      <c r="D2664">
        <v>26</v>
      </c>
      <c r="E2664" s="1">
        <v>44817</v>
      </c>
      <c r="F2664">
        <v>4.54</v>
      </c>
      <c r="G2664">
        <v>12</v>
      </c>
      <c r="H2664">
        <v>14656.92</v>
      </c>
      <c r="I2664">
        <v>3.1</v>
      </c>
    </row>
    <row r="2665" spans="1:9" x14ac:dyDescent="0.3">
      <c r="A2665" t="s">
        <v>2680</v>
      </c>
      <c r="B2665" t="s">
        <v>18</v>
      </c>
      <c r="C2665" t="s">
        <v>14</v>
      </c>
      <c r="D2665">
        <v>54</v>
      </c>
      <c r="E2665" s="1">
        <v>41852</v>
      </c>
      <c r="F2665">
        <v>2.9</v>
      </c>
      <c r="G2665">
        <v>8</v>
      </c>
      <c r="H2665">
        <v>6049.97</v>
      </c>
      <c r="I2665">
        <v>11.3</v>
      </c>
    </row>
    <row r="2666" spans="1:9" x14ac:dyDescent="0.3">
      <c r="A2666" t="s">
        <v>2681</v>
      </c>
      <c r="B2666" t="s">
        <v>34</v>
      </c>
      <c r="C2666" t="s">
        <v>14</v>
      </c>
      <c r="D2666">
        <v>59</v>
      </c>
      <c r="E2666" s="1">
        <v>44469</v>
      </c>
      <c r="F2666">
        <v>1.98</v>
      </c>
      <c r="G2666">
        <v>11</v>
      </c>
      <c r="H2666">
        <v>14299.76</v>
      </c>
      <c r="I2666">
        <v>4.0999999999999996</v>
      </c>
    </row>
    <row r="2667" spans="1:9" x14ac:dyDescent="0.3">
      <c r="A2667" t="s">
        <v>2682</v>
      </c>
      <c r="B2667" t="s">
        <v>24</v>
      </c>
      <c r="C2667" t="s">
        <v>11</v>
      </c>
      <c r="D2667">
        <v>26</v>
      </c>
      <c r="E2667" s="1">
        <v>42315</v>
      </c>
      <c r="F2667">
        <v>3.99</v>
      </c>
      <c r="G2667">
        <v>2</v>
      </c>
      <c r="H2667">
        <v>9969.6299999999992</v>
      </c>
      <c r="I2667">
        <v>10</v>
      </c>
    </row>
    <row r="2668" spans="1:9" x14ac:dyDescent="0.3">
      <c r="A2668" t="s">
        <v>2683</v>
      </c>
      <c r="B2668" t="s">
        <v>16</v>
      </c>
      <c r="C2668" t="s">
        <v>14</v>
      </c>
      <c r="D2668">
        <v>35</v>
      </c>
      <c r="E2668" s="1">
        <v>43347</v>
      </c>
      <c r="F2668">
        <v>3.71</v>
      </c>
      <c r="G2668">
        <v>8</v>
      </c>
      <c r="H2668">
        <v>8694.31</v>
      </c>
      <c r="I2668">
        <v>7.2</v>
      </c>
    </row>
    <row r="2669" spans="1:9" x14ac:dyDescent="0.3">
      <c r="A2669" t="s">
        <v>2684</v>
      </c>
      <c r="B2669" t="s">
        <v>24</v>
      </c>
      <c r="C2669" t="s">
        <v>11</v>
      </c>
      <c r="D2669">
        <v>30</v>
      </c>
      <c r="E2669" s="1">
        <v>40216</v>
      </c>
      <c r="F2669">
        <v>4.9000000000000004</v>
      </c>
      <c r="G2669">
        <v>14</v>
      </c>
      <c r="H2669">
        <v>14580.6</v>
      </c>
      <c r="I2669">
        <v>15.7</v>
      </c>
    </row>
    <row r="2670" spans="1:9" x14ac:dyDescent="0.3">
      <c r="A2670" t="s">
        <v>2685</v>
      </c>
      <c r="B2670" t="s">
        <v>18</v>
      </c>
      <c r="C2670" t="s">
        <v>14</v>
      </c>
      <c r="D2670">
        <v>38</v>
      </c>
      <c r="E2670" s="1">
        <v>45757</v>
      </c>
      <c r="F2670">
        <v>4.07</v>
      </c>
      <c r="G2670">
        <v>7</v>
      </c>
      <c r="H2670">
        <v>12067.83</v>
      </c>
      <c r="I2670">
        <v>0.6</v>
      </c>
    </row>
    <row r="2671" spans="1:9" x14ac:dyDescent="0.3">
      <c r="A2671" t="s">
        <v>2686</v>
      </c>
      <c r="B2671" t="s">
        <v>16</v>
      </c>
      <c r="C2671" t="s">
        <v>11</v>
      </c>
      <c r="D2671">
        <v>58</v>
      </c>
      <c r="E2671" s="1">
        <v>44066</v>
      </c>
      <c r="F2671">
        <v>2.23</v>
      </c>
      <c r="G2671">
        <v>10</v>
      </c>
      <c r="H2671">
        <v>14519.66</v>
      </c>
      <c r="I2671">
        <v>5.2</v>
      </c>
    </row>
    <row r="2672" spans="1:9" x14ac:dyDescent="0.3">
      <c r="A2672" t="s">
        <v>2687</v>
      </c>
      <c r="B2672" t="s">
        <v>16</v>
      </c>
      <c r="C2672" t="s">
        <v>14</v>
      </c>
      <c r="D2672">
        <v>38</v>
      </c>
      <c r="E2672" s="1">
        <v>43496</v>
      </c>
      <c r="F2672">
        <v>4.43</v>
      </c>
      <c r="G2672">
        <v>9</v>
      </c>
      <c r="H2672">
        <v>3556.01</v>
      </c>
      <c r="I2672">
        <v>6.8</v>
      </c>
    </row>
    <row r="2673" spans="1:9" x14ac:dyDescent="0.3">
      <c r="A2673" t="s">
        <v>2688</v>
      </c>
      <c r="B2673" t="s">
        <v>34</v>
      </c>
      <c r="C2673" t="s">
        <v>14</v>
      </c>
      <c r="D2673">
        <v>60</v>
      </c>
      <c r="E2673" s="1">
        <v>44991</v>
      </c>
      <c r="F2673">
        <v>3.84</v>
      </c>
      <c r="G2673">
        <v>10</v>
      </c>
      <c r="H2673">
        <v>8727.91</v>
      </c>
      <c r="I2673">
        <v>2.7</v>
      </c>
    </row>
    <row r="2674" spans="1:9" x14ac:dyDescent="0.3">
      <c r="A2674" t="s">
        <v>2689</v>
      </c>
      <c r="B2674" t="s">
        <v>18</v>
      </c>
      <c r="C2674" t="s">
        <v>11</v>
      </c>
      <c r="D2674">
        <v>38</v>
      </c>
      <c r="E2674" s="1">
        <v>44210</v>
      </c>
      <c r="F2674">
        <v>1.96</v>
      </c>
      <c r="G2674">
        <v>3</v>
      </c>
      <c r="H2674">
        <v>3081.03</v>
      </c>
      <c r="I2674">
        <v>4.8</v>
      </c>
    </row>
    <row r="2675" spans="1:9" x14ac:dyDescent="0.3">
      <c r="A2675" t="s">
        <v>2690</v>
      </c>
      <c r="B2675" t="s">
        <v>18</v>
      </c>
      <c r="C2675" t="s">
        <v>14</v>
      </c>
      <c r="D2675">
        <v>57</v>
      </c>
      <c r="E2675" s="1">
        <v>40865</v>
      </c>
      <c r="F2675">
        <v>4.9400000000000004</v>
      </c>
      <c r="G2675">
        <v>11</v>
      </c>
      <c r="H2675">
        <v>3523.77</v>
      </c>
      <c r="I2675">
        <v>14</v>
      </c>
    </row>
    <row r="2676" spans="1:9" x14ac:dyDescent="0.3">
      <c r="A2676" t="s">
        <v>2691</v>
      </c>
      <c r="B2676" t="s">
        <v>34</v>
      </c>
      <c r="C2676" t="s">
        <v>11</v>
      </c>
      <c r="D2676">
        <v>51</v>
      </c>
      <c r="E2676" s="1">
        <v>44175</v>
      </c>
      <c r="F2676">
        <v>3.19</v>
      </c>
      <c r="G2676">
        <v>2</v>
      </c>
      <c r="H2676">
        <v>7814.62</v>
      </c>
      <c r="I2676">
        <v>4.9000000000000004</v>
      </c>
    </row>
    <row r="2677" spans="1:9" x14ac:dyDescent="0.3">
      <c r="A2677" t="s">
        <v>2692</v>
      </c>
      <c r="B2677" t="s">
        <v>34</v>
      </c>
      <c r="C2677" t="s">
        <v>11</v>
      </c>
      <c r="D2677">
        <v>40</v>
      </c>
      <c r="E2677" s="1">
        <v>41246</v>
      </c>
      <c r="F2677">
        <v>4.8899999999999997</v>
      </c>
      <c r="G2677">
        <v>9</v>
      </c>
      <c r="H2677">
        <v>3467.3</v>
      </c>
      <c r="I2677">
        <v>12.9</v>
      </c>
    </row>
    <row r="2678" spans="1:9" x14ac:dyDescent="0.3">
      <c r="A2678" t="s">
        <v>2693</v>
      </c>
      <c r="B2678" t="s">
        <v>10</v>
      </c>
      <c r="C2678" t="s">
        <v>11</v>
      </c>
      <c r="D2678">
        <v>45</v>
      </c>
      <c r="E2678" s="1">
        <v>40278</v>
      </c>
      <c r="F2678">
        <v>3.63</v>
      </c>
      <c r="G2678">
        <v>13</v>
      </c>
      <c r="H2678">
        <v>5727.34</v>
      </c>
      <c r="I2678">
        <v>15.6</v>
      </c>
    </row>
    <row r="2679" spans="1:9" x14ac:dyDescent="0.3">
      <c r="A2679" t="s">
        <v>2694</v>
      </c>
      <c r="B2679" t="s">
        <v>18</v>
      </c>
      <c r="C2679" t="s">
        <v>11</v>
      </c>
      <c r="D2679">
        <v>60</v>
      </c>
      <c r="E2679" s="1">
        <v>45876</v>
      </c>
      <c r="F2679">
        <v>3.57</v>
      </c>
      <c r="G2679">
        <v>5</v>
      </c>
      <c r="H2679">
        <v>4446.74</v>
      </c>
      <c r="I2679">
        <v>0.2</v>
      </c>
    </row>
    <row r="2680" spans="1:9" x14ac:dyDescent="0.3">
      <c r="A2680" t="s">
        <v>2695</v>
      </c>
      <c r="B2680" t="s">
        <v>18</v>
      </c>
      <c r="C2680" t="s">
        <v>14</v>
      </c>
      <c r="D2680">
        <v>31</v>
      </c>
      <c r="E2680" s="1">
        <v>40805</v>
      </c>
      <c r="F2680">
        <v>1.95</v>
      </c>
      <c r="G2680">
        <v>2</v>
      </c>
      <c r="H2680">
        <v>14423.87</v>
      </c>
      <c r="I2680">
        <v>14.1</v>
      </c>
    </row>
    <row r="2681" spans="1:9" x14ac:dyDescent="0.3">
      <c r="A2681" t="s">
        <v>2696</v>
      </c>
      <c r="B2681" t="s">
        <v>10</v>
      </c>
      <c r="C2681" t="s">
        <v>14</v>
      </c>
      <c r="D2681">
        <v>38</v>
      </c>
      <c r="E2681" s="1">
        <v>41991</v>
      </c>
      <c r="F2681">
        <v>1.54</v>
      </c>
      <c r="G2681">
        <v>5</v>
      </c>
      <c r="H2681">
        <v>3108.33</v>
      </c>
      <c r="I2681">
        <v>10.9</v>
      </c>
    </row>
    <row r="2682" spans="1:9" x14ac:dyDescent="0.3">
      <c r="A2682" t="s">
        <v>2697</v>
      </c>
      <c r="B2682" t="s">
        <v>18</v>
      </c>
      <c r="C2682" t="s">
        <v>11</v>
      </c>
      <c r="D2682">
        <v>28</v>
      </c>
      <c r="E2682" s="1">
        <v>42849</v>
      </c>
      <c r="F2682">
        <v>2.13</v>
      </c>
      <c r="G2682">
        <v>2</v>
      </c>
      <c r="H2682">
        <v>9777.16</v>
      </c>
      <c r="I2682">
        <v>8.5</v>
      </c>
    </row>
    <row r="2683" spans="1:9" x14ac:dyDescent="0.3">
      <c r="A2683" t="s">
        <v>2698</v>
      </c>
      <c r="B2683" t="s">
        <v>18</v>
      </c>
      <c r="C2683" t="s">
        <v>14</v>
      </c>
      <c r="D2683">
        <v>23</v>
      </c>
      <c r="E2683" s="1">
        <v>42915</v>
      </c>
      <c r="F2683">
        <v>2.0499999999999998</v>
      </c>
      <c r="G2683">
        <v>0</v>
      </c>
      <c r="H2683">
        <v>10867.69</v>
      </c>
      <c r="I2683">
        <v>8.3000000000000007</v>
      </c>
    </row>
    <row r="2684" spans="1:9" x14ac:dyDescent="0.3">
      <c r="A2684" t="s">
        <v>2699</v>
      </c>
      <c r="B2684" t="s">
        <v>18</v>
      </c>
      <c r="C2684" t="s">
        <v>14</v>
      </c>
      <c r="D2684">
        <v>31</v>
      </c>
      <c r="E2684" s="1">
        <v>43125</v>
      </c>
      <c r="F2684">
        <v>2.08</v>
      </c>
      <c r="G2684">
        <v>15</v>
      </c>
      <c r="H2684">
        <v>11919</v>
      </c>
      <c r="I2684">
        <v>7.8</v>
      </c>
    </row>
    <row r="2685" spans="1:9" x14ac:dyDescent="0.3">
      <c r="A2685" t="s">
        <v>2700</v>
      </c>
      <c r="B2685" t="s">
        <v>13</v>
      </c>
      <c r="C2685" t="s">
        <v>11</v>
      </c>
      <c r="D2685">
        <v>57</v>
      </c>
      <c r="E2685" s="1">
        <v>42199</v>
      </c>
      <c r="F2685">
        <v>1.81</v>
      </c>
      <c r="G2685">
        <v>0</v>
      </c>
      <c r="H2685">
        <v>8906.93</v>
      </c>
      <c r="I2685">
        <v>10.3</v>
      </c>
    </row>
    <row r="2686" spans="1:9" x14ac:dyDescent="0.3">
      <c r="A2686" t="s">
        <v>2701</v>
      </c>
      <c r="B2686" t="s">
        <v>16</v>
      </c>
      <c r="C2686" t="s">
        <v>11</v>
      </c>
      <c r="D2686">
        <v>29</v>
      </c>
      <c r="E2686" s="1">
        <v>41874</v>
      </c>
      <c r="F2686">
        <v>3.95</v>
      </c>
      <c r="G2686">
        <v>9</v>
      </c>
      <c r="H2686">
        <v>5291.39</v>
      </c>
      <c r="I2686">
        <v>11.2</v>
      </c>
    </row>
    <row r="2687" spans="1:9" x14ac:dyDescent="0.3">
      <c r="A2687" t="s">
        <v>2702</v>
      </c>
      <c r="B2687" t="s">
        <v>18</v>
      </c>
      <c r="C2687" t="s">
        <v>14</v>
      </c>
      <c r="D2687">
        <v>50</v>
      </c>
      <c r="E2687" s="1">
        <v>43860</v>
      </c>
      <c r="F2687">
        <v>4.33</v>
      </c>
      <c r="G2687">
        <v>4</v>
      </c>
      <c r="H2687">
        <v>7354.27</v>
      </c>
      <c r="I2687">
        <v>5.8</v>
      </c>
    </row>
    <row r="2688" spans="1:9" x14ac:dyDescent="0.3">
      <c r="A2688" t="s">
        <v>2703</v>
      </c>
      <c r="B2688" t="s">
        <v>34</v>
      </c>
      <c r="C2688" t="s">
        <v>11</v>
      </c>
      <c r="D2688">
        <v>26</v>
      </c>
      <c r="E2688" s="1">
        <v>42874</v>
      </c>
      <c r="F2688">
        <v>3.66</v>
      </c>
      <c r="G2688">
        <v>1</v>
      </c>
      <c r="H2688">
        <v>10481.73</v>
      </c>
      <c r="I2688">
        <v>8.5</v>
      </c>
    </row>
    <row r="2689" spans="1:9" x14ac:dyDescent="0.3">
      <c r="A2689" t="s">
        <v>2704</v>
      </c>
      <c r="B2689" t="s">
        <v>34</v>
      </c>
      <c r="C2689" t="s">
        <v>11</v>
      </c>
      <c r="D2689">
        <v>40</v>
      </c>
      <c r="E2689" s="1">
        <v>40557</v>
      </c>
      <c r="F2689">
        <v>1.88</v>
      </c>
      <c r="G2689">
        <v>13</v>
      </c>
      <c r="H2689">
        <v>4760.7299999999996</v>
      </c>
      <c r="I2689">
        <v>14.8</v>
      </c>
    </row>
    <row r="2690" spans="1:9" x14ac:dyDescent="0.3">
      <c r="A2690" t="s">
        <v>2705</v>
      </c>
      <c r="B2690" t="s">
        <v>16</v>
      </c>
      <c r="C2690" t="s">
        <v>11</v>
      </c>
      <c r="D2690">
        <v>55</v>
      </c>
      <c r="E2690" s="1">
        <v>43657</v>
      </c>
      <c r="F2690">
        <v>2.78</v>
      </c>
      <c r="G2690">
        <v>7</v>
      </c>
      <c r="H2690">
        <v>14649.36</v>
      </c>
      <c r="I2690">
        <v>6.3</v>
      </c>
    </row>
    <row r="2691" spans="1:9" x14ac:dyDescent="0.3">
      <c r="A2691" t="s">
        <v>2706</v>
      </c>
      <c r="B2691" t="s">
        <v>18</v>
      </c>
      <c r="C2691" t="s">
        <v>14</v>
      </c>
      <c r="D2691">
        <v>40</v>
      </c>
      <c r="E2691" s="1">
        <v>40189</v>
      </c>
      <c r="F2691">
        <v>4.7</v>
      </c>
      <c r="G2691">
        <v>9</v>
      </c>
      <c r="H2691">
        <v>5636.39</v>
      </c>
      <c r="I2691">
        <v>15.8</v>
      </c>
    </row>
    <row r="2692" spans="1:9" x14ac:dyDescent="0.3">
      <c r="A2692" t="s">
        <v>2707</v>
      </c>
      <c r="B2692" t="s">
        <v>13</v>
      </c>
      <c r="C2692" t="s">
        <v>14</v>
      </c>
      <c r="D2692">
        <v>58</v>
      </c>
      <c r="E2692" s="1">
        <v>45686</v>
      </c>
      <c r="F2692">
        <v>3.29</v>
      </c>
      <c r="G2692">
        <v>0</v>
      </c>
      <c r="H2692">
        <v>10216.950000000001</v>
      </c>
      <c r="I2692">
        <v>0.8</v>
      </c>
    </row>
    <row r="2693" spans="1:9" x14ac:dyDescent="0.3">
      <c r="A2693" t="s">
        <v>2708</v>
      </c>
      <c r="B2693" t="s">
        <v>10</v>
      </c>
      <c r="C2693" t="s">
        <v>14</v>
      </c>
      <c r="D2693">
        <v>60</v>
      </c>
      <c r="E2693" s="1">
        <v>44027</v>
      </c>
      <c r="F2693">
        <v>2.8</v>
      </c>
      <c r="G2693">
        <v>7</v>
      </c>
      <c r="H2693">
        <v>13817.85</v>
      </c>
      <c r="I2693">
        <v>5.3</v>
      </c>
    </row>
    <row r="2694" spans="1:9" x14ac:dyDescent="0.3">
      <c r="A2694" t="s">
        <v>2709</v>
      </c>
      <c r="B2694" t="s">
        <v>16</v>
      </c>
      <c r="C2694" t="s">
        <v>11</v>
      </c>
      <c r="D2694">
        <v>24</v>
      </c>
      <c r="E2694" s="1">
        <v>41035</v>
      </c>
      <c r="F2694">
        <v>3.62</v>
      </c>
      <c r="G2694">
        <v>13</v>
      </c>
      <c r="H2694">
        <v>12603.18</v>
      </c>
      <c r="I2694">
        <v>13.5</v>
      </c>
    </row>
    <row r="2695" spans="1:9" x14ac:dyDescent="0.3">
      <c r="A2695" t="s">
        <v>2710</v>
      </c>
      <c r="B2695" t="s">
        <v>18</v>
      </c>
      <c r="C2695" t="s">
        <v>14</v>
      </c>
      <c r="D2695">
        <v>38</v>
      </c>
      <c r="E2695" s="1">
        <v>40485</v>
      </c>
      <c r="F2695">
        <v>3</v>
      </c>
      <c r="G2695">
        <v>10</v>
      </c>
      <c r="H2695">
        <v>8541.41</v>
      </c>
      <c r="I2695">
        <v>15</v>
      </c>
    </row>
    <row r="2696" spans="1:9" x14ac:dyDescent="0.3">
      <c r="A2696" t="s">
        <v>2711</v>
      </c>
      <c r="B2696" t="s">
        <v>16</v>
      </c>
      <c r="C2696" t="s">
        <v>14</v>
      </c>
      <c r="D2696">
        <v>50</v>
      </c>
      <c r="E2696" s="1">
        <v>40265</v>
      </c>
      <c r="F2696">
        <v>3.3</v>
      </c>
      <c r="G2696">
        <v>9</v>
      </c>
      <c r="H2696">
        <v>4029.55</v>
      </c>
      <c r="I2696">
        <v>15.6</v>
      </c>
    </row>
    <row r="2697" spans="1:9" x14ac:dyDescent="0.3">
      <c r="A2697" t="s">
        <v>2712</v>
      </c>
      <c r="B2697" t="s">
        <v>24</v>
      </c>
      <c r="C2697" t="s">
        <v>14</v>
      </c>
      <c r="D2697">
        <v>51</v>
      </c>
      <c r="E2697" s="1">
        <v>43362</v>
      </c>
      <c r="F2697">
        <v>4.1100000000000003</v>
      </c>
      <c r="G2697">
        <v>3</v>
      </c>
      <c r="H2697">
        <v>10510.2</v>
      </c>
      <c r="I2697">
        <v>7.1</v>
      </c>
    </row>
    <row r="2698" spans="1:9" x14ac:dyDescent="0.3">
      <c r="A2698" t="s">
        <v>2713</v>
      </c>
      <c r="B2698" t="s">
        <v>10</v>
      </c>
      <c r="C2698" t="s">
        <v>11</v>
      </c>
      <c r="D2698">
        <v>48</v>
      </c>
      <c r="E2698" s="1">
        <v>45564</v>
      </c>
      <c r="F2698">
        <v>4.3499999999999996</v>
      </c>
      <c r="G2698">
        <v>3</v>
      </c>
      <c r="H2698">
        <v>3537.76</v>
      </c>
      <c r="I2698">
        <v>1.1000000000000001</v>
      </c>
    </row>
    <row r="2699" spans="1:9" x14ac:dyDescent="0.3">
      <c r="A2699" t="s">
        <v>2714</v>
      </c>
      <c r="B2699" t="s">
        <v>10</v>
      </c>
      <c r="C2699" t="s">
        <v>14</v>
      </c>
      <c r="D2699">
        <v>30</v>
      </c>
      <c r="E2699" s="1">
        <v>41913</v>
      </c>
      <c r="F2699">
        <v>2.42</v>
      </c>
      <c r="G2699">
        <v>8</v>
      </c>
      <c r="H2699">
        <v>12929.81</v>
      </c>
      <c r="I2699">
        <v>11.1</v>
      </c>
    </row>
    <row r="2700" spans="1:9" x14ac:dyDescent="0.3">
      <c r="A2700" t="s">
        <v>2715</v>
      </c>
      <c r="B2700" t="s">
        <v>10</v>
      </c>
      <c r="C2700" t="s">
        <v>11</v>
      </c>
      <c r="D2700">
        <v>37</v>
      </c>
      <c r="E2700" s="1">
        <v>42783</v>
      </c>
      <c r="F2700">
        <v>3.6</v>
      </c>
      <c r="G2700">
        <v>11</v>
      </c>
      <c r="H2700">
        <v>8434.84</v>
      </c>
      <c r="I2700">
        <v>8.6999999999999993</v>
      </c>
    </row>
    <row r="2701" spans="1:9" x14ac:dyDescent="0.3">
      <c r="A2701" t="s">
        <v>2716</v>
      </c>
      <c r="B2701" t="s">
        <v>24</v>
      </c>
      <c r="C2701" t="s">
        <v>14</v>
      </c>
      <c r="D2701">
        <v>42</v>
      </c>
      <c r="E2701" s="1">
        <v>40448</v>
      </c>
      <c r="F2701">
        <v>1.88</v>
      </c>
      <c r="G2701">
        <v>0</v>
      </c>
      <c r="H2701">
        <v>3256.37</v>
      </c>
      <c r="I2701">
        <v>15.1</v>
      </c>
    </row>
    <row r="2702" spans="1:9" x14ac:dyDescent="0.3">
      <c r="A2702" t="s">
        <v>2717</v>
      </c>
      <c r="B2702" t="s">
        <v>24</v>
      </c>
      <c r="C2702" t="s">
        <v>11</v>
      </c>
      <c r="D2702">
        <v>38</v>
      </c>
      <c r="E2702" s="1">
        <v>44396</v>
      </c>
      <c r="F2702">
        <v>3.23</v>
      </c>
      <c r="G2702">
        <v>14</v>
      </c>
      <c r="H2702">
        <v>12997</v>
      </c>
      <c r="I2702">
        <v>4.3</v>
      </c>
    </row>
    <row r="2703" spans="1:9" x14ac:dyDescent="0.3">
      <c r="A2703" t="s">
        <v>2718</v>
      </c>
      <c r="B2703" t="s">
        <v>34</v>
      </c>
      <c r="C2703" t="s">
        <v>11</v>
      </c>
      <c r="D2703">
        <v>31</v>
      </c>
      <c r="E2703" s="1">
        <v>43337</v>
      </c>
      <c r="F2703">
        <v>3.52</v>
      </c>
      <c r="G2703">
        <v>9</v>
      </c>
      <c r="H2703">
        <v>13063.07</v>
      </c>
      <c r="I2703">
        <v>7.2</v>
      </c>
    </row>
    <row r="2704" spans="1:9" x14ac:dyDescent="0.3">
      <c r="A2704" t="s">
        <v>2719</v>
      </c>
      <c r="B2704" t="s">
        <v>10</v>
      </c>
      <c r="C2704" t="s">
        <v>14</v>
      </c>
      <c r="D2704">
        <v>34</v>
      </c>
      <c r="E2704" s="1">
        <v>40914</v>
      </c>
      <c r="F2704">
        <v>3.21</v>
      </c>
      <c r="G2704">
        <v>5</v>
      </c>
      <c r="H2704">
        <v>3507.77</v>
      </c>
      <c r="I2704">
        <v>13.8</v>
      </c>
    </row>
    <row r="2705" spans="1:9" x14ac:dyDescent="0.3">
      <c r="A2705" t="s">
        <v>2720</v>
      </c>
      <c r="B2705" t="s">
        <v>10</v>
      </c>
      <c r="C2705" t="s">
        <v>11</v>
      </c>
      <c r="D2705">
        <v>50</v>
      </c>
      <c r="E2705" s="1">
        <v>40849</v>
      </c>
      <c r="F2705">
        <v>3.21</v>
      </c>
      <c r="G2705">
        <v>14</v>
      </c>
      <c r="H2705">
        <v>6115.92</v>
      </c>
      <c r="I2705">
        <v>14</v>
      </c>
    </row>
    <row r="2706" spans="1:9" x14ac:dyDescent="0.3">
      <c r="A2706" t="s">
        <v>2721</v>
      </c>
      <c r="B2706" t="s">
        <v>16</v>
      </c>
      <c r="C2706" t="s">
        <v>11</v>
      </c>
      <c r="D2706">
        <v>38</v>
      </c>
      <c r="E2706" s="1">
        <v>40734</v>
      </c>
      <c r="F2706">
        <v>1.89</v>
      </c>
      <c r="G2706">
        <v>14</v>
      </c>
      <c r="H2706">
        <v>14140.89</v>
      </c>
      <c r="I2706">
        <v>14.3</v>
      </c>
    </row>
    <row r="2707" spans="1:9" x14ac:dyDescent="0.3">
      <c r="A2707" t="s">
        <v>2722</v>
      </c>
      <c r="B2707" t="s">
        <v>34</v>
      </c>
      <c r="C2707" t="s">
        <v>11</v>
      </c>
      <c r="D2707">
        <v>32</v>
      </c>
      <c r="E2707" s="1">
        <v>41735</v>
      </c>
      <c r="F2707">
        <v>3.34</v>
      </c>
      <c r="G2707">
        <v>0</v>
      </c>
      <c r="H2707">
        <v>10564.55</v>
      </c>
      <c r="I2707">
        <v>11.6</v>
      </c>
    </row>
    <row r="2708" spans="1:9" x14ac:dyDescent="0.3">
      <c r="A2708" t="s">
        <v>2723</v>
      </c>
      <c r="B2708" t="s">
        <v>16</v>
      </c>
      <c r="C2708" t="s">
        <v>14</v>
      </c>
      <c r="D2708">
        <v>36</v>
      </c>
      <c r="E2708" s="1">
        <v>42953</v>
      </c>
      <c r="F2708">
        <v>3.54</v>
      </c>
      <c r="G2708">
        <v>4</v>
      </c>
      <c r="H2708">
        <v>14734.74</v>
      </c>
      <c r="I2708">
        <v>8.1999999999999993</v>
      </c>
    </row>
    <row r="2709" spans="1:9" x14ac:dyDescent="0.3">
      <c r="A2709" t="s">
        <v>2724</v>
      </c>
      <c r="B2709" t="s">
        <v>34</v>
      </c>
      <c r="C2709" t="s">
        <v>11</v>
      </c>
      <c r="D2709">
        <v>45</v>
      </c>
      <c r="E2709" s="1">
        <v>43896</v>
      </c>
      <c r="F2709">
        <v>3.36</v>
      </c>
      <c r="G2709">
        <v>11</v>
      </c>
      <c r="H2709">
        <v>6478</v>
      </c>
      <c r="I2709">
        <v>5.7</v>
      </c>
    </row>
    <row r="2710" spans="1:9" x14ac:dyDescent="0.3">
      <c r="A2710" t="s">
        <v>2725</v>
      </c>
      <c r="B2710" t="s">
        <v>16</v>
      </c>
      <c r="C2710" t="s">
        <v>11</v>
      </c>
      <c r="D2710">
        <v>31</v>
      </c>
      <c r="E2710" s="1">
        <v>40311</v>
      </c>
      <c r="F2710">
        <v>1.61</v>
      </c>
      <c r="G2710">
        <v>5</v>
      </c>
      <c r="H2710">
        <v>3126.01</v>
      </c>
      <c r="I2710">
        <v>15.5</v>
      </c>
    </row>
    <row r="2711" spans="1:9" x14ac:dyDescent="0.3">
      <c r="A2711" t="s">
        <v>2726</v>
      </c>
      <c r="B2711" t="s">
        <v>18</v>
      </c>
      <c r="C2711" t="s">
        <v>11</v>
      </c>
      <c r="D2711">
        <v>47</v>
      </c>
      <c r="E2711" s="1">
        <v>41389</v>
      </c>
      <c r="F2711">
        <v>3.13</v>
      </c>
      <c r="G2711">
        <v>8</v>
      </c>
      <c r="H2711">
        <v>5314.26</v>
      </c>
      <c r="I2711">
        <v>12.5</v>
      </c>
    </row>
    <row r="2712" spans="1:9" x14ac:dyDescent="0.3">
      <c r="A2712" t="s">
        <v>2727</v>
      </c>
      <c r="B2712" t="s">
        <v>34</v>
      </c>
      <c r="C2712" t="s">
        <v>11</v>
      </c>
      <c r="D2712">
        <v>46</v>
      </c>
      <c r="E2712" s="1">
        <v>45078</v>
      </c>
      <c r="F2712">
        <v>4.24</v>
      </c>
      <c r="G2712">
        <v>13</v>
      </c>
      <c r="H2712">
        <v>5850.81</v>
      </c>
      <c r="I2712">
        <v>2.4</v>
      </c>
    </row>
    <row r="2713" spans="1:9" x14ac:dyDescent="0.3">
      <c r="A2713" t="s">
        <v>2728</v>
      </c>
      <c r="B2713" t="s">
        <v>18</v>
      </c>
      <c r="C2713" t="s">
        <v>14</v>
      </c>
      <c r="D2713">
        <v>54</v>
      </c>
      <c r="E2713" s="1">
        <v>44328</v>
      </c>
      <c r="F2713">
        <v>3.26</v>
      </c>
      <c r="G2713">
        <v>4</v>
      </c>
      <c r="H2713">
        <v>3200.45</v>
      </c>
      <c r="I2713">
        <v>4.5</v>
      </c>
    </row>
    <row r="2714" spans="1:9" x14ac:dyDescent="0.3">
      <c r="A2714" t="s">
        <v>2729</v>
      </c>
      <c r="B2714" t="s">
        <v>24</v>
      </c>
      <c r="C2714" t="s">
        <v>14</v>
      </c>
      <c r="D2714">
        <v>52</v>
      </c>
      <c r="E2714" s="1">
        <v>40700</v>
      </c>
      <c r="F2714">
        <v>2.96</v>
      </c>
      <c r="G2714">
        <v>4</v>
      </c>
      <c r="H2714">
        <v>3790.07</v>
      </c>
      <c r="I2714">
        <v>14.4</v>
      </c>
    </row>
    <row r="2715" spans="1:9" x14ac:dyDescent="0.3">
      <c r="A2715" t="s">
        <v>2730</v>
      </c>
      <c r="B2715" t="s">
        <v>34</v>
      </c>
      <c r="C2715" t="s">
        <v>14</v>
      </c>
      <c r="D2715">
        <v>25</v>
      </c>
      <c r="E2715" s="1">
        <v>44400</v>
      </c>
      <c r="F2715">
        <v>4.47</v>
      </c>
      <c r="G2715">
        <v>4</v>
      </c>
      <c r="H2715">
        <v>13451.43</v>
      </c>
      <c r="I2715">
        <v>4.3</v>
      </c>
    </row>
    <row r="2716" spans="1:9" x14ac:dyDescent="0.3">
      <c r="A2716" t="s">
        <v>2731</v>
      </c>
      <c r="B2716" t="s">
        <v>24</v>
      </c>
      <c r="C2716" t="s">
        <v>14</v>
      </c>
      <c r="D2716">
        <v>47</v>
      </c>
      <c r="E2716" s="1">
        <v>45484</v>
      </c>
      <c r="F2716">
        <v>3.05</v>
      </c>
      <c r="G2716">
        <v>6</v>
      </c>
      <c r="H2716">
        <v>3819.43</v>
      </c>
      <c r="I2716">
        <v>1.3</v>
      </c>
    </row>
    <row r="2717" spans="1:9" x14ac:dyDescent="0.3">
      <c r="A2717" t="s">
        <v>2732</v>
      </c>
      <c r="B2717" t="s">
        <v>10</v>
      </c>
      <c r="C2717" t="s">
        <v>14</v>
      </c>
      <c r="D2717">
        <v>25</v>
      </c>
      <c r="E2717" s="1">
        <v>42455</v>
      </c>
      <c r="F2717">
        <v>4.75</v>
      </c>
      <c r="G2717">
        <v>4</v>
      </c>
      <c r="H2717">
        <v>3908.14</v>
      </c>
      <c r="I2717">
        <v>9.6</v>
      </c>
    </row>
    <row r="2718" spans="1:9" x14ac:dyDescent="0.3">
      <c r="A2718" t="s">
        <v>2733</v>
      </c>
      <c r="B2718" t="s">
        <v>18</v>
      </c>
      <c r="C2718" t="s">
        <v>11</v>
      </c>
      <c r="D2718">
        <v>42</v>
      </c>
      <c r="E2718" s="1">
        <v>40700</v>
      </c>
      <c r="F2718">
        <v>4.7300000000000004</v>
      </c>
      <c r="G2718">
        <v>13</v>
      </c>
      <c r="H2718">
        <v>4158.49</v>
      </c>
      <c r="I2718">
        <v>14.4</v>
      </c>
    </row>
    <row r="2719" spans="1:9" x14ac:dyDescent="0.3">
      <c r="A2719" t="s">
        <v>2734</v>
      </c>
      <c r="B2719" t="s">
        <v>18</v>
      </c>
      <c r="C2719" t="s">
        <v>11</v>
      </c>
      <c r="D2719">
        <v>34</v>
      </c>
      <c r="E2719" s="1">
        <v>42351</v>
      </c>
      <c r="F2719">
        <v>4.2</v>
      </c>
      <c r="G2719">
        <v>12</v>
      </c>
      <c r="H2719">
        <v>8466.76</v>
      </c>
      <c r="I2719">
        <v>9.9</v>
      </c>
    </row>
    <row r="2720" spans="1:9" x14ac:dyDescent="0.3">
      <c r="A2720" t="s">
        <v>2735</v>
      </c>
      <c r="B2720" t="s">
        <v>34</v>
      </c>
      <c r="C2720" t="s">
        <v>11</v>
      </c>
      <c r="D2720">
        <v>31</v>
      </c>
      <c r="E2720" s="1">
        <v>44726</v>
      </c>
      <c r="F2720">
        <v>3.25</v>
      </c>
      <c r="G2720">
        <v>11</v>
      </c>
      <c r="H2720">
        <v>10490.65</v>
      </c>
      <c r="I2720">
        <v>3.4</v>
      </c>
    </row>
    <row r="2721" spans="1:9" x14ac:dyDescent="0.3">
      <c r="A2721" t="s">
        <v>2736</v>
      </c>
      <c r="B2721" t="s">
        <v>16</v>
      </c>
      <c r="C2721" t="s">
        <v>14</v>
      </c>
      <c r="D2721">
        <v>33</v>
      </c>
      <c r="E2721" s="1">
        <v>42724</v>
      </c>
      <c r="F2721">
        <v>2.94</v>
      </c>
      <c r="G2721">
        <v>13</v>
      </c>
      <c r="H2721">
        <v>13280.09</v>
      </c>
      <c r="I2721">
        <v>8.9</v>
      </c>
    </row>
    <row r="2722" spans="1:9" x14ac:dyDescent="0.3">
      <c r="A2722" t="s">
        <v>2737</v>
      </c>
      <c r="B2722" t="s">
        <v>18</v>
      </c>
      <c r="C2722" t="s">
        <v>14</v>
      </c>
      <c r="D2722">
        <v>26</v>
      </c>
      <c r="E2722" s="1">
        <v>42016</v>
      </c>
      <c r="F2722">
        <v>3.78</v>
      </c>
      <c r="G2722">
        <v>1</v>
      </c>
      <c r="H2722">
        <v>3662.64</v>
      </c>
      <c r="I2722">
        <v>10.8</v>
      </c>
    </row>
    <row r="2723" spans="1:9" x14ac:dyDescent="0.3">
      <c r="A2723" t="s">
        <v>2738</v>
      </c>
      <c r="B2723" t="s">
        <v>24</v>
      </c>
      <c r="C2723" t="s">
        <v>11</v>
      </c>
      <c r="D2723">
        <v>43</v>
      </c>
      <c r="E2723" s="1">
        <v>43108</v>
      </c>
      <c r="F2723">
        <v>2.37</v>
      </c>
      <c r="G2723">
        <v>12</v>
      </c>
      <c r="H2723">
        <v>3628.77</v>
      </c>
      <c r="I2723">
        <v>7.8</v>
      </c>
    </row>
    <row r="2724" spans="1:9" x14ac:dyDescent="0.3">
      <c r="A2724" t="s">
        <v>2739</v>
      </c>
      <c r="B2724" t="s">
        <v>16</v>
      </c>
      <c r="C2724" t="s">
        <v>11</v>
      </c>
      <c r="D2724">
        <v>37</v>
      </c>
      <c r="E2724" s="1">
        <v>42578</v>
      </c>
      <c r="F2724">
        <v>2.59</v>
      </c>
      <c r="G2724">
        <v>5</v>
      </c>
      <c r="H2724">
        <v>4422.34</v>
      </c>
      <c r="I2724">
        <v>9.3000000000000007</v>
      </c>
    </row>
    <row r="2725" spans="1:9" x14ac:dyDescent="0.3">
      <c r="A2725" t="s">
        <v>2740</v>
      </c>
      <c r="B2725" t="s">
        <v>18</v>
      </c>
      <c r="C2725" t="s">
        <v>14</v>
      </c>
      <c r="D2725">
        <v>43</v>
      </c>
      <c r="E2725" s="1">
        <v>40930</v>
      </c>
      <c r="F2725">
        <v>3.65</v>
      </c>
      <c r="G2725">
        <v>12</v>
      </c>
      <c r="H2725">
        <v>8234.02</v>
      </c>
      <c r="I2725">
        <v>13.8</v>
      </c>
    </row>
    <row r="2726" spans="1:9" x14ac:dyDescent="0.3">
      <c r="A2726" t="s">
        <v>2741</v>
      </c>
      <c r="B2726" t="s">
        <v>10</v>
      </c>
      <c r="C2726" t="s">
        <v>11</v>
      </c>
      <c r="D2726">
        <v>53</v>
      </c>
      <c r="E2726" s="1">
        <v>44411</v>
      </c>
      <c r="F2726">
        <v>2.61</v>
      </c>
      <c r="G2726">
        <v>13</v>
      </c>
      <c r="H2726">
        <v>3959.44</v>
      </c>
      <c r="I2726">
        <v>4.2</v>
      </c>
    </row>
    <row r="2727" spans="1:9" x14ac:dyDescent="0.3">
      <c r="A2727" t="s">
        <v>2742</v>
      </c>
      <c r="B2727" t="s">
        <v>13</v>
      </c>
      <c r="C2727" t="s">
        <v>14</v>
      </c>
      <c r="D2727">
        <v>47</v>
      </c>
      <c r="E2727" s="1">
        <v>40373</v>
      </c>
      <c r="F2727">
        <v>4.13</v>
      </c>
      <c r="G2727">
        <v>3</v>
      </c>
      <c r="H2727">
        <v>3897.53</v>
      </c>
      <c r="I2727">
        <v>15.3</v>
      </c>
    </row>
    <row r="2728" spans="1:9" x14ac:dyDescent="0.3">
      <c r="A2728" t="s">
        <v>2743</v>
      </c>
      <c r="B2728" t="s">
        <v>34</v>
      </c>
      <c r="C2728" t="s">
        <v>14</v>
      </c>
      <c r="D2728">
        <v>35</v>
      </c>
      <c r="E2728" s="1">
        <v>43801</v>
      </c>
      <c r="F2728">
        <v>3.99</v>
      </c>
      <c r="G2728">
        <v>1</v>
      </c>
      <c r="H2728">
        <v>8174.38</v>
      </c>
      <c r="I2728">
        <v>5.9</v>
      </c>
    </row>
    <row r="2729" spans="1:9" x14ac:dyDescent="0.3">
      <c r="A2729" t="s">
        <v>2744</v>
      </c>
      <c r="B2729" t="s">
        <v>18</v>
      </c>
      <c r="C2729" t="s">
        <v>11</v>
      </c>
      <c r="D2729">
        <v>24</v>
      </c>
      <c r="E2729" s="1">
        <v>43175</v>
      </c>
      <c r="F2729">
        <v>1.98</v>
      </c>
      <c r="G2729">
        <v>1</v>
      </c>
      <c r="H2729">
        <v>6918.07</v>
      </c>
      <c r="I2729">
        <v>7.6</v>
      </c>
    </row>
    <row r="2730" spans="1:9" x14ac:dyDescent="0.3">
      <c r="A2730" t="s">
        <v>2745</v>
      </c>
      <c r="B2730" t="s">
        <v>24</v>
      </c>
      <c r="C2730" t="s">
        <v>14</v>
      </c>
      <c r="D2730">
        <v>38</v>
      </c>
      <c r="E2730" s="1">
        <v>42699</v>
      </c>
      <c r="F2730">
        <v>3.35</v>
      </c>
      <c r="G2730">
        <v>9</v>
      </c>
      <c r="H2730">
        <v>14187.05</v>
      </c>
      <c r="I2730">
        <v>8.9</v>
      </c>
    </row>
    <row r="2731" spans="1:9" x14ac:dyDescent="0.3">
      <c r="A2731" t="s">
        <v>2746</v>
      </c>
      <c r="B2731" t="s">
        <v>18</v>
      </c>
      <c r="C2731" t="s">
        <v>11</v>
      </c>
      <c r="D2731">
        <v>52</v>
      </c>
      <c r="E2731" s="1">
        <v>41161</v>
      </c>
      <c r="F2731">
        <v>4.54</v>
      </c>
      <c r="G2731">
        <v>15</v>
      </c>
      <c r="H2731">
        <v>14091.31</v>
      </c>
      <c r="I2731">
        <v>13.2</v>
      </c>
    </row>
    <row r="2732" spans="1:9" x14ac:dyDescent="0.3">
      <c r="A2732" t="s">
        <v>2747</v>
      </c>
      <c r="B2732" t="s">
        <v>18</v>
      </c>
      <c r="C2732" t="s">
        <v>11</v>
      </c>
      <c r="D2732">
        <v>49</v>
      </c>
      <c r="E2732" s="1">
        <v>43073</v>
      </c>
      <c r="F2732">
        <v>2.76</v>
      </c>
      <c r="G2732">
        <v>15</v>
      </c>
      <c r="H2732">
        <v>7481.54</v>
      </c>
      <c r="I2732">
        <v>7.9</v>
      </c>
    </row>
    <row r="2733" spans="1:9" x14ac:dyDescent="0.3">
      <c r="A2733" t="s">
        <v>2748</v>
      </c>
      <c r="B2733" t="s">
        <v>10</v>
      </c>
      <c r="C2733" t="s">
        <v>14</v>
      </c>
      <c r="D2733">
        <v>31</v>
      </c>
      <c r="E2733" s="1">
        <v>42088</v>
      </c>
      <c r="F2733">
        <v>1.88</v>
      </c>
      <c r="G2733">
        <v>10</v>
      </c>
      <c r="H2733">
        <v>7948.76</v>
      </c>
      <c r="I2733">
        <v>10.6</v>
      </c>
    </row>
    <row r="2734" spans="1:9" x14ac:dyDescent="0.3">
      <c r="A2734" t="s">
        <v>2749</v>
      </c>
      <c r="B2734" t="s">
        <v>24</v>
      </c>
      <c r="C2734" t="s">
        <v>11</v>
      </c>
      <c r="D2734">
        <v>30</v>
      </c>
      <c r="E2734" s="1">
        <v>45890</v>
      </c>
      <c r="F2734">
        <v>2.72</v>
      </c>
      <c r="G2734">
        <v>6</v>
      </c>
      <c r="H2734">
        <v>9589.2800000000007</v>
      </c>
      <c r="I2734">
        <v>0.2</v>
      </c>
    </row>
    <row r="2735" spans="1:9" x14ac:dyDescent="0.3">
      <c r="A2735" t="s">
        <v>2750</v>
      </c>
      <c r="B2735" t="s">
        <v>10</v>
      </c>
      <c r="C2735" t="s">
        <v>11</v>
      </c>
      <c r="D2735">
        <v>53</v>
      </c>
      <c r="E2735" s="1">
        <v>43676</v>
      </c>
      <c r="F2735">
        <v>2.08</v>
      </c>
      <c r="G2735">
        <v>11</v>
      </c>
      <c r="H2735">
        <v>13219.15</v>
      </c>
      <c r="I2735">
        <v>6.3</v>
      </c>
    </row>
    <row r="2736" spans="1:9" x14ac:dyDescent="0.3">
      <c r="A2736" t="s">
        <v>2751</v>
      </c>
      <c r="B2736" t="s">
        <v>10</v>
      </c>
      <c r="C2736" t="s">
        <v>14</v>
      </c>
      <c r="D2736">
        <v>31</v>
      </c>
      <c r="E2736" s="1">
        <v>45624</v>
      </c>
      <c r="F2736">
        <v>4.51</v>
      </c>
      <c r="G2736">
        <v>14</v>
      </c>
      <c r="H2736">
        <v>11349.42</v>
      </c>
      <c r="I2736">
        <v>0.9</v>
      </c>
    </row>
    <row r="2737" spans="1:9" x14ac:dyDescent="0.3">
      <c r="A2737" t="s">
        <v>2752</v>
      </c>
      <c r="B2737" t="s">
        <v>13</v>
      </c>
      <c r="C2737" t="s">
        <v>11</v>
      </c>
      <c r="D2737">
        <v>27</v>
      </c>
      <c r="E2737" s="1">
        <v>43255</v>
      </c>
      <c r="F2737">
        <v>4.6500000000000004</v>
      </c>
      <c r="G2737">
        <v>11</v>
      </c>
      <c r="H2737">
        <v>3107.61</v>
      </c>
      <c r="I2737">
        <v>7.4</v>
      </c>
    </row>
    <row r="2738" spans="1:9" x14ac:dyDescent="0.3">
      <c r="A2738" t="s">
        <v>2753</v>
      </c>
      <c r="B2738" t="s">
        <v>34</v>
      </c>
      <c r="C2738" t="s">
        <v>14</v>
      </c>
      <c r="D2738">
        <v>48</v>
      </c>
      <c r="E2738" s="1">
        <v>41209</v>
      </c>
      <c r="F2738">
        <v>4.3</v>
      </c>
      <c r="G2738">
        <v>2</v>
      </c>
      <c r="H2738">
        <v>6401.06</v>
      </c>
      <c r="I2738">
        <v>13</v>
      </c>
    </row>
    <row r="2739" spans="1:9" x14ac:dyDescent="0.3">
      <c r="A2739" t="s">
        <v>2754</v>
      </c>
      <c r="B2739" t="s">
        <v>24</v>
      </c>
      <c r="C2739" t="s">
        <v>14</v>
      </c>
      <c r="D2739">
        <v>35</v>
      </c>
      <c r="E2739" s="1">
        <v>41673</v>
      </c>
      <c r="F2739">
        <v>1.66</v>
      </c>
      <c r="G2739">
        <v>2</v>
      </c>
      <c r="H2739">
        <v>8453.7099999999991</v>
      </c>
      <c r="I2739">
        <v>11.8</v>
      </c>
    </row>
    <row r="2740" spans="1:9" x14ac:dyDescent="0.3">
      <c r="A2740" t="s">
        <v>2755</v>
      </c>
      <c r="B2740" t="s">
        <v>13</v>
      </c>
      <c r="C2740" t="s">
        <v>11</v>
      </c>
      <c r="D2740">
        <v>51</v>
      </c>
      <c r="E2740" s="1">
        <v>45485</v>
      </c>
      <c r="F2740">
        <v>2.4700000000000002</v>
      </c>
      <c r="G2740">
        <v>6</v>
      </c>
      <c r="H2740">
        <v>6094.25</v>
      </c>
      <c r="I2740">
        <v>1.3</v>
      </c>
    </row>
    <row r="2741" spans="1:9" x14ac:dyDescent="0.3">
      <c r="A2741" t="s">
        <v>2756</v>
      </c>
      <c r="B2741" t="s">
        <v>13</v>
      </c>
      <c r="C2741" t="s">
        <v>11</v>
      </c>
      <c r="D2741">
        <v>41</v>
      </c>
      <c r="E2741" s="1">
        <v>40823</v>
      </c>
      <c r="F2741">
        <v>1.54</v>
      </c>
      <c r="G2741">
        <v>0</v>
      </c>
      <c r="H2741">
        <v>8980.5499999999993</v>
      </c>
      <c r="I2741">
        <v>14.1</v>
      </c>
    </row>
    <row r="2742" spans="1:9" x14ac:dyDescent="0.3">
      <c r="A2742" t="s">
        <v>2757</v>
      </c>
      <c r="B2742" t="s">
        <v>18</v>
      </c>
      <c r="C2742" t="s">
        <v>14</v>
      </c>
      <c r="D2742">
        <v>58</v>
      </c>
      <c r="E2742" s="1">
        <v>40972</v>
      </c>
      <c r="F2742">
        <v>4.78</v>
      </c>
      <c r="G2742">
        <v>8</v>
      </c>
      <c r="H2742">
        <v>7563.9</v>
      </c>
      <c r="I2742">
        <v>13.7</v>
      </c>
    </row>
    <row r="2743" spans="1:9" x14ac:dyDescent="0.3">
      <c r="A2743" t="s">
        <v>2758</v>
      </c>
      <c r="B2743" t="s">
        <v>18</v>
      </c>
      <c r="C2743" t="s">
        <v>11</v>
      </c>
      <c r="D2743">
        <v>53</v>
      </c>
      <c r="E2743" s="1">
        <v>41924</v>
      </c>
      <c r="F2743">
        <v>2.37</v>
      </c>
      <c r="G2743">
        <v>6</v>
      </c>
      <c r="H2743">
        <v>3993.9</v>
      </c>
      <c r="I2743">
        <v>11.1</v>
      </c>
    </row>
    <row r="2744" spans="1:9" x14ac:dyDescent="0.3">
      <c r="A2744" t="s">
        <v>2759</v>
      </c>
      <c r="B2744" t="s">
        <v>13</v>
      </c>
      <c r="C2744" t="s">
        <v>11</v>
      </c>
      <c r="D2744">
        <v>38</v>
      </c>
      <c r="E2744" s="1">
        <v>45050</v>
      </c>
      <c r="F2744">
        <v>2.48</v>
      </c>
      <c r="G2744">
        <v>1</v>
      </c>
      <c r="H2744">
        <v>3398.35</v>
      </c>
      <c r="I2744">
        <v>2.5</v>
      </c>
    </row>
    <row r="2745" spans="1:9" x14ac:dyDescent="0.3">
      <c r="A2745" t="s">
        <v>2760</v>
      </c>
      <c r="B2745" t="s">
        <v>24</v>
      </c>
      <c r="C2745" t="s">
        <v>14</v>
      </c>
      <c r="D2745">
        <v>60</v>
      </c>
      <c r="E2745" s="1">
        <v>43501</v>
      </c>
      <c r="F2745">
        <v>2.39</v>
      </c>
      <c r="G2745">
        <v>13</v>
      </c>
      <c r="H2745">
        <v>6229.96</v>
      </c>
      <c r="I2745">
        <v>6.7</v>
      </c>
    </row>
    <row r="2746" spans="1:9" x14ac:dyDescent="0.3">
      <c r="A2746" t="s">
        <v>2761</v>
      </c>
      <c r="B2746" t="s">
        <v>16</v>
      </c>
      <c r="C2746" t="s">
        <v>11</v>
      </c>
      <c r="D2746">
        <v>37</v>
      </c>
      <c r="E2746" s="1">
        <v>40706</v>
      </c>
      <c r="F2746">
        <v>4.99</v>
      </c>
      <c r="G2746">
        <v>8</v>
      </c>
      <c r="H2746">
        <v>13364.18</v>
      </c>
      <c r="I2746">
        <v>14.4</v>
      </c>
    </row>
    <row r="2747" spans="1:9" x14ac:dyDescent="0.3">
      <c r="A2747" t="s">
        <v>2762</v>
      </c>
      <c r="B2747" t="s">
        <v>18</v>
      </c>
      <c r="C2747" t="s">
        <v>11</v>
      </c>
      <c r="D2747">
        <v>35</v>
      </c>
      <c r="E2747" s="1">
        <v>43399</v>
      </c>
      <c r="F2747">
        <v>4.68</v>
      </c>
      <c r="G2747">
        <v>6</v>
      </c>
      <c r="H2747">
        <v>6238.39</v>
      </c>
      <c r="I2747">
        <v>7</v>
      </c>
    </row>
    <row r="2748" spans="1:9" x14ac:dyDescent="0.3">
      <c r="A2748" t="s">
        <v>2763</v>
      </c>
      <c r="B2748" t="s">
        <v>13</v>
      </c>
      <c r="C2748" t="s">
        <v>14</v>
      </c>
      <c r="D2748">
        <v>60</v>
      </c>
      <c r="E2748" s="1">
        <v>40887</v>
      </c>
      <c r="F2748">
        <v>4.0599999999999996</v>
      </c>
      <c r="G2748">
        <v>4</v>
      </c>
      <c r="H2748">
        <v>12696.66</v>
      </c>
      <c r="I2748">
        <v>13.9</v>
      </c>
    </row>
    <row r="2749" spans="1:9" x14ac:dyDescent="0.3">
      <c r="A2749" t="s">
        <v>2764</v>
      </c>
      <c r="B2749" t="s">
        <v>13</v>
      </c>
      <c r="C2749" t="s">
        <v>11</v>
      </c>
      <c r="D2749">
        <v>55</v>
      </c>
      <c r="E2749" s="1">
        <v>44489</v>
      </c>
      <c r="F2749">
        <v>2.4300000000000002</v>
      </c>
      <c r="G2749">
        <v>15</v>
      </c>
      <c r="H2749">
        <v>11707.18</v>
      </c>
      <c r="I2749">
        <v>4</v>
      </c>
    </row>
    <row r="2750" spans="1:9" x14ac:dyDescent="0.3">
      <c r="A2750" t="s">
        <v>2765</v>
      </c>
      <c r="B2750" t="s">
        <v>24</v>
      </c>
      <c r="C2750" t="s">
        <v>11</v>
      </c>
      <c r="D2750">
        <v>35</v>
      </c>
      <c r="E2750" s="1">
        <v>42249</v>
      </c>
      <c r="F2750">
        <v>1.86</v>
      </c>
      <c r="G2750">
        <v>10</v>
      </c>
      <c r="H2750">
        <v>5049.49</v>
      </c>
      <c r="I2750">
        <v>10.199999999999999</v>
      </c>
    </row>
    <row r="2751" spans="1:9" x14ac:dyDescent="0.3">
      <c r="A2751" t="s">
        <v>2766</v>
      </c>
      <c r="B2751" t="s">
        <v>10</v>
      </c>
      <c r="C2751" t="s">
        <v>11</v>
      </c>
      <c r="D2751">
        <v>58</v>
      </c>
      <c r="E2751" s="1">
        <v>41667</v>
      </c>
      <c r="F2751">
        <v>2.23</v>
      </c>
      <c r="G2751">
        <v>1</v>
      </c>
      <c r="H2751">
        <v>5849.46</v>
      </c>
      <c r="I2751">
        <v>11.8</v>
      </c>
    </row>
    <row r="2752" spans="1:9" x14ac:dyDescent="0.3">
      <c r="A2752" t="s">
        <v>2767</v>
      </c>
      <c r="B2752" t="s">
        <v>24</v>
      </c>
      <c r="C2752" t="s">
        <v>14</v>
      </c>
      <c r="D2752">
        <v>47</v>
      </c>
      <c r="E2752" s="1">
        <v>45326</v>
      </c>
      <c r="F2752">
        <v>2.17</v>
      </c>
      <c r="G2752">
        <v>7</v>
      </c>
      <c r="H2752">
        <v>4684.63</v>
      </c>
      <c r="I2752">
        <v>1.7</v>
      </c>
    </row>
    <row r="2753" spans="1:9" x14ac:dyDescent="0.3">
      <c r="A2753" t="s">
        <v>2768</v>
      </c>
      <c r="B2753" t="s">
        <v>13</v>
      </c>
      <c r="C2753" t="s">
        <v>14</v>
      </c>
      <c r="D2753">
        <v>40</v>
      </c>
      <c r="E2753" s="1">
        <v>45574</v>
      </c>
      <c r="F2753">
        <v>2.0099999999999998</v>
      </c>
      <c r="G2753">
        <v>15</v>
      </c>
      <c r="H2753">
        <v>5774.69</v>
      </c>
      <c r="I2753">
        <v>1.1000000000000001</v>
      </c>
    </row>
    <row r="2754" spans="1:9" x14ac:dyDescent="0.3">
      <c r="A2754" t="s">
        <v>2769</v>
      </c>
      <c r="B2754" t="s">
        <v>10</v>
      </c>
      <c r="C2754" t="s">
        <v>11</v>
      </c>
      <c r="D2754">
        <v>31</v>
      </c>
      <c r="E2754" s="1">
        <v>41420</v>
      </c>
      <c r="F2754">
        <v>2.2799999999999998</v>
      </c>
      <c r="G2754">
        <v>0</v>
      </c>
      <c r="H2754">
        <v>13116.98</v>
      </c>
      <c r="I2754">
        <v>12.4</v>
      </c>
    </row>
    <row r="2755" spans="1:9" x14ac:dyDescent="0.3">
      <c r="A2755" t="s">
        <v>2770</v>
      </c>
      <c r="B2755" t="s">
        <v>34</v>
      </c>
      <c r="C2755" t="s">
        <v>11</v>
      </c>
      <c r="D2755">
        <v>22</v>
      </c>
      <c r="E2755" s="1">
        <v>45648</v>
      </c>
      <c r="F2755">
        <v>4.1399999999999997</v>
      </c>
      <c r="G2755">
        <v>7</v>
      </c>
      <c r="H2755">
        <v>3019.83</v>
      </c>
      <c r="I2755">
        <v>0.9</v>
      </c>
    </row>
    <row r="2756" spans="1:9" x14ac:dyDescent="0.3">
      <c r="A2756" t="s">
        <v>2771</v>
      </c>
      <c r="B2756" t="s">
        <v>18</v>
      </c>
      <c r="C2756" t="s">
        <v>11</v>
      </c>
      <c r="D2756">
        <v>31</v>
      </c>
      <c r="E2756" s="1">
        <v>43397</v>
      </c>
      <c r="F2756">
        <v>3.53</v>
      </c>
      <c r="G2756">
        <v>12</v>
      </c>
      <c r="H2756">
        <v>5366.53</v>
      </c>
      <c r="I2756">
        <v>7</v>
      </c>
    </row>
    <row r="2757" spans="1:9" x14ac:dyDescent="0.3">
      <c r="A2757" t="s">
        <v>2772</v>
      </c>
      <c r="B2757" t="s">
        <v>10</v>
      </c>
      <c r="C2757" t="s">
        <v>14</v>
      </c>
      <c r="D2757">
        <v>38</v>
      </c>
      <c r="E2757" s="1">
        <v>40561</v>
      </c>
      <c r="F2757">
        <v>2.72</v>
      </c>
      <c r="G2757">
        <v>4</v>
      </c>
      <c r="H2757">
        <v>3918.72</v>
      </c>
      <c r="I2757">
        <v>14.8</v>
      </c>
    </row>
    <row r="2758" spans="1:9" x14ac:dyDescent="0.3">
      <c r="A2758" t="s">
        <v>2773</v>
      </c>
      <c r="B2758" t="s">
        <v>34</v>
      </c>
      <c r="C2758" t="s">
        <v>14</v>
      </c>
      <c r="D2758">
        <v>36</v>
      </c>
      <c r="E2758" s="1">
        <v>45454</v>
      </c>
      <c r="F2758">
        <v>2.04</v>
      </c>
      <c r="G2758">
        <v>1</v>
      </c>
      <c r="H2758">
        <v>12321.54</v>
      </c>
      <c r="I2758">
        <v>1.4</v>
      </c>
    </row>
    <row r="2759" spans="1:9" x14ac:dyDescent="0.3">
      <c r="A2759" t="s">
        <v>2774</v>
      </c>
      <c r="B2759" t="s">
        <v>13</v>
      </c>
      <c r="C2759" t="s">
        <v>11</v>
      </c>
      <c r="D2759">
        <v>27</v>
      </c>
      <c r="E2759" s="1">
        <v>41403</v>
      </c>
      <c r="F2759">
        <v>4.6100000000000003</v>
      </c>
      <c r="G2759">
        <v>2</v>
      </c>
      <c r="H2759">
        <v>13084.92</v>
      </c>
      <c r="I2759">
        <v>12.5</v>
      </c>
    </row>
    <row r="2760" spans="1:9" x14ac:dyDescent="0.3">
      <c r="A2760" t="s">
        <v>2775</v>
      </c>
      <c r="B2760" t="s">
        <v>10</v>
      </c>
      <c r="C2760" t="s">
        <v>11</v>
      </c>
      <c r="D2760">
        <v>49</v>
      </c>
      <c r="E2760" s="1">
        <v>40275</v>
      </c>
      <c r="F2760">
        <v>1.97</v>
      </c>
      <c r="G2760">
        <v>9</v>
      </c>
      <c r="H2760">
        <v>14707.81</v>
      </c>
      <c r="I2760">
        <v>15.6</v>
      </c>
    </row>
    <row r="2761" spans="1:9" x14ac:dyDescent="0.3">
      <c r="A2761" t="s">
        <v>2776</v>
      </c>
      <c r="B2761" t="s">
        <v>18</v>
      </c>
      <c r="C2761" t="s">
        <v>11</v>
      </c>
      <c r="D2761">
        <v>29</v>
      </c>
      <c r="E2761" s="1">
        <v>40688</v>
      </c>
      <c r="F2761">
        <v>3.7</v>
      </c>
      <c r="G2761">
        <v>1</v>
      </c>
      <c r="H2761">
        <v>8943.69</v>
      </c>
      <c r="I2761">
        <v>14.4</v>
      </c>
    </row>
    <row r="2762" spans="1:9" x14ac:dyDescent="0.3">
      <c r="A2762" t="s">
        <v>2777</v>
      </c>
      <c r="B2762" t="s">
        <v>16</v>
      </c>
      <c r="C2762" t="s">
        <v>11</v>
      </c>
      <c r="D2762">
        <v>54</v>
      </c>
      <c r="E2762" s="1">
        <v>41706</v>
      </c>
      <c r="F2762">
        <v>3.13</v>
      </c>
      <c r="G2762">
        <v>3</v>
      </c>
      <c r="H2762">
        <v>10421.540000000001</v>
      </c>
      <c r="I2762">
        <v>11.7</v>
      </c>
    </row>
    <row r="2763" spans="1:9" x14ac:dyDescent="0.3">
      <c r="A2763" t="s">
        <v>2778</v>
      </c>
      <c r="B2763" t="s">
        <v>24</v>
      </c>
      <c r="C2763" t="s">
        <v>14</v>
      </c>
      <c r="D2763">
        <v>26</v>
      </c>
      <c r="E2763" s="1">
        <v>42427</v>
      </c>
      <c r="F2763">
        <v>2.2999999999999998</v>
      </c>
      <c r="G2763">
        <v>9</v>
      </c>
      <c r="H2763">
        <v>6691.29</v>
      </c>
      <c r="I2763">
        <v>9.6999999999999993</v>
      </c>
    </row>
    <row r="2764" spans="1:9" x14ac:dyDescent="0.3">
      <c r="A2764" t="s">
        <v>2779</v>
      </c>
      <c r="B2764" t="s">
        <v>10</v>
      </c>
      <c r="C2764" t="s">
        <v>11</v>
      </c>
      <c r="D2764">
        <v>47</v>
      </c>
      <c r="E2764" s="1">
        <v>44621</v>
      </c>
      <c r="F2764">
        <v>4.3499999999999996</v>
      </c>
      <c r="G2764">
        <v>8</v>
      </c>
      <c r="H2764">
        <v>7614.19</v>
      </c>
      <c r="I2764">
        <v>3.7</v>
      </c>
    </row>
    <row r="2765" spans="1:9" x14ac:dyDescent="0.3">
      <c r="A2765" t="s">
        <v>2780</v>
      </c>
      <c r="B2765" t="s">
        <v>10</v>
      </c>
      <c r="C2765" t="s">
        <v>11</v>
      </c>
      <c r="D2765">
        <v>26</v>
      </c>
      <c r="E2765" s="1">
        <v>41299</v>
      </c>
      <c r="F2765">
        <v>2.31</v>
      </c>
      <c r="G2765">
        <v>7</v>
      </c>
      <c r="H2765">
        <v>12223.02</v>
      </c>
      <c r="I2765">
        <v>12.8</v>
      </c>
    </row>
    <row r="2766" spans="1:9" x14ac:dyDescent="0.3">
      <c r="A2766" t="s">
        <v>2781</v>
      </c>
      <c r="B2766" t="s">
        <v>18</v>
      </c>
      <c r="C2766" t="s">
        <v>11</v>
      </c>
      <c r="D2766">
        <v>30</v>
      </c>
      <c r="E2766" s="1">
        <v>40335</v>
      </c>
      <c r="F2766">
        <v>2.58</v>
      </c>
      <c r="G2766">
        <v>6</v>
      </c>
      <c r="H2766">
        <v>7559.52</v>
      </c>
      <c r="I2766">
        <v>15.4</v>
      </c>
    </row>
    <row r="2767" spans="1:9" x14ac:dyDescent="0.3">
      <c r="A2767" t="s">
        <v>2782</v>
      </c>
      <c r="B2767" t="s">
        <v>16</v>
      </c>
      <c r="C2767" t="s">
        <v>11</v>
      </c>
      <c r="D2767">
        <v>30</v>
      </c>
      <c r="E2767" s="1">
        <v>43261</v>
      </c>
      <c r="F2767">
        <v>3.47</v>
      </c>
      <c r="G2767">
        <v>12</v>
      </c>
      <c r="H2767">
        <v>5504.85</v>
      </c>
      <c r="I2767">
        <v>7.4</v>
      </c>
    </row>
    <row r="2768" spans="1:9" x14ac:dyDescent="0.3">
      <c r="A2768" t="s">
        <v>2783</v>
      </c>
      <c r="B2768" t="s">
        <v>24</v>
      </c>
      <c r="C2768" t="s">
        <v>11</v>
      </c>
      <c r="D2768">
        <v>28</v>
      </c>
      <c r="E2768" s="1">
        <v>40224</v>
      </c>
      <c r="F2768">
        <v>2.35</v>
      </c>
      <c r="G2768">
        <v>3</v>
      </c>
      <c r="H2768">
        <v>3711.85</v>
      </c>
      <c r="I2768">
        <v>15.7</v>
      </c>
    </row>
    <row r="2769" spans="1:9" x14ac:dyDescent="0.3">
      <c r="A2769" t="s">
        <v>2784</v>
      </c>
      <c r="B2769" t="s">
        <v>18</v>
      </c>
      <c r="C2769" t="s">
        <v>11</v>
      </c>
      <c r="D2769">
        <v>38</v>
      </c>
      <c r="E2769" s="1">
        <v>42103</v>
      </c>
      <c r="F2769">
        <v>1.67</v>
      </c>
      <c r="G2769">
        <v>6</v>
      </c>
      <c r="H2769">
        <v>14135.95</v>
      </c>
      <c r="I2769">
        <v>10.6</v>
      </c>
    </row>
    <row r="2770" spans="1:9" x14ac:dyDescent="0.3">
      <c r="A2770" t="s">
        <v>2785</v>
      </c>
      <c r="B2770" t="s">
        <v>18</v>
      </c>
      <c r="C2770" t="s">
        <v>11</v>
      </c>
      <c r="D2770">
        <v>22</v>
      </c>
      <c r="E2770" s="1">
        <v>45896</v>
      </c>
      <c r="F2770">
        <v>2.85</v>
      </c>
      <c r="G2770">
        <v>10</v>
      </c>
      <c r="H2770">
        <v>8009.73</v>
      </c>
      <c r="I2770">
        <v>0.2</v>
      </c>
    </row>
    <row r="2771" spans="1:9" x14ac:dyDescent="0.3">
      <c r="A2771" t="s">
        <v>2786</v>
      </c>
      <c r="B2771" t="s">
        <v>18</v>
      </c>
      <c r="C2771" t="s">
        <v>14</v>
      </c>
      <c r="D2771">
        <v>55</v>
      </c>
      <c r="E2771" s="1">
        <v>45465</v>
      </c>
      <c r="F2771">
        <v>4.57</v>
      </c>
      <c r="G2771">
        <v>5</v>
      </c>
      <c r="H2771">
        <v>12487.98</v>
      </c>
      <c r="I2771">
        <v>1.4</v>
      </c>
    </row>
    <row r="2772" spans="1:9" x14ac:dyDescent="0.3">
      <c r="A2772" t="s">
        <v>2787</v>
      </c>
      <c r="B2772" t="s">
        <v>18</v>
      </c>
      <c r="C2772" t="s">
        <v>14</v>
      </c>
      <c r="D2772">
        <v>44</v>
      </c>
      <c r="E2772" s="1">
        <v>45045</v>
      </c>
      <c r="F2772">
        <v>2.31</v>
      </c>
      <c r="G2772">
        <v>7</v>
      </c>
      <c r="H2772">
        <v>10548.21</v>
      </c>
      <c r="I2772">
        <v>2.5</v>
      </c>
    </row>
    <row r="2773" spans="1:9" x14ac:dyDescent="0.3">
      <c r="A2773" t="s">
        <v>2788</v>
      </c>
      <c r="B2773" t="s">
        <v>16</v>
      </c>
      <c r="C2773" t="s">
        <v>11</v>
      </c>
      <c r="D2773">
        <v>34</v>
      </c>
      <c r="E2773" s="1">
        <v>42667</v>
      </c>
      <c r="F2773">
        <v>3.6</v>
      </c>
      <c r="G2773">
        <v>0</v>
      </c>
      <c r="H2773">
        <v>6166.74</v>
      </c>
      <c r="I2773">
        <v>9</v>
      </c>
    </row>
    <row r="2774" spans="1:9" x14ac:dyDescent="0.3">
      <c r="A2774" t="s">
        <v>2789</v>
      </c>
      <c r="B2774" t="s">
        <v>10</v>
      </c>
      <c r="C2774" t="s">
        <v>14</v>
      </c>
      <c r="D2774">
        <v>47</v>
      </c>
      <c r="E2774" s="1">
        <v>45580</v>
      </c>
      <c r="F2774">
        <v>4.57</v>
      </c>
      <c r="G2774">
        <v>7</v>
      </c>
      <c r="H2774">
        <v>7078.39</v>
      </c>
      <c r="I2774">
        <v>1</v>
      </c>
    </row>
    <row r="2775" spans="1:9" x14ac:dyDescent="0.3">
      <c r="A2775" t="s">
        <v>2790</v>
      </c>
      <c r="B2775" t="s">
        <v>16</v>
      </c>
      <c r="C2775" t="s">
        <v>11</v>
      </c>
      <c r="D2775">
        <v>25</v>
      </c>
      <c r="E2775" s="1">
        <v>42066</v>
      </c>
      <c r="F2775">
        <v>1.8</v>
      </c>
      <c r="G2775">
        <v>12</v>
      </c>
      <c r="H2775">
        <v>3671.96</v>
      </c>
      <c r="I2775">
        <v>10.7</v>
      </c>
    </row>
    <row r="2776" spans="1:9" x14ac:dyDescent="0.3">
      <c r="A2776" t="s">
        <v>2791</v>
      </c>
      <c r="B2776" t="s">
        <v>13</v>
      </c>
      <c r="C2776" t="s">
        <v>14</v>
      </c>
      <c r="D2776">
        <v>57</v>
      </c>
      <c r="E2776" s="1">
        <v>43103</v>
      </c>
      <c r="F2776">
        <v>1.67</v>
      </c>
      <c r="G2776">
        <v>4</v>
      </c>
      <c r="H2776">
        <v>12919.21</v>
      </c>
      <c r="I2776">
        <v>7.8</v>
      </c>
    </row>
    <row r="2777" spans="1:9" x14ac:dyDescent="0.3">
      <c r="A2777" t="s">
        <v>2792</v>
      </c>
      <c r="B2777" t="s">
        <v>13</v>
      </c>
      <c r="C2777" t="s">
        <v>14</v>
      </c>
      <c r="D2777">
        <v>31</v>
      </c>
      <c r="E2777" s="1">
        <v>40568</v>
      </c>
      <c r="F2777">
        <v>3.8</v>
      </c>
      <c r="G2777">
        <v>2</v>
      </c>
      <c r="H2777">
        <v>5267.86</v>
      </c>
      <c r="I2777">
        <v>14.8</v>
      </c>
    </row>
    <row r="2778" spans="1:9" x14ac:dyDescent="0.3">
      <c r="A2778" t="s">
        <v>2793</v>
      </c>
      <c r="B2778" t="s">
        <v>16</v>
      </c>
      <c r="C2778" t="s">
        <v>11</v>
      </c>
      <c r="D2778">
        <v>25</v>
      </c>
      <c r="E2778" s="1">
        <v>41766</v>
      </c>
      <c r="F2778">
        <v>3.05</v>
      </c>
      <c r="G2778">
        <v>11</v>
      </c>
      <c r="H2778">
        <v>14857.65</v>
      </c>
      <c r="I2778">
        <v>11.5</v>
      </c>
    </row>
    <row r="2779" spans="1:9" x14ac:dyDescent="0.3">
      <c r="A2779" t="s">
        <v>2794</v>
      </c>
      <c r="B2779" t="s">
        <v>13</v>
      </c>
      <c r="C2779" t="s">
        <v>11</v>
      </c>
      <c r="D2779">
        <v>56</v>
      </c>
      <c r="E2779" s="1">
        <v>42709</v>
      </c>
      <c r="F2779">
        <v>2.99</v>
      </c>
      <c r="G2779">
        <v>5</v>
      </c>
      <c r="H2779">
        <v>14414.83</v>
      </c>
      <c r="I2779">
        <v>8.9</v>
      </c>
    </row>
    <row r="2780" spans="1:9" x14ac:dyDescent="0.3">
      <c r="A2780" t="s">
        <v>2795</v>
      </c>
      <c r="B2780" t="s">
        <v>18</v>
      </c>
      <c r="C2780" t="s">
        <v>11</v>
      </c>
      <c r="D2780">
        <v>32</v>
      </c>
      <c r="E2780" s="1">
        <v>41601</v>
      </c>
      <c r="F2780">
        <v>1.9</v>
      </c>
      <c r="G2780">
        <v>12</v>
      </c>
      <c r="H2780">
        <v>14348.47</v>
      </c>
      <c r="I2780">
        <v>11.9</v>
      </c>
    </row>
    <row r="2781" spans="1:9" x14ac:dyDescent="0.3">
      <c r="A2781" t="s">
        <v>2796</v>
      </c>
      <c r="B2781" t="s">
        <v>13</v>
      </c>
      <c r="C2781" t="s">
        <v>14</v>
      </c>
      <c r="D2781">
        <v>24</v>
      </c>
      <c r="E2781" s="1">
        <v>41355</v>
      </c>
      <c r="F2781">
        <v>3.86</v>
      </c>
      <c r="G2781">
        <v>4</v>
      </c>
      <c r="H2781">
        <v>14616.24</v>
      </c>
      <c r="I2781">
        <v>12.6</v>
      </c>
    </row>
    <row r="2782" spans="1:9" x14ac:dyDescent="0.3">
      <c r="A2782" t="s">
        <v>2797</v>
      </c>
      <c r="B2782" t="s">
        <v>34</v>
      </c>
      <c r="C2782" t="s">
        <v>11</v>
      </c>
      <c r="D2782">
        <v>49</v>
      </c>
      <c r="E2782" s="1">
        <v>41137</v>
      </c>
      <c r="F2782">
        <v>3.35</v>
      </c>
      <c r="G2782">
        <v>4</v>
      </c>
      <c r="H2782">
        <v>13586.77</v>
      </c>
      <c r="I2782">
        <v>13.2</v>
      </c>
    </row>
    <row r="2783" spans="1:9" x14ac:dyDescent="0.3">
      <c r="A2783" t="s">
        <v>2798</v>
      </c>
      <c r="B2783" t="s">
        <v>13</v>
      </c>
      <c r="C2783" t="s">
        <v>11</v>
      </c>
      <c r="D2783">
        <v>58</v>
      </c>
      <c r="E2783" s="1">
        <v>41397</v>
      </c>
      <c r="F2783">
        <v>1.67</v>
      </c>
      <c r="G2783">
        <v>12</v>
      </c>
      <c r="H2783">
        <v>10634.42</v>
      </c>
      <c r="I2783">
        <v>12.5</v>
      </c>
    </row>
    <row r="2784" spans="1:9" x14ac:dyDescent="0.3">
      <c r="A2784" t="s">
        <v>2799</v>
      </c>
      <c r="B2784" t="s">
        <v>18</v>
      </c>
      <c r="C2784" t="s">
        <v>11</v>
      </c>
      <c r="D2784">
        <v>36</v>
      </c>
      <c r="E2784" s="1">
        <v>43579</v>
      </c>
      <c r="F2784">
        <v>2.52</v>
      </c>
      <c r="G2784">
        <v>12</v>
      </c>
      <c r="H2784">
        <v>10431.07</v>
      </c>
      <c r="I2784">
        <v>6.5</v>
      </c>
    </row>
    <row r="2785" spans="1:9" x14ac:dyDescent="0.3">
      <c r="A2785" t="s">
        <v>2800</v>
      </c>
      <c r="B2785" t="s">
        <v>18</v>
      </c>
      <c r="C2785" t="s">
        <v>14</v>
      </c>
      <c r="D2785">
        <v>58</v>
      </c>
      <c r="E2785" s="1">
        <v>42054</v>
      </c>
      <c r="F2785">
        <v>4.0999999999999996</v>
      </c>
      <c r="G2785">
        <v>7</v>
      </c>
      <c r="H2785">
        <v>3855.34</v>
      </c>
      <c r="I2785">
        <v>10.7</v>
      </c>
    </row>
    <row r="2786" spans="1:9" x14ac:dyDescent="0.3">
      <c r="A2786" t="s">
        <v>2801</v>
      </c>
      <c r="B2786" t="s">
        <v>24</v>
      </c>
      <c r="C2786" t="s">
        <v>14</v>
      </c>
      <c r="D2786">
        <v>54</v>
      </c>
      <c r="E2786" s="1">
        <v>44752</v>
      </c>
      <c r="F2786">
        <v>3.57</v>
      </c>
      <c r="G2786">
        <v>10</v>
      </c>
      <c r="H2786">
        <v>9891.4599999999991</v>
      </c>
      <c r="I2786">
        <v>3.3</v>
      </c>
    </row>
    <row r="2787" spans="1:9" x14ac:dyDescent="0.3">
      <c r="A2787" t="s">
        <v>2802</v>
      </c>
      <c r="B2787" t="s">
        <v>13</v>
      </c>
      <c r="C2787" t="s">
        <v>14</v>
      </c>
      <c r="D2787">
        <v>28</v>
      </c>
      <c r="E2787" s="1">
        <v>44465</v>
      </c>
      <c r="F2787">
        <v>2.0699999999999998</v>
      </c>
      <c r="G2787">
        <v>7</v>
      </c>
      <c r="H2787">
        <v>12584.82</v>
      </c>
      <c r="I2787">
        <v>4.0999999999999996</v>
      </c>
    </row>
    <row r="2788" spans="1:9" x14ac:dyDescent="0.3">
      <c r="A2788" t="s">
        <v>2803</v>
      </c>
      <c r="B2788" t="s">
        <v>34</v>
      </c>
      <c r="C2788" t="s">
        <v>14</v>
      </c>
      <c r="D2788">
        <v>28</v>
      </c>
      <c r="E2788" s="1">
        <v>43099</v>
      </c>
      <c r="F2788">
        <v>4.01</v>
      </c>
      <c r="G2788">
        <v>13</v>
      </c>
      <c r="H2788">
        <v>10917.62</v>
      </c>
      <c r="I2788">
        <v>7.8</v>
      </c>
    </row>
    <row r="2789" spans="1:9" x14ac:dyDescent="0.3">
      <c r="A2789" t="s">
        <v>2804</v>
      </c>
      <c r="B2789" t="s">
        <v>34</v>
      </c>
      <c r="C2789" t="s">
        <v>14</v>
      </c>
      <c r="D2789">
        <v>39</v>
      </c>
      <c r="E2789" s="1">
        <v>42577</v>
      </c>
      <c r="F2789">
        <v>3.42</v>
      </c>
      <c r="G2789">
        <v>4</v>
      </c>
      <c r="H2789">
        <v>12409.71</v>
      </c>
      <c r="I2789">
        <v>9.3000000000000007</v>
      </c>
    </row>
    <row r="2790" spans="1:9" x14ac:dyDescent="0.3">
      <c r="A2790" t="s">
        <v>2805</v>
      </c>
      <c r="B2790" t="s">
        <v>10</v>
      </c>
      <c r="C2790" t="s">
        <v>11</v>
      </c>
      <c r="D2790">
        <v>22</v>
      </c>
      <c r="E2790" s="1">
        <v>41138</v>
      </c>
      <c r="F2790">
        <v>2.84</v>
      </c>
      <c r="G2790">
        <v>11</v>
      </c>
      <c r="H2790">
        <v>13251.15</v>
      </c>
      <c r="I2790">
        <v>13.2</v>
      </c>
    </row>
    <row r="2791" spans="1:9" x14ac:dyDescent="0.3">
      <c r="A2791" t="s">
        <v>2806</v>
      </c>
      <c r="B2791" t="s">
        <v>10</v>
      </c>
      <c r="C2791" t="s">
        <v>14</v>
      </c>
      <c r="D2791">
        <v>43</v>
      </c>
      <c r="E2791" s="1">
        <v>42698</v>
      </c>
      <c r="F2791">
        <v>2.7</v>
      </c>
      <c r="G2791">
        <v>1</v>
      </c>
      <c r="H2791">
        <v>12342.9</v>
      </c>
      <c r="I2791">
        <v>8.9</v>
      </c>
    </row>
    <row r="2792" spans="1:9" x14ac:dyDescent="0.3">
      <c r="A2792" t="s">
        <v>2807</v>
      </c>
      <c r="B2792" t="s">
        <v>16</v>
      </c>
      <c r="C2792" t="s">
        <v>11</v>
      </c>
      <c r="D2792">
        <v>45</v>
      </c>
      <c r="E2792" s="1">
        <v>43177</v>
      </c>
      <c r="F2792">
        <v>2.9</v>
      </c>
      <c r="G2792">
        <v>15</v>
      </c>
      <c r="H2792">
        <v>10692.84</v>
      </c>
      <c r="I2792">
        <v>7.6</v>
      </c>
    </row>
    <row r="2793" spans="1:9" x14ac:dyDescent="0.3">
      <c r="A2793" t="s">
        <v>2808</v>
      </c>
      <c r="B2793" t="s">
        <v>34</v>
      </c>
      <c r="C2793" t="s">
        <v>11</v>
      </c>
      <c r="D2793">
        <v>38</v>
      </c>
      <c r="E2793" s="1">
        <v>42335</v>
      </c>
      <c r="F2793">
        <v>2.85</v>
      </c>
      <c r="G2793">
        <v>14</v>
      </c>
      <c r="H2793">
        <v>13964.47</v>
      </c>
      <c r="I2793">
        <v>9.9</v>
      </c>
    </row>
    <row r="2794" spans="1:9" x14ac:dyDescent="0.3">
      <c r="A2794" t="s">
        <v>2809</v>
      </c>
      <c r="B2794" t="s">
        <v>16</v>
      </c>
      <c r="C2794" t="s">
        <v>11</v>
      </c>
      <c r="D2794">
        <v>37</v>
      </c>
      <c r="E2794" s="1">
        <v>41126</v>
      </c>
      <c r="F2794">
        <v>2.35</v>
      </c>
      <c r="G2794">
        <v>12</v>
      </c>
      <c r="H2794">
        <v>5241.0600000000004</v>
      </c>
      <c r="I2794">
        <v>13.2</v>
      </c>
    </row>
    <row r="2795" spans="1:9" x14ac:dyDescent="0.3">
      <c r="A2795" t="s">
        <v>2810</v>
      </c>
      <c r="B2795" t="s">
        <v>34</v>
      </c>
      <c r="C2795" t="s">
        <v>14</v>
      </c>
      <c r="D2795">
        <v>59</v>
      </c>
      <c r="E2795" s="1">
        <v>42159</v>
      </c>
      <c r="F2795">
        <v>3.61</v>
      </c>
      <c r="G2795">
        <v>15</v>
      </c>
      <c r="H2795">
        <v>3906.29</v>
      </c>
      <c r="I2795">
        <v>10.4</v>
      </c>
    </row>
    <row r="2796" spans="1:9" x14ac:dyDescent="0.3">
      <c r="A2796" t="s">
        <v>2811</v>
      </c>
      <c r="B2796" t="s">
        <v>10</v>
      </c>
      <c r="C2796" t="s">
        <v>11</v>
      </c>
      <c r="D2796">
        <v>58</v>
      </c>
      <c r="E2796" s="1">
        <v>42536</v>
      </c>
      <c r="F2796">
        <v>4</v>
      </c>
      <c r="G2796">
        <v>3</v>
      </c>
      <c r="H2796">
        <v>11757.32</v>
      </c>
      <c r="I2796">
        <v>9.4</v>
      </c>
    </row>
    <row r="2797" spans="1:9" x14ac:dyDescent="0.3">
      <c r="A2797" t="s">
        <v>2812</v>
      </c>
      <c r="B2797" t="s">
        <v>16</v>
      </c>
      <c r="C2797" t="s">
        <v>14</v>
      </c>
      <c r="D2797">
        <v>40</v>
      </c>
      <c r="E2797" s="1">
        <v>45012</v>
      </c>
      <c r="F2797">
        <v>1.58</v>
      </c>
      <c r="G2797">
        <v>4</v>
      </c>
      <c r="H2797">
        <v>11878.05</v>
      </c>
      <c r="I2797">
        <v>2.6</v>
      </c>
    </row>
    <row r="2798" spans="1:9" x14ac:dyDescent="0.3">
      <c r="A2798" t="s">
        <v>2813</v>
      </c>
      <c r="B2798" t="s">
        <v>18</v>
      </c>
      <c r="C2798" t="s">
        <v>14</v>
      </c>
      <c r="D2798">
        <v>33</v>
      </c>
      <c r="E2798" s="1">
        <v>40195</v>
      </c>
      <c r="F2798">
        <v>4.12</v>
      </c>
      <c r="G2798">
        <v>4</v>
      </c>
      <c r="H2798">
        <v>3620.22</v>
      </c>
      <c r="I2798">
        <v>15.8</v>
      </c>
    </row>
    <row r="2799" spans="1:9" x14ac:dyDescent="0.3">
      <c r="A2799" t="s">
        <v>2814</v>
      </c>
      <c r="B2799" t="s">
        <v>10</v>
      </c>
      <c r="C2799" t="s">
        <v>14</v>
      </c>
      <c r="D2799">
        <v>40</v>
      </c>
      <c r="E2799" s="1">
        <v>42883</v>
      </c>
      <c r="F2799">
        <v>2.6</v>
      </c>
      <c r="G2799">
        <v>10</v>
      </c>
      <c r="H2799">
        <v>8245.27</v>
      </c>
      <c r="I2799">
        <v>8.4</v>
      </c>
    </row>
    <row r="2800" spans="1:9" x14ac:dyDescent="0.3">
      <c r="A2800" t="s">
        <v>2815</v>
      </c>
      <c r="B2800" t="s">
        <v>24</v>
      </c>
      <c r="C2800" t="s">
        <v>14</v>
      </c>
      <c r="D2800">
        <v>48</v>
      </c>
      <c r="E2800" s="1">
        <v>44283</v>
      </c>
      <c r="F2800">
        <v>2.4300000000000002</v>
      </c>
      <c r="G2800">
        <v>3</v>
      </c>
      <c r="H2800">
        <v>3298.73</v>
      </c>
      <c r="I2800">
        <v>4.5999999999999996</v>
      </c>
    </row>
    <row r="2801" spans="1:9" x14ac:dyDescent="0.3">
      <c r="A2801" t="s">
        <v>2816</v>
      </c>
      <c r="B2801" t="s">
        <v>10</v>
      </c>
      <c r="C2801" t="s">
        <v>14</v>
      </c>
      <c r="D2801">
        <v>53</v>
      </c>
      <c r="E2801" s="1">
        <v>41627</v>
      </c>
      <c r="F2801">
        <v>1.55</v>
      </c>
      <c r="G2801">
        <v>15</v>
      </c>
      <c r="H2801">
        <v>13167.13</v>
      </c>
      <c r="I2801">
        <v>11.9</v>
      </c>
    </row>
    <row r="2802" spans="1:9" x14ac:dyDescent="0.3">
      <c r="A2802" t="s">
        <v>2817</v>
      </c>
      <c r="B2802" t="s">
        <v>13</v>
      </c>
      <c r="C2802" t="s">
        <v>14</v>
      </c>
      <c r="D2802">
        <v>52</v>
      </c>
      <c r="E2802" s="1">
        <v>40401</v>
      </c>
      <c r="F2802">
        <v>4.8</v>
      </c>
      <c r="G2802">
        <v>0</v>
      </c>
      <c r="H2802">
        <v>8591.5300000000007</v>
      </c>
      <c r="I2802">
        <v>15.2</v>
      </c>
    </row>
    <row r="2803" spans="1:9" x14ac:dyDescent="0.3">
      <c r="A2803" t="s">
        <v>2818</v>
      </c>
      <c r="B2803" t="s">
        <v>34</v>
      </c>
      <c r="C2803" t="s">
        <v>14</v>
      </c>
      <c r="D2803">
        <v>38</v>
      </c>
      <c r="E2803" s="1">
        <v>44767</v>
      </c>
      <c r="F2803">
        <v>4.0199999999999996</v>
      </c>
      <c r="G2803">
        <v>9</v>
      </c>
      <c r="H2803">
        <v>12002.62</v>
      </c>
      <c r="I2803">
        <v>3.3</v>
      </c>
    </row>
    <row r="2804" spans="1:9" x14ac:dyDescent="0.3">
      <c r="A2804" t="s">
        <v>2819</v>
      </c>
      <c r="B2804" t="s">
        <v>13</v>
      </c>
      <c r="C2804" t="s">
        <v>11</v>
      </c>
      <c r="D2804">
        <v>43</v>
      </c>
      <c r="E2804" s="1">
        <v>45772</v>
      </c>
      <c r="F2804">
        <v>3.18</v>
      </c>
      <c r="G2804">
        <v>12</v>
      </c>
      <c r="H2804">
        <v>13991.55</v>
      </c>
      <c r="I2804">
        <v>0.5</v>
      </c>
    </row>
    <row r="2805" spans="1:9" x14ac:dyDescent="0.3">
      <c r="A2805" t="s">
        <v>2820</v>
      </c>
      <c r="B2805" t="s">
        <v>13</v>
      </c>
      <c r="C2805" t="s">
        <v>14</v>
      </c>
      <c r="D2805">
        <v>39</v>
      </c>
      <c r="E2805" s="1">
        <v>42744</v>
      </c>
      <c r="F2805">
        <v>4.2</v>
      </c>
      <c r="G2805">
        <v>3</v>
      </c>
      <c r="H2805">
        <v>6889.48</v>
      </c>
      <c r="I2805">
        <v>8.8000000000000007</v>
      </c>
    </row>
    <row r="2806" spans="1:9" x14ac:dyDescent="0.3">
      <c r="A2806" t="s">
        <v>2821</v>
      </c>
      <c r="B2806" t="s">
        <v>34</v>
      </c>
      <c r="C2806" t="s">
        <v>14</v>
      </c>
      <c r="D2806">
        <v>40</v>
      </c>
      <c r="E2806" s="1">
        <v>44540</v>
      </c>
      <c r="F2806">
        <v>3.37</v>
      </c>
      <c r="G2806">
        <v>8</v>
      </c>
      <c r="H2806">
        <v>10077.450000000001</v>
      </c>
      <c r="I2806">
        <v>3.9</v>
      </c>
    </row>
    <row r="2807" spans="1:9" x14ac:dyDescent="0.3">
      <c r="A2807" t="s">
        <v>2822</v>
      </c>
      <c r="B2807" t="s">
        <v>24</v>
      </c>
      <c r="C2807" t="s">
        <v>11</v>
      </c>
      <c r="D2807">
        <v>39</v>
      </c>
      <c r="E2807" s="1">
        <v>40535</v>
      </c>
      <c r="F2807">
        <v>4.7</v>
      </c>
      <c r="G2807">
        <v>10</v>
      </c>
      <c r="H2807">
        <v>7703.7</v>
      </c>
      <c r="I2807">
        <v>14.9</v>
      </c>
    </row>
    <row r="2808" spans="1:9" x14ac:dyDescent="0.3">
      <c r="A2808" t="s">
        <v>2823</v>
      </c>
      <c r="B2808" t="s">
        <v>16</v>
      </c>
      <c r="C2808" t="s">
        <v>11</v>
      </c>
      <c r="D2808">
        <v>54</v>
      </c>
      <c r="E2808" s="1">
        <v>44194</v>
      </c>
      <c r="F2808">
        <v>3.18</v>
      </c>
      <c r="G2808">
        <v>2</v>
      </c>
      <c r="H2808">
        <v>7082.33</v>
      </c>
      <c r="I2808">
        <v>4.8</v>
      </c>
    </row>
    <row r="2809" spans="1:9" x14ac:dyDescent="0.3">
      <c r="A2809" t="s">
        <v>2824</v>
      </c>
      <c r="B2809" t="s">
        <v>13</v>
      </c>
      <c r="C2809" t="s">
        <v>11</v>
      </c>
      <c r="D2809">
        <v>32</v>
      </c>
      <c r="E2809" s="1">
        <v>40546</v>
      </c>
      <c r="F2809">
        <v>3.38</v>
      </c>
      <c r="G2809">
        <v>0</v>
      </c>
      <c r="H2809">
        <v>13435.63</v>
      </c>
      <c r="I2809">
        <v>14.8</v>
      </c>
    </row>
    <row r="2810" spans="1:9" x14ac:dyDescent="0.3">
      <c r="A2810" t="s">
        <v>2825</v>
      </c>
      <c r="B2810" t="s">
        <v>18</v>
      </c>
      <c r="C2810" t="s">
        <v>11</v>
      </c>
      <c r="D2810">
        <v>53</v>
      </c>
      <c r="E2810" s="1">
        <v>43994</v>
      </c>
      <c r="F2810">
        <v>2.76</v>
      </c>
      <c r="G2810">
        <v>13</v>
      </c>
      <c r="H2810">
        <v>8615.18</v>
      </c>
      <c r="I2810">
        <v>5.4</v>
      </c>
    </row>
    <row r="2811" spans="1:9" x14ac:dyDescent="0.3">
      <c r="A2811" t="s">
        <v>2826</v>
      </c>
      <c r="B2811" t="s">
        <v>24</v>
      </c>
      <c r="C2811" t="s">
        <v>11</v>
      </c>
      <c r="D2811">
        <v>34</v>
      </c>
      <c r="E2811" s="1">
        <v>43046</v>
      </c>
      <c r="F2811">
        <v>2.4</v>
      </c>
      <c r="G2811">
        <v>15</v>
      </c>
      <c r="H2811">
        <v>8039.36</v>
      </c>
      <c r="I2811">
        <v>8</v>
      </c>
    </row>
    <row r="2812" spans="1:9" x14ac:dyDescent="0.3">
      <c r="A2812" t="s">
        <v>2827</v>
      </c>
      <c r="B2812" t="s">
        <v>13</v>
      </c>
      <c r="C2812" t="s">
        <v>14</v>
      </c>
      <c r="D2812">
        <v>58</v>
      </c>
      <c r="E2812" s="1">
        <v>40464</v>
      </c>
      <c r="F2812">
        <v>4.0199999999999996</v>
      </c>
      <c r="G2812">
        <v>3</v>
      </c>
      <c r="H2812">
        <v>6387.95</v>
      </c>
      <c r="I2812">
        <v>15.1</v>
      </c>
    </row>
    <row r="2813" spans="1:9" x14ac:dyDescent="0.3">
      <c r="A2813" t="s">
        <v>2828</v>
      </c>
      <c r="B2813" t="s">
        <v>13</v>
      </c>
      <c r="C2813" t="s">
        <v>11</v>
      </c>
      <c r="D2813">
        <v>40</v>
      </c>
      <c r="E2813" s="1">
        <v>42126</v>
      </c>
      <c r="F2813">
        <v>4.25</v>
      </c>
      <c r="G2813">
        <v>12</v>
      </c>
      <c r="H2813">
        <v>11054.24</v>
      </c>
      <c r="I2813">
        <v>10.5</v>
      </c>
    </row>
    <row r="2814" spans="1:9" x14ac:dyDescent="0.3">
      <c r="A2814" t="s">
        <v>2829</v>
      </c>
      <c r="B2814" t="s">
        <v>24</v>
      </c>
      <c r="C2814" t="s">
        <v>14</v>
      </c>
      <c r="D2814">
        <v>35</v>
      </c>
      <c r="E2814" s="1">
        <v>42827</v>
      </c>
      <c r="F2814">
        <v>3.08</v>
      </c>
      <c r="G2814">
        <v>4</v>
      </c>
      <c r="H2814">
        <v>5761.3</v>
      </c>
      <c r="I2814">
        <v>8.6</v>
      </c>
    </row>
    <row r="2815" spans="1:9" x14ac:dyDescent="0.3">
      <c r="A2815" t="s">
        <v>2830</v>
      </c>
      <c r="B2815" t="s">
        <v>16</v>
      </c>
      <c r="C2815" t="s">
        <v>14</v>
      </c>
      <c r="D2815">
        <v>27</v>
      </c>
      <c r="E2815" s="1">
        <v>44984</v>
      </c>
      <c r="F2815">
        <v>3.25</v>
      </c>
      <c r="G2815">
        <v>10</v>
      </c>
      <c r="H2815">
        <v>8993.94</v>
      </c>
      <c r="I2815">
        <v>2.7</v>
      </c>
    </row>
    <row r="2816" spans="1:9" x14ac:dyDescent="0.3">
      <c r="A2816" t="s">
        <v>2831</v>
      </c>
      <c r="B2816" t="s">
        <v>10</v>
      </c>
      <c r="C2816" t="s">
        <v>11</v>
      </c>
      <c r="D2816">
        <v>31</v>
      </c>
      <c r="E2816" s="1">
        <v>43183</v>
      </c>
      <c r="F2816">
        <v>2.68</v>
      </c>
      <c r="G2816">
        <v>7</v>
      </c>
      <c r="H2816">
        <v>14891.48</v>
      </c>
      <c r="I2816">
        <v>7.6</v>
      </c>
    </row>
    <row r="2817" spans="1:9" x14ac:dyDescent="0.3">
      <c r="A2817" t="s">
        <v>2832</v>
      </c>
      <c r="B2817" t="s">
        <v>18</v>
      </c>
      <c r="C2817" t="s">
        <v>11</v>
      </c>
      <c r="D2817">
        <v>48</v>
      </c>
      <c r="E2817" s="1">
        <v>43372</v>
      </c>
      <c r="F2817">
        <v>1.95</v>
      </c>
      <c r="G2817">
        <v>2</v>
      </c>
      <c r="H2817">
        <v>9248.2199999999993</v>
      </c>
      <c r="I2817">
        <v>7.1</v>
      </c>
    </row>
    <row r="2818" spans="1:9" x14ac:dyDescent="0.3">
      <c r="A2818" t="s">
        <v>2833</v>
      </c>
      <c r="B2818" t="s">
        <v>16</v>
      </c>
      <c r="C2818" t="s">
        <v>14</v>
      </c>
      <c r="D2818">
        <v>57</v>
      </c>
      <c r="E2818" s="1">
        <v>44301</v>
      </c>
      <c r="F2818">
        <v>2.0299999999999998</v>
      </c>
      <c r="G2818">
        <v>0</v>
      </c>
      <c r="H2818">
        <v>12251.24</v>
      </c>
      <c r="I2818">
        <v>4.5999999999999996</v>
      </c>
    </row>
    <row r="2819" spans="1:9" x14ac:dyDescent="0.3">
      <c r="A2819" t="s">
        <v>2834</v>
      </c>
      <c r="B2819" t="s">
        <v>18</v>
      </c>
      <c r="C2819" t="s">
        <v>14</v>
      </c>
      <c r="D2819">
        <v>32</v>
      </c>
      <c r="E2819" s="1">
        <v>40776</v>
      </c>
      <c r="F2819">
        <v>2.69</v>
      </c>
      <c r="G2819">
        <v>2</v>
      </c>
      <c r="H2819">
        <v>6864.28</v>
      </c>
      <c r="I2819">
        <v>14.2</v>
      </c>
    </row>
    <row r="2820" spans="1:9" x14ac:dyDescent="0.3">
      <c r="A2820" t="s">
        <v>2835</v>
      </c>
      <c r="B2820" t="s">
        <v>16</v>
      </c>
      <c r="C2820" t="s">
        <v>14</v>
      </c>
      <c r="D2820">
        <v>45</v>
      </c>
      <c r="E2820" s="1">
        <v>42044</v>
      </c>
      <c r="F2820">
        <v>4.33</v>
      </c>
      <c r="G2820">
        <v>13</v>
      </c>
      <c r="H2820">
        <v>8647.36</v>
      </c>
      <c r="I2820">
        <v>10.7</v>
      </c>
    </row>
    <row r="2821" spans="1:9" x14ac:dyDescent="0.3">
      <c r="A2821" t="s">
        <v>2836</v>
      </c>
      <c r="B2821" t="s">
        <v>24</v>
      </c>
      <c r="C2821" t="s">
        <v>14</v>
      </c>
      <c r="D2821">
        <v>33</v>
      </c>
      <c r="E2821" s="1">
        <v>45807</v>
      </c>
      <c r="F2821">
        <v>2.27</v>
      </c>
      <c r="G2821">
        <v>4</v>
      </c>
      <c r="H2821">
        <v>13590.93</v>
      </c>
      <c r="I2821">
        <v>0.4</v>
      </c>
    </row>
    <row r="2822" spans="1:9" x14ac:dyDescent="0.3">
      <c r="A2822" t="s">
        <v>2837</v>
      </c>
      <c r="B2822" t="s">
        <v>18</v>
      </c>
      <c r="C2822" t="s">
        <v>14</v>
      </c>
      <c r="D2822">
        <v>54</v>
      </c>
      <c r="E2822" s="1">
        <v>44415</v>
      </c>
      <c r="F2822">
        <v>3.61</v>
      </c>
      <c r="G2822">
        <v>1</v>
      </c>
      <c r="H2822">
        <v>5964.08</v>
      </c>
      <c r="I2822">
        <v>4.2</v>
      </c>
    </row>
    <row r="2823" spans="1:9" x14ac:dyDescent="0.3">
      <c r="A2823" t="s">
        <v>2838</v>
      </c>
      <c r="B2823" t="s">
        <v>16</v>
      </c>
      <c r="C2823" t="s">
        <v>14</v>
      </c>
      <c r="D2823">
        <v>50</v>
      </c>
      <c r="E2823" s="1">
        <v>43989</v>
      </c>
      <c r="F2823">
        <v>4.2300000000000004</v>
      </c>
      <c r="G2823">
        <v>2</v>
      </c>
      <c r="H2823">
        <v>10198.86</v>
      </c>
      <c r="I2823">
        <v>5.4</v>
      </c>
    </row>
    <row r="2824" spans="1:9" x14ac:dyDescent="0.3">
      <c r="A2824" t="s">
        <v>2839</v>
      </c>
      <c r="B2824" t="s">
        <v>16</v>
      </c>
      <c r="C2824" t="s">
        <v>11</v>
      </c>
      <c r="D2824">
        <v>25</v>
      </c>
      <c r="E2824" s="1">
        <v>42706</v>
      </c>
      <c r="F2824">
        <v>2.86</v>
      </c>
      <c r="G2824">
        <v>7</v>
      </c>
      <c r="H2824">
        <v>10339.459999999999</v>
      </c>
      <c r="I2824">
        <v>8.9</v>
      </c>
    </row>
    <row r="2825" spans="1:9" x14ac:dyDescent="0.3">
      <c r="A2825" t="s">
        <v>2840</v>
      </c>
      <c r="B2825" t="s">
        <v>16</v>
      </c>
      <c r="C2825" t="s">
        <v>11</v>
      </c>
      <c r="D2825">
        <v>34</v>
      </c>
      <c r="E2825" s="1">
        <v>44644</v>
      </c>
      <c r="F2825">
        <v>1.52</v>
      </c>
      <c r="G2825">
        <v>10</v>
      </c>
      <c r="H2825">
        <v>8655</v>
      </c>
      <c r="I2825">
        <v>3.6</v>
      </c>
    </row>
    <row r="2826" spans="1:9" x14ac:dyDescent="0.3">
      <c r="A2826" t="s">
        <v>2841</v>
      </c>
      <c r="B2826" t="s">
        <v>16</v>
      </c>
      <c r="C2826" t="s">
        <v>14</v>
      </c>
      <c r="D2826">
        <v>59</v>
      </c>
      <c r="E2826" s="1">
        <v>45156</v>
      </c>
      <c r="F2826">
        <v>3.51</v>
      </c>
      <c r="G2826">
        <v>6</v>
      </c>
      <c r="H2826">
        <v>6187.66</v>
      </c>
      <c r="I2826">
        <v>2.2000000000000002</v>
      </c>
    </row>
    <row r="2827" spans="1:9" x14ac:dyDescent="0.3">
      <c r="A2827" t="s">
        <v>2842</v>
      </c>
      <c r="B2827" t="s">
        <v>18</v>
      </c>
      <c r="C2827" t="s">
        <v>14</v>
      </c>
      <c r="D2827">
        <v>57</v>
      </c>
      <c r="E2827" s="1">
        <v>43463</v>
      </c>
      <c r="F2827">
        <v>2.0099999999999998</v>
      </c>
      <c r="G2827">
        <v>4</v>
      </c>
      <c r="H2827">
        <v>13043.73</v>
      </c>
      <c r="I2827">
        <v>6.8</v>
      </c>
    </row>
    <row r="2828" spans="1:9" x14ac:dyDescent="0.3">
      <c r="A2828" t="s">
        <v>2843</v>
      </c>
      <c r="B2828" t="s">
        <v>24</v>
      </c>
      <c r="C2828" t="s">
        <v>14</v>
      </c>
      <c r="D2828">
        <v>39</v>
      </c>
      <c r="E2828" s="1">
        <v>42229</v>
      </c>
      <c r="F2828">
        <v>2.5499999999999998</v>
      </c>
      <c r="G2828">
        <v>9</v>
      </c>
      <c r="H2828">
        <v>8587.17</v>
      </c>
      <c r="I2828">
        <v>10.199999999999999</v>
      </c>
    </row>
    <row r="2829" spans="1:9" x14ac:dyDescent="0.3">
      <c r="A2829" t="s">
        <v>2844</v>
      </c>
      <c r="B2829" t="s">
        <v>13</v>
      </c>
      <c r="C2829" t="s">
        <v>14</v>
      </c>
      <c r="D2829">
        <v>24</v>
      </c>
      <c r="E2829" s="1">
        <v>43988</v>
      </c>
      <c r="F2829">
        <v>4.96</v>
      </c>
      <c r="G2829">
        <v>5</v>
      </c>
      <c r="H2829">
        <v>11080.09</v>
      </c>
      <c r="I2829">
        <v>5.4</v>
      </c>
    </row>
    <row r="2830" spans="1:9" x14ac:dyDescent="0.3">
      <c r="A2830" t="s">
        <v>2845</v>
      </c>
      <c r="B2830" t="s">
        <v>16</v>
      </c>
      <c r="C2830" t="s">
        <v>11</v>
      </c>
      <c r="D2830">
        <v>26</v>
      </c>
      <c r="E2830" s="1">
        <v>42335</v>
      </c>
      <c r="F2830">
        <v>2.59</v>
      </c>
      <c r="G2830">
        <v>14</v>
      </c>
      <c r="H2830">
        <v>5527.78</v>
      </c>
      <c r="I2830">
        <v>9.9</v>
      </c>
    </row>
    <row r="2831" spans="1:9" x14ac:dyDescent="0.3">
      <c r="A2831" t="s">
        <v>2846</v>
      </c>
      <c r="B2831" t="s">
        <v>18</v>
      </c>
      <c r="C2831" t="s">
        <v>11</v>
      </c>
      <c r="D2831">
        <v>32</v>
      </c>
      <c r="E2831" s="1">
        <v>41818</v>
      </c>
      <c r="F2831">
        <v>1.91</v>
      </c>
      <c r="G2831">
        <v>2</v>
      </c>
      <c r="H2831">
        <v>10312.58</v>
      </c>
      <c r="I2831">
        <v>11.4</v>
      </c>
    </row>
    <row r="2832" spans="1:9" x14ac:dyDescent="0.3">
      <c r="A2832" t="s">
        <v>2847</v>
      </c>
      <c r="B2832" t="s">
        <v>34</v>
      </c>
      <c r="C2832" t="s">
        <v>11</v>
      </c>
      <c r="D2832">
        <v>36</v>
      </c>
      <c r="E2832" s="1">
        <v>41493</v>
      </c>
      <c r="F2832">
        <v>3.55</v>
      </c>
      <c r="G2832">
        <v>14</v>
      </c>
      <c r="H2832">
        <v>6705.67</v>
      </c>
      <c r="I2832">
        <v>12.2</v>
      </c>
    </row>
    <row r="2833" spans="1:9" x14ac:dyDescent="0.3">
      <c r="A2833" t="s">
        <v>2848</v>
      </c>
      <c r="B2833" t="s">
        <v>13</v>
      </c>
      <c r="C2833" t="s">
        <v>11</v>
      </c>
      <c r="D2833">
        <v>40</v>
      </c>
      <c r="E2833" s="1">
        <v>43469</v>
      </c>
      <c r="F2833">
        <v>4.8499999999999996</v>
      </c>
      <c r="G2833">
        <v>7</v>
      </c>
      <c r="H2833">
        <v>7631.49</v>
      </c>
      <c r="I2833">
        <v>6.8</v>
      </c>
    </row>
    <row r="2834" spans="1:9" x14ac:dyDescent="0.3">
      <c r="A2834" t="s">
        <v>2849</v>
      </c>
      <c r="B2834" t="s">
        <v>34</v>
      </c>
      <c r="C2834" t="s">
        <v>11</v>
      </c>
      <c r="D2834">
        <v>56</v>
      </c>
      <c r="E2834" s="1">
        <v>45497</v>
      </c>
      <c r="F2834">
        <v>2.4900000000000002</v>
      </c>
      <c r="G2834">
        <v>14</v>
      </c>
      <c r="H2834">
        <v>7088.09</v>
      </c>
      <c r="I2834">
        <v>1.3</v>
      </c>
    </row>
    <row r="2835" spans="1:9" x14ac:dyDescent="0.3">
      <c r="A2835" t="s">
        <v>2850</v>
      </c>
      <c r="B2835" t="s">
        <v>34</v>
      </c>
      <c r="C2835" t="s">
        <v>11</v>
      </c>
      <c r="D2835">
        <v>24</v>
      </c>
      <c r="E2835" s="1">
        <v>45165</v>
      </c>
      <c r="F2835">
        <v>2.68</v>
      </c>
      <c r="G2835">
        <v>2</v>
      </c>
      <c r="H2835">
        <v>10471.93</v>
      </c>
      <c r="I2835">
        <v>2.2000000000000002</v>
      </c>
    </row>
    <row r="2836" spans="1:9" x14ac:dyDescent="0.3">
      <c r="A2836" t="s">
        <v>2851</v>
      </c>
      <c r="B2836" t="s">
        <v>16</v>
      </c>
      <c r="C2836" t="s">
        <v>14</v>
      </c>
      <c r="D2836">
        <v>52</v>
      </c>
      <c r="E2836" s="1">
        <v>40343</v>
      </c>
      <c r="F2836">
        <v>1.58</v>
      </c>
      <c r="G2836">
        <v>7</v>
      </c>
      <c r="H2836">
        <v>11840.49</v>
      </c>
      <c r="I2836">
        <v>15.4</v>
      </c>
    </row>
    <row r="2837" spans="1:9" x14ac:dyDescent="0.3">
      <c r="A2837" t="s">
        <v>2852</v>
      </c>
      <c r="B2837" t="s">
        <v>18</v>
      </c>
      <c r="C2837" t="s">
        <v>11</v>
      </c>
      <c r="D2837">
        <v>30</v>
      </c>
      <c r="E2837" s="1">
        <v>43283</v>
      </c>
      <c r="F2837">
        <v>1.9</v>
      </c>
      <c r="G2837">
        <v>4</v>
      </c>
      <c r="H2837">
        <v>13570.98</v>
      </c>
      <c r="I2837">
        <v>7.3</v>
      </c>
    </row>
    <row r="2838" spans="1:9" x14ac:dyDescent="0.3">
      <c r="A2838" t="s">
        <v>2853</v>
      </c>
      <c r="B2838" t="s">
        <v>13</v>
      </c>
      <c r="C2838" t="s">
        <v>11</v>
      </c>
      <c r="D2838">
        <v>44</v>
      </c>
      <c r="E2838" s="1">
        <v>43409</v>
      </c>
      <c r="F2838">
        <v>2.21</v>
      </c>
      <c r="G2838">
        <v>9</v>
      </c>
      <c r="H2838">
        <v>7999.71</v>
      </c>
      <c r="I2838">
        <v>7</v>
      </c>
    </row>
    <row r="2839" spans="1:9" x14ac:dyDescent="0.3">
      <c r="A2839" t="s">
        <v>2854</v>
      </c>
      <c r="B2839" t="s">
        <v>24</v>
      </c>
      <c r="C2839" t="s">
        <v>14</v>
      </c>
      <c r="D2839">
        <v>53</v>
      </c>
      <c r="E2839" s="1">
        <v>44968</v>
      </c>
      <c r="F2839">
        <v>2.12</v>
      </c>
      <c r="G2839">
        <v>4</v>
      </c>
      <c r="H2839">
        <v>7115.84</v>
      </c>
      <c r="I2839">
        <v>2.7</v>
      </c>
    </row>
    <row r="2840" spans="1:9" x14ac:dyDescent="0.3">
      <c r="A2840" t="s">
        <v>2855</v>
      </c>
      <c r="B2840" t="s">
        <v>18</v>
      </c>
      <c r="C2840" t="s">
        <v>14</v>
      </c>
      <c r="D2840">
        <v>53</v>
      </c>
      <c r="E2840" s="1">
        <v>41935</v>
      </c>
      <c r="F2840">
        <v>4.1399999999999997</v>
      </c>
      <c r="G2840">
        <v>4</v>
      </c>
      <c r="H2840">
        <v>10518.96</v>
      </c>
      <c r="I2840">
        <v>11</v>
      </c>
    </row>
    <row r="2841" spans="1:9" x14ac:dyDescent="0.3">
      <c r="A2841" t="s">
        <v>2856</v>
      </c>
      <c r="B2841" t="s">
        <v>10</v>
      </c>
      <c r="C2841" t="s">
        <v>14</v>
      </c>
      <c r="D2841">
        <v>29</v>
      </c>
      <c r="E2841" s="1">
        <v>41427</v>
      </c>
      <c r="F2841">
        <v>2.2200000000000002</v>
      </c>
      <c r="G2841">
        <v>13</v>
      </c>
      <c r="H2841">
        <v>8463.52</v>
      </c>
      <c r="I2841">
        <v>12.4</v>
      </c>
    </row>
    <row r="2842" spans="1:9" x14ac:dyDescent="0.3">
      <c r="A2842" t="s">
        <v>2857</v>
      </c>
      <c r="B2842" t="s">
        <v>10</v>
      </c>
      <c r="C2842" t="s">
        <v>11</v>
      </c>
      <c r="D2842">
        <v>32</v>
      </c>
      <c r="E2842" s="1">
        <v>45826</v>
      </c>
      <c r="F2842">
        <v>1.87</v>
      </c>
      <c r="G2842">
        <v>10</v>
      </c>
      <c r="H2842">
        <v>3551.61</v>
      </c>
      <c r="I2842">
        <v>0.4</v>
      </c>
    </row>
    <row r="2843" spans="1:9" x14ac:dyDescent="0.3">
      <c r="A2843" t="s">
        <v>2858</v>
      </c>
      <c r="B2843" t="s">
        <v>24</v>
      </c>
      <c r="C2843" t="s">
        <v>11</v>
      </c>
      <c r="D2843">
        <v>46</v>
      </c>
      <c r="E2843" s="1">
        <v>44292</v>
      </c>
      <c r="F2843">
        <v>1.68</v>
      </c>
      <c r="G2843">
        <v>0</v>
      </c>
      <c r="H2843">
        <v>5382.84</v>
      </c>
      <c r="I2843">
        <v>4.5999999999999996</v>
      </c>
    </row>
    <row r="2844" spans="1:9" x14ac:dyDescent="0.3">
      <c r="A2844" t="s">
        <v>2859</v>
      </c>
      <c r="B2844" t="s">
        <v>13</v>
      </c>
      <c r="C2844" t="s">
        <v>11</v>
      </c>
      <c r="D2844">
        <v>29</v>
      </c>
      <c r="E2844" s="1">
        <v>42078</v>
      </c>
      <c r="F2844">
        <v>3.56</v>
      </c>
      <c r="G2844">
        <v>8</v>
      </c>
      <c r="H2844">
        <v>12947.29</v>
      </c>
      <c r="I2844">
        <v>10.6</v>
      </c>
    </row>
    <row r="2845" spans="1:9" x14ac:dyDescent="0.3">
      <c r="A2845" t="s">
        <v>2860</v>
      </c>
      <c r="B2845" t="s">
        <v>16</v>
      </c>
      <c r="C2845" t="s">
        <v>14</v>
      </c>
      <c r="D2845">
        <v>48</v>
      </c>
      <c r="E2845" s="1">
        <v>45677</v>
      </c>
      <c r="F2845">
        <v>3.19</v>
      </c>
      <c r="G2845">
        <v>15</v>
      </c>
      <c r="H2845">
        <v>8505.64</v>
      </c>
      <c r="I2845">
        <v>0.8</v>
      </c>
    </row>
    <row r="2846" spans="1:9" x14ac:dyDescent="0.3">
      <c r="A2846" t="s">
        <v>2861</v>
      </c>
      <c r="B2846" t="s">
        <v>10</v>
      </c>
      <c r="C2846" t="s">
        <v>11</v>
      </c>
      <c r="D2846">
        <v>39</v>
      </c>
      <c r="E2846" s="1">
        <v>42498</v>
      </c>
      <c r="F2846">
        <v>4.16</v>
      </c>
      <c r="G2846">
        <v>8</v>
      </c>
      <c r="H2846">
        <v>3394.36</v>
      </c>
      <c r="I2846">
        <v>9.5</v>
      </c>
    </row>
    <row r="2847" spans="1:9" x14ac:dyDescent="0.3">
      <c r="A2847" t="s">
        <v>2862</v>
      </c>
      <c r="B2847" t="s">
        <v>16</v>
      </c>
      <c r="C2847" t="s">
        <v>14</v>
      </c>
      <c r="D2847">
        <v>34</v>
      </c>
      <c r="E2847" s="1">
        <v>41367</v>
      </c>
      <c r="F2847">
        <v>2.66</v>
      </c>
      <c r="G2847">
        <v>13</v>
      </c>
      <c r="H2847">
        <v>12813.1</v>
      </c>
      <c r="I2847">
        <v>12.6</v>
      </c>
    </row>
    <row r="2848" spans="1:9" x14ac:dyDescent="0.3">
      <c r="A2848" t="s">
        <v>2863</v>
      </c>
      <c r="B2848" t="s">
        <v>18</v>
      </c>
      <c r="C2848" t="s">
        <v>14</v>
      </c>
      <c r="D2848">
        <v>28</v>
      </c>
      <c r="E2848" s="1">
        <v>42826</v>
      </c>
      <c r="F2848">
        <v>4.8</v>
      </c>
      <c r="G2848">
        <v>4</v>
      </c>
      <c r="H2848">
        <v>13719.47</v>
      </c>
      <c r="I2848">
        <v>8.6</v>
      </c>
    </row>
    <row r="2849" spans="1:9" x14ac:dyDescent="0.3">
      <c r="A2849" t="s">
        <v>2864</v>
      </c>
      <c r="B2849" t="s">
        <v>34</v>
      </c>
      <c r="C2849" t="s">
        <v>11</v>
      </c>
      <c r="D2849">
        <v>33</v>
      </c>
      <c r="E2849" s="1">
        <v>45650</v>
      </c>
      <c r="F2849">
        <v>2.82</v>
      </c>
      <c r="G2849">
        <v>10</v>
      </c>
      <c r="H2849">
        <v>11210.82</v>
      </c>
      <c r="I2849">
        <v>0.9</v>
      </c>
    </row>
    <row r="2850" spans="1:9" x14ac:dyDescent="0.3">
      <c r="A2850" t="s">
        <v>2865</v>
      </c>
      <c r="B2850" t="s">
        <v>16</v>
      </c>
      <c r="C2850" t="s">
        <v>14</v>
      </c>
      <c r="D2850">
        <v>51</v>
      </c>
      <c r="E2850" s="1">
        <v>41480</v>
      </c>
      <c r="F2850">
        <v>3.58</v>
      </c>
      <c r="G2850">
        <v>5</v>
      </c>
      <c r="H2850">
        <v>3170.66</v>
      </c>
      <c r="I2850">
        <v>12.3</v>
      </c>
    </row>
    <row r="2851" spans="1:9" x14ac:dyDescent="0.3">
      <c r="A2851" t="s">
        <v>2866</v>
      </c>
      <c r="B2851" t="s">
        <v>34</v>
      </c>
      <c r="C2851" t="s">
        <v>14</v>
      </c>
      <c r="D2851">
        <v>60</v>
      </c>
      <c r="E2851" s="1">
        <v>45820</v>
      </c>
      <c r="F2851">
        <v>2.2599999999999998</v>
      </c>
      <c r="G2851">
        <v>10</v>
      </c>
      <c r="H2851">
        <v>7534.94</v>
      </c>
      <c r="I2851">
        <v>0.4</v>
      </c>
    </row>
    <row r="2852" spans="1:9" x14ac:dyDescent="0.3">
      <c r="A2852" t="s">
        <v>2867</v>
      </c>
      <c r="B2852" t="s">
        <v>18</v>
      </c>
      <c r="C2852" t="s">
        <v>14</v>
      </c>
      <c r="D2852">
        <v>25</v>
      </c>
      <c r="E2852" s="1">
        <v>41089</v>
      </c>
      <c r="F2852">
        <v>1.97</v>
      </c>
      <c r="G2852">
        <v>8</v>
      </c>
      <c r="H2852">
        <v>9190.94</v>
      </c>
      <c r="I2852">
        <v>13.4</v>
      </c>
    </row>
    <row r="2853" spans="1:9" x14ac:dyDescent="0.3">
      <c r="A2853" t="s">
        <v>2868</v>
      </c>
      <c r="B2853" t="s">
        <v>34</v>
      </c>
      <c r="C2853" t="s">
        <v>11</v>
      </c>
      <c r="D2853">
        <v>44</v>
      </c>
      <c r="E2853" s="1">
        <v>41546</v>
      </c>
      <c r="F2853">
        <v>2.57</v>
      </c>
      <c r="G2853">
        <v>7</v>
      </c>
      <c r="H2853">
        <v>11688.32</v>
      </c>
      <c r="I2853">
        <v>12.1</v>
      </c>
    </row>
    <row r="2854" spans="1:9" x14ac:dyDescent="0.3">
      <c r="A2854" t="s">
        <v>2869</v>
      </c>
      <c r="B2854" t="s">
        <v>24</v>
      </c>
      <c r="C2854" t="s">
        <v>11</v>
      </c>
      <c r="D2854">
        <v>42</v>
      </c>
      <c r="E2854" s="1">
        <v>45600</v>
      </c>
      <c r="F2854">
        <v>3.41</v>
      </c>
      <c r="G2854">
        <v>1</v>
      </c>
      <c r="H2854">
        <v>11385.65</v>
      </c>
      <c r="I2854">
        <v>1</v>
      </c>
    </row>
    <row r="2855" spans="1:9" x14ac:dyDescent="0.3">
      <c r="A2855" t="s">
        <v>2870</v>
      </c>
      <c r="B2855" t="s">
        <v>13</v>
      </c>
      <c r="C2855" t="s">
        <v>11</v>
      </c>
      <c r="D2855">
        <v>42</v>
      </c>
      <c r="E2855" s="1">
        <v>42925</v>
      </c>
      <c r="F2855">
        <v>3.25</v>
      </c>
      <c r="G2855">
        <v>2</v>
      </c>
      <c r="H2855">
        <v>14392.72</v>
      </c>
      <c r="I2855">
        <v>8.3000000000000007</v>
      </c>
    </row>
    <row r="2856" spans="1:9" x14ac:dyDescent="0.3">
      <c r="A2856" t="s">
        <v>2871</v>
      </c>
      <c r="B2856" t="s">
        <v>13</v>
      </c>
      <c r="C2856" t="s">
        <v>11</v>
      </c>
      <c r="D2856">
        <v>33</v>
      </c>
      <c r="E2856" s="1">
        <v>44817</v>
      </c>
      <c r="F2856">
        <v>2.33</v>
      </c>
      <c r="G2856">
        <v>2</v>
      </c>
      <c r="H2856">
        <v>8595.01</v>
      </c>
      <c r="I2856">
        <v>3.1</v>
      </c>
    </row>
    <row r="2857" spans="1:9" x14ac:dyDescent="0.3">
      <c r="A2857" t="s">
        <v>2872</v>
      </c>
      <c r="B2857" t="s">
        <v>10</v>
      </c>
      <c r="C2857" t="s">
        <v>11</v>
      </c>
      <c r="D2857">
        <v>56</v>
      </c>
      <c r="E2857" s="1">
        <v>42470</v>
      </c>
      <c r="F2857">
        <v>2.11</v>
      </c>
      <c r="G2857">
        <v>11</v>
      </c>
      <c r="H2857">
        <v>10480.36</v>
      </c>
      <c r="I2857">
        <v>9.6</v>
      </c>
    </row>
    <row r="2858" spans="1:9" x14ac:dyDescent="0.3">
      <c r="A2858" t="s">
        <v>2873</v>
      </c>
      <c r="B2858" t="s">
        <v>16</v>
      </c>
      <c r="C2858" t="s">
        <v>14</v>
      </c>
      <c r="D2858">
        <v>25</v>
      </c>
      <c r="E2858" s="1">
        <v>40940</v>
      </c>
      <c r="F2858">
        <v>4.37</v>
      </c>
      <c r="G2858">
        <v>0</v>
      </c>
      <c r="H2858">
        <v>14805.41</v>
      </c>
      <c r="I2858">
        <v>13.8</v>
      </c>
    </row>
    <row r="2859" spans="1:9" x14ac:dyDescent="0.3">
      <c r="A2859" t="s">
        <v>2874</v>
      </c>
      <c r="B2859" t="s">
        <v>10</v>
      </c>
      <c r="C2859" t="s">
        <v>14</v>
      </c>
      <c r="D2859">
        <v>41</v>
      </c>
      <c r="E2859" s="1">
        <v>40844</v>
      </c>
      <c r="F2859">
        <v>3.21</v>
      </c>
      <c r="G2859">
        <v>10</v>
      </c>
      <c r="H2859">
        <v>13478.97</v>
      </c>
      <c r="I2859">
        <v>14</v>
      </c>
    </row>
    <row r="2860" spans="1:9" x14ac:dyDescent="0.3">
      <c r="A2860" t="s">
        <v>2875</v>
      </c>
      <c r="B2860" t="s">
        <v>16</v>
      </c>
      <c r="C2860" t="s">
        <v>11</v>
      </c>
      <c r="D2860">
        <v>22</v>
      </c>
      <c r="E2860" s="1">
        <v>45125</v>
      </c>
      <c r="F2860">
        <v>2.72</v>
      </c>
      <c r="G2860">
        <v>9</v>
      </c>
      <c r="H2860">
        <v>10534.15</v>
      </c>
      <c r="I2860">
        <v>2.2999999999999998</v>
      </c>
    </row>
    <row r="2861" spans="1:9" x14ac:dyDescent="0.3">
      <c r="A2861" t="s">
        <v>2876</v>
      </c>
      <c r="B2861" t="s">
        <v>10</v>
      </c>
      <c r="C2861" t="s">
        <v>11</v>
      </c>
      <c r="D2861">
        <v>51</v>
      </c>
      <c r="E2861" s="1">
        <v>44744</v>
      </c>
      <c r="F2861">
        <v>1.63</v>
      </c>
      <c r="G2861">
        <v>14</v>
      </c>
      <c r="H2861">
        <v>9150.4</v>
      </c>
      <c r="I2861">
        <v>3.3</v>
      </c>
    </row>
    <row r="2862" spans="1:9" x14ac:dyDescent="0.3">
      <c r="A2862" t="s">
        <v>2877</v>
      </c>
      <c r="B2862" t="s">
        <v>34</v>
      </c>
      <c r="C2862" t="s">
        <v>11</v>
      </c>
      <c r="D2862">
        <v>35</v>
      </c>
      <c r="E2862" s="1">
        <v>41590</v>
      </c>
      <c r="F2862">
        <v>1.84</v>
      </c>
      <c r="G2862">
        <v>2</v>
      </c>
      <c r="H2862">
        <v>3412.42</v>
      </c>
      <c r="I2862">
        <v>12</v>
      </c>
    </row>
    <row r="2863" spans="1:9" x14ac:dyDescent="0.3">
      <c r="A2863" t="s">
        <v>2878</v>
      </c>
      <c r="B2863" t="s">
        <v>18</v>
      </c>
      <c r="C2863" t="s">
        <v>14</v>
      </c>
      <c r="D2863">
        <v>30</v>
      </c>
      <c r="E2863" s="1">
        <v>41414</v>
      </c>
      <c r="F2863">
        <v>4.83</v>
      </c>
      <c r="G2863">
        <v>2</v>
      </c>
      <c r="H2863">
        <v>12258.35</v>
      </c>
      <c r="I2863">
        <v>12.5</v>
      </c>
    </row>
    <row r="2864" spans="1:9" x14ac:dyDescent="0.3">
      <c r="A2864" t="s">
        <v>2879</v>
      </c>
      <c r="B2864" t="s">
        <v>13</v>
      </c>
      <c r="C2864" t="s">
        <v>11</v>
      </c>
      <c r="D2864">
        <v>38</v>
      </c>
      <c r="E2864" s="1">
        <v>41057</v>
      </c>
      <c r="F2864">
        <v>4.8099999999999996</v>
      </c>
      <c r="G2864">
        <v>8</v>
      </c>
      <c r="H2864">
        <v>8657.7099999999991</v>
      </c>
      <c r="I2864">
        <v>13.4</v>
      </c>
    </row>
    <row r="2865" spans="1:9" x14ac:dyDescent="0.3">
      <c r="A2865" t="s">
        <v>2880</v>
      </c>
      <c r="B2865" t="s">
        <v>34</v>
      </c>
      <c r="C2865" t="s">
        <v>11</v>
      </c>
      <c r="D2865">
        <v>46</v>
      </c>
      <c r="E2865" s="1">
        <v>41081</v>
      </c>
      <c r="F2865">
        <v>3.71</v>
      </c>
      <c r="G2865">
        <v>7</v>
      </c>
      <c r="H2865">
        <v>6538.73</v>
      </c>
      <c r="I2865">
        <v>13.4</v>
      </c>
    </row>
    <row r="2866" spans="1:9" x14ac:dyDescent="0.3">
      <c r="A2866" t="s">
        <v>2881</v>
      </c>
      <c r="B2866" t="s">
        <v>34</v>
      </c>
      <c r="C2866" t="s">
        <v>14</v>
      </c>
      <c r="D2866">
        <v>26</v>
      </c>
      <c r="E2866" s="1">
        <v>41029</v>
      </c>
      <c r="F2866">
        <v>1.89</v>
      </c>
      <c r="G2866">
        <v>0</v>
      </c>
      <c r="H2866">
        <v>7710.35</v>
      </c>
      <c r="I2866">
        <v>13.5</v>
      </c>
    </row>
    <row r="2867" spans="1:9" x14ac:dyDescent="0.3">
      <c r="A2867" t="s">
        <v>2882</v>
      </c>
      <c r="B2867" t="s">
        <v>34</v>
      </c>
      <c r="C2867" t="s">
        <v>11</v>
      </c>
      <c r="D2867">
        <v>43</v>
      </c>
      <c r="E2867" s="1">
        <v>43316</v>
      </c>
      <c r="F2867">
        <v>3.1</v>
      </c>
      <c r="G2867">
        <v>8</v>
      </c>
      <c r="H2867">
        <v>11629.51</v>
      </c>
      <c r="I2867">
        <v>7.2</v>
      </c>
    </row>
    <row r="2868" spans="1:9" x14ac:dyDescent="0.3">
      <c r="A2868" t="s">
        <v>2883</v>
      </c>
      <c r="B2868" t="s">
        <v>24</v>
      </c>
      <c r="C2868" t="s">
        <v>11</v>
      </c>
      <c r="D2868">
        <v>57</v>
      </c>
      <c r="E2868" s="1">
        <v>44106</v>
      </c>
      <c r="F2868">
        <v>2.85</v>
      </c>
      <c r="G2868">
        <v>4</v>
      </c>
      <c r="H2868">
        <v>4867.6499999999996</v>
      </c>
      <c r="I2868">
        <v>5.0999999999999996</v>
      </c>
    </row>
    <row r="2869" spans="1:9" x14ac:dyDescent="0.3">
      <c r="A2869" t="s">
        <v>2884</v>
      </c>
      <c r="B2869" t="s">
        <v>24</v>
      </c>
      <c r="C2869" t="s">
        <v>14</v>
      </c>
      <c r="D2869">
        <v>51</v>
      </c>
      <c r="E2869" s="1">
        <v>41473</v>
      </c>
      <c r="F2869">
        <v>4.3899999999999997</v>
      </c>
      <c r="G2869">
        <v>2</v>
      </c>
      <c r="H2869">
        <v>8175.32</v>
      </c>
      <c r="I2869">
        <v>12.3</v>
      </c>
    </row>
    <row r="2870" spans="1:9" x14ac:dyDescent="0.3">
      <c r="A2870" t="s">
        <v>2885</v>
      </c>
      <c r="B2870" t="s">
        <v>18</v>
      </c>
      <c r="C2870" t="s">
        <v>14</v>
      </c>
      <c r="D2870">
        <v>59</v>
      </c>
      <c r="E2870" s="1">
        <v>43742</v>
      </c>
      <c r="F2870">
        <v>3.74</v>
      </c>
      <c r="G2870">
        <v>6</v>
      </c>
      <c r="H2870">
        <v>9414.6299999999992</v>
      </c>
      <c r="I2870">
        <v>6.1</v>
      </c>
    </row>
    <row r="2871" spans="1:9" x14ac:dyDescent="0.3">
      <c r="A2871" t="s">
        <v>2886</v>
      </c>
      <c r="B2871" t="s">
        <v>34</v>
      </c>
      <c r="C2871" t="s">
        <v>11</v>
      </c>
      <c r="D2871">
        <v>42</v>
      </c>
      <c r="E2871" s="1">
        <v>41333</v>
      </c>
      <c r="F2871">
        <v>2.56</v>
      </c>
      <c r="G2871">
        <v>15</v>
      </c>
      <c r="H2871">
        <v>6594.66</v>
      </c>
      <c r="I2871">
        <v>12.7</v>
      </c>
    </row>
    <row r="2872" spans="1:9" x14ac:dyDescent="0.3">
      <c r="A2872" t="s">
        <v>2887</v>
      </c>
      <c r="B2872" t="s">
        <v>13</v>
      </c>
      <c r="C2872" t="s">
        <v>11</v>
      </c>
      <c r="D2872">
        <v>38</v>
      </c>
      <c r="E2872" s="1">
        <v>43883</v>
      </c>
      <c r="F2872">
        <v>4.97</v>
      </c>
      <c r="G2872">
        <v>1</v>
      </c>
      <c r="H2872">
        <v>12972.87</v>
      </c>
      <c r="I2872">
        <v>5.7</v>
      </c>
    </row>
    <row r="2873" spans="1:9" x14ac:dyDescent="0.3">
      <c r="A2873" t="s">
        <v>2888</v>
      </c>
      <c r="B2873" t="s">
        <v>24</v>
      </c>
      <c r="C2873" t="s">
        <v>14</v>
      </c>
      <c r="D2873">
        <v>42</v>
      </c>
      <c r="E2873" s="1">
        <v>42871</v>
      </c>
      <c r="F2873">
        <v>1.84</v>
      </c>
      <c r="G2873">
        <v>6</v>
      </c>
      <c r="H2873">
        <v>8468.11</v>
      </c>
      <c r="I2873">
        <v>8.5</v>
      </c>
    </row>
    <row r="2874" spans="1:9" x14ac:dyDescent="0.3">
      <c r="A2874" t="s">
        <v>2889</v>
      </c>
      <c r="B2874" t="s">
        <v>34</v>
      </c>
      <c r="C2874" t="s">
        <v>14</v>
      </c>
      <c r="D2874">
        <v>32</v>
      </c>
      <c r="E2874" s="1">
        <v>42344</v>
      </c>
      <c r="F2874">
        <v>4.2</v>
      </c>
      <c r="G2874">
        <v>7</v>
      </c>
      <c r="H2874">
        <v>3683.39</v>
      </c>
      <c r="I2874">
        <v>9.9</v>
      </c>
    </row>
    <row r="2875" spans="1:9" x14ac:dyDescent="0.3">
      <c r="A2875" t="s">
        <v>2890</v>
      </c>
      <c r="B2875" t="s">
        <v>13</v>
      </c>
      <c r="C2875" t="s">
        <v>14</v>
      </c>
      <c r="D2875">
        <v>57</v>
      </c>
      <c r="E2875" s="1">
        <v>45867</v>
      </c>
      <c r="F2875">
        <v>2.69</v>
      </c>
      <c r="G2875">
        <v>6</v>
      </c>
      <c r="H2875">
        <v>6350.93</v>
      </c>
      <c r="I2875">
        <v>0.3</v>
      </c>
    </row>
    <row r="2876" spans="1:9" x14ac:dyDescent="0.3">
      <c r="A2876" t="s">
        <v>2891</v>
      </c>
      <c r="B2876" t="s">
        <v>18</v>
      </c>
      <c r="C2876" t="s">
        <v>14</v>
      </c>
      <c r="D2876">
        <v>50</v>
      </c>
      <c r="E2876" s="1">
        <v>43469</v>
      </c>
      <c r="F2876">
        <v>4.51</v>
      </c>
      <c r="G2876">
        <v>6</v>
      </c>
      <c r="H2876">
        <v>4749.25</v>
      </c>
      <c r="I2876">
        <v>6.8</v>
      </c>
    </row>
    <row r="2877" spans="1:9" x14ac:dyDescent="0.3">
      <c r="A2877" t="s">
        <v>2892</v>
      </c>
      <c r="B2877" t="s">
        <v>13</v>
      </c>
      <c r="C2877" t="s">
        <v>11</v>
      </c>
      <c r="D2877">
        <v>27</v>
      </c>
      <c r="E2877" s="1">
        <v>42306</v>
      </c>
      <c r="F2877">
        <v>2.66</v>
      </c>
      <c r="G2877">
        <v>11</v>
      </c>
      <c r="H2877">
        <v>11966.94</v>
      </c>
      <c r="I2877">
        <v>10</v>
      </c>
    </row>
    <row r="2878" spans="1:9" x14ac:dyDescent="0.3">
      <c r="A2878" t="s">
        <v>2893</v>
      </c>
      <c r="B2878" t="s">
        <v>13</v>
      </c>
      <c r="C2878" t="s">
        <v>11</v>
      </c>
      <c r="D2878">
        <v>28</v>
      </c>
      <c r="E2878" s="1">
        <v>40601</v>
      </c>
      <c r="F2878">
        <v>4.66</v>
      </c>
      <c r="G2878">
        <v>6</v>
      </c>
      <c r="H2878">
        <v>14230.7</v>
      </c>
      <c r="I2878">
        <v>14.7</v>
      </c>
    </row>
    <row r="2879" spans="1:9" x14ac:dyDescent="0.3">
      <c r="A2879" t="s">
        <v>2894</v>
      </c>
      <c r="B2879" t="s">
        <v>16</v>
      </c>
      <c r="C2879" t="s">
        <v>14</v>
      </c>
      <c r="D2879">
        <v>48</v>
      </c>
      <c r="E2879" s="1">
        <v>45756</v>
      </c>
      <c r="F2879">
        <v>4.4400000000000004</v>
      </c>
      <c r="G2879">
        <v>10</v>
      </c>
      <c r="H2879">
        <v>13368.75</v>
      </c>
      <c r="I2879">
        <v>0.6</v>
      </c>
    </row>
    <row r="2880" spans="1:9" x14ac:dyDescent="0.3">
      <c r="A2880" t="s">
        <v>2895</v>
      </c>
      <c r="B2880" t="s">
        <v>10</v>
      </c>
      <c r="C2880" t="s">
        <v>14</v>
      </c>
      <c r="D2880">
        <v>38</v>
      </c>
      <c r="E2880" s="1">
        <v>42211</v>
      </c>
      <c r="F2880">
        <v>2.4700000000000002</v>
      </c>
      <c r="G2880">
        <v>2</v>
      </c>
      <c r="H2880">
        <v>12082.5</v>
      </c>
      <c r="I2880">
        <v>10.3</v>
      </c>
    </row>
    <row r="2881" spans="1:9" x14ac:dyDescent="0.3">
      <c r="A2881" t="s">
        <v>2896</v>
      </c>
      <c r="B2881" t="s">
        <v>16</v>
      </c>
      <c r="C2881" t="s">
        <v>11</v>
      </c>
      <c r="D2881">
        <v>57</v>
      </c>
      <c r="E2881" s="1">
        <v>45824</v>
      </c>
      <c r="F2881">
        <v>2.94</v>
      </c>
      <c r="G2881">
        <v>0</v>
      </c>
      <c r="H2881">
        <v>13917.96</v>
      </c>
      <c r="I2881">
        <v>0.4</v>
      </c>
    </row>
    <row r="2882" spans="1:9" x14ac:dyDescent="0.3">
      <c r="A2882" t="s">
        <v>2897</v>
      </c>
      <c r="B2882" t="s">
        <v>16</v>
      </c>
      <c r="C2882" t="s">
        <v>11</v>
      </c>
      <c r="D2882">
        <v>48</v>
      </c>
      <c r="E2882" s="1">
        <v>41896</v>
      </c>
      <c r="F2882">
        <v>3.21</v>
      </c>
      <c r="G2882">
        <v>6</v>
      </c>
      <c r="H2882">
        <v>5151.58</v>
      </c>
      <c r="I2882">
        <v>11.1</v>
      </c>
    </row>
    <row r="2883" spans="1:9" x14ac:dyDescent="0.3">
      <c r="A2883" t="s">
        <v>2898</v>
      </c>
      <c r="B2883" t="s">
        <v>10</v>
      </c>
      <c r="C2883" t="s">
        <v>11</v>
      </c>
      <c r="D2883">
        <v>45</v>
      </c>
      <c r="E2883" s="1">
        <v>42389</v>
      </c>
      <c r="F2883">
        <v>3.64</v>
      </c>
      <c r="G2883">
        <v>11</v>
      </c>
      <c r="H2883">
        <v>7970.84</v>
      </c>
      <c r="I2883">
        <v>9.8000000000000007</v>
      </c>
    </row>
    <row r="2884" spans="1:9" x14ac:dyDescent="0.3">
      <c r="A2884" t="s">
        <v>2899</v>
      </c>
      <c r="B2884" t="s">
        <v>18</v>
      </c>
      <c r="C2884" t="s">
        <v>11</v>
      </c>
      <c r="D2884">
        <v>23</v>
      </c>
      <c r="E2884" s="1">
        <v>45451</v>
      </c>
      <c r="F2884">
        <v>4.29</v>
      </c>
      <c r="G2884">
        <v>6</v>
      </c>
      <c r="H2884">
        <v>12342.48</v>
      </c>
      <c r="I2884">
        <v>1.4</v>
      </c>
    </row>
    <row r="2885" spans="1:9" x14ac:dyDescent="0.3">
      <c r="A2885" t="s">
        <v>2900</v>
      </c>
      <c r="B2885" t="s">
        <v>34</v>
      </c>
      <c r="C2885" t="s">
        <v>14</v>
      </c>
      <c r="D2885">
        <v>45</v>
      </c>
      <c r="E2885" s="1">
        <v>41252</v>
      </c>
      <c r="F2885">
        <v>4.91</v>
      </c>
      <c r="G2885">
        <v>6</v>
      </c>
      <c r="H2885">
        <v>12516.82</v>
      </c>
      <c r="I2885">
        <v>12.9</v>
      </c>
    </row>
    <row r="2886" spans="1:9" x14ac:dyDescent="0.3">
      <c r="A2886" t="s">
        <v>2901</v>
      </c>
      <c r="B2886" t="s">
        <v>16</v>
      </c>
      <c r="C2886" t="s">
        <v>11</v>
      </c>
      <c r="D2886">
        <v>48</v>
      </c>
      <c r="E2886" s="1">
        <v>41335</v>
      </c>
      <c r="F2886">
        <v>3.26</v>
      </c>
      <c r="G2886">
        <v>14</v>
      </c>
      <c r="H2886">
        <v>8082.14</v>
      </c>
      <c r="I2886">
        <v>12.7</v>
      </c>
    </row>
    <row r="2887" spans="1:9" x14ac:dyDescent="0.3">
      <c r="A2887" t="s">
        <v>2902</v>
      </c>
      <c r="B2887" t="s">
        <v>34</v>
      </c>
      <c r="C2887" t="s">
        <v>11</v>
      </c>
      <c r="D2887">
        <v>25</v>
      </c>
      <c r="E2887" s="1">
        <v>40865</v>
      </c>
      <c r="F2887">
        <v>2.09</v>
      </c>
      <c r="G2887">
        <v>4</v>
      </c>
      <c r="H2887">
        <v>12850.18</v>
      </c>
      <c r="I2887">
        <v>14</v>
      </c>
    </row>
    <row r="2888" spans="1:9" x14ac:dyDescent="0.3">
      <c r="A2888" t="s">
        <v>2903</v>
      </c>
      <c r="B2888" t="s">
        <v>16</v>
      </c>
      <c r="C2888" t="s">
        <v>11</v>
      </c>
      <c r="D2888">
        <v>39</v>
      </c>
      <c r="E2888" s="1">
        <v>40734</v>
      </c>
      <c r="F2888">
        <v>4.82</v>
      </c>
      <c r="G2888">
        <v>10</v>
      </c>
      <c r="H2888">
        <v>13348.35</v>
      </c>
      <c r="I2888">
        <v>14.3</v>
      </c>
    </row>
    <row r="2889" spans="1:9" x14ac:dyDescent="0.3">
      <c r="A2889" t="s">
        <v>2904</v>
      </c>
      <c r="B2889" t="s">
        <v>13</v>
      </c>
      <c r="C2889" t="s">
        <v>11</v>
      </c>
      <c r="D2889">
        <v>52</v>
      </c>
      <c r="E2889" s="1">
        <v>40801</v>
      </c>
      <c r="F2889">
        <v>3.28</v>
      </c>
      <c r="G2889">
        <v>5</v>
      </c>
      <c r="H2889">
        <v>3561.7</v>
      </c>
      <c r="I2889">
        <v>14.1</v>
      </c>
    </row>
    <row r="2890" spans="1:9" x14ac:dyDescent="0.3">
      <c r="A2890" t="s">
        <v>2905</v>
      </c>
      <c r="B2890" t="s">
        <v>34</v>
      </c>
      <c r="C2890" t="s">
        <v>14</v>
      </c>
      <c r="D2890">
        <v>54</v>
      </c>
      <c r="E2890" s="1">
        <v>41373</v>
      </c>
      <c r="F2890">
        <v>1.94</v>
      </c>
      <c r="G2890">
        <v>0</v>
      </c>
      <c r="H2890">
        <v>3199.3</v>
      </c>
      <c r="I2890">
        <v>12.6</v>
      </c>
    </row>
    <row r="2891" spans="1:9" x14ac:dyDescent="0.3">
      <c r="A2891" t="s">
        <v>2906</v>
      </c>
      <c r="B2891" t="s">
        <v>18</v>
      </c>
      <c r="C2891" t="s">
        <v>14</v>
      </c>
      <c r="D2891">
        <v>50</v>
      </c>
      <c r="E2891" s="1">
        <v>40636</v>
      </c>
      <c r="F2891">
        <v>4.79</v>
      </c>
      <c r="G2891">
        <v>12</v>
      </c>
      <c r="H2891">
        <v>4601.68</v>
      </c>
      <c r="I2891">
        <v>14.6</v>
      </c>
    </row>
    <row r="2892" spans="1:9" x14ac:dyDescent="0.3">
      <c r="A2892" t="s">
        <v>2907</v>
      </c>
      <c r="B2892" t="s">
        <v>18</v>
      </c>
      <c r="C2892" t="s">
        <v>11</v>
      </c>
      <c r="D2892">
        <v>42</v>
      </c>
      <c r="E2892" s="1">
        <v>43063</v>
      </c>
      <c r="F2892">
        <v>3.86</v>
      </c>
      <c r="G2892">
        <v>11</v>
      </c>
      <c r="H2892">
        <v>11851.88</v>
      </c>
      <c r="I2892">
        <v>7.9</v>
      </c>
    </row>
    <row r="2893" spans="1:9" x14ac:dyDescent="0.3">
      <c r="A2893" t="s">
        <v>2908</v>
      </c>
      <c r="B2893" t="s">
        <v>10</v>
      </c>
      <c r="C2893" t="s">
        <v>11</v>
      </c>
      <c r="D2893">
        <v>49</v>
      </c>
      <c r="E2893" s="1">
        <v>45767</v>
      </c>
      <c r="F2893">
        <v>1.9</v>
      </c>
      <c r="G2893">
        <v>10</v>
      </c>
      <c r="H2893">
        <v>4978.41</v>
      </c>
      <c r="I2893">
        <v>0.5</v>
      </c>
    </row>
    <row r="2894" spans="1:9" x14ac:dyDescent="0.3">
      <c r="A2894" t="s">
        <v>2909</v>
      </c>
      <c r="B2894" t="s">
        <v>16</v>
      </c>
      <c r="C2894" t="s">
        <v>14</v>
      </c>
      <c r="D2894">
        <v>52</v>
      </c>
      <c r="E2894" s="1">
        <v>41515</v>
      </c>
      <c r="F2894">
        <v>3.54</v>
      </c>
      <c r="G2894">
        <v>10</v>
      </c>
      <c r="H2894">
        <v>10530</v>
      </c>
      <c r="I2894">
        <v>12.2</v>
      </c>
    </row>
    <row r="2895" spans="1:9" x14ac:dyDescent="0.3">
      <c r="A2895" t="s">
        <v>2910</v>
      </c>
      <c r="B2895" t="s">
        <v>10</v>
      </c>
      <c r="C2895" t="s">
        <v>14</v>
      </c>
      <c r="D2895">
        <v>42</v>
      </c>
      <c r="E2895" s="1">
        <v>41632</v>
      </c>
      <c r="F2895">
        <v>4.66</v>
      </c>
      <c r="G2895">
        <v>5</v>
      </c>
      <c r="H2895">
        <v>6212.92</v>
      </c>
      <c r="I2895">
        <v>11.9</v>
      </c>
    </row>
    <row r="2896" spans="1:9" x14ac:dyDescent="0.3">
      <c r="A2896" t="s">
        <v>2911</v>
      </c>
      <c r="B2896" t="s">
        <v>34</v>
      </c>
      <c r="C2896" t="s">
        <v>14</v>
      </c>
      <c r="D2896">
        <v>60</v>
      </c>
      <c r="E2896" s="1">
        <v>45505</v>
      </c>
      <c r="F2896">
        <v>3.43</v>
      </c>
      <c r="G2896">
        <v>15</v>
      </c>
      <c r="H2896">
        <v>7279.67</v>
      </c>
      <c r="I2896">
        <v>1.3</v>
      </c>
    </row>
    <row r="2897" spans="1:9" x14ac:dyDescent="0.3">
      <c r="A2897" t="s">
        <v>2912</v>
      </c>
      <c r="B2897" t="s">
        <v>34</v>
      </c>
      <c r="C2897" t="s">
        <v>11</v>
      </c>
      <c r="D2897">
        <v>33</v>
      </c>
      <c r="E2897" s="1">
        <v>42417</v>
      </c>
      <c r="F2897">
        <v>1.55</v>
      </c>
      <c r="G2897">
        <v>9</v>
      </c>
      <c r="H2897">
        <v>8417.92</v>
      </c>
      <c r="I2897">
        <v>9.6999999999999993</v>
      </c>
    </row>
    <row r="2898" spans="1:9" x14ac:dyDescent="0.3">
      <c r="A2898" t="s">
        <v>2913</v>
      </c>
      <c r="B2898" t="s">
        <v>13</v>
      </c>
      <c r="C2898" t="s">
        <v>14</v>
      </c>
      <c r="D2898">
        <v>37</v>
      </c>
      <c r="E2898" s="1">
        <v>42475</v>
      </c>
      <c r="F2898">
        <v>4.2300000000000004</v>
      </c>
      <c r="G2898">
        <v>12</v>
      </c>
      <c r="H2898">
        <v>10894.57</v>
      </c>
      <c r="I2898">
        <v>9.6</v>
      </c>
    </row>
    <row r="2899" spans="1:9" x14ac:dyDescent="0.3">
      <c r="A2899" t="s">
        <v>2914</v>
      </c>
      <c r="B2899" t="s">
        <v>10</v>
      </c>
      <c r="C2899" t="s">
        <v>11</v>
      </c>
      <c r="D2899">
        <v>23</v>
      </c>
      <c r="E2899" s="1">
        <v>43316</v>
      </c>
      <c r="F2899">
        <v>2.96</v>
      </c>
      <c r="G2899">
        <v>7</v>
      </c>
      <c r="H2899">
        <v>14793.98</v>
      </c>
      <c r="I2899">
        <v>7.2</v>
      </c>
    </row>
    <row r="2900" spans="1:9" x14ac:dyDescent="0.3">
      <c r="A2900" t="s">
        <v>2915</v>
      </c>
      <c r="B2900" t="s">
        <v>34</v>
      </c>
      <c r="C2900" t="s">
        <v>11</v>
      </c>
      <c r="D2900">
        <v>45</v>
      </c>
      <c r="E2900" s="1">
        <v>40585</v>
      </c>
      <c r="F2900">
        <v>3.22</v>
      </c>
      <c r="G2900">
        <v>9</v>
      </c>
      <c r="H2900">
        <v>14975.42</v>
      </c>
      <c r="I2900">
        <v>14.7</v>
      </c>
    </row>
    <row r="2901" spans="1:9" x14ac:dyDescent="0.3">
      <c r="A2901" t="s">
        <v>2916</v>
      </c>
      <c r="B2901" t="s">
        <v>16</v>
      </c>
      <c r="C2901" t="s">
        <v>11</v>
      </c>
      <c r="D2901">
        <v>50</v>
      </c>
      <c r="E2901" s="1">
        <v>44997</v>
      </c>
      <c r="F2901">
        <v>2.65</v>
      </c>
      <c r="G2901">
        <v>0</v>
      </c>
      <c r="H2901">
        <v>10640.88</v>
      </c>
      <c r="I2901">
        <v>2.6</v>
      </c>
    </row>
    <row r="2902" spans="1:9" x14ac:dyDescent="0.3">
      <c r="A2902" t="s">
        <v>2917</v>
      </c>
      <c r="B2902" t="s">
        <v>13</v>
      </c>
      <c r="C2902" t="s">
        <v>11</v>
      </c>
      <c r="D2902">
        <v>55</v>
      </c>
      <c r="E2902" s="1">
        <v>41579</v>
      </c>
      <c r="F2902">
        <v>2.58</v>
      </c>
      <c r="G2902">
        <v>6</v>
      </c>
      <c r="H2902">
        <v>9645.58</v>
      </c>
      <c r="I2902">
        <v>12</v>
      </c>
    </row>
    <row r="2903" spans="1:9" x14ac:dyDescent="0.3">
      <c r="A2903" t="s">
        <v>2918</v>
      </c>
      <c r="B2903" t="s">
        <v>18</v>
      </c>
      <c r="C2903" t="s">
        <v>11</v>
      </c>
      <c r="D2903">
        <v>30</v>
      </c>
      <c r="E2903" s="1">
        <v>44024</v>
      </c>
      <c r="F2903">
        <v>4.9000000000000004</v>
      </c>
      <c r="G2903">
        <v>4</v>
      </c>
      <c r="H2903">
        <v>7382.18</v>
      </c>
      <c r="I2903">
        <v>5.3</v>
      </c>
    </row>
    <row r="2904" spans="1:9" x14ac:dyDescent="0.3">
      <c r="A2904" t="s">
        <v>2919</v>
      </c>
      <c r="B2904" t="s">
        <v>34</v>
      </c>
      <c r="C2904" t="s">
        <v>11</v>
      </c>
      <c r="D2904">
        <v>48</v>
      </c>
      <c r="E2904" s="1">
        <v>44560</v>
      </c>
      <c r="F2904">
        <v>4.3499999999999996</v>
      </c>
      <c r="G2904">
        <v>12</v>
      </c>
      <c r="H2904">
        <v>6083.62</v>
      </c>
      <c r="I2904">
        <v>3.8</v>
      </c>
    </row>
    <row r="2905" spans="1:9" x14ac:dyDescent="0.3">
      <c r="A2905" t="s">
        <v>2920</v>
      </c>
      <c r="B2905" t="s">
        <v>16</v>
      </c>
      <c r="C2905" t="s">
        <v>11</v>
      </c>
      <c r="D2905">
        <v>59</v>
      </c>
      <c r="E2905" s="1">
        <v>44432</v>
      </c>
      <c r="F2905">
        <v>4.7300000000000004</v>
      </c>
      <c r="G2905">
        <v>14</v>
      </c>
      <c r="H2905">
        <v>4988.7700000000004</v>
      </c>
      <c r="I2905">
        <v>4.2</v>
      </c>
    </row>
    <row r="2906" spans="1:9" x14ac:dyDescent="0.3">
      <c r="A2906" t="s">
        <v>2921</v>
      </c>
      <c r="B2906" t="s">
        <v>16</v>
      </c>
      <c r="C2906" t="s">
        <v>11</v>
      </c>
      <c r="D2906">
        <v>24</v>
      </c>
      <c r="E2906" s="1">
        <v>42628</v>
      </c>
      <c r="F2906">
        <v>3.34</v>
      </c>
      <c r="G2906">
        <v>4</v>
      </c>
      <c r="H2906">
        <v>7435.24</v>
      </c>
      <c r="I2906">
        <v>9.1</v>
      </c>
    </row>
    <row r="2907" spans="1:9" x14ac:dyDescent="0.3">
      <c r="A2907" t="s">
        <v>2922</v>
      </c>
      <c r="B2907" t="s">
        <v>34</v>
      </c>
      <c r="C2907" t="s">
        <v>11</v>
      </c>
      <c r="D2907">
        <v>40</v>
      </c>
      <c r="E2907" s="1">
        <v>44611</v>
      </c>
      <c r="F2907">
        <v>4.6500000000000004</v>
      </c>
      <c r="G2907">
        <v>5</v>
      </c>
      <c r="H2907">
        <v>8391.58</v>
      </c>
      <c r="I2907">
        <v>3.7</v>
      </c>
    </row>
    <row r="2908" spans="1:9" x14ac:dyDescent="0.3">
      <c r="A2908" t="s">
        <v>2923</v>
      </c>
      <c r="B2908" t="s">
        <v>16</v>
      </c>
      <c r="C2908" t="s">
        <v>11</v>
      </c>
      <c r="D2908">
        <v>29</v>
      </c>
      <c r="E2908" s="1">
        <v>45316</v>
      </c>
      <c r="F2908">
        <v>3.79</v>
      </c>
      <c r="G2908">
        <v>3</v>
      </c>
      <c r="H2908">
        <v>14513.44</v>
      </c>
      <c r="I2908">
        <v>1.8</v>
      </c>
    </row>
    <row r="2909" spans="1:9" x14ac:dyDescent="0.3">
      <c r="A2909" t="s">
        <v>2924</v>
      </c>
      <c r="B2909" t="s">
        <v>10</v>
      </c>
      <c r="C2909" t="s">
        <v>14</v>
      </c>
      <c r="D2909">
        <v>31</v>
      </c>
      <c r="E2909" s="1">
        <v>41882</v>
      </c>
      <c r="F2909">
        <v>4.59</v>
      </c>
      <c r="G2909">
        <v>12</v>
      </c>
      <c r="H2909">
        <v>6067.55</v>
      </c>
      <c r="I2909">
        <v>11.2</v>
      </c>
    </row>
    <row r="2910" spans="1:9" x14ac:dyDescent="0.3">
      <c r="A2910" t="s">
        <v>2925</v>
      </c>
      <c r="B2910" t="s">
        <v>18</v>
      </c>
      <c r="C2910" t="s">
        <v>11</v>
      </c>
      <c r="D2910">
        <v>53</v>
      </c>
      <c r="E2910" s="1">
        <v>44301</v>
      </c>
      <c r="F2910">
        <v>4.45</v>
      </c>
      <c r="G2910">
        <v>2</v>
      </c>
      <c r="H2910">
        <v>9467.4</v>
      </c>
      <c r="I2910">
        <v>4.5999999999999996</v>
      </c>
    </row>
    <row r="2911" spans="1:9" x14ac:dyDescent="0.3">
      <c r="A2911" t="s">
        <v>2926</v>
      </c>
      <c r="B2911" t="s">
        <v>10</v>
      </c>
      <c r="C2911" t="s">
        <v>14</v>
      </c>
      <c r="D2911">
        <v>41</v>
      </c>
      <c r="E2911" s="1">
        <v>44955</v>
      </c>
      <c r="F2911">
        <v>2.17</v>
      </c>
      <c r="G2911">
        <v>9</v>
      </c>
      <c r="H2911">
        <v>4351.78</v>
      </c>
      <c r="I2911">
        <v>2.8</v>
      </c>
    </row>
    <row r="2912" spans="1:9" x14ac:dyDescent="0.3">
      <c r="A2912" t="s">
        <v>2927</v>
      </c>
      <c r="B2912" t="s">
        <v>10</v>
      </c>
      <c r="C2912" t="s">
        <v>11</v>
      </c>
      <c r="D2912">
        <v>28</v>
      </c>
      <c r="E2912" s="1">
        <v>44942</v>
      </c>
      <c r="F2912">
        <v>2</v>
      </c>
      <c r="G2912">
        <v>15</v>
      </c>
      <c r="H2912">
        <v>8566.2900000000009</v>
      </c>
      <c r="I2912">
        <v>2.8</v>
      </c>
    </row>
    <row r="2913" spans="1:9" x14ac:dyDescent="0.3">
      <c r="A2913" t="s">
        <v>2928</v>
      </c>
      <c r="B2913" t="s">
        <v>24</v>
      </c>
      <c r="C2913" t="s">
        <v>11</v>
      </c>
      <c r="D2913">
        <v>50</v>
      </c>
      <c r="E2913" s="1">
        <v>45204</v>
      </c>
      <c r="F2913">
        <v>4.54</v>
      </c>
      <c r="G2913">
        <v>6</v>
      </c>
      <c r="H2913">
        <v>5947.53</v>
      </c>
      <c r="I2913">
        <v>2.1</v>
      </c>
    </row>
    <row r="2914" spans="1:9" x14ac:dyDescent="0.3">
      <c r="A2914" t="s">
        <v>2929</v>
      </c>
      <c r="B2914" t="s">
        <v>16</v>
      </c>
      <c r="C2914" t="s">
        <v>14</v>
      </c>
      <c r="D2914">
        <v>32</v>
      </c>
      <c r="E2914" s="1">
        <v>42311</v>
      </c>
      <c r="F2914">
        <v>3.9</v>
      </c>
      <c r="G2914">
        <v>7</v>
      </c>
      <c r="H2914">
        <v>6455.23</v>
      </c>
      <c r="I2914">
        <v>10</v>
      </c>
    </row>
    <row r="2915" spans="1:9" x14ac:dyDescent="0.3">
      <c r="A2915" t="s">
        <v>2930</v>
      </c>
      <c r="B2915" t="s">
        <v>10</v>
      </c>
      <c r="C2915" t="s">
        <v>14</v>
      </c>
      <c r="D2915">
        <v>29</v>
      </c>
      <c r="E2915" s="1">
        <v>44400</v>
      </c>
      <c r="F2915">
        <v>3.19</v>
      </c>
      <c r="G2915">
        <v>3</v>
      </c>
      <c r="H2915">
        <v>9492.52</v>
      </c>
      <c r="I2915">
        <v>4.3</v>
      </c>
    </row>
    <row r="2916" spans="1:9" x14ac:dyDescent="0.3">
      <c r="A2916" t="s">
        <v>2931</v>
      </c>
      <c r="B2916" t="s">
        <v>18</v>
      </c>
      <c r="C2916" t="s">
        <v>11</v>
      </c>
      <c r="D2916">
        <v>40</v>
      </c>
      <c r="E2916" s="1">
        <v>44898</v>
      </c>
      <c r="F2916">
        <v>4.1900000000000004</v>
      </c>
      <c r="G2916">
        <v>0</v>
      </c>
      <c r="H2916">
        <v>5622.04</v>
      </c>
      <c r="I2916">
        <v>2.9</v>
      </c>
    </row>
    <row r="2917" spans="1:9" x14ac:dyDescent="0.3">
      <c r="A2917" t="s">
        <v>2932</v>
      </c>
      <c r="B2917" t="s">
        <v>18</v>
      </c>
      <c r="C2917" t="s">
        <v>14</v>
      </c>
      <c r="D2917">
        <v>39</v>
      </c>
      <c r="E2917" s="1">
        <v>42153</v>
      </c>
      <c r="F2917">
        <v>2.14</v>
      </c>
      <c r="G2917">
        <v>2</v>
      </c>
      <c r="H2917">
        <v>10353.31</v>
      </c>
      <c r="I2917">
        <v>10.4</v>
      </c>
    </row>
    <row r="2918" spans="1:9" x14ac:dyDescent="0.3">
      <c r="A2918" t="s">
        <v>2933</v>
      </c>
      <c r="B2918" t="s">
        <v>18</v>
      </c>
      <c r="C2918" t="s">
        <v>11</v>
      </c>
      <c r="D2918">
        <v>44</v>
      </c>
      <c r="E2918" s="1">
        <v>41534</v>
      </c>
      <c r="F2918">
        <v>3.78</v>
      </c>
      <c r="G2918">
        <v>5</v>
      </c>
      <c r="H2918">
        <v>10655.18</v>
      </c>
      <c r="I2918">
        <v>12.1</v>
      </c>
    </row>
    <row r="2919" spans="1:9" x14ac:dyDescent="0.3">
      <c r="A2919" t="s">
        <v>2934</v>
      </c>
      <c r="B2919" t="s">
        <v>34</v>
      </c>
      <c r="C2919" t="s">
        <v>14</v>
      </c>
      <c r="D2919">
        <v>31</v>
      </c>
      <c r="E2919" s="1">
        <v>41635</v>
      </c>
      <c r="F2919">
        <v>2.76</v>
      </c>
      <c r="G2919">
        <v>2</v>
      </c>
      <c r="H2919">
        <v>5445.62</v>
      </c>
      <c r="I2919">
        <v>11.9</v>
      </c>
    </row>
    <row r="2920" spans="1:9" x14ac:dyDescent="0.3">
      <c r="A2920" t="s">
        <v>2935</v>
      </c>
      <c r="B2920" t="s">
        <v>18</v>
      </c>
      <c r="C2920" t="s">
        <v>11</v>
      </c>
      <c r="D2920">
        <v>30</v>
      </c>
      <c r="E2920" s="1">
        <v>45431</v>
      </c>
      <c r="F2920">
        <v>4.53</v>
      </c>
      <c r="G2920">
        <v>5</v>
      </c>
      <c r="H2920">
        <v>12201.63</v>
      </c>
      <c r="I2920">
        <v>1.5</v>
      </c>
    </row>
    <row r="2921" spans="1:9" x14ac:dyDescent="0.3">
      <c r="A2921" t="s">
        <v>2936</v>
      </c>
      <c r="B2921" t="s">
        <v>10</v>
      </c>
      <c r="C2921" t="s">
        <v>11</v>
      </c>
      <c r="D2921">
        <v>38</v>
      </c>
      <c r="E2921" s="1">
        <v>42685</v>
      </c>
      <c r="F2921">
        <v>4.33</v>
      </c>
      <c r="G2921">
        <v>7</v>
      </c>
      <c r="H2921">
        <v>10966.27</v>
      </c>
      <c r="I2921">
        <v>9</v>
      </c>
    </row>
    <row r="2922" spans="1:9" x14ac:dyDescent="0.3">
      <c r="A2922" t="s">
        <v>2937</v>
      </c>
      <c r="B2922" t="s">
        <v>18</v>
      </c>
      <c r="C2922" t="s">
        <v>14</v>
      </c>
      <c r="D2922">
        <v>22</v>
      </c>
      <c r="E2922" s="1">
        <v>41622</v>
      </c>
      <c r="F2922">
        <v>2.98</v>
      </c>
      <c r="G2922">
        <v>0</v>
      </c>
      <c r="H2922">
        <v>7249.84</v>
      </c>
      <c r="I2922">
        <v>11.9</v>
      </c>
    </row>
    <row r="2923" spans="1:9" x14ac:dyDescent="0.3">
      <c r="A2923" t="s">
        <v>2938</v>
      </c>
      <c r="B2923" t="s">
        <v>13</v>
      </c>
      <c r="C2923" t="s">
        <v>11</v>
      </c>
      <c r="D2923">
        <v>60</v>
      </c>
      <c r="E2923" s="1">
        <v>42715</v>
      </c>
      <c r="F2923">
        <v>1.77</v>
      </c>
      <c r="G2923">
        <v>14</v>
      </c>
      <c r="H2923">
        <v>14153.45</v>
      </c>
      <c r="I2923">
        <v>8.9</v>
      </c>
    </row>
    <row r="2924" spans="1:9" x14ac:dyDescent="0.3">
      <c r="A2924" t="s">
        <v>2939</v>
      </c>
      <c r="B2924" t="s">
        <v>24</v>
      </c>
      <c r="C2924" t="s">
        <v>14</v>
      </c>
      <c r="D2924">
        <v>42</v>
      </c>
      <c r="E2924" s="1">
        <v>45953</v>
      </c>
      <c r="F2924">
        <v>4.63</v>
      </c>
      <c r="G2924">
        <v>12</v>
      </c>
      <c r="H2924">
        <v>11046.61</v>
      </c>
      <c r="I2924">
        <v>0</v>
      </c>
    </row>
    <row r="2925" spans="1:9" x14ac:dyDescent="0.3">
      <c r="A2925" t="s">
        <v>2940</v>
      </c>
      <c r="B2925" t="s">
        <v>18</v>
      </c>
      <c r="C2925" t="s">
        <v>11</v>
      </c>
      <c r="D2925">
        <v>41</v>
      </c>
      <c r="E2925" s="1">
        <v>42527</v>
      </c>
      <c r="F2925">
        <v>3.34</v>
      </c>
      <c r="G2925">
        <v>14</v>
      </c>
      <c r="H2925">
        <v>10879.51</v>
      </c>
      <c r="I2925">
        <v>9.4</v>
      </c>
    </row>
    <row r="2926" spans="1:9" x14ac:dyDescent="0.3">
      <c r="A2926" t="s">
        <v>2941</v>
      </c>
      <c r="B2926" t="s">
        <v>16</v>
      </c>
      <c r="C2926" t="s">
        <v>11</v>
      </c>
      <c r="D2926">
        <v>22</v>
      </c>
      <c r="E2926" s="1">
        <v>44618</v>
      </c>
      <c r="F2926">
        <v>4.4000000000000004</v>
      </c>
      <c r="G2926">
        <v>14</v>
      </c>
      <c r="H2926">
        <v>12938.03</v>
      </c>
      <c r="I2926">
        <v>3.7</v>
      </c>
    </row>
    <row r="2927" spans="1:9" x14ac:dyDescent="0.3">
      <c r="A2927" t="s">
        <v>2942</v>
      </c>
      <c r="B2927" t="s">
        <v>13</v>
      </c>
      <c r="C2927" t="s">
        <v>14</v>
      </c>
      <c r="D2927">
        <v>58</v>
      </c>
      <c r="E2927" s="1">
        <v>45812</v>
      </c>
      <c r="F2927">
        <v>2.0299999999999998</v>
      </c>
      <c r="G2927">
        <v>14</v>
      </c>
      <c r="H2927">
        <v>11555.84</v>
      </c>
      <c r="I2927">
        <v>0.4</v>
      </c>
    </row>
    <row r="2928" spans="1:9" x14ac:dyDescent="0.3">
      <c r="A2928" t="s">
        <v>2943</v>
      </c>
      <c r="B2928" t="s">
        <v>16</v>
      </c>
      <c r="C2928" t="s">
        <v>11</v>
      </c>
      <c r="D2928">
        <v>59</v>
      </c>
      <c r="E2928" s="1">
        <v>41991</v>
      </c>
      <c r="F2928">
        <v>1.94</v>
      </c>
      <c r="G2928">
        <v>1</v>
      </c>
      <c r="H2928">
        <v>12376.66</v>
      </c>
      <c r="I2928">
        <v>10.9</v>
      </c>
    </row>
    <row r="2929" spans="1:9" x14ac:dyDescent="0.3">
      <c r="A2929" t="s">
        <v>2944</v>
      </c>
      <c r="B2929" t="s">
        <v>16</v>
      </c>
      <c r="C2929" t="s">
        <v>14</v>
      </c>
      <c r="D2929">
        <v>39</v>
      </c>
      <c r="E2929" s="1">
        <v>43372</v>
      </c>
      <c r="F2929">
        <v>2.09</v>
      </c>
      <c r="G2929">
        <v>3</v>
      </c>
      <c r="H2929">
        <v>6953.52</v>
      </c>
      <c r="I2929">
        <v>7.1</v>
      </c>
    </row>
    <row r="2930" spans="1:9" x14ac:dyDescent="0.3">
      <c r="A2930" t="s">
        <v>2945</v>
      </c>
      <c r="B2930" t="s">
        <v>18</v>
      </c>
      <c r="C2930" t="s">
        <v>14</v>
      </c>
      <c r="D2930">
        <v>25</v>
      </c>
      <c r="E2930" s="1">
        <v>45354</v>
      </c>
      <c r="F2930">
        <v>4.7300000000000004</v>
      </c>
      <c r="G2930">
        <v>13</v>
      </c>
      <c r="H2930">
        <v>9447.33</v>
      </c>
      <c r="I2930">
        <v>1.7</v>
      </c>
    </row>
    <row r="2931" spans="1:9" x14ac:dyDescent="0.3">
      <c r="A2931" t="s">
        <v>2946</v>
      </c>
      <c r="B2931" t="s">
        <v>34</v>
      </c>
      <c r="C2931" t="s">
        <v>11</v>
      </c>
      <c r="D2931">
        <v>39</v>
      </c>
      <c r="E2931" s="1">
        <v>41925</v>
      </c>
      <c r="F2931">
        <v>4.0999999999999996</v>
      </c>
      <c r="G2931">
        <v>1</v>
      </c>
      <c r="H2931">
        <v>8637.8799999999992</v>
      </c>
      <c r="I2931">
        <v>11.1</v>
      </c>
    </row>
    <row r="2932" spans="1:9" x14ac:dyDescent="0.3">
      <c r="A2932" t="s">
        <v>2947</v>
      </c>
      <c r="B2932" t="s">
        <v>34</v>
      </c>
      <c r="C2932" t="s">
        <v>14</v>
      </c>
      <c r="D2932">
        <v>49</v>
      </c>
      <c r="E2932" s="1">
        <v>40642</v>
      </c>
      <c r="F2932">
        <v>3.73</v>
      </c>
      <c r="G2932">
        <v>7</v>
      </c>
      <c r="H2932">
        <v>11059.13</v>
      </c>
      <c r="I2932">
        <v>14.6</v>
      </c>
    </row>
    <row r="2933" spans="1:9" x14ac:dyDescent="0.3">
      <c r="A2933" t="s">
        <v>2948</v>
      </c>
      <c r="B2933" t="s">
        <v>13</v>
      </c>
      <c r="C2933" t="s">
        <v>11</v>
      </c>
      <c r="D2933">
        <v>36</v>
      </c>
      <c r="E2933" s="1">
        <v>42832</v>
      </c>
      <c r="F2933">
        <v>3.36</v>
      </c>
      <c r="G2933">
        <v>6</v>
      </c>
      <c r="H2933">
        <v>3871.24</v>
      </c>
      <c r="I2933">
        <v>8.6</v>
      </c>
    </row>
    <row r="2934" spans="1:9" x14ac:dyDescent="0.3">
      <c r="A2934" t="s">
        <v>2949</v>
      </c>
      <c r="B2934" t="s">
        <v>18</v>
      </c>
      <c r="C2934" t="s">
        <v>11</v>
      </c>
      <c r="D2934">
        <v>38</v>
      </c>
      <c r="E2934" s="1">
        <v>44197</v>
      </c>
      <c r="F2934">
        <v>3.21</v>
      </c>
      <c r="G2934">
        <v>13</v>
      </c>
      <c r="H2934">
        <v>14141.42</v>
      </c>
      <c r="I2934">
        <v>4.8</v>
      </c>
    </row>
    <row r="2935" spans="1:9" x14ac:dyDescent="0.3">
      <c r="A2935" t="s">
        <v>2950</v>
      </c>
      <c r="B2935" t="s">
        <v>18</v>
      </c>
      <c r="C2935" t="s">
        <v>11</v>
      </c>
      <c r="D2935">
        <v>34</v>
      </c>
      <c r="E2935" s="1">
        <v>41719</v>
      </c>
      <c r="F2935">
        <v>3.35</v>
      </c>
      <c r="G2935">
        <v>13</v>
      </c>
      <c r="H2935">
        <v>12166.88</v>
      </c>
      <c r="I2935">
        <v>11.6</v>
      </c>
    </row>
    <row r="2936" spans="1:9" x14ac:dyDescent="0.3">
      <c r="A2936" t="s">
        <v>2951</v>
      </c>
      <c r="B2936" t="s">
        <v>34</v>
      </c>
      <c r="C2936" t="s">
        <v>11</v>
      </c>
      <c r="D2936">
        <v>58</v>
      </c>
      <c r="E2936" s="1">
        <v>40233</v>
      </c>
      <c r="F2936">
        <v>1.56</v>
      </c>
      <c r="G2936">
        <v>6</v>
      </c>
      <c r="H2936">
        <v>11363.49</v>
      </c>
      <c r="I2936">
        <v>15.7</v>
      </c>
    </row>
    <row r="2937" spans="1:9" x14ac:dyDescent="0.3">
      <c r="A2937" t="s">
        <v>2952</v>
      </c>
      <c r="B2937" t="s">
        <v>34</v>
      </c>
      <c r="C2937" t="s">
        <v>11</v>
      </c>
      <c r="D2937">
        <v>24</v>
      </c>
      <c r="E2937" s="1">
        <v>44966</v>
      </c>
      <c r="F2937">
        <v>3.33</v>
      </c>
      <c r="G2937">
        <v>12</v>
      </c>
      <c r="H2937">
        <v>3636.2</v>
      </c>
      <c r="I2937">
        <v>2.7</v>
      </c>
    </row>
    <row r="2938" spans="1:9" x14ac:dyDescent="0.3">
      <c r="A2938" t="s">
        <v>2953</v>
      </c>
      <c r="B2938" t="s">
        <v>24</v>
      </c>
      <c r="C2938" t="s">
        <v>14</v>
      </c>
      <c r="D2938">
        <v>25</v>
      </c>
      <c r="E2938" s="1">
        <v>44818</v>
      </c>
      <c r="F2938">
        <v>4.72</v>
      </c>
      <c r="G2938">
        <v>2</v>
      </c>
      <c r="H2938">
        <v>11088.32</v>
      </c>
      <c r="I2938">
        <v>3.1</v>
      </c>
    </row>
    <row r="2939" spans="1:9" x14ac:dyDescent="0.3">
      <c r="A2939" t="s">
        <v>2954</v>
      </c>
      <c r="B2939" t="s">
        <v>34</v>
      </c>
      <c r="C2939" t="s">
        <v>14</v>
      </c>
      <c r="D2939">
        <v>55</v>
      </c>
      <c r="E2939" s="1">
        <v>43168</v>
      </c>
      <c r="F2939">
        <v>3.38</v>
      </c>
      <c r="G2939">
        <v>13</v>
      </c>
      <c r="H2939">
        <v>12959.16</v>
      </c>
      <c r="I2939">
        <v>7.7</v>
      </c>
    </row>
    <row r="2940" spans="1:9" x14ac:dyDescent="0.3">
      <c r="A2940" t="s">
        <v>2955</v>
      </c>
      <c r="B2940" t="s">
        <v>10</v>
      </c>
      <c r="C2940" t="s">
        <v>11</v>
      </c>
      <c r="D2940">
        <v>54</v>
      </c>
      <c r="E2940" s="1">
        <v>43970</v>
      </c>
      <c r="F2940">
        <v>1.96</v>
      </c>
      <c r="G2940">
        <v>2</v>
      </c>
      <c r="H2940">
        <v>10916.21</v>
      </c>
      <c r="I2940">
        <v>5.5</v>
      </c>
    </row>
    <row r="2941" spans="1:9" x14ac:dyDescent="0.3">
      <c r="A2941" t="s">
        <v>2956</v>
      </c>
      <c r="B2941" t="s">
        <v>18</v>
      </c>
      <c r="C2941" t="s">
        <v>11</v>
      </c>
      <c r="D2941">
        <v>48</v>
      </c>
      <c r="E2941" s="1">
        <v>45369</v>
      </c>
      <c r="F2941">
        <v>1.89</v>
      </c>
      <c r="G2941">
        <v>8</v>
      </c>
      <c r="H2941">
        <v>5426.11</v>
      </c>
      <c r="I2941">
        <v>1.6</v>
      </c>
    </row>
    <row r="2942" spans="1:9" x14ac:dyDescent="0.3">
      <c r="A2942" t="s">
        <v>2957</v>
      </c>
      <c r="B2942" t="s">
        <v>10</v>
      </c>
      <c r="C2942" t="s">
        <v>11</v>
      </c>
      <c r="D2942">
        <v>57</v>
      </c>
      <c r="E2942" s="1">
        <v>40683</v>
      </c>
      <c r="F2942">
        <v>4.32</v>
      </c>
      <c r="G2942">
        <v>0</v>
      </c>
      <c r="H2942">
        <v>11039.44</v>
      </c>
      <c r="I2942">
        <v>14.5</v>
      </c>
    </row>
    <row r="2943" spans="1:9" x14ac:dyDescent="0.3">
      <c r="A2943" t="s">
        <v>2958</v>
      </c>
      <c r="B2943" t="s">
        <v>24</v>
      </c>
      <c r="C2943" t="s">
        <v>11</v>
      </c>
      <c r="D2943">
        <v>60</v>
      </c>
      <c r="E2943" s="1">
        <v>44462</v>
      </c>
      <c r="F2943">
        <v>3.68</v>
      </c>
      <c r="G2943">
        <v>7</v>
      </c>
      <c r="H2943">
        <v>7468.87</v>
      </c>
      <c r="I2943">
        <v>4.0999999999999996</v>
      </c>
    </row>
    <row r="2944" spans="1:9" x14ac:dyDescent="0.3">
      <c r="A2944" t="s">
        <v>2959</v>
      </c>
      <c r="B2944" t="s">
        <v>10</v>
      </c>
      <c r="C2944" t="s">
        <v>14</v>
      </c>
      <c r="D2944">
        <v>32</v>
      </c>
      <c r="E2944" s="1">
        <v>43348</v>
      </c>
      <c r="F2944">
        <v>3.05</v>
      </c>
      <c r="G2944">
        <v>12</v>
      </c>
      <c r="H2944">
        <v>3679.31</v>
      </c>
      <c r="I2944">
        <v>7.2</v>
      </c>
    </row>
    <row r="2945" spans="1:9" x14ac:dyDescent="0.3">
      <c r="A2945" t="s">
        <v>2960</v>
      </c>
      <c r="B2945" t="s">
        <v>13</v>
      </c>
      <c r="C2945" t="s">
        <v>11</v>
      </c>
      <c r="D2945">
        <v>55</v>
      </c>
      <c r="E2945" s="1">
        <v>45763</v>
      </c>
      <c r="F2945">
        <v>2.2200000000000002</v>
      </c>
      <c r="G2945">
        <v>3</v>
      </c>
      <c r="H2945">
        <v>7132.55</v>
      </c>
      <c r="I2945">
        <v>0.5</v>
      </c>
    </row>
    <row r="2946" spans="1:9" x14ac:dyDescent="0.3">
      <c r="A2946" t="s">
        <v>2961</v>
      </c>
      <c r="B2946" t="s">
        <v>34</v>
      </c>
      <c r="C2946" t="s">
        <v>14</v>
      </c>
      <c r="D2946">
        <v>28</v>
      </c>
      <c r="E2946" s="1">
        <v>42662</v>
      </c>
      <c r="F2946">
        <v>4.83</v>
      </c>
      <c r="G2946">
        <v>14</v>
      </c>
      <c r="H2946">
        <v>13433.61</v>
      </c>
      <c r="I2946">
        <v>9</v>
      </c>
    </row>
    <row r="2947" spans="1:9" x14ac:dyDescent="0.3">
      <c r="A2947" t="s">
        <v>2962</v>
      </c>
      <c r="B2947" t="s">
        <v>13</v>
      </c>
      <c r="C2947" t="s">
        <v>11</v>
      </c>
      <c r="D2947">
        <v>38</v>
      </c>
      <c r="E2947" s="1">
        <v>44539</v>
      </c>
      <c r="F2947">
        <v>2</v>
      </c>
      <c r="G2947">
        <v>10</v>
      </c>
      <c r="H2947">
        <v>14780.73</v>
      </c>
      <c r="I2947">
        <v>3.9</v>
      </c>
    </row>
    <row r="2948" spans="1:9" x14ac:dyDescent="0.3">
      <c r="A2948" t="s">
        <v>2963</v>
      </c>
      <c r="B2948" t="s">
        <v>10</v>
      </c>
      <c r="C2948" t="s">
        <v>11</v>
      </c>
      <c r="D2948">
        <v>38</v>
      </c>
      <c r="E2948" s="1">
        <v>41031</v>
      </c>
      <c r="F2948">
        <v>3.28</v>
      </c>
      <c r="G2948">
        <v>6</v>
      </c>
      <c r="H2948">
        <v>4418.43</v>
      </c>
      <c r="I2948">
        <v>13.5</v>
      </c>
    </row>
    <row r="2949" spans="1:9" x14ac:dyDescent="0.3">
      <c r="A2949" t="s">
        <v>2964</v>
      </c>
      <c r="B2949" t="s">
        <v>10</v>
      </c>
      <c r="C2949" t="s">
        <v>14</v>
      </c>
      <c r="D2949">
        <v>55</v>
      </c>
      <c r="E2949" s="1">
        <v>45055</v>
      </c>
      <c r="F2949">
        <v>2.33</v>
      </c>
      <c r="G2949">
        <v>11</v>
      </c>
      <c r="H2949">
        <v>9540.5400000000009</v>
      </c>
      <c r="I2949">
        <v>2.5</v>
      </c>
    </row>
    <row r="2950" spans="1:9" x14ac:dyDescent="0.3">
      <c r="A2950" t="s">
        <v>2965</v>
      </c>
      <c r="B2950" t="s">
        <v>18</v>
      </c>
      <c r="C2950" t="s">
        <v>11</v>
      </c>
      <c r="D2950">
        <v>60</v>
      </c>
      <c r="E2950" s="1">
        <v>41858</v>
      </c>
      <c r="F2950">
        <v>2.16</v>
      </c>
      <c r="G2950">
        <v>10</v>
      </c>
      <c r="H2950">
        <v>5273.27</v>
      </c>
      <c r="I2950">
        <v>11.2</v>
      </c>
    </row>
    <row r="2951" spans="1:9" x14ac:dyDescent="0.3">
      <c r="A2951" t="s">
        <v>2966</v>
      </c>
      <c r="B2951" t="s">
        <v>16</v>
      </c>
      <c r="C2951" t="s">
        <v>11</v>
      </c>
      <c r="D2951">
        <v>46</v>
      </c>
      <c r="E2951" s="1">
        <v>44180</v>
      </c>
      <c r="F2951">
        <v>2.0699999999999998</v>
      </c>
      <c r="G2951">
        <v>14</v>
      </c>
      <c r="H2951">
        <v>9155.99</v>
      </c>
      <c r="I2951">
        <v>4.9000000000000004</v>
      </c>
    </row>
    <row r="2952" spans="1:9" x14ac:dyDescent="0.3">
      <c r="A2952" t="s">
        <v>2967</v>
      </c>
      <c r="B2952" t="s">
        <v>34</v>
      </c>
      <c r="C2952" t="s">
        <v>11</v>
      </c>
      <c r="D2952">
        <v>25</v>
      </c>
      <c r="E2952" s="1">
        <v>45318</v>
      </c>
      <c r="F2952">
        <v>4.3</v>
      </c>
      <c r="G2952">
        <v>10</v>
      </c>
      <c r="H2952">
        <v>13707.43</v>
      </c>
      <c r="I2952">
        <v>1.8</v>
      </c>
    </row>
    <row r="2953" spans="1:9" x14ac:dyDescent="0.3">
      <c r="A2953" t="s">
        <v>2968</v>
      </c>
      <c r="B2953" t="s">
        <v>16</v>
      </c>
      <c r="C2953" t="s">
        <v>11</v>
      </c>
      <c r="D2953">
        <v>58</v>
      </c>
      <c r="E2953" s="1">
        <v>45095</v>
      </c>
      <c r="F2953">
        <v>2.4500000000000002</v>
      </c>
      <c r="G2953">
        <v>14</v>
      </c>
      <c r="H2953">
        <v>12728.58</v>
      </c>
      <c r="I2953">
        <v>2.4</v>
      </c>
    </row>
    <row r="2954" spans="1:9" x14ac:dyDescent="0.3">
      <c r="A2954" t="s">
        <v>2969</v>
      </c>
      <c r="B2954" t="s">
        <v>34</v>
      </c>
      <c r="C2954" t="s">
        <v>14</v>
      </c>
      <c r="D2954">
        <v>26</v>
      </c>
      <c r="E2954" s="1">
        <v>41586</v>
      </c>
      <c r="F2954">
        <v>4.32</v>
      </c>
      <c r="G2954">
        <v>6</v>
      </c>
      <c r="H2954">
        <v>5850.83</v>
      </c>
      <c r="I2954">
        <v>12</v>
      </c>
    </row>
    <row r="2955" spans="1:9" x14ac:dyDescent="0.3">
      <c r="A2955" t="s">
        <v>2970</v>
      </c>
      <c r="B2955" t="s">
        <v>34</v>
      </c>
      <c r="C2955" t="s">
        <v>14</v>
      </c>
      <c r="D2955">
        <v>26</v>
      </c>
      <c r="E2955" s="1">
        <v>40337</v>
      </c>
      <c r="F2955">
        <v>2.54</v>
      </c>
      <c r="G2955">
        <v>11</v>
      </c>
      <c r="H2955">
        <v>8615.34</v>
      </c>
      <c r="I2955">
        <v>15.4</v>
      </c>
    </row>
    <row r="2956" spans="1:9" x14ac:dyDescent="0.3">
      <c r="A2956" t="s">
        <v>2971</v>
      </c>
      <c r="B2956" t="s">
        <v>13</v>
      </c>
      <c r="C2956" t="s">
        <v>11</v>
      </c>
      <c r="D2956">
        <v>23</v>
      </c>
      <c r="E2956" s="1">
        <v>41025</v>
      </c>
      <c r="F2956">
        <v>3.31</v>
      </c>
      <c r="G2956">
        <v>7</v>
      </c>
      <c r="H2956">
        <v>13365.8</v>
      </c>
      <c r="I2956">
        <v>13.5</v>
      </c>
    </row>
    <row r="2957" spans="1:9" x14ac:dyDescent="0.3">
      <c r="A2957" t="s">
        <v>2972</v>
      </c>
      <c r="B2957" t="s">
        <v>34</v>
      </c>
      <c r="C2957" t="s">
        <v>14</v>
      </c>
      <c r="D2957">
        <v>43</v>
      </c>
      <c r="E2957" s="1">
        <v>42020</v>
      </c>
      <c r="F2957">
        <v>2.48</v>
      </c>
      <c r="G2957">
        <v>10</v>
      </c>
      <c r="H2957">
        <v>12248.74</v>
      </c>
      <c r="I2957">
        <v>10.8</v>
      </c>
    </row>
    <row r="2958" spans="1:9" x14ac:dyDescent="0.3">
      <c r="A2958" t="s">
        <v>2973</v>
      </c>
      <c r="B2958" t="s">
        <v>10</v>
      </c>
      <c r="C2958" t="s">
        <v>11</v>
      </c>
      <c r="D2958">
        <v>54</v>
      </c>
      <c r="E2958" s="1">
        <v>43630</v>
      </c>
      <c r="F2958">
        <v>2.1800000000000002</v>
      </c>
      <c r="G2958">
        <v>15</v>
      </c>
      <c r="H2958">
        <v>14907.16</v>
      </c>
      <c r="I2958">
        <v>6.4</v>
      </c>
    </row>
    <row r="2959" spans="1:9" x14ac:dyDescent="0.3">
      <c r="A2959" t="s">
        <v>2974</v>
      </c>
      <c r="B2959" t="s">
        <v>13</v>
      </c>
      <c r="C2959" t="s">
        <v>14</v>
      </c>
      <c r="D2959">
        <v>36</v>
      </c>
      <c r="E2959" s="1">
        <v>41844</v>
      </c>
      <c r="F2959">
        <v>2.41</v>
      </c>
      <c r="G2959">
        <v>1</v>
      </c>
      <c r="H2959">
        <v>4811.51</v>
      </c>
      <c r="I2959">
        <v>11.3</v>
      </c>
    </row>
    <row r="2960" spans="1:9" x14ac:dyDescent="0.3">
      <c r="A2960" t="s">
        <v>2975</v>
      </c>
      <c r="B2960" t="s">
        <v>16</v>
      </c>
      <c r="C2960" t="s">
        <v>14</v>
      </c>
      <c r="D2960">
        <v>48</v>
      </c>
      <c r="E2960" s="1">
        <v>40543</v>
      </c>
      <c r="F2960">
        <v>2.31</v>
      </c>
      <c r="G2960">
        <v>15</v>
      </c>
      <c r="H2960">
        <v>14498.06</v>
      </c>
      <c r="I2960">
        <v>14.8</v>
      </c>
    </row>
    <row r="2961" spans="1:9" x14ac:dyDescent="0.3">
      <c r="A2961" t="s">
        <v>2976</v>
      </c>
      <c r="B2961" t="s">
        <v>18</v>
      </c>
      <c r="C2961" t="s">
        <v>11</v>
      </c>
      <c r="D2961">
        <v>30</v>
      </c>
      <c r="E2961" s="1">
        <v>44480</v>
      </c>
      <c r="F2961">
        <v>4.18</v>
      </c>
      <c r="G2961">
        <v>5</v>
      </c>
      <c r="H2961">
        <v>5109.5</v>
      </c>
      <c r="I2961">
        <v>4.0999999999999996</v>
      </c>
    </row>
    <row r="2962" spans="1:9" x14ac:dyDescent="0.3">
      <c r="A2962" t="s">
        <v>2977</v>
      </c>
      <c r="B2962" t="s">
        <v>24</v>
      </c>
      <c r="C2962" t="s">
        <v>11</v>
      </c>
      <c r="D2962">
        <v>47</v>
      </c>
      <c r="E2962" s="1">
        <v>43208</v>
      </c>
      <c r="F2962">
        <v>3.43</v>
      </c>
      <c r="G2962">
        <v>4</v>
      </c>
      <c r="H2962">
        <v>11307.4</v>
      </c>
      <c r="I2962">
        <v>7.5</v>
      </c>
    </row>
    <row r="2963" spans="1:9" x14ac:dyDescent="0.3">
      <c r="A2963" t="s">
        <v>2978</v>
      </c>
      <c r="B2963" t="s">
        <v>10</v>
      </c>
      <c r="C2963" t="s">
        <v>14</v>
      </c>
      <c r="D2963">
        <v>44</v>
      </c>
      <c r="E2963" s="1">
        <v>41970</v>
      </c>
      <c r="F2963">
        <v>1.99</v>
      </c>
      <c r="G2963">
        <v>13</v>
      </c>
      <c r="H2963">
        <v>12676.87</v>
      </c>
      <c r="I2963">
        <v>10.9</v>
      </c>
    </row>
    <row r="2964" spans="1:9" x14ac:dyDescent="0.3">
      <c r="A2964" t="s">
        <v>2979</v>
      </c>
      <c r="B2964" t="s">
        <v>18</v>
      </c>
      <c r="C2964" t="s">
        <v>14</v>
      </c>
      <c r="D2964">
        <v>24</v>
      </c>
      <c r="E2964" s="1">
        <v>43387</v>
      </c>
      <c r="F2964">
        <v>2.0499999999999998</v>
      </c>
      <c r="G2964">
        <v>7</v>
      </c>
      <c r="H2964">
        <v>3195.02</v>
      </c>
      <c r="I2964">
        <v>7.1</v>
      </c>
    </row>
    <row r="2965" spans="1:9" x14ac:dyDescent="0.3">
      <c r="A2965" t="s">
        <v>2980</v>
      </c>
      <c r="B2965" t="s">
        <v>24</v>
      </c>
      <c r="C2965" t="s">
        <v>11</v>
      </c>
      <c r="D2965">
        <v>50</v>
      </c>
      <c r="E2965" s="1">
        <v>41666</v>
      </c>
      <c r="F2965">
        <v>4.51</v>
      </c>
      <c r="G2965">
        <v>8</v>
      </c>
      <c r="H2965">
        <v>10612.98</v>
      </c>
      <c r="I2965">
        <v>11.8</v>
      </c>
    </row>
    <row r="2966" spans="1:9" x14ac:dyDescent="0.3">
      <c r="A2966" t="s">
        <v>2981</v>
      </c>
      <c r="B2966" t="s">
        <v>16</v>
      </c>
      <c r="C2966" t="s">
        <v>11</v>
      </c>
      <c r="D2966">
        <v>40</v>
      </c>
      <c r="E2966" s="1">
        <v>42671</v>
      </c>
      <c r="F2966">
        <v>2.06</v>
      </c>
      <c r="G2966">
        <v>5</v>
      </c>
      <c r="H2966">
        <v>8997.3799999999992</v>
      </c>
      <c r="I2966">
        <v>9</v>
      </c>
    </row>
    <row r="2967" spans="1:9" x14ac:dyDescent="0.3">
      <c r="A2967" t="s">
        <v>2982</v>
      </c>
      <c r="B2967" t="s">
        <v>34</v>
      </c>
      <c r="C2967" t="s">
        <v>14</v>
      </c>
      <c r="D2967">
        <v>43</v>
      </c>
      <c r="E2967" s="1">
        <v>44644</v>
      </c>
      <c r="F2967">
        <v>3.99</v>
      </c>
      <c r="G2967">
        <v>11</v>
      </c>
      <c r="H2967">
        <v>9270.43</v>
      </c>
      <c r="I2967">
        <v>3.6</v>
      </c>
    </row>
    <row r="2968" spans="1:9" x14ac:dyDescent="0.3">
      <c r="A2968" t="s">
        <v>2983</v>
      </c>
      <c r="B2968" t="s">
        <v>34</v>
      </c>
      <c r="C2968" t="s">
        <v>11</v>
      </c>
      <c r="D2968">
        <v>40</v>
      </c>
      <c r="E2968" s="1">
        <v>40743</v>
      </c>
      <c r="F2968">
        <v>1.72</v>
      </c>
      <c r="G2968">
        <v>10</v>
      </c>
      <c r="H2968">
        <v>14391.7</v>
      </c>
      <c r="I2968">
        <v>14.3</v>
      </c>
    </row>
    <row r="2969" spans="1:9" x14ac:dyDescent="0.3">
      <c r="A2969" t="s">
        <v>2984</v>
      </c>
      <c r="B2969" t="s">
        <v>24</v>
      </c>
      <c r="C2969" t="s">
        <v>14</v>
      </c>
      <c r="D2969">
        <v>34</v>
      </c>
      <c r="E2969" s="1">
        <v>45925</v>
      </c>
      <c r="F2969">
        <v>3.72</v>
      </c>
      <c r="G2969">
        <v>6</v>
      </c>
      <c r="H2969">
        <v>3952.84</v>
      </c>
      <c r="I2969">
        <v>0.1</v>
      </c>
    </row>
    <row r="2970" spans="1:9" x14ac:dyDescent="0.3">
      <c r="A2970" t="s">
        <v>2985</v>
      </c>
      <c r="B2970" t="s">
        <v>13</v>
      </c>
      <c r="C2970" t="s">
        <v>11</v>
      </c>
      <c r="D2970">
        <v>60</v>
      </c>
      <c r="E2970" s="1">
        <v>40652</v>
      </c>
      <c r="F2970">
        <v>4.58</v>
      </c>
      <c r="G2970">
        <v>12</v>
      </c>
      <c r="H2970">
        <v>9754.2900000000009</v>
      </c>
      <c r="I2970">
        <v>14.5</v>
      </c>
    </row>
    <row r="2971" spans="1:9" x14ac:dyDescent="0.3">
      <c r="A2971" t="s">
        <v>2986</v>
      </c>
      <c r="B2971" t="s">
        <v>16</v>
      </c>
      <c r="C2971" t="s">
        <v>11</v>
      </c>
      <c r="D2971">
        <v>52</v>
      </c>
      <c r="E2971" s="1">
        <v>44497</v>
      </c>
      <c r="F2971">
        <v>3.45</v>
      </c>
      <c r="G2971">
        <v>6</v>
      </c>
      <c r="H2971">
        <v>4712.32</v>
      </c>
      <c r="I2971">
        <v>4</v>
      </c>
    </row>
    <row r="2972" spans="1:9" x14ac:dyDescent="0.3">
      <c r="A2972" t="s">
        <v>2987</v>
      </c>
      <c r="B2972" t="s">
        <v>10</v>
      </c>
      <c r="C2972" t="s">
        <v>14</v>
      </c>
      <c r="D2972">
        <v>47</v>
      </c>
      <c r="E2972" s="1">
        <v>44772</v>
      </c>
      <c r="F2972">
        <v>3.28</v>
      </c>
      <c r="G2972">
        <v>2</v>
      </c>
      <c r="H2972">
        <v>11011.18</v>
      </c>
      <c r="I2972">
        <v>3.3</v>
      </c>
    </row>
    <row r="2973" spans="1:9" x14ac:dyDescent="0.3">
      <c r="A2973" t="s">
        <v>2988</v>
      </c>
      <c r="B2973" t="s">
        <v>10</v>
      </c>
      <c r="C2973" t="s">
        <v>14</v>
      </c>
      <c r="D2973">
        <v>54</v>
      </c>
      <c r="E2973" s="1">
        <v>43255</v>
      </c>
      <c r="F2973">
        <v>4.8</v>
      </c>
      <c r="G2973">
        <v>11</v>
      </c>
      <c r="H2973">
        <v>4414.0600000000004</v>
      </c>
      <c r="I2973">
        <v>7.4</v>
      </c>
    </row>
    <row r="2974" spans="1:9" x14ac:dyDescent="0.3">
      <c r="A2974" t="s">
        <v>2989</v>
      </c>
      <c r="B2974" t="s">
        <v>18</v>
      </c>
      <c r="C2974" t="s">
        <v>11</v>
      </c>
      <c r="D2974">
        <v>43</v>
      </c>
      <c r="E2974" s="1">
        <v>43239</v>
      </c>
      <c r="F2974">
        <v>2.98</v>
      </c>
      <c r="G2974">
        <v>1</v>
      </c>
      <c r="H2974">
        <v>14539.1</v>
      </c>
      <c r="I2974">
        <v>7.5</v>
      </c>
    </row>
    <row r="2975" spans="1:9" x14ac:dyDescent="0.3">
      <c r="A2975" t="s">
        <v>2990</v>
      </c>
      <c r="B2975" t="s">
        <v>13</v>
      </c>
      <c r="C2975" t="s">
        <v>14</v>
      </c>
      <c r="D2975">
        <v>23</v>
      </c>
      <c r="E2975" s="1">
        <v>42589</v>
      </c>
      <c r="F2975">
        <v>4.22</v>
      </c>
      <c r="G2975">
        <v>14</v>
      </c>
      <c r="H2975">
        <v>11407.09</v>
      </c>
      <c r="I2975">
        <v>9.1999999999999993</v>
      </c>
    </row>
    <row r="2976" spans="1:9" x14ac:dyDescent="0.3">
      <c r="A2976" t="s">
        <v>2991</v>
      </c>
      <c r="B2976" t="s">
        <v>13</v>
      </c>
      <c r="C2976" t="s">
        <v>14</v>
      </c>
      <c r="D2976">
        <v>29</v>
      </c>
      <c r="E2976" s="1">
        <v>43801</v>
      </c>
      <c r="F2976">
        <v>3.22</v>
      </c>
      <c r="G2976">
        <v>8</v>
      </c>
      <c r="H2976">
        <v>11427.45</v>
      </c>
      <c r="I2976">
        <v>5.9</v>
      </c>
    </row>
    <row r="2977" spans="1:9" x14ac:dyDescent="0.3">
      <c r="A2977" t="s">
        <v>2992</v>
      </c>
      <c r="B2977" t="s">
        <v>10</v>
      </c>
      <c r="C2977" t="s">
        <v>14</v>
      </c>
      <c r="D2977">
        <v>47</v>
      </c>
      <c r="E2977" s="1">
        <v>40558</v>
      </c>
      <c r="F2977">
        <v>3.94</v>
      </c>
      <c r="G2977">
        <v>12</v>
      </c>
      <c r="H2977">
        <v>14321.44</v>
      </c>
      <c r="I2977">
        <v>14.8</v>
      </c>
    </row>
    <row r="2978" spans="1:9" x14ac:dyDescent="0.3">
      <c r="A2978" t="s">
        <v>2993</v>
      </c>
      <c r="B2978" t="s">
        <v>10</v>
      </c>
      <c r="C2978" t="s">
        <v>11</v>
      </c>
      <c r="D2978">
        <v>33</v>
      </c>
      <c r="E2978" s="1">
        <v>40646</v>
      </c>
      <c r="F2978">
        <v>3.13</v>
      </c>
      <c r="G2978">
        <v>0</v>
      </c>
      <c r="H2978">
        <v>7513.69</v>
      </c>
      <c r="I2978">
        <v>14.6</v>
      </c>
    </row>
    <row r="2979" spans="1:9" x14ac:dyDescent="0.3">
      <c r="A2979" t="s">
        <v>2994</v>
      </c>
      <c r="B2979" t="s">
        <v>10</v>
      </c>
      <c r="C2979" t="s">
        <v>11</v>
      </c>
      <c r="D2979">
        <v>38</v>
      </c>
      <c r="E2979" s="1">
        <v>42790</v>
      </c>
      <c r="F2979">
        <v>2.27</v>
      </c>
      <c r="G2979">
        <v>14</v>
      </c>
      <c r="H2979">
        <v>13225.1</v>
      </c>
      <c r="I2979">
        <v>8.6999999999999993</v>
      </c>
    </row>
    <row r="2980" spans="1:9" x14ac:dyDescent="0.3">
      <c r="A2980" t="s">
        <v>2995</v>
      </c>
      <c r="B2980" t="s">
        <v>16</v>
      </c>
      <c r="C2980" t="s">
        <v>11</v>
      </c>
      <c r="D2980">
        <v>28</v>
      </c>
      <c r="E2980" s="1">
        <v>42222</v>
      </c>
      <c r="F2980">
        <v>1.88</v>
      </c>
      <c r="G2980">
        <v>8</v>
      </c>
      <c r="H2980">
        <v>8836.9</v>
      </c>
      <c r="I2980">
        <v>10.199999999999999</v>
      </c>
    </row>
    <row r="2981" spans="1:9" x14ac:dyDescent="0.3">
      <c r="A2981" t="s">
        <v>2996</v>
      </c>
      <c r="B2981" t="s">
        <v>16</v>
      </c>
      <c r="C2981" t="s">
        <v>14</v>
      </c>
      <c r="D2981">
        <v>27</v>
      </c>
      <c r="E2981" s="1">
        <v>41978</v>
      </c>
      <c r="F2981">
        <v>3.05</v>
      </c>
      <c r="G2981">
        <v>6</v>
      </c>
      <c r="H2981">
        <v>14107.67</v>
      </c>
      <c r="I2981">
        <v>10.9</v>
      </c>
    </row>
    <row r="2982" spans="1:9" x14ac:dyDescent="0.3">
      <c r="A2982" t="s">
        <v>2997</v>
      </c>
      <c r="B2982" t="s">
        <v>10</v>
      </c>
      <c r="C2982" t="s">
        <v>14</v>
      </c>
      <c r="D2982">
        <v>40</v>
      </c>
      <c r="E2982" s="1">
        <v>41261</v>
      </c>
      <c r="F2982">
        <v>2.2799999999999998</v>
      </c>
      <c r="G2982">
        <v>10</v>
      </c>
      <c r="H2982">
        <v>8884.9</v>
      </c>
      <c r="I2982">
        <v>12.9</v>
      </c>
    </row>
    <row r="2983" spans="1:9" x14ac:dyDescent="0.3">
      <c r="A2983" t="s">
        <v>2998</v>
      </c>
      <c r="B2983" t="s">
        <v>18</v>
      </c>
      <c r="C2983" t="s">
        <v>11</v>
      </c>
      <c r="D2983">
        <v>36</v>
      </c>
      <c r="E2983" s="1">
        <v>43987</v>
      </c>
      <c r="F2983">
        <v>1.95</v>
      </c>
      <c r="G2983">
        <v>11</v>
      </c>
      <c r="H2983">
        <v>13633.05</v>
      </c>
      <c r="I2983">
        <v>5.4</v>
      </c>
    </row>
    <row r="2984" spans="1:9" x14ac:dyDescent="0.3">
      <c r="A2984" t="s">
        <v>2999</v>
      </c>
      <c r="B2984" t="s">
        <v>16</v>
      </c>
      <c r="C2984" t="s">
        <v>14</v>
      </c>
      <c r="D2984">
        <v>37</v>
      </c>
      <c r="E2984" s="1">
        <v>45598</v>
      </c>
      <c r="F2984">
        <v>2.79</v>
      </c>
      <c r="G2984">
        <v>10</v>
      </c>
      <c r="H2984">
        <v>6241</v>
      </c>
      <c r="I2984">
        <v>1</v>
      </c>
    </row>
    <row r="2985" spans="1:9" x14ac:dyDescent="0.3">
      <c r="A2985" t="s">
        <v>3000</v>
      </c>
      <c r="B2985" t="s">
        <v>13</v>
      </c>
      <c r="C2985" t="s">
        <v>14</v>
      </c>
      <c r="D2985">
        <v>35</v>
      </c>
      <c r="E2985" s="1">
        <v>40435</v>
      </c>
      <c r="F2985">
        <v>4.9400000000000004</v>
      </c>
      <c r="G2985">
        <v>1</v>
      </c>
      <c r="H2985">
        <v>5012.66</v>
      </c>
      <c r="I2985">
        <v>15.1</v>
      </c>
    </row>
    <row r="2986" spans="1:9" x14ac:dyDescent="0.3">
      <c r="A2986" t="s">
        <v>3001</v>
      </c>
      <c r="B2986" t="s">
        <v>13</v>
      </c>
      <c r="C2986" t="s">
        <v>11</v>
      </c>
      <c r="D2986">
        <v>60</v>
      </c>
      <c r="E2986" s="1">
        <v>43291</v>
      </c>
      <c r="F2986">
        <v>4.75</v>
      </c>
      <c r="G2986">
        <v>1</v>
      </c>
      <c r="H2986">
        <v>8736.08</v>
      </c>
      <c r="I2986">
        <v>7.3</v>
      </c>
    </row>
    <row r="2987" spans="1:9" x14ac:dyDescent="0.3">
      <c r="A2987" t="s">
        <v>3002</v>
      </c>
      <c r="B2987" t="s">
        <v>24</v>
      </c>
      <c r="C2987" t="s">
        <v>11</v>
      </c>
      <c r="D2987">
        <v>54</v>
      </c>
      <c r="E2987" s="1">
        <v>44790</v>
      </c>
      <c r="F2987">
        <v>2.33</v>
      </c>
      <c r="G2987">
        <v>13</v>
      </c>
      <c r="H2987">
        <v>6095.77</v>
      </c>
      <c r="I2987">
        <v>3.2</v>
      </c>
    </row>
    <row r="2988" spans="1:9" x14ac:dyDescent="0.3">
      <c r="A2988" t="s">
        <v>3003</v>
      </c>
      <c r="B2988" t="s">
        <v>13</v>
      </c>
      <c r="C2988" t="s">
        <v>11</v>
      </c>
      <c r="D2988">
        <v>55</v>
      </c>
      <c r="E2988" s="1">
        <v>43563</v>
      </c>
      <c r="F2988">
        <v>4.71</v>
      </c>
      <c r="G2988">
        <v>4</v>
      </c>
      <c r="H2988">
        <v>5717.43</v>
      </c>
      <c r="I2988">
        <v>6.6</v>
      </c>
    </row>
    <row r="2989" spans="1:9" x14ac:dyDescent="0.3">
      <c r="A2989" t="s">
        <v>3004</v>
      </c>
      <c r="B2989" t="s">
        <v>18</v>
      </c>
      <c r="C2989" t="s">
        <v>14</v>
      </c>
      <c r="D2989">
        <v>54</v>
      </c>
      <c r="E2989" s="1">
        <v>41078</v>
      </c>
      <c r="F2989">
        <v>4.5999999999999996</v>
      </c>
      <c r="G2989">
        <v>6</v>
      </c>
      <c r="H2989">
        <v>9543.6299999999992</v>
      </c>
      <c r="I2989">
        <v>13.4</v>
      </c>
    </row>
    <row r="2990" spans="1:9" x14ac:dyDescent="0.3">
      <c r="A2990" t="s">
        <v>3005</v>
      </c>
      <c r="B2990" t="s">
        <v>24</v>
      </c>
      <c r="C2990" t="s">
        <v>14</v>
      </c>
      <c r="D2990">
        <v>29</v>
      </c>
      <c r="E2990" s="1">
        <v>41829</v>
      </c>
      <c r="F2990">
        <v>4.58</v>
      </c>
      <c r="G2990">
        <v>2</v>
      </c>
      <c r="H2990">
        <v>12703.91</v>
      </c>
      <c r="I2990">
        <v>11.3</v>
      </c>
    </row>
    <row r="2991" spans="1:9" x14ac:dyDescent="0.3">
      <c r="A2991" t="s">
        <v>3006</v>
      </c>
      <c r="B2991" t="s">
        <v>24</v>
      </c>
      <c r="C2991" t="s">
        <v>11</v>
      </c>
      <c r="D2991">
        <v>37</v>
      </c>
      <c r="E2991" s="1">
        <v>43510</v>
      </c>
      <c r="F2991">
        <v>2.38</v>
      </c>
      <c r="G2991">
        <v>4</v>
      </c>
      <c r="H2991">
        <v>14420.29</v>
      </c>
      <c r="I2991">
        <v>6.7</v>
      </c>
    </row>
    <row r="2992" spans="1:9" x14ac:dyDescent="0.3">
      <c r="A2992" t="s">
        <v>3007</v>
      </c>
      <c r="B2992" t="s">
        <v>34</v>
      </c>
      <c r="C2992" t="s">
        <v>11</v>
      </c>
      <c r="D2992">
        <v>46</v>
      </c>
      <c r="E2992" s="1">
        <v>45309</v>
      </c>
      <c r="F2992">
        <v>1.74</v>
      </c>
      <c r="G2992">
        <v>8</v>
      </c>
      <c r="H2992">
        <v>9392.44</v>
      </c>
      <c r="I2992">
        <v>1.8</v>
      </c>
    </row>
    <row r="2993" spans="1:9" x14ac:dyDescent="0.3">
      <c r="A2993" t="s">
        <v>3008</v>
      </c>
      <c r="B2993" t="s">
        <v>16</v>
      </c>
      <c r="C2993" t="s">
        <v>14</v>
      </c>
      <c r="D2993">
        <v>30</v>
      </c>
      <c r="E2993" s="1">
        <v>41010</v>
      </c>
      <c r="F2993">
        <v>1.62</v>
      </c>
      <c r="G2993">
        <v>2</v>
      </c>
      <c r="H2993">
        <v>4323.75</v>
      </c>
      <c r="I2993">
        <v>13.6</v>
      </c>
    </row>
    <row r="2994" spans="1:9" x14ac:dyDescent="0.3">
      <c r="A2994" t="s">
        <v>3009</v>
      </c>
      <c r="B2994" t="s">
        <v>10</v>
      </c>
      <c r="C2994" t="s">
        <v>11</v>
      </c>
      <c r="D2994">
        <v>43</v>
      </c>
      <c r="E2994" s="1">
        <v>43919</v>
      </c>
      <c r="F2994">
        <v>1.9</v>
      </c>
      <c r="G2994">
        <v>2</v>
      </c>
      <c r="H2994">
        <v>8855.61</v>
      </c>
      <c r="I2994">
        <v>5.6</v>
      </c>
    </row>
    <row r="2995" spans="1:9" x14ac:dyDescent="0.3">
      <c r="A2995" t="s">
        <v>3010</v>
      </c>
      <c r="B2995" t="s">
        <v>18</v>
      </c>
      <c r="C2995" t="s">
        <v>11</v>
      </c>
      <c r="D2995">
        <v>30</v>
      </c>
      <c r="E2995" s="1">
        <v>45475</v>
      </c>
      <c r="F2995">
        <v>3.11</v>
      </c>
      <c r="G2995">
        <v>12</v>
      </c>
      <c r="H2995">
        <v>11297.45</v>
      </c>
      <c r="I2995">
        <v>1.3</v>
      </c>
    </row>
    <row r="2996" spans="1:9" x14ac:dyDescent="0.3">
      <c r="A2996" t="s">
        <v>3011</v>
      </c>
      <c r="B2996" t="s">
        <v>13</v>
      </c>
      <c r="C2996" t="s">
        <v>11</v>
      </c>
      <c r="D2996">
        <v>22</v>
      </c>
      <c r="E2996" s="1">
        <v>42434</v>
      </c>
      <c r="F2996">
        <v>4.53</v>
      </c>
      <c r="G2996">
        <v>2</v>
      </c>
      <c r="H2996">
        <v>8399.19</v>
      </c>
      <c r="I2996">
        <v>9.6999999999999993</v>
      </c>
    </row>
    <row r="2997" spans="1:9" x14ac:dyDescent="0.3">
      <c r="A2997" t="s">
        <v>3012</v>
      </c>
      <c r="B2997" t="s">
        <v>24</v>
      </c>
      <c r="C2997" t="s">
        <v>14</v>
      </c>
      <c r="D2997">
        <v>43</v>
      </c>
      <c r="E2997" s="1">
        <v>40754</v>
      </c>
      <c r="F2997">
        <v>3.86</v>
      </c>
      <c r="G2997">
        <v>0</v>
      </c>
      <c r="H2997">
        <v>4698.32</v>
      </c>
      <c r="I2997">
        <v>14.3</v>
      </c>
    </row>
    <row r="2998" spans="1:9" x14ac:dyDescent="0.3">
      <c r="A2998" t="s">
        <v>3013</v>
      </c>
      <c r="B2998" t="s">
        <v>16</v>
      </c>
      <c r="C2998" t="s">
        <v>14</v>
      </c>
      <c r="D2998">
        <v>42</v>
      </c>
      <c r="E2998" s="1">
        <v>45242</v>
      </c>
      <c r="F2998">
        <v>3.27</v>
      </c>
      <c r="G2998">
        <v>1</v>
      </c>
      <c r="H2998">
        <v>8626.27</v>
      </c>
      <c r="I2998">
        <v>2</v>
      </c>
    </row>
    <row r="2999" spans="1:9" x14ac:dyDescent="0.3">
      <c r="A2999" t="s">
        <v>3014</v>
      </c>
      <c r="B2999" t="s">
        <v>16</v>
      </c>
      <c r="C2999" t="s">
        <v>14</v>
      </c>
      <c r="D2999">
        <v>55</v>
      </c>
      <c r="E2999" s="1">
        <v>43137</v>
      </c>
      <c r="F2999">
        <v>2.71</v>
      </c>
      <c r="G2999">
        <v>0</v>
      </c>
      <c r="H2999">
        <v>11868.84</v>
      </c>
      <c r="I2999">
        <v>7.7</v>
      </c>
    </row>
    <row r="3000" spans="1:9" x14ac:dyDescent="0.3">
      <c r="A3000" t="s">
        <v>3015</v>
      </c>
      <c r="B3000" t="s">
        <v>24</v>
      </c>
      <c r="C3000" t="s">
        <v>14</v>
      </c>
      <c r="D3000">
        <v>47</v>
      </c>
      <c r="E3000" s="1">
        <v>42874</v>
      </c>
      <c r="F3000">
        <v>4.6399999999999997</v>
      </c>
      <c r="G3000">
        <v>15</v>
      </c>
      <c r="H3000">
        <v>6828.8</v>
      </c>
      <c r="I3000">
        <v>8.5</v>
      </c>
    </row>
    <row r="3001" spans="1:9" x14ac:dyDescent="0.3">
      <c r="A3001" t="s">
        <v>3016</v>
      </c>
      <c r="B3001" t="s">
        <v>34</v>
      </c>
      <c r="C3001" t="s">
        <v>14</v>
      </c>
      <c r="D3001">
        <v>41</v>
      </c>
      <c r="E3001" s="1">
        <v>45837</v>
      </c>
      <c r="F3001">
        <v>2.4700000000000002</v>
      </c>
      <c r="G3001">
        <v>3</v>
      </c>
      <c r="H3001">
        <v>4719.54</v>
      </c>
      <c r="I3001">
        <v>0.3</v>
      </c>
    </row>
    <row r="3002" spans="1:9" x14ac:dyDescent="0.3">
      <c r="A3002" t="s">
        <v>3017</v>
      </c>
      <c r="B3002" t="s">
        <v>34</v>
      </c>
      <c r="C3002" t="s">
        <v>14</v>
      </c>
      <c r="D3002">
        <v>51</v>
      </c>
      <c r="E3002" s="1">
        <v>41596</v>
      </c>
      <c r="F3002">
        <v>2.97</v>
      </c>
      <c r="G3002">
        <v>4</v>
      </c>
      <c r="H3002">
        <v>12908.24</v>
      </c>
      <c r="I3002">
        <v>12</v>
      </c>
    </row>
    <row r="3003" spans="1:9" x14ac:dyDescent="0.3">
      <c r="A3003" t="s">
        <v>3018</v>
      </c>
      <c r="B3003" t="s">
        <v>10</v>
      </c>
      <c r="C3003" t="s">
        <v>11</v>
      </c>
      <c r="D3003">
        <v>39</v>
      </c>
      <c r="E3003" s="1">
        <v>45317</v>
      </c>
      <c r="F3003">
        <v>3.56</v>
      </c>
      <c r="G3003">
        <v>4</v>
      </c>
      <c r="H3003">
        <v>4005.21</v>
      </c>
      <c r="I3003">
        <v>1.8</v>
      </c>
    </row>
    <row r="3004" spans="1:9" x14ac:dyDescent="0.3">
      <c r="A3004" t="s">
        <v>3019</v>
      </c>
      <c r="B3004" t="s">
        <v>24</v>
      </c>
      <c r="C3004" t="s">
        <v>11</v>
      </c>
      <c r="D3004">
        <v>44</v>
      </c>
      <c r="E3004" s="1">
        <v>44015</v>
      </c>
      <c r="F3004">
        <v>4.8</v>
      </c>
      <c r="G3004">
        <v>14</v>
      </c>
      <c r="H3004">
        <v>12867.98</v>
      </c>
      <c r="I3004">
        <v>5.3</v>
      </c>
    </row>
    <row r="3005" spans="1:9" x14ac:dyDescent="0.3">
      <c r="A3005" t="s">
        <v>3020</v>
      </c>
      <c r="B3005" t="s">
        <v>16</v>
      </c>
      <c r="C3005" t="s">
        <v>14</v>
      </c>
      <c r="D3005">
        <v>24</v>
      </c>
      <c r="E3005" s="1">
        <v>44304</v>
      </c>
      <c r="F3005">
        <v>1.79</v>
      </c>
      <c r="G3005">
        <v>15</v>
      </c>
      <c r="H3005">
        <v>9939.85</v>
      </c>
      <c r="I3005">
        <v>4.5</v>
      </c>
    </row>
    <row r="3006" spans="1:9" x14ac:dyDescent="0.3">
      <c r="A3006" t="s">
        <v>3021</v>
      </c>
      <c r="B3006" t="s">
        <v>16</v>
      </c>
      <c r="C3006" t="s">
        <v>11</v>
      </c>
      <c r="D3006">
        <v>44</v>
      </c>
      <c r="E3006" s="1">
        <v>43669</v>
      </c>
      <c r="F3006">
        <v>1.7</v>
      </c>
      <c r="G3006">
        <v>14</v>
      </c>
      <c r="H3006">
        <v>8077.98</v>
      </c>
      <c r="I3006">
        <v>6.3</v>
      </c>
    </row>
    <row r="3007" spans="1:9" x14ac:dyDescent="0.3">
      <c r="A3007" t="s">
        <v>3022</v>
      </c>
      <c r="B3007" t="s">
        <v>10</v>
      </c>
      <c r="C3007" t="s">
        <v>14</v>
      </c>
      <c r="D3007">
        <v>27</v>
      </c>
      <c r="E3007" s="1">
        <v>42572</v>
      </c>
      <c r="F3007">
        <v>3.26</v>
      </c>
      <c r="G3007">
        <v>15</v>
      </c>
      <c r="H3007">
        <v>5790.57</v>
      </c>
      <c r="I3007">
        <v>9.3000000000000007</v>
      </c>
    </row>
    <row r="3008" spans="1:9" x14ac:dyDescent="0.3">
      <c r="A3008" t="s">
        <v>3023</v>
      </c>
      <c r="B3008" t="s">
        <v>13</v>
      </c>
      <c r="C3008" t="s">
        <v>11</v>
      </c>
      <c r="D3008">
        <v>34</v>
      </c>
      <c r="E3008" s="1">
        <v>45622</v>
      </c>
      <c r="F3008">
        <v>1.91</v>
      </c>
      <c r="G3008">
        <v>10</v>
      </c>
      <c r="H3008">
        <v>11159.86</v>
      </c>
      <c r="I3008">
        <v>0.9</v>
      </c>
    </row>
    <row r="3009" spans="1:9" x14ac:dyDescent="0.3">
      <c r="A3009" t="s">
        <v>3024</v>
      </c>
      <c r="B3009" t="s">
        <v>18</v>
      </c>
      <c r="C3009" t="s">
        <v>11</v>
      </c>
      <c r="D3009">
        <v>41</v>
      </c>
      <c r="E3009" s="1">
        <v>43764</v>
      </c>
      <c r="F3009">
        <v>4.9800000000000004</v>
      </c>
      <c r="G3009">
        <v>15</v>
      </c>
      <c r="H3009">
        <v>13060.11</v>
      </c>
      <c r="I3009">
        <v>6</v>
      </c>
    </row>
    <row r="3010" spans="1:9" x14ac:dyDescent="0.3">
      <c r="A3010" t="s">
        <v>3025</v>
      </c>
      <c r="B3010" t="s">
        <v>13</v>
      </c>
      <c r="C3010" t="s">
        <v>14</v>
      </c>
      <c r="D3010">
        <v>25</v>
      </c>
      <c r="E3010" s="1">
        <v>41449</v>
      </c>
      <c r="F3010">
        <v>4.33</v>
      </c>
      <c r="G3010">
        <v>4</v>
      </c>
      <c r="H3010">
        <v>11197.37</v>
      </c>
      <c r="I3010">
        <v>12.4</v>
      </c>
    </row>
    <row r="3011" spans="1:9" x14ac:dyDescent="0.3">
      <c r="A3011" t="s">
        <v>3026</v>
      </c>
      <c r="B3011" t="s">
        <v>16</v>
      </c>
      <c r="C3011" t="s">
        <v>14</v>
      </c>
      <c r="D3011">
        <v>46</v>
      </c>
      <c r="E3011" s="1">
        <v>42748</v>
      </c>
      <c r="F3011">
        <v>4.09</v>
      </c>
      <c r="G3011">
        <v>14</v>
      </c>
      <c r="H3011">
        <v>7745.51</v>
      </c>
      <c r="I3011">
        <v>8.8000000000000007</v>
      </c>
    </row>
    <row r="3012" spans="1:9" x14ac:dyDescent="0.3">
      <c r="A3012" t="s">
        <v>3027</v>
      </c>
      <c r="B3012" t="s">
        <v>10</v>
      </c>
      <c r="C3012" t="s">
        <v>11</v>
      </c>
      <c r="D3012">
        <v>29</v>
      </c>
      <c r="E3012" s="1">
        <v>42883</v>
      </c>
      <c r="F3012">
        <v>3.24</v>
      </c>
      <c r="G3012">
        <v>8</v>
      </c>
      <c r="H3012">
        <v>12509.81</v>
      </c>
      <c r="I3012">
        <v>8.4</v>
      </c>
    </row>
    <row r="3013" spans="1:9" x14ac:dyDescent="0.3">
      <c r="A3013" t="s">
        <v>3028</v>
      </c>
      <c r="B3013" t="s">
        <v>18</v>
      </c>
      <c r="C3013" t="s">
        <v>11</v>
      </c>
      <c r="D3013">
        <v>45</v>
      </c>
      <c r="E3013" s="1">
        <v>45370</v>
      </c>
      <c r="F3013">
        <v>4.88</v>
      </c>
      <c r="G3013">
        <v>13</v>
      </c>
      <c r="H3013">
        <v>9018.1299999999992</v>
      </c>
      <c r="I3013">
        <v>1.6</v>
      </c>
    </row>
    <row r="3014" spans="1:9" x14ac:dyDescent="0.3">
      <c r="A3014" t="s">
        <v>3029</v>
      </c>
      <c r="B3014" t="s">
        <v>24</v>
      </c>
      <c r="C3014" t="s">
        <v>14</v>
      </c>
      <c r="D3014">
        <v>50</v>
      </c>
      <c r="E3014" s="1">
        <v>40669</v>
      </c>
      <c r="F3014">
        <v>4.45</v>
      </c>
      <c r="G3014">
        <v>7</v>
      </c>
      <c r="H3014">
        <v>3438.62</v>
      </c>
      <c r="I3014">
        <v>14.5</v>
      </c>
    </row>
    <row r="3015" spans="1:9" x14ac:dyDescent="0.3">
      <c r="A3015" t="s">
        <v>3030</v>
      </c>
      <c r="B3015" t="s">
        <v>18</v>
      </c>
      <c r="C3015" t="s">
        <v>11</v>
      </c>
      <c r="D3015">
        <v>37</v>
      </c>
      <c r="E3015" s="1">
        <v>42595</v>
      </c>
      <c r="F3015">
        <v>3.88</v>
      </c>
      <c r="G3015">
        <v>3</v>
      </c>
      <c r="H3015">
        <v>5698.38</v>
      </c>
      <c r="I3015">
        <v>9.1999999999999993</v>
      </c>
    </row>
    <row r="3016" spans="1:9" x14ac:dyDescent="0.3">
      <c r="A3016" t="s">
        <v>3031</v>
      </c>
      <c r="B3016" t="s">
        <v>16</v>
      </c>
      <c r="C3016" t="s">
        <v>14</v>
      </c>
      <c r="D3016">
        <v>60</v>
      </c>
      <c r="E3016" s="1">
        <v>42602</v>
      </c>
      <c r="F3016">
        <v>3.62</v>
      </c>
      <c r="G3016">
        <v>5</v>
      </c>
      <c r="H3016">
        <v>14264.19</v>
      </c>
      <c r="I3016">
        <v>9.1999999999999993</v>
      </c>
    </row>
    <row r="3017" spans="1:9" x14ac:dyDescent="0.3">
      <c r="A3017" t="s">
        <v>3032</v>
      </c>
      <c r="B3017" t="s">
        <v>34</v>
      </c>
      <c r="C3017" t="s">
        <v>11</v>
      </c>
      <c r="D3017">
        <v>54</v>
      </c>
      <c r="E3017" s="1">
        <v>41544</v>
      </c>
      <c r="F3017">
        <v>3.31</v>
      </c>
      <c r="G3017">
        <v>2</v>
      </c>
      <c r="H3017">
        <v>13797.58</v>
      </c>
      <c r="I3017">
        <v>12.1</v>
      </c>
    </row>
    <row r="3018" spans="1:9" x14ac:dyDescent="0.3">
      <c r="A3018" t="s">
        <v>3033</v>
      </c>
      <c r="B3018" t="s">
        <v>16</v>
      </c>
      <c r="C3018" t="s">
        <v>11</v>
      </c>
      <c r="D3018">
        <v>50</v>
      </c>
      <c r="E3018" s="1">
        <v>44264</v>
      </c>
      <c r="F3018">
        <v>4.32</v>
      </c>
      <c r="G3018">
        <v>9</v>
      </c>
      <c r="H3018">
        <v>6791.13</v>
      </c>
      <c r="I3018">
        <v>4.7</v>
      </c>
    </row>
    <row r="3019" spans="1:9" x14ac:dyDescent="0.3">
      <c r="A3019" t="s">
        <v>3034</v>
      </c>
      <c r="B3019" t="s">
        <v>34</v>
      </c>
      <c r="C3019" t="s">
        <v>11</v>
      </c>
      <c r="D3019">
        <v>49</v>
      </c>
      <c r="E3019" s="1">
        <v>45171</v>
      </c>
      <c r="F3019">
        <v>2.98</v>
      </c>
      <c r="G3019">
        <v>1</v>
      </c>
      <c r="H3019">
        <v>6245.77</v>
      </c>
      <c r="I3019">
        <v>2.2000000000000002</v>
      </c>
    </row>
    <row r="3020" spans="1:9" x14ac:dyDescent="0.3">
      <c r="A3020" t="s">
        <v>3035</v>
      </c>
      <c r="B3020" t="s">
        <v>16</v>
      </c>
      <c r="C3020" t="s">
        <v>14</v>
      </c>
      <c r="D3020">
        <v>29</v>
      </c>
      <c r="E3020" s="1">
        <v>43690</v>
      </c>
      <c r="F3020">
        <v>4.68</v>
      </c>
      <c r="G3020">
        <v>7</v>
      </c>
      <c r="H3020">
        <v>4597.0600000000004</v>
      </c>
      <c r="I3020">
        <v>6.2</v>
      </c>
    </row>
    <row r="3021" spans="1:9" x14ac:dyDescent="0.3">
      <c r="A3021" t="s">
        <v>3036</v>
      </c>
      <c r="B3021" t="s">
        <v>10</v>
      </c>
      <c r="C3021" t="s">
        <v>11</v>
      </c>
      <c r="D3021">
        <v>46</v>
      </c>
      <c r="E3021" s="1">
        <v>45753</v>
      </c>
      <c r="F3021">
        <v>3.2</v>
      </c>
      <c r="G3021">
        <v>4</v>
      </c>
      <c r="H3021">
        <v>4774.04</v>
      </c>
      <c r="I3021">
        <v>0.6</v>
      </c>
    </row>
    <row r="3022" spans="1:9" x14ac:dyDescent="0.3">
      <c r="A3022" t="s">
        <v>3037</v>
      </c>
      <c r="B3022" t="s">
        <v>24</v>
      </c>
      <c r="C3022" t="s">
        <v>14</v>
      </c>
      <c r="D3022">
        <v>29</v>
      </c>
      <c r="E3022" s="1">
        <v>40961</v>
      </c>
      <c r="F3022">
        <v>4.5199999999999996</v>
      </c>
      <c r="G3022">
        <v>11</v>
      </c>
      <c r="H3022">
        <v>10420.49</v>
      </c>
      <c r="I3022">
        <v>13.7</v>
      </c>
    </row>
    <row r="3023" spans="1:9" x14ac:dyDescent="0.3">
      <c r="A3023" t="s">
        <v>3038</v>
      </c>
      <c r="B3023" t="s">
        <v>13</v>
      </c>
      <c r="C3023" t="s">
        <v>11</v>
      </c>
      <c r="D3023">
        <v>40</v>
      </c>
      <c r="E3023" s="1">
        <v>45547</v>
      </c>
      <c r="F3023">
        <v>2.72</v>
      </c>
      <c r="G3023">
        <v>7</v>
      </c>
      <c r="H3023">
        <v>6032.28</v>
      </c>
      <c r="I3023">
        <v>1.1000000000000001</v>
      </c>
    </row>
    <row r="3024" spans="1:9" x14ac:dyDescent="0.3">
      <c r="A3024" t="s">
        <v>3039</v>
      </c>
      <c r="B3024" t="s">
        <v>13</v>
      </c>
      <c r="C3024" t="s">
        <v>11</v>
      </c>
      <c r="D3024">
        <v>58</v>
      </c>
      <c r="E3024" s="1">
        <v>42861</v>
      </c>
      <c r="F3024">
        <v>3.19</v>
      </c>
      <c r="G3024">
        <v>9</v>
      </c>
      <c r="H3024">
        <v>6269.78</v>
      </c>
      <c r="I3024">
        <v>8.5</v>
      </c>
    </row>
    <row r="3025" spans="1:9" x14ac:dyDescent="0.3">
      <c r="A3025" t="s">
        <v>3040</v>
      </c>
      <c r="B3025" t="s">
        <v>13</v>
      </c>
      <c r="C3025" t="s">
        <v>14</v>
      </c>
      <c r="D3025">
        <v>59</v>
      </c>
      <c r="E3025" s="1">
        <v>44587</v>
      </c>
      <c r="F3025">
        <v>4.76</v>
      </c>
      <c r="G3025">
        <v>3</v>
      </c>
      <c r="H3025">
        <v>10906.53</v>
      </c>
      <c r="I3025">
        <v>3.8</v>
      </c>
    </row>
    <row r="3026" spans="1:9" x14ac:dyDescent="0.3">
      <c r="A3026" t="s">
        <v>3041</v>
      </c>
      <c r="B3026" t="s">
        <v>34</v>
      </c>
      <c r="C3026" t="s">
        <v>11</v>
      </c>
      <c r="D3026">
        <v>25</v>
      </c>
      <c r="E3026" s="1">
        <v>45712</v>
      </c>
      <c r="F3026">
        <v>3.61</v>
      </c>
      <c r="G3026">
        <v>1</v>
      </c>
      <c r="H3026">
        <v>3389.17</v>
      </c>
      <c r="I3026">
        <v>0.7</v>
      </c>
    </row>
    <row r="3027" spans="1:9" x14ac:dyDescent="0.3">
      <c r="A3027" t="s">
        <v>3042</v>
      </c>
      <c r="B3027" t="s">
        <v>24</v>
      </c>
      <c r="C3027" t="s">
        <v>14</v>
      </c>
      <c r="D3027">
        <v>26</v>
      </c>
      <c r="E3027" s="1">
        <v>42927</v>
      </c>
      <c r="F3027">
        <v>3.5</v>
      </c>
      <c r="G3027">
        <v>1</v>
      </c>
      <c r="H3027">
        <v>9160.85</v>
      </c>
      <c r="I3027">
        <v>8.3000000000000007</v>
      </c>
    </row>
    <row r="3028" spans="1:9" x14ac:dyDescent="0.3">
      <c r="A3028" t="s">
        <v>3043</v>
      </c>
      <c r="B3028" t="s">
        <v>10</v>
      </c>
      <c r="C3028" t="s">
        <v>11</v>
      </c>
      <c r="D3028">
        <v>35</v>
      </c>
      <c r="E3028" s="1">
        <v>44784</v>
      </c>
      <c r="F3028">
        <v>2.97</v>
      </c>
      <c r="G3028">
        <v>0</v>
      </c>
      <c r="H3028">
        <v>4430.54</v>
      </c>
      <c r="I3028">
        <v>3.2</v>
      </c>
    </row>
    <row r="3029" spans="1:9" x14ac:dyDescent="0.3">
      <c r="A3029" t="s">
        <v>3044</v>
      </c>
      <c r="B3029" t="s">
        <v>16</v>
      </c>
      <c r="C3029" t="s">
        <v>14</v>
      </c>
      <c r="D3029">
        <v>25</v>
      </c>
      <c r="E3029" s="1">
        <v>41440</v>
      </c>
      <c r="F3029">
        <v>4.4000000000000004</v>
      </c>
      <c r="G3029">
        <v>15</v>
      </c>
      <c r="H3029">
        <v>4824.1899999999996</v>
      </c>
      <c r="I3029">
        <v>12.4</v>
      </c>
    </row>
    <row r="3030" spans="1:9" x14ac:dyDescent="0.3">
      <c r="A3030" t="s">
        <v>3045</v>
      </c>
      <c r="B3030" t="s">
        <v>13</v>
      </c>
      <c r="C3030" t="s">
        <v>14</v>
      </c>
      <c r="D3030">
        <v>27</v>
      </c>
      <c r="E3030" s="1">
        <v>43788</v>
      </c>
      <c r="F3030">
        <v>2.36</v>
      </c>
      <c r="G3030">
        <v>8</v>
      </c>
      <c r="H3030">
        <v>8612.1</v>
      </c>
      <c r="I3030">
        <v>6</v>
      </c>
    </row>
    <row r="3031" spans="1:9" x14ac:dyDescent="0.3">
      <c r="A3031" t="s">
        <v>3046</v>
      </c>
      <c r="B3031" t="s">
        <v>13</v>
      </c>
      <c r="C3031" t="s">
        <v>11</v>
      </c>
      <c r="D3031">
        <v>49</v>
      </c>
      <c r="E3031" s="1">
        <v>45176</v>
      </c>
      <c r="F3031">
        <v>2.14</v>
      </c>
      <c r="G3031">
        <v>4</v>
      </c>
      <c r="H3031">
        <v>7721.76</v>
      </c>
      <c r="I3031">
        <v>2.2000000000000002</v>
      </c>
    </row>
    <row r="3032" spans="1:9" x14ac:dyDescent="0.3">
      <c r="A3032" t="s">
        <v>3047</v>
      </c>
      <c r="B3032" t="s">
        <v>24</v>
      </c>
      <c r="C3032" t="s">
        <v>14</v>
      </c>
      <c r="D3032">
        <v>52</v>
      </c>
      <c r="E3032" s="1">
        <v>40242</v>
      </c>
      <c r="F3032">
        <v>4.96</v>
      </c>
      <c r="G3032">
        <v>4</v>
      </c>
      <c r="H3032">
        <v>8868.25</v>
      </c>
      <c r="I3032">
        <v>15.7</v>
      </c>
    </row>
    <row r="3033" spans="1:9" x14ac:dyDescent="0.3">
      <c r="A3033" t="s">
        <v>3048</v>
      </c>
      <c r="B3033" t="s">
        <v>24</v>
      </c>
      <c r="C3033" t="s">
        <v>14</v>
      </c>
      <c r="D3033">
        <v>36</v>
      </c>
      <c r="E3033" s="1">
        <v>42339</v>
      </c>
      <c r="F3033">
        <v>2.82</v>
      </c>
      <c r="G3033">
        <v>11</v>
      </c>
      <c r="H3033">
        <v>7410.61</v>
      </c>
      <c r="I3033">
        <v>9.9</v>
      </c>
    </row>
    <row r="3034" spans="1:9" x14ac:dyDescent="0.3">
      <c r="A3034" t="s">
        <v>3049</v>
      </c>
      <c r="B3034" t="s">
        <v>10</v>
      </c>
      <c r="C3034" t="s">
        <v>14</v>
      </c>
      <c r="D3034">
        <v>33</v>
      </c>
      <c r="E3034" s="1">
        <v>40382</v>
      </c>
      <c r="F3034">
        <v>2.09</v>
      </c>
      <c r="G3034">
        <v>5</v>
      </c>
      <c r="H3034">
        <v>8962.9599999999991</v>
      </c>
      <c r="I3034">
        <v>15.3</v>
      </c>
    </row>
    <row r="3035" spans="1:9" x14ac:dyDescent="0.3">
      <c r="A3035" t="s">
        <v>3050</v>
      </c>
      <c r="B3035" t="s">
        <v>10</v>
      </c>
      <c r="C3035" t="s">
        <v>14</v>
      </c>
      <c r="D3035">
        <v>39</v>
      </c>
      <c r="E3035" s="1">
        <v>42143</v>
      </c>
      <c r="F3035">
        <v>3.99</v>
      </c>
      <c r="G3035">
        <v>15</v>
      </c>
      <c r="H3035">
        <v>7766</v>
      </c>
      <c r="I3035">
        <v>10.5</v>
      </c>
    </row>
    <row r="3036" spans="1:9" x14ac:dyDescent="0.3">
      <c r="A3036" t="s">
        <v>3051</v>
      </c>
      <c r="B3036" t="s">
        <v>13</v>
      </c>
      <c r="C3036" t="s">
        <v>11</v>
      </c>
      <c r="D3036">
        <v>43</v>
      </c>
      <c r="E3036" s="1">
        <v>43243</v>
      </c>
      <c r="F3036">
        <v>1.91</v>
      </c>
      <c r="G3036">
        <v>1</v>
      </c>
      <c r="H3036">
        <v>10723.05</v>
      </c>
      <c r="I3036">
        <v>7.4</v>
      </c>
    </row>
    <row r="3037" spans="1:9" x14ac:dyDescent="0.3">
      <c r="A3037" t="s">
        <v>3052</v>
      </c>
      <c r="B3037" t="s">
        <v>10</v>
      </c>
      <c r="C3037" t="s">
        <v>14</v>
      </c>
      <c r="D3037">
        <v>48</v>
      </c>
      <c r="E3037" s="1">
        <v>42632</v>
      </c>
      <c r="F3037">
        <v>4.74</v>
      </c>
      <c r="G3037">
        <v>8</v>
      </c>
      <c r="H3037">
        <v>10590.19</v>
      </c>
      <c r="I3037">
        <v>9.1</v>
      </c>
    </row>
    <row r="3038" spans="1:9" x14ac:dyDescent="0.3">
      <c r="A3038" t="s">
        <v>3053</v>
      </c>
      <c r="B3038" t="s">
        <v>10</v>
      </c>
      <c r="C3038" t="s">
        <v>14</v>
      </c>
      <c r="D3038">
        <v>24</v>
      </c>
      <c r="E3038" s="1">
        <v>43783</v>
      </c>
      <c r="F3038">
        <v>4.38</v>
      </c>
      <c r="G3038">
        <v>11</v>
      </c>
      <c r="H3038">
        <v>13328.21</v>
      </c>
      <c r="I3038">
        <v>6</v>
      </c>
    </row>
    <row r="3039" spans="1:9" x14ac:dyDescent="0.3">
      <c r="A3039" t="s">
        <v>3054</v>
      </c>
      <c r="B3039" t="s">
        <v>24</v>
      </c>
      <c r="C3039" t="s">
        <v>11</v>
      </c>
      <c r="D3039">
        <v>59</v>
      </c>
      <c r="E3039" s="1">
        <v>44696</v>
      </c>
      <c r="F3039">
        <v>3.16</v>
      </c>
      <c r="G3039">
        <v>5</v>
      </c>
      <c r="H3039">
        <v>11029.85</v>
      </c>
      <c r="I3039">
        <v>3.5</v>
      </c>
    </row>
    <row r="3040" spans="1:9" x14ac:dyDescent="0.3">
      <c r="A3040" t="s">
        <v>3055</v>
      </c>
      <c r="B3040" t="s">
        <v>16</v>
      </c>
      <c r="C3040" t="s">
        <v>14</v>
      </c>
      <c r="D3040">
        <v>59</v>
      </c>
      <c r="E3040" s="1">
        <v>44044</v>
      </c>
      <c r="F3040">
        <v>4.01</v>
      </c>
      <c r="G3040">
        <v>15</v>
      </c>
      <c r="H3040">
        <v>7537.07</v>
      </c>
      <c r="I3040">
        <v>5.3</v>
      </c>
    </row>
    <row r="3041" spans="1:9" x14ac:dyDescent="0.3">
      <c r="A3041" t="s">
        <v>3056</v>
      </c>
      <c r="B3041" t="s">
        <v>13</v>
      </c>
      <c r="C3041" t="s">
        <v>11</v>
      </c>
      <c r="D3041">
        <v>59</v>
      </c>
      <c r="E3041" s="1">
        <v>45289</v>
      </c>
      <c r="F3041">
        <v>2.41</v>
      </c>
      <c r="G3041">
        <v>3</v>
      </c>
      <c r="H3041">
        <v>9723.4</v>
      </c>
      <c r="I3041">
        <v>1.8</v>
      </c>
    </row>
    <row r="3042" spans="1:9" x14ac:dyDescent="0.3">
      <c r="A3042" t="s">
        <v>3057</v>
      </c>
      <c r="B3042" t="s">
        <v>24</v>
      </c>
      <c r="C3042" t="s">
        <v>11</v>
      </c>
      <c r="D3042">
        <v>24</v>
      </c>
      <c r="E3042" s="1">
        <v>41098</v>
      </c>
      <c r="F3042">
        <v>2.5499999999999998</v>
      </c>
      <c r="G3042">
        <v>14</v>
      </c>
      <c r="H3042">
        <v>9316.2999999999993</v>
      </c>
      <c r="I3042">
        <v>13.3</v>
      </c>
    </row>
    <row r="3043" spans="1:9" x14ac:dyDescent="0.3">
      <c r="A3043" t="s">
        <v>3058</v>
      </c>
      <c r="B3043" t="s">
        <v>13</v>
      </c>
      <c r="C3043" t="s">
        <v>14</v>
      </c>
      <c r="D3043">
        <v>60</v>
      </c>
      <c r="E3043" s="1">
        <v>41908</v>
      </c>
      <c r="F3043">
        <v>1.8</v>
      </c>
      <c r="G3043">
        <v>3</v>
      </c>
      <c r="H3043">
        <v>11877.73</v>
      </c>
      <c r="I3043">
        <v>11.1</v>
      </c>
    </row>
    <row r="3044" spans="1:9" x14ac:dyDescent="0.3">
      <c r="A3044" t="s">
        <v>3059</v>
      </c>
      <c r="B3044" t="s">
        <v>16</v>
      </c>
      <c r="C3044" t="s">
        <v>11</v>
      </c>
      <c r="D3044">
        <v>41</v>
      </c>
      <c r="E3044" s="1">
        <v>45417</v>
      </c>
      <c r="F3044">
        <v>1.9</v>
      </c>
      <c r="G3044">
        <v>7</v>
      </c>
      <c r="H3044">
        <v>8486.09</v>
      </c>
      <c r="I3044">
        <v>1.5</v>
      </c>
    </row>
    <row r="3045" spans="1:9" x14ac:dyDescent="0.3">
      <c r="A3045" t="s">
        <v>3060</v>
      </c>
      <c r="B3045" t="s">
        <v>10</v>
      </c>
      <c r="C3045" t="s">
        <v>11</v>
      </c>
      <c r="D3045">
        <v>56</v>
      </c>
      <c r="E3045" s="1">
        <v>42758</v>
      </c>
      <c r="F3045">
        <v>4.92</v>
      </c>
      <c r="G3045">
        <v>12</v>
      </c>
      <c r="H3045">
        <v>6720.93</v>
      </c>
      <c r="I3045">
        <v>8.8000000000000007</v>
      </c>
    </row>
    <row r="3046" spans="1:9" x14ac:dyDescent="0.3">
      <c r="A3046" t="s">
        <v>3061</v>
      </c>
      <c r="B3046" t="s">
        <v>10</v>
      </c>
      <c r="C3046" t="s">
        <v>11</v>
      </c>
      <c r="D3046">
        <v>44</v>
      </c>
      <c r="E3046" s="1">
        <v>42042</v>
      </c>
      <c r="F3046">
        <v>4.38</v>
      </c>
      <c r="G3046">
        <v>9</v>
      </c>
      <c r="H3046">
        <v>9993.0499999999993</v>
      </c>
      <c r="I3046">
        <v>10.7</v>
      </c>
    </row>
    <row r="3047" spans="1:9" x14ac:dyDescent="0.3">
      <c r="A3047" t="s">
        <v>3062</v>
      </c>
      <c r="B3047" t="s">
        <v>18</v>
      </c>
      <c r="C3047" t="s">
        <v>14</v>
      </c>
      <c r="D3047">
        <v>28</v>
      </c>
      <c r="E3047" s="1">
        <v>45158</v>
      </c>
      <c r="F3047">
        <v>2.93</v>
      </c>
      <c r="G3047">
        <v>3</v>
      </c>
      <c r="H3047">
        <v>13692.3</v>
      </c>
      <c r="I3047">
        <v>2.2000000000000002</v>
      </c>
    </row>
    <row r="3048" spans="1:9" x14ac:dyDescent="0.3">
      <c r="A3048" t="s">
        <v>3063</v>
      </c>
      <c r="B3048" t="s">
        <v>13</v>
      </c>
      <c r="C3048" t="s">
        <v>14</v>
      </c>
      <c r="D3048">
        <v>57</v>
      </c>
      <c r="E3048" s="1">
        <v>40955</v>
      </c>
      <c r="F3048">
        <v>2.5</v>
      </c>
      <c r="G3048">
        <v>2</v>
      </c>
      <c r="H3048">
        <v>7069.65</v>
      </c>
      <c r="I3048">
        <v>13.7</v>
      </c>
    </row>
    <row r="3049" spans="1:9" x14ac:dyDescent="0.3">
      <c r="A3049" t="s">
        <v>3064</v>
      </c>
      <c r="B3049" t="s">
        <v>34</v>
      </c>
      <c r="C3049" t="s">
        <v>11</v>
      </c>
      <c r="D3049">
        <v>50</v>
      </c>
      <c r="E3049" s="1">
        <v>40335</v>
      </c>
      <c r="F3049">
        <v>4.16</v>
      </c>
      <c r="G3049">
        <v>8</v>
      </c>
      <c r="H3049">
        <v>11593.01</v>
      </c>
      <c r="I3049">
        <v>15.4</v>
      </c>
    </row>
    <row r="3050" spans="1:9" x14ac:dyDescent="0.3">
      <c r="A3050" t="s">
        <v>3065</v>
      </c>
      <c r="B3050" t="s">
        <v>13</v>
      </c>
      <c r="C3050" t="s">
        <v>11</v>
      </c>
      <c r="D3050">
        <v>28</v>
      </c>
      <c r="E3050" s="1">
        <v>40265</v>
      </c>
      <c r="F3050">
        <v>3.57</v>
      </c>
      <c r="G3050">
        <v>6</v>
      </c>
      <c r="H3050">
        <v>12029.65</v>
      </c>
      <c r="I3050">
        <v>15.6</v>
      </c>
    </row>
    <row r="3051" spans="1:9" x14ac:dyDescent="0.3">
      <c r="A3051" t="s">
        <v>3066</v>
      </c>
      <c r="B3051" t="s">
        <v>16</v>
      </c>
      <c r="C3051" t="s">
        <v>11</v>
      </c>
      <c r="D3051">
        <v>27</v>
      </c>
      <c r="E3051" s="1">
        <v>45197</v>
      </c>
      <c r="F3051">
        <v>3.71</v>
      </c>
      <c r="G3051">
        <v>9</v>
      </c>
      <c r="H3051">
        <v>4152.34</v>
      </c>
      <c r="I3051">
        <v>2.1</v>
      </c>
    </row>
    <row r="3052" spans="1:9" x14ac:dyDescent="0.3">
      <c r="A3052" t="s">
        <v>3067</v>
      </c>
      <c r="B3052" t="s">
        <v>13</v>
      </c>
      <c r="C3052" t="s">
        <v>11</v>
      </c>
      <c r="D3052">
        <v>27</v>
      </c>
      <c r="E3052" s="1">
        <v>40268</v>
      </c>
      <c r="F3052">
        <v>2.62</v>
      </c>
      <c r="G3052">
        <v>7</v>
      </c>
      <c r="H3052">
        <v>8625.6200000000008</v>
      </c>
      <c r="I3052">
        <v>15.6</v>
      </c>
    </row>
    <row r="3053" spans="1:9" x14ac:dyDescent="0.3">
      <c r="A3053" t="s">
        <v>3068</v>
      </c>
      <c r="B3053" t="s">
        <v>34</v>
      </c>
      <c r="C3053" t="s">
        <v>14</v>
      </c>
      <c r="D3053">
        <v>32</v>
      </c>
      <c r="E3053" s="1">
        <v>44463</v>
      </c>
      <c r="F3053">
        <v>2.13</v>
      </c>
      <c r="G3053">
        <v>2</v>
      </c>
      <c r="H3053">
        <v>5599.62</v>
      </c>
      <c r="I3053">
        <v>4.0999999999999996</v>
      </c>
    </row>
    <row r="3054" spans="1:9" x14ac:dyDescent="0.3">
      <c r="A3054" t="s">
        <v>3069</v>
      </c>
      <c r="B3054" t="s">
        <v>18</v>
      </c>
      <c r="C3054" t="s">
        <v>14</v>
      </c>
      <c r="D3054">
        <v>37</v>
      </c>
      <c r="E3054" s="1">
        <v>44950</v>
      </c>
      <c r="F3054">
        <v>4.46</v>
      </c>
      <c r="G3054">
        <v>7</v>
      </c>
      <c r="H3054">
        <v>8607.61</v>
      </c>
      <c r="I3054">
        <v>2.8</v>
      </c>
    </row>
    <row r="3055" spans="1:9" x14ac:dyDescent="0.3">
      <c r="A3055" t="s">
        <v>3070</v>
      </c>
      <c r="B3055" t="s">
        <v>24</v>
      </c>
      <c r="C3055" t="s">
        <v>14</v>
      </c>
      <c r="D3055">
        <v>60</v>
      </c>
      <c r="E3055" s="1">
        <v>45890</v>
      </c>
      <c r="F3055">
        <v>2.06</v>
      </c>
      <c r="G3055">
        <v>7</v>
      </c>
      <c r="H3055">
        <v>13829.52</v>
      </c>
      <c r="I3055">
        <v>0.2</v>
      </c>
    </row>
    <row r="3056" spans="1:9" x14ac:dyDescent="0.3">
      <c r="A3056" t="s">
        <v>3071</v>
      </c>
      <c r="B3056" t="s">
        <v>16</v>
      </c>
      <c r="C3056" t="s">
        <v>14</v>
      </c>
      <c r="D3056">
        <v>25</v>
      </c>
      <c r="E3056" s="1">
        <v>43533</v>
      </c>
      <c r="F3056">
        <v>4.54</v>
      </c>
      <c r="G3056">
        <v>12</v>
      </c>
      <c r="H3056">
        <v>8965.6</v>
      </c>
      <c r="I3056">
        <v>6.7</v>
      </c>
    </row>
    <row r="3057" spans="1:9" x14ac:dyDescent="0.3">
      <c r="A3057" t="s">
        <v>3072</v>
      </c>
      <c r="B3057" t="s">
        <v>18</v>
      </c>
      <c r="C3057" t="s">
        <v>11</v>
      </c>
      <c r="D3057">
        <v>56</v>
      </c>
      <c r="E3057" s="1">
        <v>40547</v>
      </c>
      <c r="F3057">
        <v>3.61</v>
      </c>
      <c r="G3057">
        <v>10</v>
      </c>
      <c r="H3057">
        <v>4154.49</v>
      </c>
      <c r="I3057">
        <v>14.8</v>
      </c>
    </row>
    <row r="3058" spans="1:9" x14ac:dyDescent="0.3">
      <c r="A3058" t="s">
        <v>3073</v>
      </c>
      <c r="B3058" t="s">
        <v>13</v>
      </c>
      <c r="C3058" t="s">
        <v>14</v>
      </c>
      <c r="D3058">
        <v>47</v>
      </c>
      <c r="E3058" s="1">
        <v>45138</v>
      </c>
      <c r="F3058">
        <v>2.25</v>
      </c>
      <c r="G3058">
        <v>12</v>
      </c>
      <c r="H3058">
        <v>7739.54</v>
      </c>
      <c r="I3058">
        <v>2.2999999999999998</v>
      </c>
    </row>
    <row r="3059" spans="1:9" x14ac:dyDescent="0.3">
      <c r="A3059" t="s">
        <v>3074</v>
      </c>
      <c r="B3059" t="s">
        <v>16</v>
      </c>
      <c r="C3059" t="s">
        <v>14</v>
      </c>
      <c r="D3059">
        <v>52</v>
      </c>
      <c r="E3059" s="1">
        <v>43718</v>
      </c>
      <c r="F3059">
        <v>4.34</v>
      </c>
      <c r="G3059">
        <v>11</v>
      </c>
      <c r="H3059">
        <v>8840.0400000000009</v>
      </c>
      <c r="I3059">
        <v>6.1</v>
      </c>
    </row>
    <row r="3060" spans="1:9" x14ac:dyDescent="0.3">
      <c r="A3060" t="s">
        <v>3075</v>
      </c>
      <c r="B3060" t="s">
        <v>34</v>
      </c>
      <c r="C3060" t="s">
        <v>14</v>
      </c>
      <c r="D3060">
        <v>27</v>
      </c>
      <c r="E3060" s="1">
        <v>42745</v>
      </c>
      <c r="F3060">
        <v>3.05</v>
      </c>
      <c r="G3060">
        <v>12</v>
      </c>
      <c r="H3060">
        <v>4303.45</v>
      </c>
      <c r="I3060">
        <v>8.8000000000000007</v>
      </c>
    </row>
    <row r="3061" spans="1:9" x14ac:dyDescent="0.3">
      <c r="A3061" t="s">
        <v>3076</v>
      </c>
      <c r="B3061" t="s">
        <v>24</v>
      </c>
      <c r="C3061" t="s">
        <v>14</v>
      </c>
      <c r="D3061">
        <v>48</v>
      </c>
      <c r="E3061" s="1">
        <v>42881</v>
      </c>
      <c r="F3061">
        <v>3.16</v>
      </c>
      <c r="G3061">
        <v>6</v>
      </c>
      <c r="H3061">
        <v>12476.46</v>
      </c>
      <c r="I3061">
        <v>8.4</v>
      </c>
    </row>
    <row r="3062" spans="1:9" x14ac:dyDescent="0.3">
      <c r="A3062" t="s">
        <v>3077</v>
      </c>
      <c r="B3062" t="s">
        <v>13</v>
      </c>
      <c r="C3062" t="s">
        <v>14</v>
      </c>
      <c r="D3062">
        <v>44</v>
      </c>
      <c r="E3062" s="1">
        <v>44007</v>
      </c>
      <c r="F3062">
        <v>3.45</v>
      </c>
      <c r="G3062">
        <v>1</v>
      </c>
      <c r="H3062">
        <v>14997.15</v>
      </c>
      <c r="I3062">
        <v>5.4</v>
      </c>
    </row>
    <row r="3063" spans="1:9" x14ac:dyDescent="0.3">
      <c r="A3063" t="s">
        <v>3078</v>
      </c>
      <c r="B3063" t="s">
        <v>16</v>
      </c>
      <c r="C3063" t="s">
        <v>11</v>
      </c>
      <c r="D3063">
        <v>52</v>
      </c>
      <c r="E3063" s="1">
        <v>42639</v>
      </c>
      <c r="F3063">
        <v>2.82</v>
      </c>
      <c r="G3063">
        <v>6</v>
      </c>
      <c r="H3063">
        <v>14476.63</v>
      </c>
      <c r="I3063">
        <v>9.1</v>
      </c>
    </row>
    <row r="3064" spans="1:9" x14ac:dyDescent="0.3">
      <c r="A3064" t="s">
        <v>3079</v>
      </c>
      <c r="B3064" t="s">
        <v>18</v>
      </c>
      <c r="C3064" t="s">
        <v>14</v>
      </c>
      <c r="D3064">
        <v>60</v>
      </c>
      <c r="E3064" s="1">
        <v>44418</v>
      </c>
      <c r="F3064">
        <v>1.95</v>
      </c>
      <c r="G3064">
        <v>9</v>
      </c>
      <c r="H3064">
        <v>14981.11</v>
      </c>
      <c r="I3064">
        <v>4.2</v>
      </c>
    </row>
    <row r="3065" spans="1:9" x14ac:dyDescent="0.3">
      <c r="A3065" t="s">
        <v>3080</v>
      </c>
      <c r="B3065" t="s">
        <v>10</v>
      </c>
      <c r="C3065" t="s">
        <v>11</v>
      </c>
      <c r="D3065">
        <v>23</v>
      </c>
      <c r="E3065" s="1">
        <v>45623</v>
      </c>
      <c r="F3065">
        <v>4.04</v>
      </c>
      <c r="G3065">
        <v>6</v>
      </c>
      <c r="H3065">
        <v>14503.91</v>
      </c>
      <c r="I3065">
        <v>0.9</v>
      </c>
    </row>
    <row r="3066" spans="1:9" x14ac:dyDescent="0.3">
      <c r="A3066" t="s">
        <v>3081</v>
      </c>
      <c r="B3066" t="s">
        <v>24</v>
      </c>
      <c r="C3066" t="s">
        <v>14</v>
      </c>
      <c r="D3066">
        <v>38</v>
      </c>
      <c r="E3066" s="1">
        <v>40893</v>
      </c>
      <c r="F3066">
        <v>1.79</v>
      </c>
      <c r="G3066">
        <v>2</v>
      </c>
      <c r="H3066">
        <v>5972.24</v>
      </c>
      <c r="I3066">
        <v>13.9</v>
      </c>
    </row>
    <row r="3067" spans="1:9" x14ac:dyDescent="0.3">
      <c r="A3067" t="s">
        <v>3082</v>
      </c>
      <c r="B3067" t="s">
        <v>16</v>
      </c>
      <c r="C3067" t="s">
        <v>11</v>
      </c>
      <c r="D3067">
        <v>37</v>
      </c>
      <c r="E3067" s="1">
        <v>42029</v>
      </c>
      <c r="F3067">
        <v>4.8099999999999996</v>
      </c>
      <c r="G3067">
        <v>11</v>
      </c>
      <c r="H3067">
        <v>7609.3</v>
      </c>
      <c r="I3067">
        <v>10.8</v>
      </c>
    </row>
    <row r="3068" spans="1:9" x14ac:dyDescent="0.3">
      <c r="A3068" t="s">
        <v>3083</v>
      </c>
      <c r="B3068" t="s">
        <v>34</v>
      </c>
      <c r="C3068" t="s">
        <v>14</v>
      </c>
      <c r="D3068">
        <v>27</v>
      </c>
      <c r="E3068" s="1">
        <v>43068</v>
      </c>
      <c r="F3068">
        <v>1.65</v>
      </c>
      <c r="G3068">
        <v>1</v>
      </c>
      <c r="H3068">
        <v>8794.08</v>
      </c>
      <c r="I3068">
        <v>7.9</v>
      </c>
    </row>
    <row r="3069" spans="1:9" x14ac:dyDescent="0.3">
      <c r="A3069" t="s">
        <v>3084</v>
      </c>
      <c r="B3069" t="s">
        <v>34</v>
      </c>
      <c r="C3069" t="s">
        <v>14</v>
      </c>
      <c r="D3069">
        <v>60</v>
      </c>
      <c r="E3069" s="1">
        <v>40680</v>
      </c>
      <c r="F3069">
        <v>3.84</v>
      </c>
      <c r="G3069">
        <v>0</v>
      </c>
      <c r="H3069">
        <v>7457.91</v>
      </c>
      <c r="I3069">
        <v>14.5</v>
      </c>
    </row>
    <row r="3070" spans="1:9" x14ac:dyDescent="0.3">
      <c r="A3070" t="s">
        <v>3085</v>
      </c>
      <c r="B3070" t="s">
        <v>10</v>
      </c>
      <c r="C3070" t="s">
        <v>14</v>
      </c>
      <c r="D3070">
        <v>35</v>
      </c>
      <c r="E3070" s="1">
        <v>45380</v>
      </c>
      <c r="F3070">
        <v>1.86</v>
      </c>
      <c r="G3070">
        <v>12</v>
      </c>
      <c r="H3070">
        <v>9558.36</v>
      </c>
      <c r="I3070">
        <v>1.6</v>
      </c>
    </row>
    <row r="3071" spans="1:9" x14ac:dyDescent="0.3">
      <c r="A3071" t="s">
        <v>3086</v>
      </c>
      <c r="B3071" t="s">
        <v>18</v>
      </c>
      <c r="C3071" t="s">
        <v>14</v>
      </c>
      <c r="D3071">
        <v>46</v>
      </c>
      <c r="E3071" s="1">
        <v>40541</v>
      </c>
      <c r="F3071">
        <v>4.9800000000000004</v>
      </c>
      <c r="G3071">
        <v>1</v>
      </c>
      <c r="H3071">
        <v>3323.79</v>
      </c>
      <c r="I3071">
        <v>14.9</v>
      </c>
    </row>
    <row r="3072" spans="1:9" x14ac:dyDescent="0.3">
      <c r="A3072" t="s">
        <v>3087</v>
      </c>
      <c r="B3072" t="s">
        <v>16</v>
      </c>
      <c r="C3072" t="s">
        <v>14</v>
      </c>
      <c r="D3072">
        <v>46</v>
      </c>
      <c r="E3072" s="1">
        <v>44974</v>
      </c>
      <c r="F3072">
        <v>4.6399999999999997</v>
      </c>
      <c r="G3072">
        <v>3</v>
      </c>
      <c r="H3072">
        <v>11685.19</v>
      </c>
      <c r="I3072">
        <v>2.7</v>
      </c>
    </row>
    <row r="3073" spans="1:9" x14ac:dyDescent="0.3">
      <c r="A3073" t="s">
        <v>3088</v>
      </c>
      <c r="B3073" t="s">
        <v>18</v>
      </c>
      <c r="C3073" t="s">
        <v>11</v>
      </c>
      <c r="D3073">
        <v>49</v>
      </c>
      <c r="E3073" s="1">
        <v>45920</v>
      </c>
      <c r="F3073">
        <v>1.68</v>
      </c>
      <c r="G3073">
        <v>11</v>
      </c>
      <c r="H3073">
        <v>11333.08</v>
      </c>
      <c r="I3073">
        <v>0.1</v>
      </c>
    </row>
    <row r="3074" spans="1:9" x14ac:dyDescent="0.3">
      <c r="A3074" t="s">
        <v>3089</v>
      </c>
      <c r="B3074" t="s">
        <v>16</v>
      </c>
      <c r="C3074" t="s">
        <v>14</v>
      </c>
      <c r="D3074">
        <v>57</v>
      </c>
      <c r="E3074" s="1">
        <v>41756</v>
      </c>
      <c r="F3074">
        <v>4.9400000000000004</v>
      </c>
      <c r="G3074">
        <v>10</v>
      </c>
      <c r="H3074">
        <v>12157.08</v>
      </c>
      <c r="I3074">
        <v>11.5</v>
      </c>
    </row>
    <row r="3075" spans="1:9" x14ac:dyDescent="0.3">
      <c r="A3075" t="s">
        <v>3090</v>
      </c>
      <c r="B3075" t="s">
        <v>24</v>
      </c>
      <c r="C3075" t="s">
        <v>11</v>
      </c>
      <c r="D3075">
        <v>56</v>
      </c>
      <c r="E3075" s="1">
        <v>40768</v>
      </c>
      <c r="F3075">
        <v>3.89</v>
      </c>
      <c r="G3075">
        <v>5</v>
      </c>
      <c r="H3075">
        <v>10810.65</v>
      </c>
      <c r="I3075">
        <v>14.2</v>
      </c>
    </row>
    <row r="3076" spans="1:9" x14ac:dyDescent="0.3">
      <c r="A3076" t="s">
        <v>3091</v>
      </c>
      <c r="B3076" t="s">
        <v>24</v>
      </c>
      <c r="C3076" t="s">
        <v>11</v>
      </c>
      <c r="D3076">
        <v>57</v>
      </c>
      <c r="E3076" s="1">
        <v>41764</v>
      </c>
      <c r="F3076">
        <v>2.8</v>
      </c>
      <c r="G3076">
        <v>2</v>
      </c>
      <c r="H3076">
        <v>14590.52</v>
      </c>
      <c r="I3076">
        <v>11.5</v>
      </c>
    </row>
    <row r="3077" spans="1:9" x14ac:dyDescent="0.3">
      <c r="A3077" t="s">
        <v>3092</v>
      </c>
      <c r="B3077" t="s">
        <v>34</v>
      </c>
      <c r="C3077" t="s">
        <v>11</v>
      </c>
      <c r="D3077">
        <v>22</v>
      </c>
      <c r="E3077" s="1">
        <v>41232</v>
      </c>
      <c r="F3077">
        <v>3.24</v>
      </c>
      <c r="G3077">
        <v>12</v>
      </c>
      <c r="H3077">
        <v>14573.34</v>
      </c>
      <c r="I3077">
        <v>13</v>
      </c>
    </row>
    <row r="3078" spans="1:9" x14ac:dyDescent="0.3">
      <c r="A3078" t="s">
        <v>3093</v>
      </c>
      <c r="B3078" t="s">
        <v>18</v>
      </c>
      <c r="C3078" t="s">
        <v>14</v>
      </c>
      <c r="D3078">
        <v>41</v>
      </c>
      <c r="E3078" s="1">
        <v>45102</v>
      </c>
      <c r="F3078">
        <v>2.2799999999999998</v>
      </c>
      <c r="G3078">
        <v>13</v>
      </c>
      <c r="H3078">
        <v>12466.79</v>
      </c>
      <c r="I3078">
        <v>2.4</v>
      </c>
    </row>
    <row r="3079" spans="1:9" x14ac:dyDescent="0.3">
      <c r="A3079" t="s">
        <v>3094</v>
      </c>
      <c r="B3079" t="s">
        <v>16</v>
      </c>
      <c r="C3079" t="s">
        <v>14</v>
      </c>
      <c r="D3079">
        <v>24</v>
      </c>
      <c r="E3079" s="1">
        <v>41090</v>
      </c>
      <c r="F3079">
        <v>3.69</v>
      </c>
      <c r="G3079">
        <v>12</v>
      </c>
      <c r="H3079">
        <v>7106.07</v>
      </c>
      <c r="I3079">
        <v>13.3</v>
      </c>
    </row>
    <row r="3080" spans="1:9" x14ac:dyDescent="0.3">
      <c r="A3080" t="s">
        <v>3095</v>
      </c>
      <c r="B3080" t="s">
        <v>13</v>
      </c>
      <c r="C3080" t="s">
        <v>11</v>
      </c>
      <c r="D3080">
        <v>30</v>
      </c>
      <c r="E3080" s="1">
        <v>41187</v>
      </c>
      <c r="F3080">
        <v>4.32</v>
      </c>
      <c r="G3080">
        <v>0</v>
      </c>
      <c r="H3080">
        <v>6371.83</v>
      </c>
      <c r="I3080">
        <v>13.1</v>
      </c>
    </row>
    <row r="3081" spans="1:9" x14ac:dyDescent="0.3">
      <c r="A3081" t="s">
        <v>3096</v>
      </c>
      <c r="B3081" t="s">
        <v>18</v>
      </c>
      <c r="C3081" t="s">
        <v>11</v>
      </c>
      <c r="D3081">
        <v>41</v>
      </c>
      <c r="E3081" s="1">
        <v>43884</v>
      </c>
      <c r="F3081">
        <v>2.89</v>
      </c>
      <c r="G3081">
        <v>2</v>
      </c>
      <c r="H3081">
        <v>11826.65</v>
      </c>
      <c r="I3081">
        <v>5.7</v>
      </c>
    </row>
    <row r="3082" spans="1:9" x14ac:dyDescent="0.3">
      <c r="A3082" t="s">
        <v>3097</v>
      </c>
      <c r="B3082" t="s">
        <v>10</v>
      </c>
      <c r="C3082" t="s">
        <v>11</v>
      </c>
      <c r="D3082">
        <v>28</v>
      </c>
      <c r="E3082" s="1">
        <v>43811</v>
      </c>
      <c r="F3082">
        <v>1.99</v>
      </c>
      <c r="G3082">
        <v>14</v>
      </c>
      <c r="H3082">
        <v>10470.64</v>
      </c>
      <c r="I3082">
        <v>5.9</v>
      </c>
    </row>
    <row r="3083" spans="1:9" x14ac:dyDescent="0.3">
      <c r="A3083" t="s">
        <v>3098</v>
      </c>
      <c r="B3083" t="s">
        <v>24</v>
      </c>
      <c r="C3083" t="s">
        <v>11</v>
      </c>
      <c r="D3083">
        <v>60</v>
      </c>
      <c r="E3083" s="1">
        <v>40695</v>
      </c>
      <c r="F3083">
        <v>3.03</v>
      </c>
      <c r="G3083">
        <v>10</v>
      </c>
      <c r="H3083">
        <v>12678.54</v>
      </c>
      <c r="I3083">
        <v>14.4</v>
      </c>
    </row>
    <row r="3084" spans="1:9" x14ac:dyDescent="0.3">
      <c r="A3084" t="s">
        <v>3099</v>
      </c>
      <c r="B3084" t="s">
        <v>18</v>
      </c>
      <c r="C3084" t="s">
        <v>11</v>
      </c>
      <c r="D3084">
        <v>59</v>
      </c>
      <c r="E3084" s="1">
        <v>43574</v>
      </c>
      <c r="F3084">
        <v>1.72</v>
      </c>
      <c r="G3084">
        <v>12</v>
      </c>
      <c r="H3084">
        <v>9960.8799999999992</v>
      </c>
      <c r="I3084">
        <v>6.5</v>
      </c>
    </row>
    <row r="3085" spans="1:9" x14ac:dyDescent="0.3">
      <c r="A3085" t="s">
        <v>3100</v>
      </c>
      <c r="B3085" t="s">
        <v>10</v>
      </c>
      <c r="C3085" t="s">
        <v>11</v>
      </c>
      <c r="D3085">
        <v>56</v>
      </c>
      <c r="E3085" s="1">
        <v>44907</v>
      </c>
      <c r="F3085">
        <v>2.35</v>
      </c>
      <c r="G3085">
        <v>12</v>
      </c>
      <c r="H3085">
        <v>8812.5400000000009</v>
      </c>
      <c r="I3085">
        <v>2.9</v>
      </c>
    </row>
    <row r="3086" spans="1:9" x14ac:dyDescent="0.3">
      <c r="A3086" t="s">
        <v>3101</v>
      </c>
      <c r="B3086" t="s">
        <v>13</v>
      </c>
      <c r="C3086" t="s">
        <v>11</v>
      </c>
      <c r="D3086">
        <v>54</v>
      </c>
      <c r="E3086" s="1">
        <v>45702</v>
      </c>
      <c r="F3086">
        <v>2.44</v>
      </c>
      <c r="G3086">
        <v>15</v>
      </c>
      <c r="H3086">
        <v>4510.83</v>
      </c>
      <c r="I3086">
        <v>0.7</v>
      </c>
    </row>
    <row r="3087" spans="1:9" x14ac:dyDescent="0.3">
      <c r="A3087" t="s">
        <v>3102</v>
      </c>
      <c r="B3087" t="s">
        <v>18</v>
      </c>
      <c r="C3087" t="s">
        <v>11</v>
      </c>
      <c r="D3087">
        <v>28</v>
      </c>
      <c r="E3087" s="1">
        <v>43001</v>
      </c>
      <c r="F3087">
        <v>2.0699999999999998</v>
      </c>
      <c r="G3087">
        <v>1</v>
      </c>
      <c r="H3087">
        <v>12336.06</v>
      </c>
      <c r="I3087">
        <v>8.1</v>
      </c>
    </row>
    <row r="3088" spans="1:9" x14ac:dyDescent="0.3">
      <c r="A3088" t="s">
        <v>3103</v>
      </c>
      <c r="B3088" t="s">
        <v>34</v>
      </c>
      <c r="C3088" t="s">
        <v>11</v>
      </c>
      <c r="D3088">
        <v>25</v>
      </c>
      <c r="E3088" s="1">
        <v>45181</v>
      </c>
      <c r="F3088">
        <v>2</v>
      </c>
      <c r="G3088">
        <v>15</v>
      </c>
      <c r="H3088">
        <v>6904.37</v>
      </c>
      <c r="I3088">
        <v>2.1</v>
      </c>
    </row>
    <row r="3089" spans="1:9" x14ac:dyDescent="0.3">
      <c r="A3089" t="s">
        <v>3104</v>
      </c>
      <c r="B3089" t="s">
        <v>16</v>
      </c>
      <c r="C3089" t="s">
        <v>11</v>
      </c>
      <c r="D3089">
        <v>35</v>
      </c>
      <c r="E3089" s="1">
        <v>41162</v>
      </c>
      <c r="F3089">
        <v>4.3600000000000003</v>
      </c>
      <c r="G3089">
        <v>8</v>
      </c>
      <c r="H3089">
        <v>13341.14</v>
      </c>
      <c r="I3089">
        <v>13.2</v>
      </c>
    </row>
    <row r="3090" spans="1:9" x14ac:dyDescent="0.3">
      <c r="A3090" t="s">
        <v>3105</v>
      </c>
      <c r="B3090" t="s">
        <v>34</v>
      </c>
      <c r="C3090" t="s">
        <v>11</v>
      </c>
      <c r="D3090">
        <v>24</v>
      </c>
      <c r="E3090" s="1">
        <v>42201</v>
      </c>
      <c r="F3090">
        <v>2.1</v>
      </c>
      <c r="G3090">
        <v>9</v>
      </c>
      <c r="H3090">
        <v>4381.09</v>
      </c>
      <c r="I3090">
        <v>10.3</v>
      </c>
    </row>
    <row r="3091" spans="1:9" x14ac:dyDescent="0.3">
      <c r="A3091" t="s">
        <v>3106</v>
      </c>
      <c r="B3091" t="s">
        <v>24</v>
      </c>
      <c r="C3091" t="s">
        <v>14</v>
      </c>
      <c r="D3091">
        <v>46</v>
      </c>
      <c r="E3091" s="1">
        <v>42281</v>
      </c>
      <c r="F3091">
        <v>2.27</v>
      </c>
      <c r="G3091">
        <v>7</v>
      </c>
      <c r="H3091">
        <v>5087.01</v>
      </c>
      <c r="I3091">
        <v>10.1</v>
      </c>
    </row>
    <row r="3092" spans="1:9" x14ac:dyDescent="0.3">
      <c r="A3092" t="s">
        <v>3107</v>
      </c>
      <c r="B3092" t="s">
        <v>24</v>
      </c>
      <c r="C3092" t="s">
        <v>11</v>
      </c>
      <c r="D3092">
        <v>24</v>
      </c>
      <c r="E3092" s="1">
        <v>40903</v>
      </c>
      <c r="F3092">
        <v>3.78</v>
      </c>
      <c r="G3092">
        <v>3</v>
      </c>
      <c r="H3092">
        <v>3104.56</v>
      </c>
      <c r="I3092">
        <v>13.9</v>
      </c>
    </row>
    <row r="3093" spans="1:9" x14ac:dyDescent="0.3">
      <c r="A3093" t="s">
        <v>3108</v>
      </c>
      <c r="B3093" t="s">
        <v>24</v>
      </c>
      <c r="C3093" t="s">
        <v>11</v>
      </c>
      <c r="D3093">
        <v>55</v>
      </c>
      <c r="E3093" s="1">
        <v>41899</v>
      </c>
      <c r="F3093">
        <v>3.36</v>
      </c>
      <c r="G3093">
        <v>7</v>
      </c>
      <c r="H3093">
        <v>4885.3999999999996</v>
      </c>
      <c r="I3093">
        <v>11.1</v>
      </c>
    </row>
    <row r="3094" spans="1:9" x14ac:dyDescent="0.3">
      <c r="A3094" t="s">
        <v>3109</v>
      </c>
      <c r="B3094" t="s">
        <v>10</v>
      </c>
      <c r="C3094" t="s">
        <v>14</v>
      </c>
      <c r="D3094">
        <v>42</v>
      </c>
      <c r="E3094" s="1">
        <v>44414</v>
      </c>
      <c r="F3094">
        <v>4.76</v>
      </c>
      <c r="G3094">
        <v>2</v>
      </c>
      <c r="H3094">
        <v>12978.79</v>
      </c>
      <c r="I3094">
        <v>4.2</v>
      </c>
    </row>
    <row r="3095" spans="1:9" x14ac:dyDescent="0.3">
      <c r="A3095" t="s">
        <v>3110</v>
      </c>
      <c r="B3095" t="s">
        <v>13</v>
      </c>
      <c r="C3095" t="s">
        <v>14</v>
      </c>
      <c r="D3095">
        <v>37</v>
      </c>
      <c r="E3095" s="1">
        <v>42529</v>
      </c>
      <c r="F3095">
        <v>3.67</v>
      </c>
      <c r="G3095">
        <v>11</v>
      </c>
      <c r="H3095">
        <v>10711.85</v>
      </c>
      <c r="I3095">
        <v>9.4</v>
      </c>
    </row>
    <row r="3096" spans="1:9" x14ac:dyDescent="0.3">
      <c r="A3096" t="s">
        <v>3111</v>
      </c>
      <c r="B3096" t="s">
        <v>34</v>
      </c>
      <c r="C3096" t="s">
        <v>14</v>
      </c>
      <c r="D3096">
        <v>48</v>
      </c>
      <c r="E3096" s="1">
        <v>44845</v>
      </c>
      <c r="F3096">
        <v>2.62</v>
      </c>
      <c r="G3096">
        <v>15</v>
      </c>
      <c r="H3096">
        <v>4029.47</v>
      </c>
      <c r="I3096">
        <v>3.1</v>
      </c>
    </row>
    <row r="3097" spans="1:9" x14ac:dyDescent="0.3">
      <c r="A3097" t="s">
        <v>3112</v>
      </c>
      <c r="B3097" t="s">
        <v>34</v>
      </c>
      <c r="C3097" t="s">
        <v>11</v>
      </c>
      <c r="D3097">
        <v>34</v>
      </c>
      <c r="E3097" s="1">
        <v>40955</v>
      </c>
      <c r="F3097">
        <v>3.37</v>
      </c>
      <c r="G3097">
        <v>3</v>
      </c>
      <c r="H3097">
        <v>4392.26</v>
      </c>
      <c r="I3097">
        <v>13.7</v>
      </c>
    </row>
    <row r="3098" spans="1:9" x14ac:dyDescent="0.3">
      <c r="A3098" t="s">
        <v>3113</v>
      </c>
      <c r="B3098" t="s">
        <v>34</v>
      </c>
      <c r="C3098" t="s">
        <v>14</v>
      </c>
      <c r="D3098">
        <v>31</v>
      </c>
      <c r="E3098" s="1">
        <v>43455</v>
      </c>
      <c r="F3098">
        <v>1.7</v>
      </c>
      <c r="G3098">
        <v>4</v>
      </c>
      <c r="H3098">
        <v>4032.78</v>
      </c>
      <c r="I3098">
        <v>6.9</v>
      </c>
    </row>
    <row r="3099" spans="1:9" x14ac:dyDescent="0.3">
      <c r="A3099" t="s">
        <v>3114</v>
      </c>
      <c r="B3099" t="s">
        <v>16</v>
      </c>
      <c r="C3099" t="s">
        <v>11</v>
      </c>
      <c r="D3099">
        <v>50</v>
      </c>
      <c r="E3099" s="1">
        <v>42868</v>
      </c>
      <c r="F3099">
        <v>1.82</v>
      </c>
      <c r="G3099">
        <v>7</v>
      </c>
      <c r="H3099">
        <v>4548.67</v>
      </c>
      <c r="I3099">
        <v>8.5</v>
      </c>
    </row>
    <row r="3100" spans="1:9" x14ac:dyDescent="0.3">
      <c r="A3100" t="s">
        <v>3115</v>
      </c>
      <c r="B3100" t="s">
        <v>10</v>
      </c>
      <c r="C3100" t="s">
        <v>11</v>
      </c>
      <c r="D3100">
        <v>50</v>
      </c>
      <c r="E3100" s="1">
        <v>41133</v>
      </c>
      <c r="F3100">
        <v>4.72</v>
      </c>
      <c r="G3100">
        <v>4</v>
      </c>
      <c r="H3100">
        <v>13035.08</v>
      </c>
      <c r="I3100">
        <v>13.2</v>
      </c>
    </row>
    <row r="3101" spans="1:9" x14ac:dyDescent="0.3">
      <c r="A3101" t="s">
        <v>3116</v>
      </c>
      <c r="B3101" t="s">
        <v>10</v>
      </c>
      <c r="C3101" t="s">
        <v>14</v>
      </c>
      <c r="D3101">
        <v>55</v>
      </c>
      <c r="E3101" s="1">
        <v>42943</v>
      </c>
      <c r="F3101">
        <v>1.71</v>
      </c>
      <c r="G3101">
        <v>11</v>
      </c>
      <c r="H3101">
        <v>13311.94</v>
      </c>
      <c r="I3101">
        <v>8.3000000000000007</v>
      </c>
    </row>
    <row r="3102" spans="1:9" x14ac:dyDescent="0.3">
      <c r="A3102" t="s">
        <v>3117</v>
      </c>
      <c r="B3102" t="s">
        <v>13</v>
      </c>
      <c r="C3102" t="s">
        <v>14</v>
      </c>
      <c r="D3102">
        <v>57</v>
      </c>
      <c r="E3102" s="1">
        <v>43516</v>
      </c>
      <c r="F3102">
        <v>2.91</v>
      </c>
      <c r="G3102">
        <v>5</v>
      </c>
      <c r="H3102">
        <v>9829.0499999999993</v>
      </c>
      <c r="I3102">
        <v>6.7</v>
      </c>
    </row>
    <row r="3103" spans="1:9" x14ac:dyDescent="0.3">
      <c r="A3103" t="s">
        <v>3118</v>
      </c>
      <c r="B3103" t="s">
        <v>16</v>
      </c>
      <c r="C3103" t="s">
        <v>14</v>
      </c>
      <c r="D3103">
        <v>39</v>
      </c>
      <c r="E3103" s="1">
        <v>44701</v>
      </c>
      <c r="F3103">
        <v>4.6100000000000003</v>
      </c>
      <c r="G3103">
        <v>0</v>
      </c>
      <c r="H3103">
        <v>10160.58</v>
      </c>
      <c r="I3103">
        <v>3.5</v>
      </c>
    </row>
    <row r="3104" spans="1:9" x14ac:dyDescent="0.3">
      <c r="A3104" t="s">
        <v>3119</v>
      </c>
      <c r="B3104" t="s">
        <v>10</v>
      </c>
      <c r="C3104" t="s">
        <v>11</v>
      </c>
      <c r="D3104">
        <v>60</v>
      </c>
      <c r="E3104" s="1">
        <v>45293</v>
      </c>
      <c r="F3104">
        <v>2.4900000000000002</v>
      </c>
      <c r="G3104">
        <v>7</v>
      </c>
      <c r="H3104">
        <v>8794.73</v>
      </c>
      <c r="I3104">
        <v>1.8</v>
      </c>
    </row>
    <row r="3105" spans="1:9" x14ac:dyDescent="0.3">
      <c r="A3105" t="s">
        <v>3120</v>
      </c>
      <c r="B3105" t="s">
        <v>13</v>
      </c>
      <c r="C3105" t="s">
        <v>14</v>
      </c>
      <c r="D3105">
        <v>58</v>
      </c>
      <c r="E3105" s="1">
        <v>40466</v>
      </c>
      <c r="F3105">
        <v>4.58</v>
      </c>
      <c r="G3105">
        <v>0</v>
      </c>
      <c r="H3105">
        <v>4035.46</v>
      </c>
      <c r="I3105">
        <v>15.1</v>
      </c>
    </row>
    <row r="3106" spans="1:9" x14ac:dyDescent="0.3">
      <c r="A3106" t="s">
        <v>3121</v>
      </c>
      <c r="B3106" t="s">
        <v>16</v>
      </c>
      <c r="C3106" t="s">
        <v>14</v>
      </c>
      <c r="D3106">
        <v>39</v>
      </c>
      <c r="E3106" s="1">
        <v>42878</v>
      </c>
      <c r="F3106">
        <v>2.42</v>
      </c>
      <c r="G3106">
        <v>14</v>
      </c>
      <c r="H3106">
        <v>12791.66</v>
      </c>
      <c r="I3106">
        <v>8.4</v>
      </c>
    </row>
    <row r="3107" spans="1:9" x14ac:dyDescent="0.3">
      <c r="A3107" t="s">
        <v>3122</v>
      </c>
      <c r="B3107" t="s">
        <v>34</v>
      </c>
      <c r="C3107" t="s">
        <v>14</v>
      </c>
      <c r="D3107">
        <v>28</v>
      </c>
      <c r="E3107" s="1">
        <v>41149</v>
      </c>
      <c r="F3107">
        <v>2.3199999999999998</v>
      </c>
      <c r="G3107">
        <v>8</v>
      </c>
      <c r="H3107">
        <v>4030.07</v>
      </c>
      <c r="I3107">
        <v>13.2</v>
      </c>
    </row>
    <row r="3108" spans="1:9" x14ac:dyDescent="0.3">
      <c r="A3108" t="s">
        <v>3123</v>
      </c>
      <c r="B3108" t="s">
        <v>24</v>
      </c>
      <c r="C3108" t="s">
        <v>11</v>
      </c>
      <c r="D3108">
        <v>57</v>
      </c>
      <c r="E3108" s="1">
        <v>42331</v>
      </c>
      <c r="F3108">
        <v>1.61</v>
      </c>
      <c r="G3108">
        <v>1</v>
      </c>
      <c r="H3108">
        <v>9505.98</v>
      </c>
      <c r="I3108">
        <v>9.9</v>
      </c>
    </row>
    <row r="3109" spans="1:9" x14ac:dyDescent="0.3">
      <c r="A3109" t="s">
        <v>3124</v>
      </c>
      <c r="B3109" t="s">
        <v>24</v>
      </c>
      <c r="C3109" t="s">
        <v>14</v>
      </c>
      <c r="D3109">
        <v>34</v>
      </c>
      <c r="E3109" s="1">
        <v>42040</v>
      </c>
      <c r="F3109">
        <v>2.65</v>
      </c>
      <c r="G3109">
        <v>10</v>
      </c>
      <c r="H3109">
        <v>14104.4</v>
      </c>
      <c r="I3109">
        <v>10.7</v>
      </c>
    </row>
    <row r="3110" spans="1:9" x14ac:dyDescent="0.3">
      <c r="A3110" t="s">
        <v>3125</v>
      </c>
      <c r="B3110" t="s">
        <v>13</v>
      </c>
      <c r="C3110" t="s">
        <v>11</v>
      </c>
      <c r="D3110">
        <v>33</v>
      </c>
      <c r="E3110" s="1">
        <v>40499</v>
      </c>
      <c r="F3110">
        <v>2.91</v>
      </c>
      <c r="G3110">
        <v>7</v>
      </c>
      <c r="H3110">
        <v>13155.25</v>
      </c>
      <c r="I3110">
        <v>15</v>
      </c>
    </row>
    <row r="3111" spans="1:9" x14ac:dyDescent="0.3">
      <c r="A3111" t="s">
        <v>3126</v>
      </c>
      <c r="B3111" t="s">
        <v>16</v>
      </c>
      <c r="C3111" t="s">
        <v>11</v>
      </c>
      <c r="D3111">
        <v>49</v>
      </c>
      <c r="E3111" s="1">
        <v>45606</v>
      </c>
      <c r="F3111">
        <v>4.8600000000000003</v>
      </c>
      <c r="G3111">
        <v>5</v>
      </c>
      <c r="H3111">
        <v>6265.43</v>
      </c>
      <c r="I3111">
        <v>1</v>
      </c>
    </row>
    <row r="3112" spans="1:9" x14ac:dyDescent="0.3">
      <c r="A3112" t="s">
        <v>3127</v>
      </c>
      <c r="B3112" t="s">
        <v>24</v>
      </c>
      <c r="C3112" t="s">
        <v>14</v>
      </c>
      <c r="D3112">
        <v>37</v>
      </c>
      <c r="E3112" s="1">
        <v>41008</v>
      </c>
      <c r="F3112">
        <v>4.07</v>
      </c>
      <c r="G3112">
        <v>0</v>
      </c>
      <c r="H3112">
        <v>11572.03</v>
      </c>
      <c r="I3112">
        <v>13.6</v>
      </c>
    </row>
    <row r="3113" spans="1:9" x14ac:dyDescent="0.3">
      <c r="A3113" t="s">
        <v>3128</v>
      </c>
      <c r="B3113" t="s">
        <v>24</v>
      </c>
      <c r="C3113" t="s">
        <v>11</v>
      </c>
      <c r="D3113">
        <v>50</v>
      </c>
      <c r="E3113" s="1">
        <v>44882</v>
      </c>
      <c r="F3113">
        <v>3.8</v>
      </c>
      <c r="G3113">
        <v>11</v>
      </c>
      <c r="H3113">
        <v>11947.86</v>
      </c>
      <c r="I3113">
        <v>3</v>
      </c>
    </row>
    <row r="3114" spans="1:9" x14ac:dyDescent="0.3">
      <c r="A3114" t="s">
        <v>3129</v>
      </c>
      <c r="B3114" t="s">
        <v>16</v>
      </c>
      <c r="C3114" t="s">
        <v>14</v>
      </c>
      <c r="D3114">
        <v>53</v>
      </c>
      <c r="E3114" s="1">
        <v>44690</v>
      </c>
      <c r="F3114">
        <v>1.68</v>
      </c>
      <c r="G3114">
        <v>2</v>
      </c>
      <c r="H3114">
        <v>13132.39</v>
      </c>
      <c r="I3114">
        <v>3.5</v>
      </c>
    </row>
    <row r="3115" spans="1:9" x14ac:dyDescent="0.3">
      <c r="A3115" t="s">
        <v>3130</v>
      </c>
      <c r="B3115" t="s">
        <v>16</v>
      </c>
      <c r="C3115" t="s">
        <v>11</v>
      </c>
      <c r="D3115">
        <v>44</v>
      </c>
      <c r="E3115" s="1">
        <v>45346</v>
      </c>
      <c r="F3115">
        <v>1.67</v>
      </c>
      <c r="G3115">
        <v>11</v>
      </c>
      <c r="H3115">
        <v>3406.3</v>
      </c>
      <c r="I3115">
        <v>1.7</v>
      </c>
    </row>
    <row r="3116" spans="1:9" x14ac:dyDescent="0.3">
      <c r="A3116" t="s">
        <v>3131</v>
      </c>
      <c r="B3116" t="s">
        <v>13</v>
      </c>
      <c r="C3116" t="s">
        <v>11</v>
      </c>
      <c r="D3116">
        <v>41</v>
      </c>
      <c r="E3116" s="1">
        <v>40570</v>
      </c>
      <c r="F3116">
        <v>3.9</v>
      </c>
      <c r="G3116">
        <v>11</v>
      </c>
      <c r="H3116">
        <v>5594.49</v>
      </c>
      <c r="I3116">
        <v>14.8</v>
      </c>
    </row>
    <row r="3117" spans="1:9" x14ac:dyDescent="0.3">
      <c r="A3117" t="s">
        <v>3132</v>
      </c>
      <c r="B3117" t="s">
        <v>24</v>
      </c>
      <c r="C3117" t="s">
        <v>14</v>
      </c>
      <c r="D3117">
        <v>56</v>
      </c>
      <c r="E3117" s="1">
        <v>45557</v>
      </c>
      <c r="F3117">
        <v>2</v>
      </c>
      <c r="G3117">
        <v>7</v>
      </c>
      <c r="H3117">
        <v>4416.87</v>
      </c>
      <c r="I3117">
        <v>1.1000000000000001</v>
      </c>
    </row>
    <row r="3118" spans="1:9" x14ac:dyDescent="0.3">
      <c r="A3118" t="s">
        <v>3133</v>
      </c>
      <c r="B3118" t="s">
        <v>16</v>
      </c>
      <c r="C3118" t="s">
        <v>11</v>
      </c>
      <c r="D3118">
        <v>43</v>
      </c>
      <c r="E3118" s="1">
        <v>40960</v>
      </c>
      <c r="F3118">
        <v>3.17</v>
      </c>
      <c r="G3118">
        <v>2</v>
      </c>
      <c r="H3118">
        <v>13584.99</v>
      </c>
      <c r="I3118">
        <v>13.7</v>
      </c>
    </row>
    <row r="3119" spans="1:9" x14ac:dyDescent="0.3">
      <c r="A3119" t="s">
        <v>3134</v>
      </c>
      <c r="B3119" t="s">
        <v>13</v>
      </c>
      <c r="C3119" t="s">
        <v>14</v>
      </c>
      <c r="D3119">
        <v>53</v>
      </c>
      <c r="E3119" s="1">
        <v>40657</v>
      </c>
      <c r="F3119">
        <v>4.8600000000000003</v>
      </c>
      <c r="G3119">
        <v>10</v>
      </c>
      <c r="H3119">
        <v>3412.75</v>
      </c>
      <c r="I3119">
        <v>14.5</v>
      </c>
    </row>
    <row r="3120" spans="1:9" x14ac:dyDescent="0.3">
      <c r="A3120" t="s">
        <v>3135</v>
      </c>
      <c r="B3120" t="s">
        <v>13</v>
      </c>
      <c r="C3120" t="s">
        <v>11</v>
      </c>
      <c r="D3120">
        <v>46</v>
      </c>
      <c r="E3120" s="1">
        <v>43877</v>
      </c>
      <c r="F3120">
        <v>3.35</v>
      </c>
      <c r="G3120">
        <v>15</v>
      </c>
      <c r="H3120">
        <v>14674.8</v>
      </c>
      <c r="I3120">
        <v>5.7</v>
      </c>
    </row>
    <row r="3121" spans="1:9" x14ac:dyDescent="0.3">
      <c r="A3121" t="s">
        <v>3136</v>
      </c>
      <c r="B3121" t="s">
        <v>16</v>
      </c>
      <c r="C3121" t="s">
        <v>14</v>
      </c>
      <c r="D3121">
        <v>40</v>
      </c>
      <c r="E3121" s="1">
        <v>40602</v>
      </c>
      <c r="F3121">
        <v>3.78</v>
      </c>
      <c r="G3121">
        <v>6</v>
      </c>
      <c r="H3121">
        <v>11504.46</v>
      </c>
      <c r="I3121">
        <v>14.7</v>
      </c>
    </row>
    <row r="3122" spans="1:9" x14ac:dyDescent="0.3">
      <c r="A3122" t="s">
        <v>3137</v>
      </c>
      <c r="B3122" t="s">
        <v>16</v>
      </c>
      <c r="C3122" t="s">
        <v>11</v>
      </c>
      <c r="D3122">
        <v>60</v>
      </c>
      <c r="E3122" s="1">
        <v>45693</v>
      </c>
      <c r="F3122">
        <v>2.76</v>
      </c>
      <c r="G3122">
        <v>0</v>
      </c>
      <c r="H3122">
        <v>11784.34</v>
      </c>
      <c r="I3122">
        <v>0.7</v>
      </c>
    </row>
    <row r="3123" spans="1:9" x14ac:dyDescent="0.3">
      <c r="A3123" t="s">
        <v>3138</v>
      </c>
      <c r="B3123" t="s">
        <v>10</v>
      </c>
      <c r="C3123" t="s">
        <v>14</v>
      </c>
      <c r="D3123">
        <v>48</v>
      </c>
      <c r="E3123" s="1">
        <v>44197</v>
      </c>
      <c r="F3123">
        <v>2.63</v>
      </c>
      <c r="G3123">
        <v>9</v>
      </c>
      <c r="H3123">
        <v>8213.7199999999993</v>
      </c>
      <c r="I3123">
        <v>4.8</v>
      </c>
    </row>
    <row r="3124" spans="1:9" x14ac:dyDescent="0.3">
      <c r="A3124" t="s">
        <v>3139</v>
      </c>
      <c r="B3124" t="s">
        <v>24</v>
      </c>
      <c r="C3124" t="s">
        <v>14</v>
      </c>
      <c r="D3124">
        <v>38</v>
      </c>
      <c r="E3124" s="1">
        <v>45024</v>
      </c>
      <c r="F3124">
        <v>3.68</v>
      </c>
      <c r="G3124">
        <v>9</v>
      </c>
      <c r="H3124">
        <v>14980.15</v>
      </c>
      <c r="I3124">
        <v>2.6</v>
      </c>
    </row>
    <row r="3125" spans="1:9" x14ac:dyDescent="0.3">
      <c r="A3125" t="s">
        <v>3140</v>
      </c>
      <c r="B3125" t="s">
        <v>24</v>
      </c>
      <c r="C3125" t="s">
        <v>14</v>
      </c>
      <c r="D3125">
        <v>31</v>
      </c>
      <c r="E3125" s="1">
        <v>43633</v>
      </c>
      <c r="F3125">
        <v>3.35</v>
      </c>
      <c r="G3125">
        <v>3</v>
      </c>
      <c r="H3125">
        <v>11085.7</v>
      </c>
      <c r="I3125">
        <v>6.4</v>
      </c>
    </row>
    <row r="3126" spans="1:9" x14ac:dyDescent="0.3">
      <c r="A3126" t="s">
        <v>3141</v>
      </c>
      <c r="B3126" t="s">
        <v>18</v>
      </c>
      <c r="C3126" t="s">
        <v>11</v>
      </c>
      <c r="D3126">
        <v>26</v>
      </c>
      <c r="E3126" s="1">
        <v>43455</v>
      </c>
      <c r="F3126">
        <v>2.08</v>
      </c>
      <c r="G3126">
        <v>13</v>
      </c>
      <c r="H3126">
        <v>6111.33</v>
      </c>
      <c r="I3126">
        <v>6.9</v>
      </c>
    </row>
    <row r="3127" spans="1:9" x14ac:dyDescent="0.3">
      <c r="A3127" t="s">
        <v>3142</v>
      </c>
      <c r="B3127" t="s">
        <v>13</v>
      </c>
      <c r="C3127" t="s">
        <v>11</v>
      </c>
      <c r="D3127">
        <v>22</v>
      </c>
      <c r="E3127" s="1">
        <v>43704</v>
      </c>
      <c r="F3127">
        <v>3.13</v>
      </c>
      <c r="G3127">
        <v>13</v>
      </c>
      <c r="H3127">
        <v>6087.31</v>
      </c>
      <c r="I3127">
        <v>6.2</v>
      </c>
    </row>
    <row r="3128" spans="1:9" x14ac:dyDescent="0.3">
      <c r="A3128" t="s">
        <v>3143</v>
      </c>
      <c r="B3128" t="s">
        <v>24</v>
      </c>
      <c r="C3128" t="s">
        <v>14</v>
      </c>
      <c r="D3128">
        <v>51</v>
      </c>
      <c r="E3128" s="1">
        <v>40543</v>
      </c>
      <c r="F3128">
        <v>4.0599999999999996</v>
      </c>
      <c r="G3128">
        <v>10</v>
      </c>
      <c r="H3128">
        <v>11413.45</v>
      </c>
      <c r="I3128">
        <v>14.8</v>
      </c>
    </row>
    <row r="3129" spans="1:9" x14ac:dyDescent="0.3">
      <c r="A3129" t="s">
        <v>3144</v>
      </c>
      <c r="B3129" t="s">
        <v>13</v>
      </c>
      <c r="C3129" t="s">
        <v>11</v>
      </c>
      <c r="D3129">
        <v>26</v>
      </c>
      <c r="E3129" s="1">
        <v>45637</v>
      </c>
      <c r="F3129">
        <v>3.92</v>
      </c>
      <c r="G3129">
        <v>2</v>
      </c>
      <c r="H3129">
        <v>11872.12</v>
      </c>
      <c r="I3129">
        <v>0.9</v>
      </c>
    </row>
    <row r="3130" spans="1:9" x14ac:dyDescent="0.3">
      <c r="A3130" t="s">
        <v>3145</v>
      </c>
      <c r="B3130" t="s">
        <v>24</v>
      </c>
      <c r="C3130" t="s">
        <v>14</v>
      </c>
      <c r="D3130">
        <v>33</v>
      </c>
      <c r="E3130" s="1">
        <v>42919</v>
      </c>
      <c r="F3130">
        <v>3.96</v>
      </c>
      <c r="G3130">
        <v>3</v>
      </c>
      <c r="H3130">
        <v>9671.9</v>
      </c>
      <c r="I3130">
        <v>8.3000000000000007</v>
      </c>
    </row>
    <row r="3131" spans="1:9" x14ac:dyDescent="0.3">
      <c r="A3131" t="s">
        <v>3146</v>
      </c>
      <c r="B3131" t="s">
        <v>10</v>
      </c>
      <c r="C3131" t="s">
        <v>14</v>
      </c>
      <c r="D3131">
        <v>37</v>
      </c>
      <c r="E3131" s="1">
        <v>42924</v>
      </c>
      <c r="F3131">
        <v>3.6</v>
      </c>
      <c r="G3131">
        <v>15</v>
      </c>
      <c r="H3131">
        <v>9863.5499999999993</v>
      </c>
      <c r="I3131">
        <v>8.3000000000000007</v>
      </c>
    </row>
    <row r="3132" spans="1:9" x14ac:dyDescent="0.3">
      <c r="A3132" t="s">
        <v>3147</v>
      </c>
      <c r="B3132" t="s">
        <v>16</v>
      </c>
      <c r="C3132" t="s">
        <v>14</v>
      </c>
      <c r="D3132">
        <v>25</v>
      </c>
      <c r="E3132" s="1">
        <v>41803</v>
      </c>
      <c r="F3132">
        <v>2.66</v>
      </c>
      <c r="G3132">
        <v>15</v>
      </c>
      <c r="H3132">
        <v>11457.67</v>
      </c>
      <c r="I3132">
        <v>11.4</v>
      </c>
    </row>
    <row r="3133" spans="1:9" x14ac:dyDescent="0.3">
      <c r="A3133" t="s">
        <v>3148</v>
      </c>
      <c r="B3133" t="s">
        <v>24</v>
      </c>
      <c r="C3133" t="s">
        <v>11</v>
      </c>
      <c r="D3133">
        <v>36</v>
      </c>
      <c r="E3133" s="1">
        <v>43156</v>
      </c>
      <c r="F3133">
        <v>3.7</v>
      </c>
      <c r="G3133">
        <v>4</v>
      </c>
      <c r="H3133">
        <v>10131.44</v>
      </c>
      <c r="I3133">
        <v>7.7</v>
      </c>
    </row>
    <row r="3134" spans="1:9" x14ac:dyDescent="0.3">
      <c r="A3134" t="s">
        <v>3149</v>
      </c>
      <c r="B3134" t="s">
        <v>34</v>
      </c>
      <c r="C3134" t="s">
        <v>14</v>
      </c>
      <c r="D3134">
        <v>42</v>
      </c>
      <c r="E3134" s="1">
        <v>41031</v>
      </c>
      <c r="F3134">
        <v>3.06</v>
      </c>
      <c r="G3134">
        <v>4</v>
      </c>
      <c r="H3134">
        <v>6427.84</v>
      </c>
      <c r="I3134">
        <v>13.5</v>
      </c>
    </row>
    <row r="3135" spans="1:9" x14ac:dyDescent="0.3">
      <c r="A3135" t="s">
        <v>3150</v>
      </c>
      <c r="B3135" t="s">
        <v>34</v>
      </c>
      <c r="C3135" t="s">
        <v>11</v>
      </c>
      <c r="D3135">
        <v>27</v>
      </c>
      <c r="E3135" s="1">
        <v>44545</v>
      </c>
      <c r="F3135">
        <v>3.94</v>
      </c>
      <c r="G3135">
        <v>10</v>
      </c>
      <c r="H3135">
        <v>5619.28</v>
      </c>
      <c r="I3135">
        <v>3.9</v>
      </c>
    </row>
    <row r="3136" spans="1:9" x14ac:dyDescent="0.3">
      <c r="A3136" t="s">
        <v>3151</v>
      </c>
      <c r="B3136" t="s">
        <v>10</v>
      </c>
      <c r="C3136" t="s">
        <v>11</v>
      </c>
      <c r="D3136">
        <v>52</v>
      </c>
      <c r="E3136" s="1">
        <v>42035</v>
      </c>
      <c r="F3136">
        <v>2.97</v>
      </c>
      <c r="G3136">
        <v>3</v>
      </c>
      <c r="H3136">
        <v>7891.2</v>
      </c>
      <c r="I3136">
        <v>10.8</v>
      </c>
    </row>
    <row r="3137" spans="1:9" x14ac:dyDescent="0.3">
      <c r="A3137" t="s">
        <v>3152</v>
      </c>
      <c r="B3137" t="s">
        <v>16</v>
      </c>
      <c r="C3137" t="s">
        <v>11</v>
      </c>
      <c r="D3137">
        <v>39</v>
      </c>
      <c r="E3137" s="1">
        <v>45035</v>
      </c>
      <c r="F3137">
        <v>2.27</v>
      </c>
      <c r="G3137">
        <v>0</v>
      </c>
      <c r="H3137">
        <v>7985.9</v>
      </c>
      <c r="I3137">
        <v>2.5</v>
      </c>
    </row>
    <row r="3138" spans="1:9" x14ac:dyDescent="0.3">
      <c r="A3138" t="s">
        <v>3153</v>
      </c>
      <c r="B3138" t="s">
        <v>34</v>
      </c>
      <c r="C3138" t="s">
        <v>11</v>
      </c>
      <c r="D3138">
        <v>37</v>
      </c>
      <c r="E3138" s="1">
        <v>42133</v>
      </c>
      <c r="F3138">
        <v>2.2400000000000002</v>
      </c>
      <c r="G3138">
        <v>12</v>
      </c>
      <c r="H3138">
        <v>13343.17</v>
      </c>
      <c r="I3138">
        <v>10.5</v>
      </c>
    </row>
    <row r="3139" spans="1:9" x14ac:dyDescent="0.3">
      <c r="A3139" t="s">
        <v>3154</v>
      </c>
      <c r="B3139" t="s">
        <v>24</v>
      </c>
      <c r="C3139" t="s">
        <v>11</v>
      </c>
      <c r="D3139">
        <v>22</v>
      </c>
      <c r="E3139" s="1">
        <v>41584</v>
      </c>
      <c r="F3139">
        <v>1.57</v>
      </c>
      <c r="G3139">
        <v>10</v>
      </c>
      <c r="H3139">
        <v>9838.44</v>
      </c>
      <c r="I3139">
        <v>12</v>
      </c>
    </row>
    <row r="3140" spans="1:9" x14ac:dyDescent="0.3">
      <c r="A3140" t="s">
        <v>3155</v>
      </c>
      <c r="B3140" t="s">
        <v>24</v>
      </c>
      <c r="C3140" t="s">
        <v>14</v>
      </c>
      <c r="D3140">
        <v>44</v>
      </c>
      <c r="E3140" s="1">
        <v>45784</v>
      </c>
      <c r="F3140">
        <v>4.5599999999999996</v>
      </c>
      <c r="G3140">
        <v>7</v>
      </c>
      <c r="H3140">
        <v>4620.83</v>
      </c>
      <c r="I3140">
        <v>0.5</v>
      </c>
    </row>
    <row r="3141" spans="1:9" x14ac:dyDescent="0.3">
      <c r="A3141" t="s">
        <v>3156</v>
      </c>
      <c r="B3141" t="s">
        <v>10</v>
      </c>
      <c r="C3141" t="s">
        <v>11</v>
      </c>
      <c r="D3141">
        <v>27</v>
      </c>
      <c r="E3141" s="1">
        <v>44304</v>
      </c>
      <c r="F3141">
        <v>4.09</v>
      </c>
      <c r="G3141">
        <v>12</v>
      </c>
      <c r="H3141">
        <v>8913.77</v>
      </c>
      <c r="I3141">
        <v>4.5</v>
      </c>
    </row>
    <row r="3142" spans="1:9" x14ac:dyDescent="0.3">
      <c r="A3142" t="s">
        <v>3157</v>
      </c>
      <c r="B3142" t="s">
        <v>18</v>
      </c>
      <c r="C3142" t="s">
        <v>11</v>
      </c>
      <c r="D3142">
        <v>27</v>
      </c>
      <c r="E3142" s="1">
        <v>42362</v>
      </c>
      <c r="F3142">
        <v>3.52</v>
      </c>
      <c r="G3142">
        <v>7</v>
      </c>
      <c r="H3142">
        <v>11344.17</v>
      </c>
      <c r="I3142">
        <v>9.9</v>
      </c>
    </row>
    <row r="3143" spans="1:9" x14ac:dyDescent="0.3">
      <c r="A3143" t="s">
        <v>3158</v>
      </c>
      <c r="B3143" t="s">
        <v>18</v>
      </c>
      <c r="C3143" t="s">
        <v>11</v>
      </c>
      <c r="D3143">
        <v>22</v>
      </c>
      <c r="E3143" s="1">
        <v>45332</v>
      </c>
      <c r="F3143">
        <v>3.85</v>
      </c>
      <c r="G3143">
        <v>3</v>
      </c>
      <c r="H3143">
        <v>13340.23</v>
      </c>
      <c r="I3143">
        <v>1.7</v>
      </c>
    </row>
    <row r="3144" spans="1:9" x14ac:dyDescent="0.3">
      <c r="A3144" t="s">
        <v>3159</v>
      </c>
      <c r="B3144" t="s">
        <v>24</v>
      </c>
      <c r="C3144" t="s">
        <v>14</v>
      </c>
      <c r="D3144">
        <v>43</v>
      </c>
      <c r="E3144" s="1">
        <v>43700</v>
      </c>
      <c r="F3144">
        <v>3.13</v>
      </c>
      <c r="G3144">
        <v>12</v>
      </c>
      <c r="H3144">
        <v>11623.56</v>
      </c>
      <c r="I3144">
        <v>6.2</v>
      </c>
    </row>
    <row r="3145" spans="1:9" x14ac:dyDescent="0.3">
      <c r="A3145" t="s">
        <v>3160</v>
      </c>
      <c r="B3145" t="s">
        <v>10</v>
      </c>
      <c r="C3145" t="s">
        <v>14</v>
      </c>
      <c r="D3145">
        <v>59</v>
      </c>
      <c r="E3145" s="1">
        <v>42570</v>
      </c>
      <c r="F3145">
        <v>1.96</v>
      </c>
      <c r="G3145">
        <v>13</v>
      </c>
      <c r="H3145">
        <v>3721.04</v>
      </c>
      <c r="I3145">
        <v>9.3000000000000007</v>
      </c>
    </row>
    <row r="3146" spans="1:9" x14ac:dyDescent="0.3">
      <c r="A3146" t="s">
        <v>3161</v>
      </c>
      <c r="B3146" t="s">
        <v>10</v>
      </c>
      <c r="C3146" t="s">
        <v>14</v>
      </c>
      <c r="D3146">
        <v>52</v>
      </c>
      <c r="E3146" s="1">
        <v>44240</v>
      </c>
      <c r="F3146">
        <v>2.58</v>
      </c>
      <c r="G3146">
        <v>9</v>
      </c>
      <c r="H3146">
        <v>6079.42</v>
      </c>
      <c r="I3146">
        <v>4.7</v>
      </c>
    </row>
    <row r="3147" spans="1:9" x14ac:dyDescent="0.3">
      <c r="A3147" t="s">
        <v>3162</v>
      </c>
      <c r="B3147" t="s">
        <v>18</v>
      </c>
      <c r="C3147" t="s">
        <v>11</v>
      </c>
      <c r="D3147">
        <v>44</v>
      </c>
      <c r="E3147" s="1">
        <v>40333</v>
      </c>
      <c r="F3147">
        <v>3.95</v>
      </c>
      <c r="G3147">
        <v>2</v>
      </c>
      <c r="H3147">
        <v>8408.84</v>
      </c>
      <c r="I3147">
        <v>15.4</v>
      </c>
    </row>
    <row r="3148" spans="1:9" x14ac:dyDescent="0.3">
      <c r="A3148" t="s">
        <v>3163</v>
      </c>
      <c r="B3148" t="s">
        <v>24</v>
      </c>
      <c r="C3148" t="s">
        <v>11</v>
      </c>
      <c r="D3148">
        <v>29</v>
      </c>
      <c r="E3148" s="1">
        <v>41630</v>
      </c>
      <c r="F3148">
        <v>4.5999999999999996</v>
      </c>
      <c r="G3148">
        <v>0</v>
      </c>
      <c r="H3148">
        <v>10355.42</v>
      </c>
      <c r="I3148">
        <v>11.9</v>
      </c>
    </row>
    <row r="3149" spans="1:9" x14ac:dyDescent="0.3">
      <c r="A3149" t="s">
        <v>3164</v>
      </c>
      <c r="B3149" t="s">
        <v>34</v>
      </c>
      <c r="C3149" t="s">
        <v>14</v>
      </c>
      <c r="D3149">
        <v>32</v>
      </c>
      <c r="E3149" s="1">
        <v>41776</v>
      </c>
      <c r="F3149">
        <v>4.9000000000000004</v>
      </c>
      <c r="G3149">
        <v>4</v>
      </c>
      <c r="H3149">
        <v>7018.3</v>
      </c>
      <c r="I3149">
        <v>11.5</v>
      </c>
    </row>
    <row r="3150" spans="1:9" x14ac:dyDescent="0.3">
      <c r="A3150" t="s">
        <v>3165</v>
      </c>
      <c r="B3150" t="s">
        <v>10</v>
      </c>
      <c r="C3150" t="s">
        <v>14</v>
      </c>
      <c r="D3150">
        <v>55</v>
      </c>
      <c r="E3150" s="1">
        <v>41161</v>
      </c>
      <c r="F3150">
        <v>2.76</v>
      </c>
      <c r="G3150">
        <v>0</v>
      </c>
      <c r="H3150">
        <v>13679.38</v>
      </c>
      <c r="I3150">
        <v>13.2</v>
      </c>
    </row>
    <row r="3151" spans="1:9" x14ac:dyDescent="0.3">
      <c r="A3151" t="s">
        <v>3166</v>
      </c>
      <c r="B3151" t="s">
        <v>24</v>
      </c>
      <c r="C3151" t="s">
        <v>11</v>
      </c>
      <c r="D3151">
        <v>25</v>
      </c>
      <c r="E3151" s="1">
        <v>44432</v>
      </c>
      <c r="F3151">
        <v>2.33</v>
      </c>
      <c r="G3151">
        <v>9</v>
      </c>
      <c r="H3151">
        <v>7116.82</v>
      </c>
      <c r="I3151">
        <v>4.2</v>
      </c>
    </row>
    <row r="3152" spans="1:9" x14ac:dyDescent="0.3">
      <c r="A3152" t="s">
        <v>3167</v>
      </c>
      <c r="B3152" t="s">
        <v>13</v>
      </c>
      <c r="C3152" t="s">
        <v>11</v>
      </c>
      <c r="D3152">
        <v>40</v>
      </c>
      <c r="E3152" s="1">
        <v>44390</v>
      </c>
      <c r="F3152">
        <v>4.47</v>
      </c>
      <c r="G3152">
        <v>5</v>
      </c>
      <c r="H3152">
        <v>7296.07</v>
      </c>
      <c r="I3152">
        <v>4.3</v>
      </c>
    </row>
    <row r="3153" spans="1:9" x14ac:dyDescent="0.3">
      <c r="A3153" t="s">
        <v>3168</v>
      </c>
      <c r="B3153" t="s">
        <v>13</v>
      </c>
      <c r="C3153" t="s">
        <v>14</v>
      </c>
      <c r="D3153">
        <v>37</v>
      </c>
      <c r="E3153" s="1">
        <v>41837</v>
      </c>
      <c r="F3153">
        <v>2.11</v>
      </c>
      <c r="G3153">
        <v>5</v>
      </c>
      <c r="H3153">
        <v>7755.15</v>
      </c>
      <c r="I3153">
        <v>11.3</v>
      </c>
    </row>
    <row r="3154" spans="1:9" x14ac:dyDescent="0.3">
      <c r="A3154" t="s">
        <v>3169</v>
      </c>
      <c r="B3154" t="s">
        <v>13</v>
      </c>
      <c r="C3154" t="s">
        <v>14</v>
      </c>
      <c r="D3154">
        <v>51</v>
      </c>
      <c r="E3154" s="1">
        <v>40670</v>
      </c>
      <c r="F3154">
        <v>1.62</v>
      </c>
      <c r="G3154">
        <v>0</v>
      </c>
      <c r="H3154">
        <v>8913.1299999999992</v>
      </c>
      <c r="I3154">
        <v>14.5</v>
      </c>
    </row>
    <row r="3155" spans="1:9" x14ac:dyDescent="0.3">
      <c r="A3155" t="s">
        <v>3170</v>
      </c>
      <c r="B3155" t="s">
        <v>24</v>
      </c>
      <c r="C3155" t="s">
        <v>14</v>
      </c>
      <c r="D3155">
        <v>32</v>
      </c>
      <c r="E3155" s="1">
        <v>42293</v>
      </c>
      <c r="F3155">
        <v>2.59</v>
      </c>
      <c r="G3155">
        <v>1</v>
      </c>
      <c r="H3155">
        <v>6911.21</v>
      </c>
      <c r="I3155">
        <v>10.1</v>
      </c>
    </row>
    <row r="3156" spans="1:9" x14ac:dyDescent="0.3">
      <c r="A3156" t="s">
        <v>3171</v>
      </c>
      <c r="B3156" t="s">
        <v>16</v>
      </c>
      <c r="C3156" t="s">
        <v>14</v>
      </c>
      <c r="D3156">
        <v>49</v>
      </c>
      <c r="E3156" s="1">
        <v>40781</v>
      </c>
      <c r="F3156">
        <v>2.0299999999999998</v>
      </c>
      <c r="G3156">
        <v>5</v>
      </c>
      <c r="H3156">
        <v>12692.95</v>
      </c>
      <c r="I3156">
        <v>14.2</v>
      </c>
    </row>
    <row r="3157" spans="1:9" x14ac:dyDescent="0.3">
      <c r="A3157" t="s">
        <v>3172</v>
      </c>
      <c r="B3157" t="s">
        <v>18</v>
      </c>
      <c r="C3157" t="s">
        <v>11</v>
      </c>
      <c r="D3157">
        <v>30</v>
      </c>
      <c r="E3157" s="1">
        <v>44292</v>
      </c>
      <c r="F3157">
        <v>4.28</v>
      </c>
      <c r="G3157">
        <v>6</v>
      </c>
      <c r="H3157">
        <v>4971.7299999999996</v>
      </c>
      <c r="I3157">
        <v>4.5999999999999996</v>
      </c>
    </row>
    <row r="3158" spans="1:9" x14ac:dyDescent="0.3">
      <c r="A3158" t="s">
        <v>3173</v>
      </c>
      <c r="B3158" t="s">
        <v>18</v>
      </c>
      <c r="C3158" t="s">
        <v>14</v>
      </c>
      <c r="D3158">
        <v>56</v>
      </c>
      <c r="E3158" s="1">
        <v>44688</v>
      </c>
      <c r="F3158">
        <v>2.5099999999999998</v>
      </c>
      <c r="G3158">
        <v>3</v>
      </c>
      <c r="H3158">
        <v>6297.2</v>
      </c>
      <c r="I3158">
        <v>3.5</v>
      </c>
    </row>
    <row r="3159" spans="1:9" x14ac:dyDescent="0.3">
      <c r="A3159" t="s">
        <v>3174</v>
      </c>
      <c r="B3159" t="s">
        <v>13</v>
      </c>
      <c r="C3159" t="s">
        <v>14</v>
      </c>
      <c r="D3159">
        <v>34</v>
      </c>
      <c r="E3159" s="1">
        <v>45194</v>
      </c>
      <c r="F3159">
        <v>3.47</v>
      </c>
      <c r="G3159">
        <v>3</v>
      </c>
      <c r="H3159">
        <v>7450.06</v>
      </c>
      <c r="I3159">
        <v>2.1</v>
      </c>
    </row>
    <row r="3160" spans="1:9" x14ac:dyDescent="0.3">
      <c r="A3160" t="s">
        <v>3175</v>
      </c>
      <c r="B3160" t="s">
        <v>16</v>
      </c>
      <c r="C3160" t="s">
        <v>11</v>
      </c>
      <c r="D3160">
        <v>60</v>
      </c>
      <c r="E3160" s="1">
        <v>41485</v>
      </c>
      <c r="F3160">
        <v>2.36</v>
      </c>
      <c r="G3160">
        <v>3</v>
      </c>
      <c r="H3160">
        <v>4093.9</v>
      </c>
      <c r="I3160">
        <v>12.3</v>
      </c>
    </row>
    <row r="3161" spans="1:9" x14ac:dyDescent="0.3">
      <c r="A3161" t="s">
        <v>3176</v>
      </c>
      <c r="B3161" t="s">
        <v>13</v>
      </c>
      <c r="C3161" t="s">
        <v>11</v>
      </c>
      <c r="D3161">
        <v>49</v>
      </c>
      <c r="E3161" s="1">
        <v>45374</v>
      </c>
      <c r="F3161">
        <v>2.65</v>
      </c>
      <c r="G3161">
        <v>6</v>
      </c>
      <c r="H3161">
        <v>9991.5400000000009</v>
      </c>
      <c r="I3161">
        <v>1.6</v>
      </c>
    </row>
    <row r="3162" spans="1:9" x14ac:dyDescent="0.3">
      <c r="A3162" t="s">
        <v>3177</v>
      </c>
      <c r="B3162" t="s">
        <v>10</v>
      </c>
      <c r="C3162" t="s">
        <v>14</v>
      </c>
      <c r="D3162">
        <v>22</v>
      </c>
      <c r="E3162" s="1">
        <v>45696</v>
      </c>
      <c r="F3162">
        <v>1.73</v>
      </c>
      <c r="G3162">
        <v>14</v>
      </c>
      <c r="H3162">
        <v>5378.78</v>
      </c>
      <c r="I3162">
        <v>0.7</v>
      </c>
    </row>
    <row r="3163" spans="1:9" x14ac:dyDescent="0.3">
      <c r="A3163" t="s">
        <v>3178</v>
      </c>
      <c r="B3163" t="s">
        <v>10</v>
      </c>
      <c r="C3163" t="s">
        <v>14</v>
      </c>
      <c r="D3163">
        <v>24</v>
      </c>
      <c r="E3163" s="1">
        <v>42991</v>
      </c>
      <c r="F3163">
        <v>1.53</v>
      </c>
      <c r="G3163">
        <v>1</v>
      </c>
      <c r="H3163">
        <v>9895.76</v>
      </c>
      <c r="I3163">
        <v>8.1</v>
      </c>
    </row>
    <row r="3164" spans="1:9" x14ac:dyDescent="0.3">
      <c r="A3164" t="s">
        <v>3179</v>
      </c>
      <c r="B3164" t="s">
        <v>10</v>
      </c>
      <c r="C3164" t="s">
        <v>11</v>
      </c>
      <c r="D3164">
        <v>36</v>
      </c>
      <c r="E3164" s="1">
        <v>44227</v>
      </c>
      <c r="F3164">
        <v>4.4800000000000004</v>
      </c>
      <c r="G3164">
        <v>7</v>
      </c>
      <c r="H3164">
        <v>14772.12</v>
      </c>
      <c r="I3164">
        <v>4.8</v>
      </c>
    </row>
    <row r="3165" spans="1:9" x14ac:dyDescent="0.3">
      <c r="A3165" t="s">
        <v>3180</v>
      </c>
      <c r="B3165" t="s">
        <v>18</v>
      </c>
      <c r="C3165" t="s">
        <v>11</v>
      </c>
      <c r="D3165">
        <v>29</v>
      </c>
      <c r="E3165" s="1">
        <v>42080</v>
      </c>
      <c r="F3165">
        <v>2.8</v>
      </c>
      <c r="G3165">
        <v>10</v>
      </c>
      <c r="H3165">
        <v>6819.66</v>
      </c>
      <c r="I3165">
        <v>10.6</v>
      </c>
    </row>
    <row r="3166" spans="1:9" x14ac:dyDescent="0.3">
      <c r="A3166" t="s">
        <v>3181</v>
      </c>
      <c r="B3166" t="s">
        <v>24</v>
      </c>
      <c r="C3166" t="s">
        <v>14</v>
      </c>
      <c r="D3166">
        <v>47</v>
      </c>
      <c r="E3166" s="1">
        <v>41218</v>
      </c>
      <c r="F3166">
        <v>3.9</v>
      </c>
      <c r="G3166">
        <v>6</v>
      </c>
      <c r="H3166">
        <v>12854.66</v>
      </c>
      <c r="I3166">
        <v>13</v>
      </c>
    </row>
    <row r="3167" spans="1:9" x14ac:dyDescent="0.3">
      <c r="A3167" t="s">
        <v>3182</v>
      </c>
      <c r="B3167" t="s">
        <v>34</v>
      </c>
      <c r="C3167" t="s">
        <v>14</v>
      </c>
      <c r="D3167">
        <v>29</v>
      </c>
      <c r="E3167" s="1">
        <v>43392</v>
      </c>
      <c r="F3167">
        <v>4.18</v>
      </c>
      <c r="G3167">
        <v>4</v>
      </c>
      <c r="H3167">
        <v>3474.91</v>
      </c>
      <c r="I3167">
        <v>7</v>
      </c>
    </row>
    <row r="3168" spans="1:9" x14ac:dyDescent="0.3">
      <c r="A3168" t="s">
        <v>3183</v>
      </c>
      <c r="B3168" t="s">
        <v>24</v>
      </c>
      <c r="C3168" t="s">
        <v>14</v>
      </c>
      <c r="D3168">
        <v>55</v>
      </c>
      <c r="E3168" s="1">
        <v>42878</v>
      </c>
      <c r="F3168">
        <v>4.53</v>
      </c>
      <c r="G3168">
        <v>0</v>
      </c>
      <c r="H3168">
        <v>11222.4</v>
      </c>
      <c r="I3168">
        <v>8.4</v>
      </c>
    </row>
    <row r="3169" spans="1:9" x14ac:dyDescent="0.3">
      <c r="A3169" t="s">
        <v>3184</v>
      </c>
      <c r="B3169" t="s">
        <v>10</v>
      </c>
      <c r="C3169" t="s">
        <v>11</v>
      </c>
      <c r="D3169">
        <v>38</v>
      </c>
      <c r="E3169" s="1">
        <v>44474</v>
      </c>
      <c r="F3169">
        <v>2.52</v>
      </c>
      <c r="G3169">
        <v>5</v>
      </c>
      <c r="H3169">
        <v>12721.25</v>
      </c>
      <c r="I3169">
        <v>4.0999999999999996</v>
      </c>
    </row>
    <row r="3170" spans="1:9" x14ac:dyDescent="0.3">
      <c r="A3170" t="s">
        <v>3185</v>
      </c>
      <c r="B3170" t="s">
        <v>10</v>
      </c>
      <c r="C3170" t="s">
        <v>11</v>
      </c>
      <c r="D3170">
        <v>49</v>
      </c>
      <c r="E3170" s="1">
        <v>44289</v>
      </c>
      <c r="F3170">
        <v>1.7</v>
      </c>
      <c r="G3170">
        <v>12</v>
      </c>
      <c r="H3170">
        <v>5906.94</v>
      </c>
      <c r="I3170">
        <v>4.5999999999999996</v>
      </c>
    </row>
    <row r="3171" spans="1:9" x14ac:dyDescent="0.3">
      <c r="A3171" t="s">
        <v>3186</v>
      </c>
      <c r="B3171" t="s">
        <v>16</v>
      </c>
      <c r="C3171" t="s">
        <v>11</v>
      </c>
      <c r="D3171">
        <v>50</v>
      </c>
      <c r="E3171" s="1">
        <v>40490</v>
      </c>
      <c r="F3171">
        <v>4.3600000000000003</v>
      </c>
      <c r="G3171">
        <v>1</v>
      </c>
      <c r="H3171">
        <v>6933.67</v>
      </c>
      <c r="I3171">
        <v>15</v>
      </c>
    </row>
    <row r="3172" spans="1:9" x14ac:dyDescent="0.3">
      <c r="A3172" t="s">
        <v>3187</v>
      </c>
      <c r="B3172" t="s">
        <v>16</v>
      </c>
      <c r="C3172" t="s">
        <v>14</v>
      </c>
      <c r="D3172">
        <v>37</v>
      </c>
      <c r="E3172" s="1">
        <v>42571</v>
      </c>
      <c r="F3172">
        <v>4.6399999999999997</v>
      </c>
      <c r="G3172">
        <v>11</v>
      </c>
      <c r="H3172">
        <v>11650.63</v>
      </c>
      <c r="I3172">
        <v>9.3000000000000007</v>
      </c>
    </row>
    <row r="3173" spans="1:9" x14ac:dyDescent="0.3">
      <c r="A3173" t="s">
        <v>3188</v>
      </c>
      <c r="B3173" t="s">
        <v>18</v>
      </c>
      <c r="C3173" t="s">
        <v>11</v>
      </c>
      <c r="D3173">
        <v>51</v>
      </c>
      <c r="E3173" s="1">
        <v>44325</v>
      </c>
      <c r="F3173">
        <v>2.5</v>
      </c>
      <c r="G3173">
        <v>8</v>
      </c>
      <c r="H3173">
        <v>3301.07</v>
      </c>
      <c r="I3173">
        <v>4.5</v>
      </c>
    </row>
    <row r="3174" spans="1:9" x14ac:dyDescent="0.3">
      <c r="A3174" t="s">
        <v>3189</v>
      </c>
      <c r="B3174" t="s">
        <v>16</v>
      </c>
      <c r="C3174" t="s">
        <v>11</v>
      </c>
      <c r="D3174">
        <v>38</v>
      </c>
      <c r="E3174" s="1">
        <v>45656</v>
      </c>
      <c r="F3174">
        <v>1.55</v>
      </c>
      <c r="G3174">
        <v>5</v>
      </c>
      <c r="H3174">
        <v>14714.41</v>
      </c>
      <c r="I3174">
        <v>0.8</v>
      </c>
    </row>
    <row r="3175" spans="1:9" x14ac:dyDescent="0.3">
      <c r="A3175" t="s">
        <v>3190</v>
      </c>
      <c r="B3175" t="s">
        <v>18</v>
      </c>
      <c r="C3175" t="s">
        <v>11</v>
      </c>
      <c r="D3175">
        <v>28</v>
      </c>
      <c r="E3175" s="1">
        <v>40889</v>
      </c>
      <c r="F3175">
        <v>2.73</v>
      </c>
      <c r="G3175">
        <v>0</v>
      </c>
      <c r="H3175">
        <v>5527.18</v>
      </c>
      <c r="I3175">
        <v>13.9</v>
      </c>
    </row>
    <row r="3176" spans="1:9" x14ac:dyDescent="0.3">
      <c r="A3176" t="s">
        <v>3191</v>
      </c>
      <c r="B3176" t="s">
        <v>24</v>
      </c>
      <c r="C3176" t="s">
        <v>14</v>
      </c>
      <c r="D3176">
        <v>24</v>
      </c>
      <c r="E3176" s="1">
        <v>44952</v>
      </c>
      <c r="F3176">
        <v>3.72</v>
      </c>
      <c r="G3176">
        <v>6</v>
      </c>
      <c r="H3176">
        <v>3904.98</v>
      </c>
      <c r="I3176">
        <v>2.8</v>
      </c>
    </row>
    <row r="3177" spans="1:9" x14ac:dyDescent="0.3">
      <c r="A3177" t="s">
        <v>3192</v>
      </c>
      <c r="B3177" t="s">
        <v>24</v>
      </c>
      <c r="C3177" t="s">
        <v>11</v>
      </c>
      <c r="D3177">
        <v>59</v>
      </c>
      <c r="E3177" s="1">
        <v>45541</v>
      </c>
      <c r="F3177">
        <v>2.29</v>
      </c>
      <c r="G3177">
        <v>12</v>
      </c>
      <c r="H3177">
        <v>6887.86</v>
      </c>
      <c r="I3177">
        <v>1.2</v>
      </c>
    </row>
    <row r="3178" spans="1:9" x14ac:dyDescent="0.3">
      <c r="A3178" t="s">
        <v>3193</v>
      </c>
      <c r="B3178" t="s">
        <v>10</v>
      </c>
      <c r="C3178" t="s">
        <v>11</v>
      </c>
      <c r="D3178">
        <v>57</v>
      </c>
      <c r="E3178" s="1">
        <v>42600</v>
      </c>
      <c r="F3178">
        <v>1.87</v>
      </c>
      <c r="G3178">
        <v>9</v>
      </c>
      <c r="H3178">
        <v>10738.09</v>
      </c>
      <c r="I3178">
        <v>9.1999999999999993</v>
      </c>
    </row>
    <row r="3179" spans="1:9" x14ac:dyDescent="0.3">
      <c r="A3179" t="s">
        <v>3194</v>
      </c>
      <c r="B3179" t="s">
        <v>16</v>
      </c>
      <c r="C3179" t="s">
        <v>11</v>
      </c>
      <c r="D3179">
        <v>42</v>
      </c>
      <c r="E3179" s="1">
        <v>41394</v>
      </c>
      <c r="F3179">
        <v>3.63</v>
      </c>
      <c r="G3179">
        <v>8</v>
      </c>
      <c r="H3179">
        <v>12997.15</v>
      </c>
      <c r="I3179">
        <v>12.5</v>
      </c>
    </row>
    <row r="3180" spans="1:9" x14ac:dyDescent="0.3">
      <c r="A3180" t="s">
        <v>3195</v>
      </c>
      <c r="B3180" t="s">
        <v>34</v>
      </c>
      <c r="C3180" t="s">
        <v>14</v>
      </c>
      <c r="D3180">
        <v>50</v>
      </c>
      <c r="E3180" s="1">
        <v>45711</v>
      </c>
      <c r="F3180">
        <v>4.8099999999999996</v>
      </c>
      <c r="G3180">
        <v>6</v>
      </c>
      <c r="H3180">
        <v>3458.92</v>
      </c>
      <c r="I3180">
        <v>0.7</v>
      </c>
    </row>
    <row r="3181" spans="1:9" x14ac:dyDescent="0.3">
      <c r="A3181" t="s">
        <v>3196</v>
      </c>
      <c r="B3181" t="s">
        <v>34</v>
      </c>
      <c r="C3181" t="s">
        <v>14</v>
      </c>
      <c r="D3181">
        <v>30</v>
      </c>
      <c r="E3181" s="1">
        <v>45622</v>
      </c>
      <c r="F3181">
        <v>1.58</v>
      </c>
      <c r="G3181">
        <v>9</v>
      </c>
      <c r="H3181">
        <v>11467.01</v>
      </c>
      <c r="I3181">
        <v>0.9</v>
      </c>
    </row>
    <row r="3182" spans="1:9" x14ac:dyDescent="0.3">
      <c r="A3182" t="s">
        <v>3197</v>
      </c>
      <c r="B3182" t="s">
        <v>16</v>
      </c>
      <c r="C3182" t="s">
        <v>14</v>
      </c>
      <c r="D3182">
        <v>23</v>
      </c>
      <c r="E3182" s="1">
        <v>44376</v>
      </c>
      <c r="F3182">
        <v>3.83</v>
      </c>
      <c r="G3182">
        <v>13</v>
      </c>
      <c r="H3182">
        <v>4792.12</v>
      </c>
      <c r="I3182">
        <v>4.3</v>
      </c>
    </row>
    <row r="3183" spans="1:9" x14ac:dyDescent="0.3">
      <c r="A3183" t="s">
        <v>3198</v>
      </c>
      <c r="B3183" t="s">
        <v>18</v>
      </c>
      <c r="C3183" t="s">
        <v>11</v>
      </c>
      <c r="D3183">
        <v>39</v>
      </c>
      <c r="E3183" s="1">
        <v>42412</v>
      </c>
      <c r="F3183">
        <v>3.7</v>
      </c>
      <c r="G3183">
        <v>1</v>
      </c>
      <c r="H3183">
        <v>5439.76</v>
      </c>
      <c r="I3183">
        <v>9.6999999999999993</v>
      </c>
    </row>
    <row r="3184" spans="1:9" x14ac:dyDescent="0.3">
      <c r="A3184" t="s">
        <v>3199</v>
      </c>
      <c r="B3184" t="s">
        <v>16</v>
      </c>
      <c r="C3184" t="s">
        <v>14</v>
      </c>
      <c r="D3184">
        <v>28</v>
      </c>
      <c r="E3184" s="1">
        <v>43574</v>
      </c>
      <c r="F3184">
        <v>5</v>
      </c>
      <c r="G3184">
        <v>15</v>
      </c>
      <c r="H3184">
        <v>14785.95</v>
      </c>
      <c r="I3184">
        <v>6.5</v>
      </c>
    </row>
    <row r="3185" spans="1:9" x14ac:dyDescent="0.3">
      <c r="A3185" t="s">
        <v>3200</v>
      </c>
      <c r="B3185" t="s">
        <v>13</v>
      </c>
      <c r="C3185" t="s">
        <v>14</v>
      </c>
      <c r="D3185">
        <v>44</v>
      </c>
      <c r="E3185" s="1">
        <v>40275</v>
      </c>
      <c r="F3185">
        <v>3.85</v>
      </c>
      <c r="G3185">
        <v>4</v>
      </c>
      <c r="H3185">
        <v>11959.9</v>
      </c>
      <c r="I3185">
        <v>15.6</v>
      </c>
    </row>
    <row r="3186" spans="1:9" x14ac:dyDescent="0.3">
      <c r="A3186" t="s">
        <v>3201</v>
      </c>
      <c r="B3186" t="s">
        <v>34</v>
      </c>
      <c r="C3186" t="s">
        <v>14</v>
      </c>
      <c r="D3186">
        <v>25</v>
      </c>
      <c r="E3186" s="1">
        <v>45787</v>
      </c>
      <c r="F3186">
        <v>2.23</v>
      </c>
      <c r="G3186">
        <v>2</v>
      </c>
      <c r="H3186">
        <v>12680.67</v>
      </c>
      <c r="I3186">
        <v>0.5</v>
      </c>
    </row>
    <row r="3187" spans="1:9" x14ac:dyDescent="0.3">
      <c r="A3187" t="s">
        <v>3202</v>
      </c>
      <c r="B3187" t="s">
        <v>24</v>
      </c>
      <c r="C3187" t="s">
        <v>14</v>
      </c>
      <c r="D3187">
        <v>46</v>
      </c>
      <c r="E3187" s="1">
        <v>41190</v>
      </c>
      <c r="F3187">
        <v>4.2300000000000004</v>
      </c>
      <c r="G3187">
        <v>10</v>
      </c>
      <c r="H3187">
        <v>4549.3500000000004</v>
      </c>
      <c r="I3187">
        <v>13.1</v>
      </c>
    </row>
    <row r="3188" spans="1:9" x14ac:dyDescent="0.3">
      <c r="A3188" t="s">
        <v>3203</v>
      </c>
      <c r="B3188" t="s">
        <v>10</v>
      </c>
      <c r="C3188" t="s">
        <v>11</v>
      </c>
      <c r="D3188">
        <v>27</v>
      </c>
      <c r="E3188" s="1">
        <v>43812</v>
      </c>
      <c r="F3188">
        <v>2.69</v>
      </c>
      <c r="G3188">
        <v>0</v>
      </c>
      <c r="H3188">
        <v>3433.27</v>
      </c>
      <c r="I3188">
        <v>5.9</v>
      </c>
    </row>
    <row r="3189" spans="1:9" x14ac:dyDescent="0.3">
      <c r="A3189" t="s">
        <v>3204</v>
      </c>
      <c r="B3189" t="s">
        <v>18</v>
      </c>
      <c r="C3189" t="s">
        <v>11</v>
      </c>
      <c r="D3189">
        <v>27</v>
      </c>
      <c r="E3189" s="1">
        <v>42912</v>
      </c>
      <c r="F3189">
        <v>1.65</v>
      </c>
      <c r="G3189">
        <v>7</v>
      </c>
      <c r="H3189">
        <v>9341.4699999999993</v>
      </c>
      <c r="I3189">
        <v>8.4</v>
      </c>
    </row>
    <row r="3190" spans="1:9" x14ac:dyDescent="0.3">
      <c r="A3190" t="s">
        <v>3205</v>
      </c>
      <c r="B3190" t="s">
        <v>34</v>
      </c>
      <c r="C3190" t="s">
        <v>14</v>
      </c>
      <c r="D3190">
        <v>37</v>
      </c>
      <c r="E3190" s="1">
        <v>42635</v>
      </c>
      <c r="F3190">
        <v>3.94</v>
      </c>
      <c r="G3190">
        <v>2</v>
      </c>
      <c r="H3190">
        <v>9010.39</v>
      </c>
      <c r="I3190">
        <v>9.1</v>
      </c>
    </row>
    <row r="3191" spans="1:9" x14ac:dyDescent="0.3">
      <c r="A3191" t="s">
        <v>3206</v>
      </c>
      <c r="B3191" t="s">
        <v>13</v>
      </c>
      <c r="C3191" t="s">
        <v>11</v>
      </c>
      <c r="D3191">
        <v>28</v>
      </c>
      <c r="E3191" s="1">
        <v>40348</v>
      </c>
      <c r="F3191">
        <v>3.97</v>
      </c>
      <c r="G3191">
        <v>7</v>
      </c>
      <c r="H3191">
        <v>9663.65</v>
      </c>
      <c r="I3191">
        <v>15.4</v>
      </c>
    </row>
    <row r="3192" spans="1:9" x14ac:dyDescent="0.3">
      <c r="A3192" t="s">
        <v>3207</v>
      </c>
      <c r="B3192" t="s">
        <v>16</v>
      </c>
      <c r="C3192" t="s">
        <v>14</v>
      </c>
      <c r="D3192">
        <v>41</v>
      </c>
      <c r="E3192" s="1">
        <v>41586</v>
      </c>
      <c r="F3192">
        <v>2.31</v>
      </c>
      <c r="G3192">
        <v>0</v>
      </c>
      <c r="H3192">
        <v>12155.25</v>
      </c>
      <c r="I3192">
        <v>12</v>
      </c>
    </row>
    <row r="3193" spans="1:9" x14ac:dyDescent="0.3">
      <c r="A3193" t="s">
        <v>3208</v>
      </c>
      <c r="B3193" t="s">
        <v>10</v>
      </c>
      <c r="C3193" t="s">
        <v>11</v>
      </c>
      <c r="D3193">
        <v>33</v>
      </c>
      <c r="E3193" s="1">
        <v>43137</v>
      </c>
      <c r="F3193">
        <v>2.19</v>
      </c>
      <c r="G3193">
        <v>13</v>
      </c>
      <c r="H3193">
        <v>3260.71</v>
      </c>
      <c r="I3193">
        <v>7.7</v>
      </c>
    </row>
    <row r="3194" spans="1:9" x14ac:dyDescent="0.3">
      <c r="A3194" t="s">
        <v>3209</v>
      </c>
      <c r="B3194" t="s">
        <v>18</v>
      </c>
      <c r="C3194" t="s">
        <v>14</v>
      </c>
      <c r="D3194">
        <v>22</v>
      </c>
      <c r="E3194" s="1">
        <v>43869</v>
      </c>
      <c r="F3194">
        <v>4.01</v>
      </c>
      <c r="G3194">
        <v>4</v>
      </c>
      <c r="H3194">
        <v>7636</v>
      </c>
      <c r="I3194">
        <v>5.7</v>
      </c>
    </row>
    <row r="3195" spans="1:9" x14ac:dyDescent="0.3">
      <c r="A3195" t="s">
        <v>3210</v>
      </c>
      <c r="B3195" t="s">
        <v>13</v>
      </c>
      <c r="C3195" t="s">
        <v>11</v>
      </c>
      <c r="D3195">
        <v>33</v>
      </c>
      <c r="E3195" s="1">
        <v>42038</v>
      </c>
      <c r="F3195">
        <v>4.55</v>
      </c>
      <c r="G3195">
        <v>13</v>
      </c>
      <c r="H3195">
        <v>14266.7</v>
      </c>
      <c r="I3195">
        <v>10.8</v>
      </c>
    </row>
    <row r="3196" spans="1:9" x14ac:dyDescent="0.3">
      <c r="A3196" t="s">
        <v>3211</v>
      </c>
      <c r="B3196" t="s">
        <v>24</v>
      </c>
      <c r="C3196" t="s">
        <v>11</v>
      </c>
      <c r="D3196">
        <v>47</v>
      </c>
      <c r="E3196" s="1">
        <v>43582</v>
      </c>
      <c r="F3196">
        <v>4.92</v>
      </c>
      <c r="G3196">
        <v>1</v>
      </c>
      <c r="H3196">
        <v>9934.07</v>
      </c>
      <c r="I3196">
        <v>6.5</v>
      </c>
    </row>
    <row r="3197" spans="1:9" x14ac:dyDescent="0.3">
      <c r="A3197" t="s">
        <v>3212</v>
      </c>
      <c r="B3197" t="s">
        <v>13</v>
      </c>
      <c r="C3197" t="s">
        <v>14</v>
      </c>
      <c r="D3197">
        <v>60</v>
      </c>
      <c r="E3197" s="1">
        <v>44950</v>
      </c>
      <c r="F3197">
        <v>2.6</v>
      </c>
      <c r="G3197">
        <v>7</v>
      </c>
      <c r="H3197">
        <v>12994.57</v>
      </c>
      <c r="I3197">
        <v>2.8</v>
      </c>
    </row>
    <row r="3198" spans="1:9" x14ac:dyDescent="0.3">
      <c r="A3198" t="s">
        <v>3213</v>
      </c>
      <c r="B3198" t="s">
        <v>13</v>
      </c>
      <c r="C3198" t="s">
        <v>11</v>
      </c>
      <c r="D3198">
        <v>24</v>
      </c>
      <c r="E3198" s="1">
        <v>40208</v>
      </c>
      <c r="F3198">
        <v>2.33</v>
      </c>
      <c r="G3198">
        <v>5</v>
      </c>
      <c r="H3198">
        <v>12585.76</v>
      </c>
      <c r="I3198">
        <v>15.8</v>
      </c>
    </row>
    <row r="3199" spans="1:9" x14ac:dyDescent="0.3">
      <c r="A3199" t="s">
        <v>3214</v>
      </c>
      <c r="B3199" t="s">
        <v>18</v>
      </c>
      <c r="C3199" t="s">
        <v>14</v>
      </c>
      <c r="D3199">
        <v>24</v>
      </c>
      <c r="E3199" s="1">
        <v>40270</v>
      </c>
      <c r="F3199">
        <v>4.82</v>
      </c>
      <c r="G3199">
        <v>9</v>
      </c>
      <c r="H3199">
        <v>5194.49</v>
      </c>
      <c r="I3199">
        <v>15.6</v>
      </c>
    </row>
    <row r="3200" spans="1:9" x14ac:dyDescent="0.3">
      <c r="A3200" t="s">
        <v>3215</v>
      </c>
      <c r="B3200" t="s">
        <v>24</v>
      </c>
      <c r="C3200" t="s">
        <v>11</v>
      </c>
      <c r="D3200">
        <v>56</v>
      </c>
      <c r="E3200" s="1">
        <v>45390</v>
      </c>
      <c r="F3200">
        <v>4</v>
      </c>
      <c r="G3200">
        <v>10</v>
      </c>
      <c r="H3200">
        <v>6749.34</v>
      </c>
      <c r="I3200">
        <v>1.6</v>
      </c>
    </row>
    <row r="3201" spans="1:9" x14ac:dyDescent="0.3">
      <c r="A3201" t="s">
        <v>3216</v>
      </c>
      <c r="B3201" t="s">
        <v>16</v>
      </c>
      <c r="C3201" t="s">
        <v>14</v>
      </c>
      <c r="D3201">
        <v>60</v>
      </c>
      <c r="E3201" s="1">
        <v>45618</v>
      </c>
      <c r="F3201">
        <v>4.71</v>
      </c>
      <c r="G3201">
        <v>2</v>
      </c>
      <c r="H3201">
        <v>8733.52</v>
      </c>
      <c r="I3201">
        <v>0.9</v>
      </c>
    </row>
    <row r="3202" spans="1:9" x14ac:dyDescent="0.3">
      <c r="A3202" t="s">
        <v>3217</v>
      </c>
      <c r="B3202" t="s">
        <v>18</v>
      </c>
      <c r="C3202" t="s">
        <v>14</v>
      </c>
      <c r="D3202">
        <v>25</v>
      </c>
      <c r="E3202" s="1">
        <v>41418</v>
      </c>
      <c r="F3202">
        <v>4.43</v>
      </c>
      <c r="G3202">
        <v>15</v>
      </c>
      <c r="H3202">
        <v>6057.53</v>
      </c>
      <c r="I3202">
        <v>12.4</v>
      </c>
    </row>
    <row r="3203" spans="1:9" x14ac:dyDescent="0.3">
      <c r="A3203" t="s">
        <v>3218</v>
      </c>
      <c r="B3203" t="s">
        <v>18</v>
      </c>
      <c r="C3203" t="s">
        <v>11</v>
      </c>
      <c r="D3203">
        <v>24</v>
      </c>
      <c r="E3203" s="1">
        <v>44964</v>
      </c>
      <c r="F3203">
        <v>4.76</v>
      </c>
      <c r="G3203">
        <v>9</v>
      </c>
      <c r="H3203">
        <v>4706.58</v>
      </c>
      <c r="I3203">
        <v>2.7</v>
      </c>
    </row>
    <row r="3204" spans="1:9" x14ac:dyDescent="0.3">
      <c r="A3204" t="s">
        <v>3219</v>
      </c>
      <c r="B3204" t="s">
        <v>13</v>
      </c>
      <c r="C3204" t="s">
        <v>11</v>
      </c>
      <c r="D3204">
        <v>26</v>
      </c>
      <c r="E3204" s="1">
        <v>44399</v>
      </c>
      <c r="F3204">
        <v>4.1399999999999997</v>
      </c>
      <c r="G3204">
        <v>8</v>
      </c>
      <c r="H3204">
        <v>9091.91</v>
      </c>
      <c r="I3204">
        <v>4.3</v>
      </c>
    </row>
    <row r="3205" spans="1:9" x14ac:dyDescent="0.3">
      <c r="A3205" t="s">
        <v>3220</v>
      </c>
      <c r="B3205" t="s">
        <v>13</v>
      </c>
      <c r="C3205" t="s">
        <v>14</v>
      </c>
      <c r="D3205">
        <v>31</v>
      </c>
      <c r="E3205" s="1">
        <v>45600</v>
      </c>
      <c r="F3205">
        <v>1.81</v>
      </c>
      <c r="G3205">
        <v>10</v>
      </c>
      <c r="H3205">
        <v>8361.9</v>
      </c>
      <c r="I3205">
        <v>1</v>
      </c>
    </row>
    <row r="3206" spans="1:9" x14ac:dyDescent="0.3">
      <c r="A3206" t="s">
        <v>3221</v>
      </c>
      <c r="B3206" t="s">
        <v>24</v>
      </c>
      <c r="C3206" t="s">
        <v>11</v>
      </c>
      <c r="D3206">
        <v>43</v>
      </c>
      <c r="E3206" s="1">
        <v>42743</v>
      </c>
      <c r="F3206">
        <v>3.64</v>
      </c>
      <c r="G3206">
        <v>3</v>
      </c>
      <c r="H3206">
        <v>12662.1</v>
      </c>
      <c r="I3206">
        <v>8.8000000000000007</v>
      </c>
    </row>
    <row r="3207" spans="1:9" x14ac:dyDescent="0.3">
      <c r="A3207" t="s">
        <v>3222</v>
      </c>
      <c r="B3207" t="s">
        <v>18</v>
      </c>
      <c r="C3207" t="s">
        <v>14</v>
      </c>
      <c r="D3207">
        <v>59</v>
      </c>
      <c r="E3207" s="1">
        <v>44488</v>
      </c>
      <c r="F3207">
        <v>1.79</v>
      </c>
      <c r="G3207">
        <v>1</v>
      </c>
      <c r="H3207">
        <v>6084.11</v>
      </c>
      <c r="I3207">
        <v>4</v>
      </c>
    </row>
    <row r="3208" spans="1:9" x14ac:dyDescent="0.3">
      <c r="A3208" t="s">
        <v>3223</v>
      </c>
      <c r="B3208" t="s">
        <v>13</v>
      </c>
      <c r="C3208" t="s">
        <v>14</v>
      </c>
      <c r="D3208">
        <v>60</v>
      </c>
      <c r="E3208" s="1">
        <v>41601</v>
      </c>
      <c r="F3208">
        <v>3.93</v>
      </c>
      <c r="G3208">
        <v>12</v>
      </c>
      <c r="H3208">
        <v>6419.79</v>
      </c>
      <c r="I3208">
        <v>11.9</v>
      </c>
    </row>
    <row r="3209" spans="1:9" x14ac:dyDescent="0.3">
      <c r="A3209" t="s">
        <v>3224</v>
      </c>
      <c r="B3209" t="s">
        <v>34</v>
      </c>
      <c r="C3209" t="s">
        <v>11</v>
      </c>
      <c r="D3209">
        <v>41</v>
      </c>
      <c r="E3209" s="1">
        <v>45763</v>
      </c>
      <c r="F3209">
        <v>1.63</v>
      </c>
      <c r="G3209">
        <v>8</v>
      </c>
      <c r="H3209">
        <v>14165.82</v>
      </c>
      <c r="I3209">
        <v>0.5</v>
      </c>
    </row>
    <row r="3210" spans="1:9" x14ac:dyDescent="0.3">
      <c r="A3210" t="s">
        <v>3225</v>
      </c>
      <c r="B3210" t="s">
        <v>34</v>
      </c>
      <c r="C3210" t="s">
        <v>14</v>
      </c>
      <c r="D3210">
        <v>42</v>
      </c>
      <c r="E3210" s="1">
        <v>41337</v>
      </c>
      <c r="F3210">
        <v>2.08</v>
      </c>
      <c r="G3210">
        <v>0</v>
      </c>
      <c r="H3210">
        <v>11313.87</v>
      </c>
      <c r="I3210">
        <v>12.7</v>
      </c>
    </row>
    <row r="3211" spans="1:9" x14ac:dyDescent="0.3">
      <c r="A3211" t="s">
        <v>3226</v>
      </c>
      <c r="B3211" t="s">
        <v>10</v>
      </c>
      <c r="C3211" t="s">
        <v>11</v>
      </c>
      <c r="D3211">
        <v>46</v>
      </c>
      <c r="E3211" s="1">
        <v>43902</v>
      </c>
      <c r="F3211">
        <v>2.4700000000000002</v>
      </c>
      <c r="G3211">
        <v>6</v>
      </c>
      <c r="H3211">
        <v>7099.18</v>
      </c>
      <c r="I3211">
        <v>5.6</v>
      </c>
    </row>
    <row r="3212" spans="1:9" x14ac:dyDescent="0.3">
      <c r="A3212" t="s">
        <v>3227</v>
      </c>
      <c r="B3212" t="s">
        <v>16</v>
      </c>
      <c r="C3212" t="s">
        <v>11</v>
      </c>
      <c r="D3212">
        <v>37</v>
      </c>
      <c r="E3212" s="1">
        <v>45936</v>
      </c>
      <c r="F3212">
        <v>2.0699999999999998</v>
      </c>
      <c r="G3212">
        <v>11</v>
      </c>
      <c r="H3212">
        <v>4700.4799999999996</v>
      </c>
      <c r="I3212">
        <v>0.1</v>
      </c>
    </row>
    <row r="3213" spans="1:9" x14ac:dyDescent="0.3">
      <c r="A3213" t="s">
        <v>3228</v>
      </c>
      <c r="B3213" t="s">
        <v>18</v>
      </c>
      <c r="C3213" t="s">
        <v>14</v>
      </c>
      <c r="D3213">
        <v>43</v>
      </c>
      <c r="E3213" s="1">
        <v>44820</v>
      </c>
      <c r="F3213">
        <v>2.5299999999999998</v>
      </c>
      <c r="G3213">
        <v>11</v>
      </c>
      <c r="H3213">
        <v>10148.51</v>
      </c>
      <c r="I3213">
        <v>3.1</v>
      </c>
    </row>
    <row r="3214" spans="1:9" x14ac:dyDescent="0.3">
      <c r="A3214" t="s">
        <v>3229</v>
      </c>
      <c r="B3214" t="s">
        <v>13</v>
      </c>
      <c r="C3214" t="s">
        <v>14</v>
      </c>
      <c r="D3214">
        <v>44</v>
      </c>
      <c r="E3214" s="1">
        <v>40351</v>
      </c>
      <c r="F3214">
        <v>2.57</v>
      </c>
      <c r="G3214">
        <v>5</v>
      </c>
      <c r="H3214">
        <v>9093.76</v>
      </c>
      <c r="I3214">
        <v>15.4</v>
      </c>
    </row>
    <row r="3215" spans="1:9" x14ac:dyDescent="0.3">
      <c r="A3215" t="s">
        <v>3230</v>
      </c>
      <c r="B3215" t="s">
        <v>34</v>
      </c>
      <c r="C3215" t="s">
        <v>11</v>
      </c>
      <c r="D3215">
        <v>48</v>
      </c>
      <c r="E3215" s="1">
        <v>43632</v>
      </c>
      <c r="F3215">
        <v>3.92</v>
      </c>
      <c r="G3215">
        <v>10</v>
      </c>
      <c r="H3215">
        <v>3896.81</v>
      </c>
      <c r="I3215">
        <v>6.4</v>
      </c>
    </row>
    <row r="3216" spans="1:9" x14ac:dyDescent="0.3">
      <c r="A3216" t="s">
        <v>3231</v>
      </c>
      <c r="B3216" t="s">
        <v>34</v>
      </c>
      <c r="C3216" t="s">
        <v>14</v>
      </c>
      <c r="D3216">
        <v>56</v>
      </c>
      <c r="E3216" s="1">
        <v>40611</v>
      </c>
      <c r="F3216">
        <v>3.52</v>
      </c>
      <c r="G3216">
        <v>11</v>
      </c>
      <c r="H3216">
        <v>11237.3</v>
      </c>
      <c r="I3216">
        <v>14.7</v>
      </c>
    </row>
    <row r="3217" spans="1:9" x14ac:dyDescent="0.3">
      <c r="A3217" t="s">
        <v>3232</v>
      </c>
      <c r="B3217" t="s">
        <v>13</v>
      </c>
      <c r="C3217" t="s">
        <v>11</v>
      </c>
      <c r="D3217">
        <v>55</v>
      </c>
      <c r="E3217" s="1">
        <v>45550</v>
      </c>
      <c r="F3217">
        <v>2.35</v>
      </c>
      <c r="G3217">
        <v>15</v>
      </c>
      <c r="H3217">
        <v>11071.95</v>
      </c>
      <c r="I3217">
        <v>1.1000000000000001</v>
      </c>
    </row>
    <row r="3218" spans="1:9" x14ac:dyDescent="0.3">
      <c r="A3218" t="s">
        <v>3233</v>
      </c>
      <c r="B3218" t="s">
        <v>16</v>
      </c>
      <c r="C3218" t="s">
        <v>14</v>
      </c>
      <c r="D3218">
        <v>58</v>
      </c>
      <c r="E3218" s="1">
        <v>41798</v>
      </c>
      <c r="F3218">
        <v>2.88</v>
      </c>
      <c r="G3218">
        <v>10</v>
      </c>
      <c r="H3218">
        <v>7782.6</v>
      </c>
      <c r="I3218">
        <v>11.4</v>
      </c>
    </row>
    <row r="3219" spans="1:9" x14ac:dyDescent="0.3">
      <c r="A3219" t="s">
        <v>3234</v>
      </c>
      <c r="B3219" t="s">
        <v>34</v>
      </c>
      <c r="C3219" t="s">
        <v>14</v>
      </c>
      <c r="D3219">
        <v>45</v>
      </c>
      <c r="E3219" s="1">
        <v>43475</v>
      </c>
      <c r="F3219">
        <v>2.17</v>
      </c>
      <c r="G3219">
        <v>10</v>
      </c>
      <c r="H3219">
        <v>14740.83</v>
      </c>
      <c r="I3219">
        <v>6.8</v>
      </c>
    </row>
    <row r="3220" spans="1:9" x14ac:dyDescent="0.3">
      <c r="A3220" t="s">
        <v>3235</v>
      </c>
      <c r="B3220" t="s">
        <v>24</v>
      </c>
      <c r="C3220" t="s">
        <v>14</v>
      </c>
      <c r="D3220">
        <v>59</v>
      </c>
      <c r="E3220" s="1">
        <v>44144</v>
      </c>
      <c r="F3220">
        <v>2.0499999999999998</v>
      </c>
      <c r="G3220">
        <v>3</v>
      </c>
      <c r="H3220">
        <v>14481.49</v>
      </c>
      <c r="I3220">
        <v>5</v>
      </c>
    </row>
    <row r="3221" spans="1:9" x14ac:dyDescent="0.3">
      <c r="A3221" t="s">
        <v>3236</v>
      </c>
      <c r="B3221" t="s">
        <v>16</v>
      </c>
      <c r="C3221" t="s">
        <v>14</v>
      </c>
      <c r="D3221">
        <v>55</v>
      </c>
      <c r="E3221" s="1">
        <v>42627</v>
      </c>
      <c r="F3221">
        <v>2.44</v>
      </c>
      <c r="G3221">
        <v>8</v>
      </c>
      <c r="H3221">
        <v>11849.47</v>
      </c>
      <c r="I3221">
        <v>9.1</v>
      </c>
    </row>
    <row r="3222" spans="1:9" x14ac:dyDescent="0.3">
      <c r="A3222" t="s">
        <v>3237</v>
      </c>
      <c r="B3222" t="s">
        <v>18</v>
      </c>
      <c r="C3222" t="s">
        <v>11</v>
      </c>
      <c r="D3222">
        <v>47</v>
      </c>
      <c r="E3222" s="1">
        <v>40326</v>
      </c>
      <c r="F3222">
        <v>2.54</v>
      </c>
      <c r="G3222">
        <v>12</v>
      </c>
      <c r="H3222">
        <v>10855.17</v>
      </c>
      <c r="I3222">
        <v>15.4</v>
      </c>
    </row>
    <row r="3223" spans="1:9" x14ac:dyDescent="0.3">
      <c r="A3223" t="s">
        <v>3238</v>
      </c>
      <c r="B3223" t="s">
        <v>18</v>
      </c>
      <c r="C3223" t="s">
        <v>11</v>
      </c>
      <c r="D3223">
        <v>31</v>
      </c>
      <c r="E3223" s="1">
        <v>41339</v>
      </c>
      <c r="F3223">
        <v>3.09</v>
      </c>
      <c r="G3223">
        <v>15</v>
      </c>
      <c r="H3223">
        <v>7713.75</v>
      </c>
      <c r="I3223">
        <v>12.7</v>
      </c>
    </row>
    <row r="3224" spans="1:9" x14ac:dyDescent="0.3">
      <c r="A3224" t="s">
        <v>3239</v>
      </c>
      <c r="B3224" t="s">
        <v>16</v>
      </c>
      <c r="C3224" t="s">
        <v>11</v>
      </c>
      <c r="D3224">
        <v>50</v>
      </c>
      <c r="E3224" s="1">
        <v>40466</v>
      </c>
      <c r="F3224">
        <v>4.45</v>
      </c>
      <c r="G3224">
        <v>14</v>
      </c>
      <c r="H3224">
        <v>12819.57</v>
      </c>
      <c r="I3224">
        <v>15.1</v>
      </c>
    </row>
    <row r="3225" spans="1:9" x14ac:dyDescent="0.3">
      <c r="A3225" t="s">
        <v>3240</v>
      </c>
      <c r="B3225" t="s">
        <v>24</v>
      </c>
      <c r="C3225" t="s">
        <v>14</v>
      </c>
      <c r="D3225">
        <v>41</v>
      </c>
      <c r="E3225" s="1">
        <v>45146</v>
      </c>
      <c r="F3225">
        <v>3.68</v>
      </c>
      <c r="G3225">
        <v>15</v>
      </c>
      <c r="H3225">
        <v>5956.23</v>
      </c>
      <c r="I3225">
        <v>2.2000000000000002</v>
      </c>
    </row>
    <row r="3226" spans="1:9" x14ac:dyDescent="0.3">
      <c r="A3226" t="s">
        <v>3241</v>
      </c>
      <c r="B3226" t="s">
        <v>13</v>
      </c>
      <c r="C3226" t="s">
        <v>14</v>
      </c>
      <c r="D3226">
        <v>55</v>
      </c>
      <c r="E3226" s="1">
        <v>45531</v>
      </c>
      <c r="F3226">
        <v>1.55</v>
      </c>
      <c r="G3226">
        <v>9</v>
      </c>
      <c r="H3226">
        <v>11766.27</v>
      </c>
      <c r="I3226">
        <v>1.2</v>
      </c>
    </row>
    <row r="3227" spans="1:9" x14ac:dyDescent="0.3">
      <c r="A3227" t="s">
        <v>3242</v>
      </c>
      <c r="B3227" t="s">
        <v>24</v>
      </c>
      <c r="C3227" t="s">
        <v>11</v>
      </c>
      <c r="D3227">
        <v>38</v>
      </c>
      <c r="E3227" s="1">
        <v>45053</v>
      </c>
      <c r="F3227">
        <v>2.11</v>
      </c>
      <c r="G3227">
        <v>3</v>
      </c>
      <c r="H3227">
        <v>5965.43</v>
      </c>
      <c r="I3227">
        <v>2.5</v>
      </c>
    </row>
    <row r="3228" spans="1:9" x14ac:dyDescent="0.3">
      <c r="A3228" t="s">
        <v>3243</v>
      </c>
      <c r="B3228" t="s">
        <v>13</v>
      </c>
      <c r="C3228" t="s">
        <v>11</v>
      </c>
      <c r="D3228">
        <v>29</v>
      </c>
      <c r="E3228" s="1">
        <v>43566</v>
      </c>
      <c r="F3228">
        <v>2.61</v>
      </c>
      <c r="G3228">
        <v>8</v>
      </c>
      <c r="H3228">
        <v>10629.83</v>
      </c>
      <c r="I3228">
        <v>6.6</v>
      </c>
    </row>
    <row r="3229" spans="1:9" x14ac:dyDescent="0.3">
      <c r="A3229" t="s">
        <v>3244</v>
      </c>
      <c r="B3229" t="s">
        <v>34</v>
      </c>
      <c r="C3229" t="s">
        <v>14</v>
      </c>
      <c r="D3229">
        <v>54</v>
      </c>
      <c r="E3229" s="1">
        <v>43274</v>
      </c>
      <c r="F3229">
        <v>3.27</v>
      </c>
      <c r="G3229">
        <v>11</v>
      </c>
      <c r="H3229">
        <v>7051.27</v>
      </c>
      <c r="I3229">
        <v>7.4</v>
      </c>
    </row>
    <row r="3230" spans="1:9" x14ac:dyDescent="0.3">
      <c r="A3230" t="s">
        <v>3245</v>
      </c>
      <c r="B3230" t="s">
        <v>10</v>
      </c>
      <c r="C3230" t="s">
        <v>11</v>
      </c>
      <c r="D3230">
        <v>60</v>
      </c>
      <c r="E3230" s="1">
        <v>45861</v>
      </c>
      <c r="F3230">
        <v>3.21</v>
      </c>
      <c r="G3230">
        <v>0</v>
      </c>
      <c r="H3230">
        <v>14012.99</v>
      </c>
      <c r="I3230">
        <v>0.3</v>
      </c>
    </row>
    <row r="3231" spans="1:9" x14ac:dyDescent="0.3">
      <c r="A3231" t="s">
        <v>3246</v>
      </c>
      <c r="B3231" t="s">
        <v>34</v>
      </c>
      <c r="C3231" t="s">
        <v>11</v>
      </c>
      <c r="D3231">
        <v>26</v>
      </c>
      <c r="E3231" s="1">
        <v>43573</v>
      </c>
      <c r="F3231">
        <v>1.54</v>
      </c>
      <c r="G3231">
        <v>6</v>
      </c>
      <c r="H3231">
        <v>14687.72</v>
      </c>
      <c r="I3231">
        <v>6.5</v>
      </c>
    </row>
    <row r="3232" spans="1:9" x14ac:dyDescent="0.3">
      <c r="A3232" t="s">
        <v>3247</v>
      </c>
      <c r="B3232" t="s">
        <v>18</v>
      </c>
      <c r="C3232" t="s">
        <v>14</v>
      </c>
      <c r="D3232">
        <v>56</v>
      </c>
      <c r="E3232" s="1">
        <v>43943</v>
      </c>
      <c r="F3232">
        <v>4.3099999999999996</v>
      </c>
      <c r="G3232">
        <v>15</v>
      </c>
      <c r="H3232">
        <v>3170.8</v>
      </c>
      <c r="I3232">
        <v>5.5</v>
      </c>
    </row>
    <row r="3233" spans="1:9" x14ac:dyDescent="0.3">
      <c r="A3233" t="s">
        <v>3248</v>
      </c>
      <c r="B3233" t="s">
        <v>13</v>
      </c>
      <c r="C3233" t="s">
        <v>11</v>
      </c>
      <c r="D3233">
        <v>49</v>
      </c>
      <c r="E3233" s="1">
        <v>40330</v>
      </c>
      <c r="F3233">
        <v>2.85</v>
      </c>
      <c r="G3233">
        <v>13</v>
      </c>
      <c r="H3233">
        <v>7944.66</v>
      </c>
      <c r="I3233">
        <v>15.4</v>
      </c>
    </row>
    <row r="3234" spans="1:9" x14ac:dyDescent="0.3">
      <c r="A3234" t="s">
        <v>3249</v>
      </c>
      <c r="B3234" t="s">
        <v>10</v>
      </c>
      <c r="C3234" t="s">
        <v>14</v>
      </c>
      <c r="D3234">
        <v>45</v>
      </c>
      <c r="E3234" s="1">
        <v>41689</v>
      </c>
      <c r="F3234">
        <v>3.89</v>
      </c>
      <c r="G3234">
        <v>10</v>
      </c>
      <c r="H3234">
        <v>6058.42</v>
      </c>
      <c r="I3234">
        <v>11.7</v>
      </c>
    </row>
    <row r="3235" spans="1:9" x14ac:dyDescent="0.3">
      <c r="A3235" t="s">
        <v>3250</v>
      </c>
      <c r="B3235" t="s">
        <v>18</v>
      </c>
      <c r="C3235" t="s">
        <v>11</v>
      </c>
      <c r="D3235">
        <v>59</v>
      </c>
      <c r="E3235" s="1">
        <v>43476</v>
      </c>
      <c r="F3235">
        <v>2.5099999999999998</v>
      </c>
      <c r="G3235">
        <v>13</v>
      </c>
      <c r="H3235">
        <v>14043.12</v>
      </c>
      <c r="I3235">
        <v>6.8</v>
      </c>
    </row>
    <row r="3236" spans="1:9" x14ac:dyDescent="0.3">
      <c r="A3236" t="s">
        <v>3251</v>
      </c>
      <c r="B3236" t="s">
        <v>18</v>
      </c>
      <c r="C3236" t="s">
        <v>11</v>
      </c>
      <c r="D3236">
        <v>57</v>
      </c>
      <c r="E3236" s="1">
        <v>41751</v>
      </c>
      <c r="F3236">
        <v>4.2300000000000004</v>
      </c>
      <c r="G3236">
        <v>4</v>
      </c>
      <c r="H3236">
        <v>13136.66</v>
      </c>
      <c r="I3236">
        <v>11.5</v>
      </c>
    </row>
    <row r="3237" spans="1:9" x14ac:dyDescent="0.3">
      <c r="A3237" t="s">
        <v>3252</v>
      </c>
      <c r="B3237" t="s">
        <v>34</v>
      </c>
      <c r="C3237" t="s">
        <v>11</v>
      </c>
      <c r="D3237">
        <v>47</v>
      </c>
      <c r="E3237" s="1">
        <v>44902</v>
      </c>
      <c r="F3237">
        <v>3.79</v>
      </c>
      <c r="G3237">
        <v>11</v>
      </c>
      <c r="H3237">
        <v>5288.39</v>
      </c>
      <c r="I3237">
        <v>2.9</v>
      </c>
    </row>
    <row r="3238" spans="1:9" x14ac:dyDescent="0.3">
      <c r="A3238" t="s">
        <v>3253</v>
      </c>
      <c r="B3238" t="s">
        <v>18</v>
      </c>
      <c r="C3238" t="s">
        <v>14</v>
      </c>
      <c r="D3238">
        <v>31</v>
      </c>
      <c r="E3238" s="1">
        <v>43585</v>
      </c>
      <c r="F3238">
        <v>1.62</v>
      </c>
      <c r="G3238">
        <v>3</v>
      </c>
      <c r="H3238">
        <v>8760.7000000000007</v>
      </c>
      <c r="I3238">
        <v>6.5</v>
      </c>
    </row>
    <row r="3239" spans="1:9" x14ac:dyDescent="0.3">
      <c r="A3239" t="s">
        <v>3254</v>
      </c>
      <c r="B3239" t="s">
        <v>18</v>
      </c>
      <c r="C3239" t="s">
        <v>11</v>
      </c>
      <c r="D3239">
        <v>50</v>
      </c>
      <c r="E3239" s="1">
        <v>40818</v>
      </c>
      <c r="F3239">
        <v>3.36</v>
      </c>
      <c r="G3239">
        <v>12</v>
      </c>
      <c r="H3239">
        <v>9039.4699999999993</v>
      </c>
      <c r="I3239">
        <v>14.1</v>
      </c>
    </row>
    <row r="3240" spans="1:9" x14ac:dyDescent="0.3">
      <c r="A3240" t="s">
        <v>3255</v>
      </c>
      <c r="B3240" t="s">
        <v>18</v>
      </c>
      <c r="C3240" t="s">
        <v>14</v>
      </c>
      <c r="D3240">
        <v>46</v>
      </c>
      <c r="E3240" s="1">
        <v>45104</v>
      </c>
      <c r="F3240">
        <v>4.6500000000000004</v>
      </c>
      <c r="G3240">
        <v>15</v>
      </c>
      <c r="H3240">
        <v>3583.49</v>
      </c>
      <c r="I3240">
        <v>2.4</v>
      </c>
    </row>
    <row r="3241" spans="1:9" x14ac:dyDescent="0.3">
      <c r="A3241" t="s">
        <v>3256</v>
      </c>
      <c r="B3241" t="s">
        <v>18</v>
      </c>
      <c r="C3241" t="s">
        <v>11</v>
      </c>
      <c r="D3241">
        <v>25</v>
      </c>
      <c r="E3241" s="1">
        <v>43737</v>
      </c>
      <c r="F3241">
        <v>2.85</v>
      </c>
      <c r="G3241">
        <v>7</v>
      </c>
      <c r="H3241">
        <v>11329.45</v>
      </c>
      <c r="I3241">
        <v>6.1</v>
      </c>
    </row>
    <row r="3242" spans="1:9" x14ac:dyDescent="0.3">
      <c r="A3242" t="s">
        <v>3257</v>
      </c>
      <c r="B3242" t="s">
        <v>16</v>
      </c>
      <c r="C3242" t="s">
        <v>14</v>
      </c>
      <c r="D3242">
        <v>31</v>
      </c>
      <c r="E3242" s="1">
        <v>43233</v>
      </c>
      <c r="F3242">
        <v>3.97</v>
      </c>
      <c r="G3242">
        <v>1</v>
      </c>
      <c r="H3242">
        <v>7249.35</v>
      </c>
      <c r="I3242">
        <v>7.5</v>
      </c>
    </row>
    <row r="3243" spans="1:9" x14ac:dyDescent="0.3">
      <c r="A3243" t="s">
        <v>3258</v>
      </c>
      <c r="B3243" t="s">
        <v>16</v>
      </c>
      <c r="C3243" t="s">
        <v>11</v>
      </c>
      <c r="D3243">
        <v>25</v>
      </c>
      <c r="E3243" s="1">
        <v>45424</v>
      </c>
      <c r="F3243">
        <v>2.94</v>
      </c>
      <c r="G3243">
        <v>4</v>
      </c>
      <c r="H3243">
        <v>11765.25</v>
      </c>
      <c r="I3243">
        <v>1.5</v>
      </c>
    </row>
    <row r="3244" spans="1:9" x14ac:dyDescent="0.3">
      <c r="A3244" t="s">
        <v>3259</v>
      </c>
      <c r="B3244" t="s">
        <v>18</v>
      </c>
      <c r="C3244" t="s">
        <v>11</v>
      </c>
      <c r="D3244">
        <v>58</v>
      </c>
      <c r="E3244" s="1">
        <v>42157</v>
      </c>
      <c r="F3244">
        <v>2.16</v>
      </c>
      <c r="G3244">
        <v>0</v>
      </c>
      <c r="H3244">
        <v>13056.72</v>
      </c>
      <c r="I3244">
        <v>10.4</v>
      </c>
    </row>
    <row r="3245" spans="1:9" x14ac:dyDescent="0.3">
      <c r="A3245" t="s">
        <v>3260</v>
      </c>
      <c r="B3245" t="s">
        <v>34</v>
      </c>
      <c r="C3245" t="s">
        <v>11</v>
      </c>
      <c r="D3245">
        <v>46</v>
      </c>
      <c r="E3245" s="1">
        <v>44092</v>
      </c>
      <c r="F3245">
        <v>1.69</v>
      </c>
      <c r="G3245">
        <v>1</v>
      </c>
      <c r="H3245">
        <v>9992.2900000000009</v>
      </c>
      <c r="I3245">
        <v>5.0999999999999996</v>
      </c>
    </row>
    <row r="3246" spans="1:9" x14ac:dyDescent="0.3">
      <c r="A3246" t="s">
        <v>3261</v>
      </c>
      <c r="B3246" t="s">
        <v>24</v>
      </c>
      <c r="C3246" t="s">
        <v>14</v>
      </c>
      <c r="D3246">
        <v>47</v>
      </c>
      <c r="E3246" s="1">
        <v>43674</v>
      </c>
      <c r="F3246">
        <v>2.52</v>
      </c>
      <c r="G3246">
        <v>4</v>
      </c>
      <c r="H3246">
        <v>7011.62</v>
      </c>
      <c r="I3246">
        <v>6.3</v>
      </c>
    </row>
    <row r="3247" spans="1:9" x14ac:dyDescent="0.3">
      <c r="A3247" t="s">
        <v>3262</v>
      </c>
      <c r="B3247" t="s">
        <v>13</v>
      </c>
      <c r="C3247" t="s">
        <v>14</v>
      </c>
      <c r="D3247">
        <v>59</v>
      </c>
      <c r="E3247" s="1">
        <v>41279</v>
      </c>
      <c r="F3247">
        <v>2.4900000000000002</v>
      </c>
      <c r="G3247">
        <v>10</v>
      </c>
      <c r="H3247">
        <v>11226.27</v>
      </c>
      <c r="I3247">
        <v>12.8</v>
      </c>
    </row>
    <row r="3248" spans="1:9" x14ac:dyDescent="0.3">
      <c r="A3248" t="s">
        <v>3263</v>
      </c>
      <c r="B3248" t="s">
        <v>24</v>
      </c>
      <c r="C3248" t="s">
        <v>11</v>
      </c>
      <c r="D3248">
        <v>46</v>
      </c>
      <c r="E3248" s="1">
        <v>41063</v>
      </c>
      <c r="F3248">
        <v>4.6100000000000003</v>
      </c>
      <c r="G3248">
        <v>0</v>
      </c>
      <c r="H3248">
        <v>12203.88</v>
      </c>
      <c r="I3248">
        <v>13.4</v>
      </c>
    </row>
    <row r="3249" spans="1:9" x14ac:dyDescent="0.3">
      <c r="A3249" t="s">
        <v>3264</v>
      </c>
      <c r="B3249" t="s">
        <v>18</v>
      </c>
      <c r="C3249" t="s">
        <v>14</v>
      </c>
      <c r="D3249">
        <v>49</v>
      </c>
      <c r="E3249" s="1">
        <v>45302</v>
      </c>
      <c r="F3249">
        <v>3.43</v>
      </c>
      <c r="G3249">
        <v>9</v>
      </c>
      <c r="H3249">
        <v>6699.23</v>
      </c>
      <c r="I3249">
        <v>1.8</v>
      </c>
    </row>
    <row r="3250" spans="1:9" x14ac:dyDescent="0.3">
      <c r="A3250" t="s">
        <v>3265</v>
      </c>
      <c r="B3250" t="s">
        <v>13</v>
      </c>
      <c r="C3250" t="s">
        <v>14</v>
      </c>
      <c r="D3250">
        <v>38</v>
      </c>
      <c r="E3250" s="1">
        <v>45754</v>
      </c>
      <c r="F3250">
        <v>3.47</v>
      </c>
      <c r="G3250">
        <v>7</v>
      </c>
      <c r="H3250">
        <v>9439.77</v>
      </c>
      <c r="I3250">
        <v>0.6</v>
      </c>
    </row>
    <row r="3251" spans="1:9" x14ac:dyDescent="0.3">
      <c r="A3251" t="s">
        <v>3266</v>
      </c>
      <c r="B3251" t="s">
        <v>18</v>
      </c>
      <c r="C3251" t="s">
        <v>14</v>
      </c>
      <c r="D3251">
        <v>47</v>
      </c>
      <c r="E3251" s="1">
        <v>44936</v>
      </c>
      <c r="F3251">
        <v>1.72</v>
      </c>
      <c r="G3251">
        <v>11</v>
      </c>
      <c r="H3251">
        <v>4288.5600000000004</v>
      </c>
      <c r="I3251">
        <v>2.8</v>
      </c>
    </row>
    <row r="3252" spans="1:9" x14ac:dyDescent="0.3">
      <c r="A3252" t="s">
        <v>3267</v>
      </c>
      <c r="B3252" t="s">
        <v>24</v>
      </c>
      <c r="C3252" t="s">
        <v>11</v>
      </c>
      <c r="D3252">
        <v>36</v>
      </c>
      <c r="E3252" s="1">
        <v>42931</v>
      </c>
      <c r="F3252">
        <v>4.66</v>
      </c>
      <c r="G3252">
        <v>6</v>
      </c>
      <c r="H3252">
        <v>13793.78</v>
      </c>
      <c r="I3252">
        <v>8.3000000000000007</v>
      </c>
    </row>
    <row r="3253" spans="1:9" x14ac:dyDescent="0.3">
      <c r="A3253" t="s">
        <v>3268</v>
      </c>
      <c r="B3253" t="s">
        <v>18</v>
      </c>
      <c r="C3253" t="s">
        <v>14</v>
      </c>
      <c r="D3253">
        <v>49</v>
      </c>
      <c r="E3253" s="1">
        <v>41055</v>
      </c>
      <c r="F3253">
        <v>4.29</v>
      </c>
      <c r="G3253">
        <v>15</v>
      </c>
      <c r="H3253">
        <v>10416.74</v>
      </c>
      <c r="I3253">
        <v>13.4</v>
      </c>
    </row>
    <row r="3254" spans="1:9" x14ac:dyDescent="0.3">
      <c r="A3254" t="s">
        <v>3269</v>
      </c>
      <c r="B3254" t="s">
        <v>13</v>
      </c>
      <c r="C3254" t="s">
        <v>14</v>
      </c>
      <c r="D3254">
        <v>28</v>
      </c>
      <c r="E3254" s="1">
        <v>41021</v>
      </c>
      <c r="F3254">
        <v>1.55</v>
      </c>
      <c r="G3254">
        <v>9</v>
      </c>
      <c r="H3254">
        <v>8960.7900000000009</v>
      </c>
      <c r="I3254">
        <v>13.5</v>
      </c>
    </row>
    <row r="3255" spans="1:9" x14ac:dyDescent="0.3">
      <c r="A3255" t="s">
        <v>3270</v>
      </c>
      <c r="B3255" t="s">
        <v>16</v>
      </c>
      <c r="C3255" t="s">
        <v>14</v>
      </c>
      <c r="D3255">
        <v>58</v>
      </c>
      <c r="E3255" s="1">
        <v>42926</v>
      </c>
      <c r="F3255">
        <v>2.59</v>
      </c>
      <c r="G3255">
        <v>9</v>
      </c>
      <c r="H3255">
        <v>5160.12</v>
      </c>
      <c r="I3255">
        <v>8.3000000000000007</v>
      </c>
    </row>
    <row r="3256" spans="1:9" x14ac:dyDescent="0.3">
      <c r="A3256" t="s">
        <v>3271</v>
      </c>
      <c r="B3256" t="s">
        <v>10</v>
      </c>
      <c r="C3256" t="s">
        <v>11</v>
      </c>
      <c r="D3256">
        <v>51</v>
      </c>
      <c r="E3256" s="1">
        <v>40383</v>
      </c>
      <c r="F3256">
        <v>2.73</v>
      </c>
      <c r="G3256">
        <v>0</v>
      </c>
      <c r="H3256">
        <v>9012.94</v>
      </c>
      <c r="I3256">
        <v>15.3</v>
      </c>
    </row>
    <row r="3257" spans="1:9" x14ac:dyDescent="0.3">
      <c r="A3257" t="s">
        <v>3272</v>
      </c>
      <c r="B3257" t="s">
        <v>18</v>
      </c>
      <c r="C3257" t="s">
        <v>14</v>
      </c>
      <c r="D3257">
        <v>37</v>
      </c>
      <c r="E3257" s="1">
        <v>43709</v>
      </c>
      <c r="F3257">
        <v>4.3899999999999997</v>
      </c>
      <c r="G3257">
        <v>8</v>
      </c>
      <c r="H3257">
        <v>9692.52</v>
      </c>
      <c r="I3257">
        <v>6.2</v>
      </c>
    </row>
    <row r="3258" spans="1:9" x14ac:dyDescent="0.3">
      <c r="A3258" t="s">
        <v>3273</v>
      </c>
      <c r="B3258" t="s">
        <v>13</v>
      </c>
      <c r="C3258" t="s">
        <v>11</v>
      </c>
      <c r="D3258">
        <v>40</v>
      </c>
      <c r="E3258" s="1">
        <v>45224</v>
      </c>
      <c r="F3258">
        <v>2.16</v>
      </c>
      <c r="G3258">
        <v>0</v>
      </c>
      <c r="H3258">
        <v>10920.66</v>
      </c>
      <c r="I3258">
        <v>2</v>
      </c>
    </row>
    <row r="3259" spans="1:9" x14ac:dyDescent="0.3">
      <c r="A3259" t="s">
        <v>3274</v>
      </c>
      <c r="B3259" t="s">
        <v>18</v>
      </c>
      <c r="C3259" t="s">
        <v>14</v>
      </c>
      <c r="D3259">
        <v>24</v>
      </c>
      <c r="E3259" s="1">
        <v>41332</v>
      </c>
      <c r="F3259">
        <v>2.57</v>
      </c>
      <c r="G3259">
        <v>7</v>
      </c>
      <c r="H3259">
        <v>6912.46</v>
      </c>
      <c r="I3259">
        <v>12.7</v>
      </c>
    </row>
    <row r="3260" spans="1:9" x14ac:dyDescent="0.3">
      <c r="A3260" t="s">
        <v>3275</v>
      </c>
      <c r="B3260" t="s">
        <v>16</v>
      </c>
      <c r="C3260" t="s">
        <v>14</v>
      </c>
      <c r="D3260">
        <v>45</v>
      </c>
      <c r="E3260" s="1">
        <v>44197</v>
      </c>
      <c r="F3260">
        <v>1.81</v>
      </c>
      <c r="G3260">
        <v>15</v>
      </c>
      <c r="H3260">
        <v>12974.78</v>
      </c>
      <c r="I3260">
        <v>4.8</v>
      </c>
    </row>
    <row r="3261" spans="1:9" x14ac:dyDescent="0.3">
      <c r="A3261" t="s">
        <v>3276</v>
      </c>
      <c r="B3261" t="s">
        <v>24</v>
      </c>
      <c r="C3261" t="s">
        <v>14</v>
      </c>
      <c r="D3261">
        <v>31</v>
      </c>
      <c r="E3261" s="1">
        <v>41787</v>
      </c>
      <c r="F3261">
        <v>4.6399999999999997</v>
      </c>
      <c r="G3261">
        <v>5</v>
      </c>
      <c r="H3261">
        <v>6505.58</v>
      </c>
      <c r="I3261">
        <v>11.4</v>
      </c>
    </row>
    <row r="3262" spans="1:9" x14ac:dyDescent="0.3">
      <c r="A3262" t="s">
        <v>3277</v>
      </c>
      <c r="B3262" t="s">
        <v>24</v>
      </c>
      <c r="C3262" t="s">
        <v>14</v>
      </c>
      <c r="D3262">
        <v>22</v>
      </c>
      <c r="E3262" s="1">
        <v>40221</v>
      </c>
      <c r="F3262">
        <v>1.53</v>
      </c>
      <c r="G3262">
        <v>7</v>
      </c>
      <c r="H3262">
        <v>8246.77</v>
      </c>
      <c r="I3262">
        <v>15.7</v>
      </c>
    </row>
    <row r="3263" spans="1:9" x14ac:dyDescent="0.3">
      <c r="A3263" t="s">
        <v>3278</v>
      </c>
      <c r="B3263" t="s">
        <v>16</v>
      </c>
      <c r="C3263" t="s">
        <v>14</v>
      </c>
      <c r="D3263">
        <v>27</v>
      </c>
      <c r="E3263" s="1">
        <v>41424</v>
      </c>
      <c r="F3263">
        <v>2.17</v>
      </c>
      <c r="G3263">
        <v>2</v>
      </c>
      <c r="H3263">
        <v>9706.0300000000007</v>
      </c>
      <c r="I3263">
        <v>12.4</v>
      </c>
    </row>
    <row r="3264" spans="1:9" x14ac:dyDescent="0.3">
      <c r="A3264" t="s">
        <v>3279</v>
      </c>
      <c r="B3264" t="s">
        <v>16</v>
      </c>
      <c r="C3264" t="s">
        <v>11</v>
      </c>
      <c r="D3264">
        <v>53</v>
      </c>
      <c r="E3264" s="1">
        <v>42609</v>
      </c>
      <c r="F3264">
        <v>3.17</v>
      </c>
      <c r="G3264">
        <v>15</v>
      </c>
      <c r="H3264">
        <v>14982.14</v>
      </c>
      <c r="I3264">
        <v>9.1999999999999993</v>
      </c>
    </row>
    <row r="3265" spans="1:9" x14ac:dyDescent="0.3">
      <c r="A3265" t="s">
        <v>3280</v>
      </c>
      <c r="B3265" t="s">
        <v>16</v>
      </c>
      <c r="C3265" t="s">
        <v>14</v>
      </c>
      <c r="D3265">
        <v>60</v>
      </c>
      <c r="E3265" s="1">
        <v>43564</v>
      </c>
      <c r="F3265">
        <v>4.7300000000000004</v>
      </c>
      <c r="G3265">
        <v>13</v>
      </c>
      <c r="H3265">
        <v>11540.97</v>
      </c>
      <c r="I3265">
        <v>6.6</v>
      </c>
    </row>
    <row r="3266" spans="1:9" x14ac:dyDescent="0.3">
      <c r="A3266" t="s">
        <v>3281</v>
      </c>
      <c r="B3266" t="s">
        <v>10</v>
      </c>
      <c r="C3266" t="s">
        <v>14</v>
      </c>
      <c r="D3266">
        <v>58</v>
      </c>
      <c r="E3266" s="1">
        <v>44849</v>
      </c>
      <c r="F3266">
        <v>2.17</v>
      </c>
      <c r="G3266">
        <v>1</v>
      </c>
      <c r="H3266">
        <v>10070.35</v>
      </c>
      <c r="I3266">
        <v>3</v>
      </c>
    </row>
    <row r="3267" spans="1:9" x14ac:dyDescent="0.3">
      <c r="A3267" t="s">
        <v>3282</v>
      </c>
      <c r="B3267" t="s">
        <v>10</v>
      </c>
      <c r="C3267" t="s">
        <v>11</v>
      </c>
      <c r="D3267">
        <v>55</v>
      </c>
      <c r="E3267" s="1">
        <v>41201</v>
      </c>
      <c r="F3267">
        <v>3.72</v>
      </c>
      <c r="G3267">
        <v>5</v>
      </c>
      <c r="H3267">
        <v>3963.46</v>
      </c>
      <c r="I3267">
        <v>13</v>
      </c>
    </row>
    <row r="3268" spans="1:9" x14ac:dyDescent="0.3">
      <c r="A3268" t="s">
        <v>3283</v>
      </c>
      <c r="B3268" t="s">
        <v>13</v>
      </c>
      <c r="C3268" t="s">
        <v>11</v>
      </c>
      <c r="D3268">
        <v>51</v>
      </c>
      <c r="E3268" s="1">
        <v>43278</v>
      </c>
      <c r="F3268">
        <v>3.03</v>
      </c>
      <c r="G3268">
        <v>6</v>
      </c>
      <c r="H3268">
        <v>8554.69</v>
      </c>
      <c r="I3268">
        <v>7.4</v>
      </c>
    </row>
    <row r="3269" spans="1:9" x14ac:dyDescent="0.3">
      <c r="A3269" t="s">
        <v>3284</v>
      </c>
      <c r="B3269" t="s">
        <v>10</v>
      </c>
      <c r="C3269" t="s">
        <v>11</v>
      </c>
      <c r="D3269">
        <v>52</v>
      </c>
      <c r="E3269" s="1">
        <v>45026</v>
      </c>
      <c r="F3269">
        <v>4.7</v>
      </c>
      <c r="G3269">
        <v>1</v>
      </c>
      <c r="H3269">
        <v>10707.34</v>
      </c>
      <c r="I3269">
        <v>2.6</v>
      </c>
    </row>
    <row r="3270" spans="1:9" x14ac:dyDescent="0.3">
      <c r="A3270" t="s">
        <v>3285</v>
      </c>
      <c r="B3270" t="s">
        <v>34</v>
      </c>
      <c r="C3270" t="s">
        <v>14</v>
      </c>
      <c r="D3270">
        <v>58</v>
      </c>
      <c r="E3270" s="1">
        <v>43723</v>
      </c>
      <c r="F3270">
        <v>1.61</v>
      </c>
      <c r="G3270">
        <v>1</v>
      </c>
      <c r="H3270">
        <v>9743.36</v>
      </c>
      <c r="I3270">
        <v>6.1</v>
      </c>
    </row>
    <row r="3271" spans="1:9" x14ac:dyDescent="0.3">
      <c r="A3271" t="s">
        <v>3286</v>
      </c>
      <c r="B3271" t="s">
        <v>24</v>
      </c>
      <c r="C3271" t="s">
        <v>11</v>
      </c>
      <c r="D3271">
        <v>40</v>
      </c>
      <c r="E3271" s="1">
        <v>41315</v>
      </c>
      <c r="F3271">
        <v>1.97</v>
      </c>
      <c r="G3271">
        <v>9</v>
      </c>
      <c r="H3271">
        <v>14358.8</v>
      </c>
      <c r="I3271">
        <v>12.7</v>
      </c>
    </row>
    <row r="3272" spans="1:9" x14ac:dyDescent="0.3">
      <c r="A3272" t="s">
        <v>3287</v>
      </c>
      <c r="B3272" t="s">
        <v>13</v>
      </c>
      <c r="C3272" t="s">
        <v>11</v>
      </c>
      <c r="D3272">
        <v>24</v>
      </c>
      <c r="E3272" s="1">
        <v>43042</v>
      </c>
      <c r="F3272">
        <v>4.2300000000000004</v>
      </c>
      <c r="G3272">
        <v>8</v>
      </c>
      <c r="H3272">
        <v>11877.39</v>
      </c>
      <c r="I3272">
        <v>8</v>
      </c>
    </row>
    <row r="3273" spans="1:9" x14ac:dyDescent="0.3">
      <c r="A3273" t="s">
        <v>3288</v>
      </c>
      <c r="B3273" t="s">
        <v>16</v>
      </c>
      <c r="C3273" t="s">
        <v>14</v>
      </c>
      <c r="D3273">
        <v>59</v>
      </c>
      <c r="E3273" s="1">
        <v>45662</v>
      </c>
      <c r="F3273">
        <v>4.7699999999999996</v>
      </c>
      <c r="G3273">
        <v>12</v>
      </c>
      <c r="H3273">
        <v>9468.1200000000008</v>
      </c>
      <c r="I3273">
        <v>0.8</v>
      </c>
    </row>
    <row r="3274" spans="1:9" x14ac:dyDescent="0.3">
      <c r="A3274" t="s">
        <v>3289</v>
      </c>
      <c r="B3274" t="s">
        <v>16</v>
      </c>
      <c r="C3274" t="s">
        <v>14</v>
      </c>
      <c r="D3274">
        <v>25</v>
      </c>
      <c r="E3274" s="1">
        <v>43658</v>
      </c>
      <c r="F3274">
        <v>1.72</v>
      </c>
      <c r="G3274">
        <v>14</v>
      </c>
      <c r="H3274">
        <v>5590.19</v>
      </c>
      <c r="I3274">
        <v>6.3</v>
      </c>
    </row>
    <row r="3275" spans="1:9" x14ac:dyDescent="0.3">
      <c r="A3275" t="s">
        <v>3290</v>
      </c>
      <c r="B3275" t="s">
        <v>34</v>
      </c>
      <c r="C3275" t="s">
        <v>14</v>
      </c>
      <c r="D3275">
        <v>29</v>
      </c>
      <c r="E3275" s="1">
        <v>41952</v>
      </c>
      <c r="F3275">
        <v>2.36</v>
      </c>
      <c r="G3275">
        <v>15</v>
      </c>
      <c r="H3275">
        <v>8851.74</v>
      </c>
      <c r="I3275">
        <v>11</v>
      </c>
    </row>
    <row r="3276" spans="1:9" x14ac:dyDescent="0.3">
      <c r="A3276" t="s">
        <v>3291</v>
      </c>
      <c r="B3276" t="s">
        <v>16</v>
      </c>
      <c r="C3276" t="s">
        <v>14</v>
      </c>
      <c r="D3276">
        <v>55</v>
      </c>
      <c r="E3276" s="1">
        <v>45527</v>
      </c>
      <c r="F3276">
        <v>4.1900000000000004</v>
      </c>
      <c r="G3276">
        <v>6</v>
      </c>
      <c r="H3276">
        <v>13753.18</v>
      </c>
      <c r="I3276">
        <v>1.2</v>
      </c>
    </row>
    <row r="3277" spans="1:9" x14ac:dyDescent="0.3">
      <c r="A3277" t="s">
        <v>3292</v>
      </c>
      <c r="B3277" t="s">
        <v>24</v>
      </c>
      <c r="C3277" t="s">
        <v>11</v>
      </c>
      <c r="D3277">
        <v>43</v>
      </c>
      <c r="E3277" s="1">
        <v>44311</v>
      </c>
      <c r="F3277">
        <v>1.57</v>
      </c>
      <c r="G3277">
        <v>15</v>
      </c>
      <c r="H3277">
        <v>10839.36</v>
      </c>
      <c r="I3277">
        <v>4.5</v>
      </c>
    </row>
    <row r="3278" spans="1:9" x14ac:dyDescent="0.3">
      <c r="A3278" t="s">
        <v>3293</v>
      </c>
      <c r="B3278" t="s">
        <v>10</v>
      </c>
      <c r="C3278" t="s">
        <v>11</v>
      </c>
      <c r="D3278">
        <v>56</v>
      </c>
      <c r="E3278" s="1">
        <v>45094</v>
      </c>
      <c r="F3278">
        <v>1.97</v>
      </c>
      <c r="G3278">
        <v>14</v>
      </c>
      <c r="H3278">
        <v>3651.49</v>
      </c>
      <c r="I3278">
        <v>2.4</v>
      </c>
    </row>
    <row r="3279" spans="1:9" x14ac:dyDescent="0.3">
      <c r="A3279" t="s">
        <v>3294</v>
      </c>
      <c r="B3279" t="s">
        <v>18</v>
      </c>
      <c r="C3279" t="s">
        <v>14</v>
      </c>
      <c r="D3279">
        <v>41</v>
      </c>
      <c r="E3279" s="1">
        <v>41119</v>
      </c>
      <c r="F3279">
        <v>1.8</v>
      </c>
      <c r="G3279">
        <v>10</v>
      </c>
      <c r="H3279">
        <v>5033.51</v>
      </c>
      <c r="I3279">
        <v>13.3</v>
      </c>
    </row>
    <row r="3280" spans="1:9" x14ac:dyDescent="0.3">
      <c r="A3280" t="s">
        <v>3295</v>
      </c>
      <c r="B3280" t="s">
        <v>18</v>
      </c>
      <c r="C3280" t="s">
        <v>11</v>
      </c>
      <c r="D3280">
        <v>37</v>
      </c>
      <c r="E3280" s="1">
        <v>40544</v>
      </c>
      <c r="F3280">
        <v>3.23</v>
      </c>
      <c r="G3280">
        <v>13</v>
      </c>
      <c r="H3280">
        <v>11067.24</v>
      </c>
      <c r="I3280">
        <v>14.8</v>
      </c>
    </row>
    <row r="3281" spans="1:9" x14ac:dyDescent="0.3">
      <c r="A3281" t="s">
        <v>3296</v>
      </c>
      <c r="B3281" t="s">
        <v>18</v>
      </c>
      <c r="C3281" t="s">
        <v>14</v>
      </c>
      <c r="D3281">
        <v>42</v>
      </c>
      <c r="E3281" s="1">
        <v>43215</v>
      </c>
      <c r="F3281">
        <v>2.2200000000000002</v>
      </c>
      <c r="G3281">
        <v>4</v>
      </c>
      <c r="H3281">
        <v>4165.6899999999996</v>
      </c>
      <c r="I3281">
        <v>7.5</v>
      </c>
    </row>
    <row r="3282" spans="1:9" x14ac:dyDescent="0.3">
      <c r="A3282" t="s">
        <v>3297</v>
      </c>
      <c r="B3282" t="s">
        <v>34</v>
      </c>
      <c r="C3282" t="s">
        <v>14</v>
      </c>
      <c r="D3282">
        <v>37</v>
      </c>
      <c r="E3282" s="1">
        <v>40464</v>
      </c>
      <c r="F3282">
        <v>4.88</v>
      </c>
      <c r="G3282">
        <v>4</v>
      </c>
      <c r="H3282">
        <v>12009.23</v>
      </c>
      <c r="I3282">
        <v>15.1</v>
      </c>
    </row>
    <row r="3283" spans="1:9" x14ac:dyDescent="0.3">
      <c r="A3283" t="s">
        <v>3298</v>
      </c>
      <c r="B3283" t="s">
        <v>16</v>
      </c>
      <c r="C3283" t="s">
        <v>14</v>
      </c>
      <c r="D3283">
        <v>28</v>
      </c>
      <c r="E3283" s="1">
        <v>40336</v>
      </c>
      <c r="F3283">
        <v>3.01</v>
      </c>
      <c r="G3283">
        <v>0</v>
      </c>
      <c r="H3283">
        <v>3332.85</v>
      </c>
      <c r="I3283">
        <v>15.4</v>
      </c>
    </row>
    <row r="3284" spans="1:9" x14ac:dyDescent="0.3">
      <c r="A3284" t="s">
        <v>3299</v>
      </c>
      <c r="B3284" t="s">
        <v>16</v>
      </c>
      <c r="C3284" t="s">
        <v>11</v>
      </c>
      <c r="D3284">
        <v>38</v>
      </c>
      <c r="E3284" s="1">
        <v>40758</v>
      </c>
      <c r="F3284">
        <v>2.82</v>
      </c>
      <c r="G3284">
        <v>5</v>
      </c>
      <c r="H3284">
        <v>12437.55</v>
      </c>
      <c r="I3284">
        <v>14.3</v>
      </c>
    </row>
    <row r="3285" spans="1:9" x14ac:dyDescent="0.3">
      <c r="A3285" t="s">
        <v>3300</v>
      </c>
      <c r="B3285" t="s">
        <v>10</v>
      </c>
      <c r="C3285" t="s">
        <v>14</v>
      </c>
      <c r="D3285">
        <v>36</v>
      </c>
      <c r="E3285" s="1">
        <v>45279</v>
      </c>
      <c r="F3285">
        <v>2.76</v>
      </c>
      <c r="G3285">
        <v>14</v>
      </c>
      <c r="H3285">
        <v>13221.98</v>
      </c>
      <c r="I3285">
        <v>1.9</v>
      </c>
    </row>
    <row r="3286" spans="1:9" x14ac:dyDescent="0.3">
      <c r="A3286" t="s">
        <v>3301</v>
      </c>
      <c r="B3286" t="s">
        <v>24</v>
      </c>
      <c r="C3286" t="s">
        <v>11</v>
      </c>
      <c r="D3286">
        <v>42</v>
      </c>
      <c r="E3286" s="1">
        <v>41335</v>
      </c>
      <c r="F3286">
        <v>1.69</v>
      </c>
      <c r="G3286">
        <v>0</v>
      </c>
      <c r="H3286">
        <v>10650.8</v>
      </c>
      <c r="I3286">
        <v>12.7</v>
      </c>
    </row>
    <row r="3287" spans="1:9" x14ac:dyDescent="0.3">
      <c r="A3287" t="s">
        <v>3302</v>
      </c>
      <c r="B3287" t="s">
        <v>13</v>
      </c>
      <c r="C3287" t="s">
        <v>14</v>
      </c>
      <c r="D3287">
        <v>28</v>
      </c>
      <c r="E3287" s="1">
        <v>44367</v>
      </c>
      <c r="F3287">
        <v>2.0299999999999998</v>
      </c>
      <c r="G3287">
        <v>1</v>
      </c>
      <c r="H3287">
        <v>3803.81</v>
      </c>
      <c r="I3287">
        <v>4.4000000000000004</v>
      </c>
    </row>
    <row r="3288" spans="1:9" x14ac:dyDescent="0.3">
      <c r="A3288" t="s">
        <v>3303</v>
      </c>
      <c r="B3288" t="s">
        <v>10</v>
      </c>
      <c r="C3288" t="s">
        <v>11</v>
      </c>
      <c r="D3288">
        <v>37</v>
      </c>
      <c r="E3288" s="1">
        <v>45195</v>
      </c>
      <c r="F3288">
        <v>2.72</v>
      </c>
      <c r="G3288">
        <v>10</v>
      </c>
      <c r="H3288">
        <v>6146.72</v>
      </c>
      <c r="I3288">
        <v>2.1</v>
      </c>
    </row>
    <row r="3289" spans="1:9" x14ac:dyDescent="0.3">
      <c r="A3289" t="s">
        <v>3304</v>
      </c>
      <c r="B3289" t="s">
        <v>16</v>
      </c>
      <c r="C3289" t="s">
        <v>11</v>
      </c>
      <c r="D3289">
        <v>44</v>
      </c>
      <c r="E3289" s="1">
        <v>40481</v>
      </c>
      <c r="F3289">
        <v>4.46</v>
      </c>
      <c r="G3289">
        <v>7</v>
      </c>
      <c r="H3289">
        <v>13889.23</v>
      </c>
      <c r="I3289">
        <v>15</v>
      </c>
    </row>
    <row r="3290" spans="1:9" x14ac:dyDescent="0.3">
      <c r="A3290" t="s">
        <v>3305</v>
      </c>
      <c r="B3290" t="s">
        <v>10</v>
      </c>
      <c r="C3290" t="s">
        <v>14</v>
      </c>
      <c r="D3290">
        <v>22</v>
      </c>
      <c r="E3290" s="1">
        <v>41328</v>
      </c>
      <c r="F3290">
        <v>3.02</v>
      </c>
      <c r="G3290">
        <v>2</v>
      </c>
      <c r="H3290">
        <v>9517.6299999999992</v>
      </c>
      <c r="I3290">
        <v>12.7</v>
      </c>
    </row>
    <row r="3291" spans="1:9" x14ac:dyDescent="0.3">
      <c r="A3291" t="s">
        <v>3306</v>
      </c>
      <c r="B3291" t="s">
        <v>34</v>
      </c>
      <c r="C3291" t="s">
        <v>11</v>
      </c>
      <c r="D3291">
        <v>30</v>
      </c>
      <c r="E3291" s="1">
        <v>44864</v>
      </c>
      <c r="F3291">
        <v>4.47</v>
      </c>
      <c r="G3291">
        <v>9</v>
      </c>
      <c r="H3291">
        <v>11367.76</v>
      </c>
      <c r="I3291">
        <v>3</v>
      </c>
    </row>
    <row r="3292" spans="1:9" x14ac:dyDescent="0.3">
      <c r="A3292" t="s">
        <v>3307</v>
      </c>
      <c r="B3292" t="s">
        <v>10</v>
      </c>
      <c r="C3292" t="s">
        <v>11</v>
      </c>
      <c r="D3292">
        <v>50</v>
      </c>
      <c r="E3292" s="1">
        <v>44202</v>
      </c>
      <c r="F3292">
        <v>4.63</v>
      </c>
      <c r="G3292">
        <v>13</v>
      </c>
      <c r="H3292">
        <v>3967.04</v>
      </c>
      <c r="I3292">
        <v>4.8</v>
      </c>
    </row>
    <row r="3293" spans="1:9" x14ac:dyDescent="0.3">
      <c r="A3293" t="s">
        <v>3308</v>
      </c>
      <c r="B3293" t="s">
        <v>24</v>
      </c>
      <c r="C3293" t="s">
        <v>11</v>
      </c>
      <c r="D3293">
        <v>46</v>
      </c>
      <c r="E3293" s="1">
        <v>40676</v>
      </c>
      <c r="F3293">
        <v>3.83</v>
      </c>
      <c r="G3293">
        <v>8</v>
      </c>
      <c r="H3293">
        <v>14913.02</v>
      </c>
      <c r="I3293">
        <v>14.5</v>
      </c>
    </row>
    <row r="3294" spans="1:9" x14ac:dyDescent="0.3">
      <c r="A3294" t="s">
        <v>3309</v>
      </c>
      <c r="B3294" t="s">
        <v>24</v>
      </c>
      <c r="C3294" t="s">
        <v>14</v>
      </c>
      <c r="D3294">
        <v>38</v>
      </c>
      <c r="E3294" s="1">
        <v>41077</v>
      </c>
      <c r="F3294">
        <v>4.63</v>
      </c>
      <c r="G3294">
        <v>6</v>
      </c>
      <c r="H3294">
        <v>8857.39</v>
      </c>
      <c r="I3294">
        <v>13.4</v>
      </c>
    </row>
    <row r="3295" spans="1:9" x14ac:dyDescent="0.3">
      <c r="A3295" t="s">
        <v>3310</v>
      </c>
      <c r="B3295" t="s">
        <v>24</v>
      </c>
      <c r="C3295" t="s">
        <v>14</v>
      </c>
      <c r="D3295">
        <v>28</v>
      </c>
      <c r="E3295" s="1">
        <v>43454</v>
      </c>
      <c r="F3295">
        <v>1.87</v>
      </c>
      <c r="G3295">
        <v>1</v>
      </c>
      <c r="H3295">
        <v>3136.46</v>
      </c>
      <c r="I3295">
        <v>6.9</v>
      </c>
    </row>
    <row r="3296" spans="1:9" x14ac:dyDescent="0.3">
      <c r="A3296" t="s">
        <v>3311</v>
      </c>
      <c r="B3296" t="s">
        <v>13</v>
      </c>
      <c r="C3296" t="s">
        <v>11</v>
      </c>
      <c r="D3296">
        <v>36</v>
      </c>
      <c r="E3296" s="1">
        <v>40647</v>
      </c>
      <c r="F3296">
        <v>4.1900000000000004</v>
      </c>
      <c r="G3296">
        <v>2</v>
      </c>
      <c r="H3296">
        <v>10500.66</v>
      </c>
      <c r="I3296">
        <v>14.6</v>
      </c>
    </row>
    <row r="3297" spans="1:9" x14ac:dyDescent="0.3">
      <c r="A3297" t="s">
        <v>3312</v>
      </c>
      <c r="B3297" t="s">
        <v>16</v>
      </c>
      <c r="C3297" t="s">
        <v>11</v>
      </c>
      <c r="D3297">
        <v>59</v>
      </c>
      <c r="E3297" s="1">
        <v>44808</v>
      </c>
      <c r="F3297">
        <v>3.64</v>
      </c>
      <c r="G3297">
        <v>13</v>
      </c>
      <c r="H3297">
        <v>9636.5499999999993</v>
      </c>
      <c r="I3297">
        <v>3.2</v>
      </c>
    </row>
    <row r="3298" spans="1:9" x14ac:dyDescent="0.3">
      <c r="A3298" t="s">
        <v>3313</v>
      </c>
      <c r="B3298" t="s">
        <v>16</v>
      </c>
      <c r="C3298" t="s">
        <v>14</v>
      </c>
      <c r="D3298">
        <v>46</v>
      </c>
      <c r="E3298" s="1">
        <v>44601</v>
      </c>
      <c r="F3298">
        <v>4.62</v>
      </c>
      <c r="G3298">
        <v>14</v>
      </c>
      <c r="H3298">
        <v>6789.42</v>
      </c>
      <c r="I3298">
        <v>3.7</v>
      </c>
    </row>
    <row r="3299" spans="1:9" x14ac:dyDescent="0.3">
      <c r="A3299" t="s">
        <v>3314</v>
      </c>
      <c r="B3299" t="s">
        <v>16</v>
      </c>
      <c r="C3299" t="s">
        <v>11</v>
      </c>
      <c r="D3299">
        <v>31</v>
      </c>
      <c r="E3299" s="1">
        <v>44580</v>
      </c>
      <c r="F3299">
        <v>3.65</v>
      </c>
      <c r="G3299">
        <v>14</v>
      </c>
      <c r="H3299">
        <v>8012.92</v>
      </c>
      <c r="I3299">
        <v>3.8</v>
      </c>
    </row>
    <row r="3300" spans="1:9" x14ac:dyDescent="0.3">
      <c r="A3300" t="s">
        <v>3315</v>
      </c>
      <c r="B3300" t="s">
        <v>13</v>
      </c>
      <c r="C3300" t="s">
        <v>11</v>
      </c>
      <c r="D3300">
        <v>60</v>
      </c>
      <c r="E3300" s="1">
        <v>41227</v>
      </c>
      <c r="F3300">
        <v>3.99</v>
      </c>
      <c r="G3300">
        <v>11</v>
      </c>
      <c r="H3300">
        <v>7801.97</v>
      </c>
      <c r="I3300">
        <v>13</v>
      </c>
    </row>
    <row r="3301" spans="1:9" x14ac:dyDescent="0.3">
      <c r="A3301" t="s">
        <v>3316</v>
      </c>
      <c r="B3301" t="s">
        <v>34</v>
      </c>
      <c r="C3301" t="s">
        <v>14</v>
      </c>
      <c r="D3301">
        <v>38</v>
      </c>
      <c r="E3301" s="1">
        <v>44652</v>
      </c>
      <c r="F3301">
        <v>4.53</v>
      </c>
      <c r="G3301">
        <v>6</v>
      </c>
      <c r="H3301">
        <v>5593.67</v>
      </c>
      <c r="I3301">
        <v>3.6</v>
      </c>
    </row>
    <row r="3302" spans="1:9" x14ac:dyDescent="0.3">
      <c r="A3302" t="s">
        <v>3317</v>
      </c>
      <c r="B3302" t="s">
        <v>16</v>
      </c>
      <c r="C3302" t="s">
        <v>14</v>
      </c>
      <c r="D3302">
        <v>56</v>
      </c>
      <c r="E3302" s="1">
        <v>43770</v>
      </c>
      <c r="F3302">
        <v>1.95</v>
      </c>
      <c r="G3302">
        <v>8</v>
      </c>
      <c r="H3302">
        <v>10005.24</v>
      </c>
      <c r="I3302">
        <v>6</v>
      </c>
    </row>
    <row r="3303" spans="1:9" x14ac:dyDescent="0.3">
      <c r="A3303" t="s">
        <v>3318</v>
      </c>
      <c r="B3303" t="s">
        <v>18</v>
      </c>
      <c r="C3303" t="s">
        <v>14</v>
      </c>
      <c r="D3303">
        <v>52</v>
      </c>
      <c r="E3303" s="1">
        <v>41985</v>
      </c>
      <c r="F3303">
        <v>4.1399999999999997</v>
      </c>
      <c r="G3303">
        <v>1</v>
      </c>
      <c r="H3303">
        <v>7052.81</v>
      </c>
      <c r="I3303">
        <v>10.9</v>
      </c>
    </row>
    <row r="3304" spans="1:9" x14ac:dyDescent="0.3">
      <c r="A3304" t="s">
        <v>3319</v>
      </c>
      <c r="B3304" t="s">
        <v>16</v>
      </c>
      <c r="C3304" t="s">
        <v>14</v>
      </c>
      <c r="D3304">
        <v>23</v>
      </c>
      <c r="E3304" s="1">
        <v>40851</v>
      </c>
      <c r="F3304">
        <v>3.48</v>
      </c>
      <c r="G3304">
        <v>15</v>
      </c>
      <c r="H3304">
        <v>9093.18</v>
      </c>
      <c r="I3304">
        <v>14</v>
      </c>
    </row>
    <row r="3305" spans="1:9" x14ac:dyDescent="0.3">
      <c r="A3305" t="s">
        <v>3320</v>
      </c>
      <c r="B3305" t="s">
        <v>18</v>
      </c>
      <c r="C3305" t="s">
        <v>11</v>
      </c>
      <c r="D3305">
        <v>42</v>
      </c>
      <c r="E3305" s="1">
        <v>43417</v>
      </c>
      <c r="F3305">
        <v>2.7</v>
      </c>
      <c r="G3305">
        <v>11</v>
      </c>
      <c r="H3305">
        <v>9338.9500000000007</v>
      </c>
      <c r="I3305">
        <v>7</v>
      </c>
    </row>
    <row r="3306" spans="1:9" x14ac:dyDescent="0.3">
      <c r="A3306" t="s">
        <v>3321</v>
      </c>
      <c r="B3306" t="s">
        <v>24</v>
      </c>
      <c r="C3306" t="s">
        <v>14</v>
      </c>
      <c r="D3306">
        <v>45</v>
      </c>
      <c r="E3306" s="1">
        <v>40745</v>
      </c>
      <c r="F3306">
        <v>2.04</v>
      </c>
      <c r="G3306">
        <v>3</v>
      </c>
      <c r="H3306">
        <v>10340.870000000001</v>
      </c>
      <c r="I3306">
        <v>14.3</v>
      </c>
    </row>
    <row r="3307" spans="1:9" x14ac:dyDescent="0.3">
      <c r="A3307" t="s">
        <v>3322</v>
      </c>
      <c r="B3307" t="s">
        <v>13</v>
      </c>
      <c r="C3307" t="s">
        <v>11</v>
      </c>
      <c r="D3307">
        <v>32</v>
      </c>
      <c r="E3307" s="1">
        <v>44295</v>
      </c>
      <c r="F3307">
        <v>4.03</v>
      </c>
      <c r="G3307">
        <v>0</v>
      </c>
      <c r="H3307">
        <v>14957.88</v>
      </c>
      <c r="I3307">
        <v>4.5999999999999996</v>
      </c>
    </row>
    <row r="3308" spans="1:9" x14ac:dyDescent="0.3">
      <c r="A3308" t="s">
        <v>3323</v>
      </c>
      <c r="B3308" t="s">
        <v>18</v>
      </c>
      <c r="C3308" t="s">
        <v>14</v>
      </c>
      <c r="D3308">
        <v>44</v>
      </c>
      <c r="E3308" s="1">
        <v>42319</v>
      </c>
      <c r="F3308">
        <v>3.89</v>
      </c>
      <c r="G3308">
        <v>13</v>
      </c>
      <c r="H3308">
        <v>8812.0499999999993</v>
      </c>
      <c r="I3308">
        <v>10</v>
      </c>
    </row>
    <row r="3309" spans="1:9" x14ac:dyDescent="0.3">
      <c r="A3309" t="s">
        <v>3324</v>
      </c>
      <c r="B3309" t="s">
        <v>34</v>
      </c>
      <c r="C3309" t="s">
        <v>14</v>
      </c>
      <c r="D3309">
        <v>45</v>
      </c>
      <c r="E3309" s="1">
        <v>45910</v>
      </c>
      <c r="F3309">
        <v>3.05</v>
      </c>
      <c r="G3309">
        <v>3</v>
      </c>
      <c r="H3309">
        <v>12160.25</v>
      </c>
      <c r="I3309">
        <v>0.1</v>
      </c>
    </row>
    <row r="3310" spans="1:9" x14ac:dyDescent="0.3">
      <c r="A3310" t="s">
        <v>3325</v>
      </c>
      <c r="B3310" t="s">
        <v>13</v>
      </c>
      <c r="C3310" t="s">
        <v>11</v>
      </c>
      <c r="D3310">
        <v>48</v>
      </c>
      <c r="E3310" s="1">
        <v>45390</v>
      </c>
      <c r="F3310">
        <v>2.79</v>
      </c>
      <c r="G3310">
        <v>3</v>
      </c>
      <c r="H3310">
        <v>10339.790000000001</v>
      </c>
      <c r="I3310">
        <v>1.6</v>
      </c>
    </row>
    <row r="3311" spans="1:9" x14ac:dyDescent="0.3">
      <c r="A3311" t="s">
        <v>3326</v>
      </c>
      <c r="B3311" t="s">
        <v>34</v>
      </c>
      <c r="C3311" t="s">
        <v>11</v>
      </c>
      <c r="D3311">
        <v>39</v>
      </c>
      <c r="E3311" s="1">
        <v>41496</v>
      </c>
      <c r="F3311">
        <v>2.09</v>
      </c>
      <c r="G3311">
        <v>4</v>
      </c>
      <c r="H3311">
        <v>5616.21</v>
      </c>
      <c r="I3311">
        <v>12.2</v>
      </c>
    </row>
    <row r="3312" spans="1:9" x14ac:dyDescent="0.3">
      <c r="A3312" t="s">
        <v>3327</v>
      </c>
      <c r="B3312" t="s">
        <v>13</v>
      </c>
      <c r="C3312" t="s">
        <v>14</v>
      </c>
      <c r="D3312">
        <v>49</v>
      </c>
      <c r="E3312" s="1">
        <v>40960</v>
      </c>
      <c r="F3312">
        <v>3.29</v>
      </c>
      <c r="G3312">
        <v>0</v>
      </c>
      <c r="H3312">
        <v>10274.99</v>
      </c>
      <c r="I3312">
        <v>13.7</v>
      </c>
    </row>
    <row r="3313" spans="1:9" x14ac:dyDescent="0.3">
      <c r="A3313" t="s">
        <v>3328</v>
      </c>
      <c r="B3313" t="s">
        <v>13</v>
      </c>
      <c r="C3313" t="s">
        <v>11</v>
      </c>
      <c r="D3313">
        <v>51</v>
      </c>
      <c r="E3313" s="1">
        <v>40572</v>
      </c>
      <c r="F3313">
        <v>2.37</v>
      </c>
      <c r="G3313">
        <v>15</v>
      </c>
      <c r="H3313">
        <v>7431.2</v>
      </c>
      <c r="I3313">
        <v>14.8</v>
      </c>
    </row>
    <row r="3314" spans="1:9" x14ac:dyDescent="0.3">
      <c r="A3314" t="s">
        <v>3329</v>
      </c>
      <c r="B3314" t="s">
        <v>18</v>
      </c>
      <c r="C3314" t="s">
        <v>14</v>
      </c>
      <c r="D3314">
        <v>45</v>
      </c>
      <c r="E3314" s="1">
        <v>40410</v>
      </c>
      <c r="F3314">
        <v>1.64</v>
      </c>
      <c r="G3314">
        <v>2</v>
      </c>
      <c r="H3314">
        <v>13781.53</v>
      </c>
      <c r="I3314">
        <v>15.2</v>
      </c>
    </row>
    <row r="3315" spans="1:9" x14ac:dyDescent="0.3">
      <c r="A3315" t="s">
        <v>3330</v>
      </c>
      <c r="B3315" t="s">
        <v>13</v>
      </c>
      <c r="C3315" t="s">
        <v>11</v>
      </c>
      <c r="D3315">
        <v>25</v>
      </c>
      <c r="E3315" s="1">
        <v>43843</v>
      </c>
      <c r="F3315">
        <v>2.5</v>
      </c>
      <c r="G3315">
        <v>0</v>
      </c>
      <c r="H3315">
        <v>8055.29</v>
      </c>
      <c r="I3315">
        <v>5.8</v>
      </c>
    </row>
    <row r="3316" spans="1:9" x14ac:dyDescent="0.3">
      <c r="A3316" t="s">
        <v>3331</v>
      </c>
      <c r="B3316" t="s">
        <v>13</v>
      </c>
      <c r="C3316" t="s">
        <v>11</v>
      </c>
      <c r="D3316">
        <v>22</v>
      </c>
      <c r="E3316" s="1">
        <v>40692</v>
      </c>
      <c r="F3316">
        <v>3.66</v>
      </c>
      <c r="G3316">
        <v>15</v>
      </c>
      <c r="H3316">
        <v>6116.72</v>
      </c>
      <c r="I3316">
        <v>14.4</v>
      </c>
    </row>
    <row r="3317" spans="1:9" x14ac:dyDescent="0.3">
      <c r="A3317" t="s">
        <v>3332</v>
      </c>
      <c r="B3317" t="s">
        <v>34</v>
      </c>
      <c r="C3317" t="s">
        <v>11</v>
      </c>
      <c r="D3317">
        <v>59</v>
      </c>
      <c r="E3317" s="1">
        <v>44509</v>
      </c>
      <c r="F3317">
        <v>1.96</v>
      </c>
      <c r="G3317">
        <v>15</v>
      </c>
      <c r="H3317">
        <v>10838.11</v>
      </c>
      <c r="I3317">
        <v>4</v>
      </c>
    </row>
    <row r="3318" spans="1:9" x14ac:dyDescent="0.3">
      <c r="A3318" t="s">
        <v>3333</v>
      </c>
      <c r="B3318" t="s">
        <v>10</v>
      </c>
      <c r="C3318" t="s">
        <v>14</v>
      </c>
      <c r="D3318">
        <v>26</v>
      </c>
      <c r="E3318" s="1">
        <v>43893</v>
      </c>
      <c r="F3318">
        <v>1.55</v>
      </c>
      <c r="G3318">
        <v>4</v>
      </c>
      <c r="H3318">
        <v>14481.27</v>
      </c>
      <c r="I3318">
        <v>5.7</v>
      </c>
    </row>
    <row r="3319" spans="1:9" x14ac:dyDescent="0.3">
      <c r="A3319" t="s">
        <v>3334</v>
      </c>
      <c r="B3319" t="s">
        <v>13</v>
      </c>
      <c r="C3319" t="s">
        <v>14</v>
      </c>
      <c r="D3319">
        <v>32</v>
      </c>
      <c r="E3319" s="1">
        <v>45733</v>
      </c>
      <c r="F3319">
        <v>3.63</v>
      </c>
      <c r="G3319">
        <v>5</v>
      </c>
      <c r="H3319">
        <v>11897.82</v>
      </c>
      <c r="I3319">
        <v>0.6</v>
      </c>
    </row>
    <row r="3320" spans="1:9" x14ac:dyDescent="0.3">
      <c r="A3320" t="s">
        <v>3335</v>
      </c>
      <c r="B3320" t="s">
        <v>34</v>
      </c>
      <c r="C3320" t="s">
        <v>11</v>
      </c>
      <c r="D3320">
        <v>55</v>
      </c>
      <c r="E3320" s="1">
        <v>43207</v>
      </c>
      <c r="F3320">
        <v>1.7</v>
      </c>
      <c r="G3320">
        <v>11</v>
      </c>
      <c r="H3320">
        <v>7086.97</v>
      </c>
      <c r="I3320">
        <v>7.5</v>
      </c>
    </row>
    <row r="3321" spans="1:9" x14ac:dyDescent="0.3">
      <c r="A3321" t="s">
        <v>3336</v>
      </c>
      <c r="B3321" t="s">
        <v>18</v>
      </c>
      <c r="C3321" t="s">
        <v>11</v>
      </c>
      <c r="D3321">
        <v>28</v>
      </c>
      <c r="E3321" s="1">
        <v>43868</v>
      </c>
      <c r="F3321">
        <v>2.38</v>
      </c>
      <c r="G3321">
        <v>15</v>
      </c>
      <c r="H3321">
        <v>5714.83</v>
      </c>
      <c r="I3321">
        <v>5.7</v>
      </c>
    </row>
    <row r="3322" spans="1:9" x14ac:dyDescent="0.3">
      <c r="A3322" t="s">
        <v>3337</v>
      </c>
      <c r="B3322" t="s">
        <v>34</v>
      </c>
      <c r="C3322" t="s">
        <v>11</v>
      </c>
      <c r="D3322">
        <v>39</v>
      </c>
      <c r="E3322" s="1">
        <v>42240</v>
      </c>
      <c r="F3322">
        <v>4.68</v>
      </c>
      <c r="G3322">
        <v>12</v>
      </c>
      <c r="H3322">
        <v>3111.16</v>
      </c>
      <c r="I3322">
        <v>10.199999999999999</v>
      </c>
    </row>
    <row r="3323" spans="1:9" x14ac:dyDescent="0.3">
      <c r="A3323" t="s">
        <v>3338</v>
      </c>
      <c r="B3323" t="s">
        <v>18</v>
      </c>
      <c r="C3323" t="s">
        <v>14</v>
      </c>
      <c r="D3323">
        <v>42</v>
      </c>
      <c r="E3323" s="1">
        <v>41413</v>
      </c>
      <c r="F3323">
        <v>3.29</v>
      </c>
      <c r="G3323">
        <v>7</v>
      </c>
      <c r="H3323">
        <v>9202.68</v>
      </c>
      <c r="I3323">
        <v>12.5</v>
      </c>
    </row>
    <row r="3324" spans="1:9" x14ac:dyDescent="0.3">
      <c r="A3324" t="s">
        <v>3339</v>
      </c>
      <c r="B3324" t="s">
        <v>18</v>
      </c>
      <c r="C3324" t="s">
        <v>14</v>
      </c>
      <c r="D3324">
        <v>60</v>
      </c>
      <c r="E3324" s="1">
        <v>41892</v>
      </c>
      <c r="F3324">
        <v>4.79</v>
      </c>
      <c r="G3324">
        <v>2</v>
      </c>
      <c r="H3324">
        <v>11178.58</v>
      </c>
      <c r="I3324">
        <v>11.2</v>
      </c>
    </row>
    <row r="3325" spans="1:9" x14ac:dyDescent="0.3">
      <c r="A3325" t="s">
        <v>3340</v>
      </c>
      <c r="B3325" t="s">
        <v>24</v>
      </c>
      <c r="C3325" t="s">
        <v>14</v>
      </c>
      <c r="D3325">
        <v>57</v>
      </c>
      <c r="E3325" s="1">
        <v>42774</v>
      </c>
      <c r="F3325">
        <v>2.97</v>
      </c>
      <c r="G3325">
        <v>14</v>
      </c>
      <c r="H3325">
        <v>7966.51</v>
      </c>
      <c r="I3325">
        <v>8.6999999999999993</v>
      </c>
    </row>
    <row r="3326" spans="1:9" x14ac:dyDescent="0.3">
      <c r="A3326" t="s">
        <v>3341</v>
      </c>
      <c r="B3326" t="s">
        <v>18</v>
      </c>
      <c r="C3326" t="s">
        <v>11</v>
      </c>
      <c r="D3326">
        <v>47</v>
      </c>
      <c r="E3326" s="1">
        <v>44529</v>
      </c>
      <c r="F3326">
        <v>2.0699999999999998</v>
      </c>
      <c r="G3326">
        <v>11</v>
      </c>
      <c r="H3326">
        <v>4012.55</v>
      </c>
      <c r="I3326">
        <v>3.9</v>
      </c>
    </row>
    <row r="3327" spans="1:9" x14ac:dyDescent="0.3">
      <c r="A3327" t="s">
        <v>3342</v>
      </c>
      <c r="B3327" t="s">
        <v>18</v>
      </c>
      <c r="C3327" t="s">
        <v>11</v>
      </c>
      <c r="D3327">
        <v>37</v>
      </c>
      <c r="E3327" s="1">
        <v>43332</v>
      </c>
      <c r="F3327">
        <v>3.18</v>
      </c>
      <c r="G3327">
        <v>2</v>
      </c>
      <c r="H3327">
        <v>3820.47</v>
      </c>
      <c r="I3327">
        <v>7.2</v>
      </c>
    </row>
    <row r="3328" spans="1:9" x14ac:dyDescent="0.3">
      <c r="A3328" t="s">
        <v>3343</v>
      </c>
      <c r="B3328" t="s">
        <v>10</v>
      </c>
      <c r="C3328" t="s">
        <v>11</v>
      </c>
      <c r="D3328">
        <v>42</v>
      </c>
      <c r="E3328" s="1">
        <v>45391</v>
      </c>
      <c r="F3328">
        <v>3.45</v>
      </c>
      <c r="G3328">
        <v>9</v>
      </c>
      <c r="H3328">
        <v>10666.35</v>
      </c>
      <c r="I3328">
        <v>1.6</v>
      </c>
    </row>
    <row r="3329" spans="1:9" x14ac:dyDescent="0.3">
      <c r="A3329" t="s">
        <v>3344</v>
      </c>
      <c r="B3329" t="s">
        <v>24</v>
      </c>
      <c r="C3329" t="s">
        <v>11</v>
      </c>
      <c r="D3329">
        <v>22</v>
      </c>
      <c r="E3329" s="1">
        <v>40321</v>
      </c>
      <c r="F3329">
        <v>3.47</v>
      </c>
      <c r="G3329">
        <v>10</v>
      </c>
      <c r="H3329">
        <v>3152.49</v>
      </c>
      <c r="I3329">
        <v>15.5</v>
      </c>
    </row>
    <row r="3330" spans="1:9" x14ac:dyDescent="0.3">
      <c r="A3330" t="s">
        <v>3345</v>
      </c>
      <c r="B3330" t="s">
        <v>10</v>
      </c>
      <c r="C3330" t="s">
        <v>11</v>
      </c>
      <c r="D3330">
        <v>26</v>
      </c>
      <c r="E3330" s="1">
        <v>45599</v>
      </c>
      <c r="F3330">
        <v>3.55</v>
      </c>
      <c r="G3330">
        <v>8</v>
      </c>
      <c r="H3330">
        <v>11336.34</v>
      </c>
      <c r="I3330">
        <v>1</v>
      </c>
    </row>
    <row r="3331" spans="1:9" x14ac:dyDescent="0.3">
      <c r="A3331" t="s">
        <v>3346</v>
      </c>
      <c r="B3331" t="s">
        <v>24</v>
      </c>
      <c r="C3331" t="s">
        <v>14</v>
      </c>
      <c r="D3331">
        <v>33</v>
      </c>
      <c r="E3331" s="1">
        <v>40685</v>
      </c>
      <c r="F3331">
        <v>4.63</v>
      </c>
      <c r="G3331">
        <v>4</v>
      </c>
      <c r="H3331">
        <v>14087.42</v>
      </c>
      <c r="I3331">
        <v>14.5</v>
      </c>
    </row>
    <row r="3332" spans="1:9" x14ac:dyDescent="0.3">
      <c r="A3332" t="s">
        <v>3347</v>
      </c>
      <c r="B3332" t="s">
        <v>18</v>
      </c>
      <c r="C3332" t="s">
        <v>11</v>
      </c>
      <c r="D3332">
        <v>27</v>
      </c>
      <c r="E3332" s="1">
        <v>41598</v>
      </c>
      <c r="F3332">
        <v>3.35</v>
      </c>
      <c r="G3332">
        <v>4</v>
      </c>
      <c r="H3332">
        <v>10009.9</v>
      </c>
      <c r="I3332">
        <v>12</v>
      </c>
    </row>
    <row r="3333" spans="1:9" x14ac:dyDescent="0.3">
      <c r="A3333" t="s">
        <v>3348</v>
      </c>
      <c r="B3333" t="s">
        <v>24</v>
      </c>
      <c r="C3333" t="s">
        <v>11</v>
      </c>
      <c r="D3333">
        <v>34</v>
      </c>
      <c r="E3333" s="1">
        <v>40255</v>
      </c>
      <c r="F3333">
        <v>1.97</v>
      </c>
      <c r="G3333">
        <v>0</v>
      </c>
      <c r="H3333">
        <v>4452.1899999999996</v>
      </c>
      <c r="I3333">
        <v>15.6</v>
      </c>
    </row>
    <row r="3334" spans="1:9" x14ac:dyDescent="0.3">
      <c r="A3334" t="s">
        <v>3349</v>
      </c>
      <c r="B3334" t="s">
        <v>18</v>
      </c>
      <c r="C3334" t="s">
        <v>11</v>
      </c>
      <c r="D3334">
        <v>60</v>
      </c>
      <c r="E3334" s="1">
        <v>44734</v>
      </c>
      <c r="F3334">
        <v>3.64</v>
      </c>
      <c r="G3334">
        <v>14</v>
      </c>
      <c r="H3334">
        <v>6974.3</v>
      </c>
      <c r="I3334">
        <v>3.4</v>
      </c>
    </row>
    <row r="3335" spans="1:9" x14ac:dyDescent="0.3">
      <c r="A3335" t="s">
        <v>3350</v>
      </c>
      <c r="B3335" t="s">
        <v>18</v>
      </c>
      <c r="C3335" t="s">
        <v>14</v>
      </c>
      <c r="D3335">
        <v>23</v>
      </c>
      <c r="E3335" s="1">
        <v>44108</v>
      </c>
      <c r="F3335">
        <v>4.97</v>
      </c>
      <c r="G3335">
        <v>8</v>
      </c>
      <c r="H3335">
        <v>14569.32</v>
      </c>
      <c r="I3335">
        <v>5.0999999999999996</v>
      </c>
    </row>
    <row r="3336" spans="1:9" x14ac:dyDescent="0.3">
      <c r="A3336" t="s">
        <v>3351</v>
      </c>
      <c r="B3336" t="s">
        <v>13</v>
      </c>
      <c r="C3336" t="s">
        <v>14</v>
      </c>
      <c r="D3336">
        <v>55</v>
      </c>
      <c r="E3336" s="1">
        <v>44904</v>
      </c>
      <c r="F3336">
        <v>3.49</v>
      </c>
      <c r="G3336">
        <v>15</v>
      </c>
      <c r="H3336">
        <v>3550.72</v>
      </c>
      <c r="I3336">
        <v>2.9</v>
      </c>
    </row>
    <row r="3337" spans="1:9" x14ac:dyDescent="0.3">
      <c r="A3337" t="s">
        <v>3352</v>
      </c>
      <c r="B3337" t="s">
        <v>34</v>
      </c>
      <c r="C3337" t="s">
        <v>14</v>
      </c>
      <c r="D3337">
        <v>52</v>
      </c>
      <c r="E3337" s="1">
        <v>44938</v>
      </c>
      <c r="F3337">
        <v>2.83</v>
      </c>
      <c r="G3337">
        <v>10</v>
      </c>
      <c r="H3337">
        <v>10182.64</v>
      </c>
      <c r="I3337">
        <v>2.8</v>
      </c>
    </row>
    <row r="3338" spans="1:9" x14ac:dyDescent="0.3">
      <c r="A3338" t="s">
        <v>3353</v>
      </c>
      <c r="B3338" t="s">
        <v>10</v>
      </c>
      <c r="C3338" t="s">
        <v>14</v>
      </c>
      <c r="D3338">
        <v>40</v>
      </c>
      <c r="E3338" s="1">
        <v>41736</v>
      </c>
      <c r="F3338">
        <v>2.69</v>
      </c>
      <c r="G3338">
        <v>8</v>
      </c>
      <c r="H3338">
        <v>10824.43</v>
      </c>
      <c r="I3338">
        <v>11.6</v>
      </c>
    </row>
    <row r="3339" spans="1:9" x14ac:dyDescent="0.3">
      <c r="A3339" t="s">
        <v>3354</v>
      </c>
      <c r="B3339" t="s">
        <v>10</v>
      </c>
      <c r="C3339" t="s">
        <v>11</v>
      </c>
      <c r="D3339">
        <v>31</v>
      </c>
      <c r="E3339" s="1">
        <v>43446</v>
      </c>
      <c r="F3339">
        <v>3.89</v>
      </c>
      <c r="G3339">
        <v>0</v>
      </c>
      <c r="H3339">
        <v>5398.06</v>
      </c>
      <c r="I3339">
        <v>6.9</v>
      </c>
    </row>
    <row r="3340" spans="1:9" x14ac:dyDescent="0.3">
      <c r="A3340" t="s">
        <v>3355</v>
      </c>
      <c r="B3340" t="s">
        <v>24</v>
      </c>
      <c r="C3340" t="s">
        <v>14</v>
      </c>
      <c r="D3340">
        <v>49</v>
      </c>
      <c r="E3340" s="1">
        <v>42209</v>
      </c>
      <c r="F3340">
        <v>3.26</v>
      </c>
      <c r="G3340">
        <v>8</v>
      </c>
      <c r="H3340">
        <v>8564.0499999999993</v>
      </c>
      <c r="I3340">
        <v>10.3</v>
      </c>
    </row>
    <row r="3341" spans="1:9" x14ac:dyDescent="0.3">
      <c r="A3341" t="s">
        <v>3356</v>
      </c>
      <c r="B3341" t="s">
        <v>18</v>
      </c>
      <c r="C3341" t="s">
        <v>11</v>
      </c>
      <c r="D3341">
        <v>24</v>
      </c>
      <c r="E3341" s="1">
        <v>45752</v>
      </c>
      <c r="F3341">
        <v>2.38</v>
      </c>
      <c r="G3341">
        <v>9</v>
      </c>
      <c r="H3341">
        <v>6321.12</v>
      </c>
      <c r="I3341">
        <v>0.6</v>
      </c>
    </row>
    <row r="3342" spans="1:9" x14ac:dyDescent="0.3">
      <c r="A3342" t="s">
        <v>3357</v>
      </c>
      <c r="B3342" t="s">
        <v>13</v>
      </c>
      <c r="C3342" t="s">
        <v>11</v>
      </c>
      <c r="D3342">
        <v>49</v>
      </c>
      <c r="E3342" s="1">
        <v>42699</v>
      </c>
      <c r="F3342">
        <v>2.99</v>
      </c>
      <c r="G3342">
        <v>12</v>
      </c>
      <c r="H3342">
        <v>6410.23</v>
      </c>
      <c r="I3342">
        <v>8.9</v>
      </c>
    </row>
    <row r="3343" spans="1:9" x14ac:dyDescent="0.3">
      <c r="A3343" t="s">
        <v>3358</v>
      </c>
      <c r="B3343" t="s">
        <v>24</v>
      </c>
      <c r="C3343" t="s">
        <v>14</v>
      </c>
      <c r="D3343">
        <v>56</v>
      </c>
      <c r="E3343" s="1">
        <v>42982</v>
      </c>
      <c r="F3343">
        <v>3.38</v>
      </c>
      <c r="G3343">
        <v>9</v>
      </c>
      <c r="H3343">
        <v>6144.16</v>
      </c>
      <c r="I3343">
        <v>8.1999999999999993</v>
      </c>
    </row>
    <row r="3344" spans="1:9" x14ac:dyDescent="0.3">
      <c r="A3344" t="s">
        <v>3359</v>
      </c>
      <c r="B3344" t="s">
        <v>18</v>
      </c>
      <c r="C3344" t="s">
        <v>14</v>
      </c>
      <c r="D3344">
        <v>51</v>
      </c>
      <c r="E3344" s="1">
        <v>45863</v>
      </c>
      <c r="F3344">
        <v>2.5</v>
      </c>
      <c r="G3344">
        <v>5</v>
      </c>
      <c r="H3344">
        <v>6215.65</v>
      </c>
      <c r="I3344">
        <v>0.3</v>
      </c>
    </row>
    <row r="3345" spans="1:9" x14ac:dyDescent="0.3">
      <c r="A3345" t="s">
        <v>3360</v>
      </c>
      <c r="B3345" t="s">
        <v>34</v>
      </c>
      <c r="C3345" t="s">
        <v>11</v>
      </c>
      <c r="D3345">
        <v>37</v>
      </c>
      <c r="E3345" s="1">
        <v>44720</v>
      </c>
      <c r="F3345">
        <v>4.08</v>
      </c>
      <c r="G3345">
        <v>1</v>
      </c>
      <c r="H3345">
        <v>8775.59</v>
      </c>
      <c r="I3345">
        <v>3.4</v>
      </c>
    </row>
    <row r="3346" spans="1:9" x14ac:dyDescent="0.3">
      <c r="A3346" t="s">
        <v>3361</v>
      </c>
      <c r="B3346" t="s">
        <v>34</v>
      </c>
      <c r="C3346" t="s">
        <v>11</v>
      </c>
      <c r="D3346">
        <v>32</v>
      </c>
      <c r="E3346" s="1">
        <v>43361</v>
      </c>
      <c r="F3346">
        <v>3.07</v>
      </c>
      <c r="G3346">
        <v>11</v>
      </c>
      <c r="H3346">
        <v>14867.75</v>
      </c>
      <c r="I3346">
        <v>7.1</v>
      </c>
    </row>
    <row r="3347" spans="1:9" x14ac:dyDescent="0.3">
      <c r="A3347" t="s">
        <v>3362</v>
      </c>
      <c r="B3347" t="s">
        <v>13</v>
      </c>
      <c r="C3347" t="s">
        <v>14</v>
      </c>
      <c r="D3347">
        <v>27</v>
      </c>
      <c r="E3347" s="1">
        <v>41803</v>
      </c>
      <c r="F3347">
        <v>4.41</v>
      </c>
      <c r="G3347">
        <v>0</v>
      </c>
      <c r="H3347">
        <v>12068.42</v>
      </c>
      <c r="I3347">
        <v>11.4</v>
      </c>
    </row>
    <row r="3348" spans="1:9" x14ac:dyDescent="0.3">
      <c r="A3348" t="s">
        <v>3363</v>
      </c>
      <c r="B3348" t="s">
        <v>24</v>
      </c>
      <c r="C3348" t="s">
        <v>11</v>
      </c>
      <c r="D3348">
        <v>45</v>
      </c>
      <c r="E3348" s="1">
        <v>43685</v>
      </c>
      <c r="F3348">
        <v>2.19</v>
      </c>
      <c r="G3348">
        <v>7</v>
      </c>
      <c r="H3348">
        <v>6322.7</v>
      </c>
      <c r="I3348">
        <v>6.2</v>
      </c>
    </row>
    <row r="3349" spans="1:9" x14ac:dyDescent="0.3">
      <c r="A3349" t="s">
        <v>3364</v>
      </c>
      <c r="B3349" t="s">
        <v>16</v>
      </c>
      <c r="C3349" t="s">
        <v>14</v>
      </c>
      <c r="D3349">
        <v>29</v>
      </c>
      <c r="E3349" s="1">
        <v>43434</v>
      </c>
      <c r="F3349">
        <v>4.04</v>
      </c>
      <c r="G3349">
        <v>3</v>
      </c>
      <c r="H3349">
        <v>8747.9599999999991</v>
      </c>
      <c r="I3349">
        <v>6.9</v>
      </c>
    </row>
    <row r="3350" spans="1:9" x14ac:dyDescent="0.3">
      <c r="A3350" t="s">
        <v>3365</v>
      </c>
      <c r="B3350" t="s">
        <v>18</v>
      </c>
      <c r="C3350" t="s">
        <v>14</v>
      </c>
      <c r="D3350">
        <v>51</v>
      </c>
      <c r="E3350" s="1">
        <v>45092</v>
      </c>
      <c r="F3350">
        <v>1.83</v>
      </c>
      <c r="G3350">
        <v>11</v>
      </c>
      <c r="H3350">
        <v>3944.6</v>
      </c>
      <c r="I3350">
        <v>2.4</v>
      </c>
    </row>
    <row r="3351" spans="1:9" x14ac:dyDescent="0.3">
      <c r="A3351" t="s">
        <v>3366</v>
      </c>
      <c r="B3351" t="s">
        <v>18</v>
      </c>
      <c r="C3351" t="s">
        <v>14</v>
      </c>
      <c r="D3351">
        <v>33</v>
      </c>
      <c r="E3351" s="1">
        <v>41690</v>
      </c>
      <c r="F3351">
        <v>2.79</v>
      </c>
      <c r="G3351">
        <v>5</v>
      </c>
      <c r="H3351">
        <v>5951.37</v>
      </c>
      <c r="I3351">
        <v>11.7</v>
      </c>
    </row>
    <row r="3352" spans="1:9" x14ac:dyDescent="0.3">
      <c r="A3352" t="s">
        <v>3367</v>
      </c>
      <c r="B3352" t="s">
        <v>18</v>
      </c>
      <c r="C3352" t="s">
        <v>11</v>
      </c>
      <c r="D3352">
        <v>34</v>
      </c>
      <c r="E3352" s="1">
        <v>44563</v>
      </c>
      <c r="F3352">
        <v>3.04</v>
      </c>
      <c r="G3352">
        <v>11</v>
      </c>
      <c r="H3352">
        <v>8081.78</v>
      </c>
      <c r="I3352">
        <v>3.8</v>
      </c>
    </row>
    <row r="3353" spans="1:9" x14ac:dyDescent="0.3">
      <c r="A3353" t="s">
        <v>3368</v>
      </c>
      <c r="B3353" t="s">
        <v>10</v>
      </c>
      <c r="C3353" t="s">
        <v>14</v>
      </c>
      <c r="D3353">
        <v>35</v>
      </c>
      <c r="E3353" s="1">
        <v>42704</v>
      </c>
      <c r="F3353">
        <v>4.76</v>
      </c>
      <c r="G3353">
        <v>12</v>
      </c>
      <c r="H3353">
        <v>13400.85</v>
      </c>
      <c r="I3353">
        <v>8.9</v>
      </c>
    </row>
    <row r="3354" spans="1:9" x14ac:dyDescent="0.3">
      <c r="A3354" t="s">
        <v>3369</v>
      </c>
      <c r="B3354" t="s">
        <v>34</v>
      </c>
      <c r="C3354" t="s">
        <v>14</v>
      </c>
      <c r="D3354">
        <v>57</v>
      </c>
      <c r="E3354" s="1">
        <v>45090</v>
      </c>
      <c r="F3354">
        <v>3.84</v>
      </c>
      <c r="G3354">
        <v>1</v>
      </c>
      <c r="H3354">
        <v>5014.2</v>
      </c>
      <c r="I3354">
        <v>2.4</v>
      </c>
    </row>
    <row r="3355" spans="1:9" x14ac:dyDescent="0.3">
      <c r="A3355" t="s">
        <v>3370</v>
      </c>
      <c r="B3355" t="s">
        <v>13</v>
      </c>
      <c r="C3355" t="s">
        <v>11</v>
      </c>
      <c r="D3355">
        <v>29</v>
      </c>
      <c r="E3355" s="1">
        <v>40813</v>
      </c>
      <c r="F3355">
        <v>2.95</v>
      </c>
      <c r="G3355">
        <v>13</v>
      </c>
      <c r="H3355">
        <v>6367.36</v>
      </c>
      <c r="I3355">
        <v>14.1</v>
      </c>
    </row>
    <row r="3356" spans="1:9" x14ac:dyDescent="0.3">
      <c r="A3356" t="s">
        <v>3371</v>
      </c>
      <c r="B3356" t="s">
        <v>34</v>
      </c>
      <c r="C3356" t="s">
        <v>14</v>
      </c>
      <c r="D3356">
        <v>41</v>
      </c>
      <c r="E3356" s="1">
        <v>43071</v>
      </c>
      <c r="F3356">
        <v>3.21</v>
      </c>
      <c r="G3356">
        <v>4</v>
      </c>
      <c r="H3356">
        <v>5586</v>
      </c>
      <c r="I3356">
        <v>7.9</v>
      </c>
    </row>
    <row r="3357" spans="1:9" x14ac:dyDescent="0.3">
      <c r="A3357" t="s">
        <v>3372</v>
      </c>
      <c r="B3357" t="s">
        <v>16</v>
      </c>
      <c r="C3357" t="s">
        <v>14</v>
      </c>
      <c r="D3357">
        <v>36</v>
      </c>
      <c r="E3357" s="1">
        <v>45453</v>
      </c>
      <c r="F3357">
        <v>1.9</v>
      </c>
      <c r="G3357">
        <v>4</v>
      </c>
      <c r="H3357">
        <v>3789.19</v>
      </c>
      <c r="I3357">
        <v>1.4</v>
      </c>
    </row>
    <row r="3358" spans="1:9" x14ac:dyDescent="0.3">
      <c r="A3358" t="s">
        <v>3373</v>
      </c>
      <c r="B3358" t="s">
        <v>18</v>
      </c>
      <c r="C3358" t="s">
        <v>14</v>
      </c>
      <c r="D3358">
        <v>37</v>
      </c>
      <c r="E3358" s="1">
        <v>41822</v>
      </c>
      <c r="F3358">
        <v>1.58</v>
      </c>
      <c r="G3358">
        <v>11</v>
      </c>
      <c r="H3358">
        <v>13470.32</v>
      </c>
      <c r="I3358">
        <v>11.3</v>
      </c>
    </row>
    <row r="3359" spans="1:9" x14ac:dyDescent="0.3">
      <c r="A3359" t="s">
        <v>3374</v>
      </c>
      <c r="B3359" t="s">
        <v>13</v>
      </c>
      <c r="C3359" t="s">
        <v>14</v>
      </c>
      <c r="D3359">
        <v>54</v>
      </c>
      <c r="E3359" s="1">
        <v>42179</v>
      </c>
      <c r="F3359">
        <v>2.4300000000000002</v>
      </c>
      <c r="G3359">
        <v>9</v>
      </c>
      <c r="H3359">
        <v>8141.84</v>
      </c>
      <c r="I3359">
        <v>10.4</v>
      </c>
    </row>
    <row r="3360" spans="1:9" x14ac:dyDescent="0.3">
      <c r="A3360" t="s">
        <v>3375</v>
      </c>
      <c r="B3360" t="s">
        <v>18</v>
      </c>
      <c r="C3360" t="s">
        <v>11</v>
      </c>
      <c r="D3360">
        <v>26</v>
      </c>
      <c r="E3360" s="1">
        <v>44460</v>
      </c>
      <c r="F3360">
        <v>1.78</v>
      </c>
      <c r="G3360">
        <v>9</v>
      </c>
      <c r="H3360">
        <v>7848.92</v>
      </c>
      <c r="I3360">
        <v>4.0999999999999996</v>
      </c>
    </row>
    <row r="3361" spans="1:9" x14ac:dyDescent="0.3">
      <c r="A3361" t="s">
        <v>3376</v>
      </c>
      <c r="B3361" t="s">
        <v>18</v>
      </c>
      <c r="C3361" t="s">
        <v>11</v>
      </c>
      <c r="D3361">
        <v>24</v>
      </c>
      <c r="E3361" s="1">
        <v>40726</v>
      </c>
      <c r="F3361">
        <v>4.1399999999999997</v>
      </c>
      <c r="G3361">
        <v>6</v>
      </c>
      <c r="H3361">
        <v>8054.58</v>
      </c>
      <c r="I3361">
        <v>14.3</v>
      </c>
    </row>
    <row r="3362" spans="1:9" x14ac:dyDescent="0.3">
      <c r="A3362" t="s">
        <v>3377</v>
      </c>
      <c r="B3362" t="s">
        <v>16</v>
      </c>
      <c r="C3362" t="s">
        <v>14</v>
      </c>
      <c r="D3362">
        <v>26</v>
      </c>
      <c r="E3362" s="1">
        <v>44924</v>
      </c>
      <c r="F3362">
        <v>4</v>
      </c>
      <c r="G3362">
        <v>13</v>
      </c>
      <c r="H3362">
        <v>11166.18</v>
      </c>
      <c r="I3362">
        <v>2.8</v>
      </c>
    </row>
    <row r="3363" spans="1:9" x14ac:dyDescent="0.3">
      <c r="A3363" t="s">
        <v>3378</v>
      </c>
      <c r="B3363" t="s">
        <v>10</v>
      </c>
      <c r="C3363" t="s">
        <v>11</v>
      </c>
      <c r="D3363">
        <v>48</v>
      </c>
      <c r="E3363" s="1">
        <v>45756</v>
      </c>
      <c r="F3363">
        <v>3.15</v>
      </c>
      <c r="G3363">
        <v>4</v>
      </c>
      <c r="H3363">
        <v>14097.87</v>
      </c>
      <c r="I3363">
        <v>0.6</v>
      </c>
    </row>
    <row r="3364" spans="1:9" x14ac:dyDescent="0.3">
      <c r="A3364" t="s">
        <v>3379</v>
      </c>
      <c r="B3364" t="s">
        <v>18</v>
      </c>
      <c r="C3364" t="s">
        <v>14</v>
      </c>
      <c r="D3364">
        <v>29</v>
      </c>
      <c r="E3364" s="1">
        <v>41287</v>
      </c>
      <c r="F3364">
        <v>4.17</v>
      </c>
      <c r="G3364">
        <v>12</v>
      </c>
      <c r="H3364">
        <v>5868.27</v>
      </c>
      <c r="I3364">
        <v>12.8</v>
      </c>
    </row>
    <row r="3365" spans="1:9" x14ac:dyDescent="0.3">
      <c r="A3365" t="s">
        <v>3380</v>
      </c>
      <c r="B3365" t="s">
        <v>18</v>
      </c>
      <c r="C3365" t="s">
        <v>14</v>
      </c>
      <c r="D3365">
        <v>32</v>
      </c>
      <c r="E3365" s="1">
        <v>42354</v>
      </c>
      <c r="F3365">
        <v>4.46</v>
      </c>
      <c r="G3365">
        <v>1</v>
      </c>
      <c r="H3365">
        <v>7368.22</v>
      </c>
      <c r="I3365">
        <v>9.9</v>
      </c>
    </row>
    <row r="3366" spans="1:9" x14ac:dyDescent="0.3">
      <c r="A3366" t="s">
        <v>3381</v>
      </c>
      <c r="B3366" t="s">
        <v>16</v>
      </c>
      <c r="C3366" t="s">
        <v>14</v>
      </c>
      <c r="D3366">
        <v>37</v>
      </c>
      <c r="E3366" s="1">
        <v>40957</v>
      </c>
      <c r="F3366">
        <v>3.66</v>
      </c>
      <c r="G3366">
        <v>5</v>
      </c>
      <c r="H3366">
        <v>5267.35</v>
      </c>
      <c r="I3366">
        <v>13.7</v>
      </c>
    </row>
    <row r="3367" spans="1:9" x14ac:dyDescent="0.3">
      <c r="A3367" t="s">
        <v>3382</v>
      </c>
      <c r="B3367" t="s">
        <v>16</v>
      </c>
      <c r="C3367" t="s">
        <v>14</v>
      </c>
      <c r="D3367">
        <v>49</v>
      </c>
      <c r="E3367" s="1">
        <v>43311</v>
      </c>
      <c r="F3367">
        <v>3.05</v>
      </c>
      <c r="G3367">
        <v>10</v>
      </c>
      <c r="H3367">
        <v>4690.88</v>
      </c>
      <c r="I3367">
        <v>7.3</v>
      </c>
    </row>
    <row r="3368" spans="1:9" x14ac:dyDescent="0.3">
      <c r="A3368" t="s">
        <v>3383</v>
      </c>
      <c r="B3368" t="s">
        <v>18</v>
      </c>
      <c r="C3368" t="s">
        <v>11</v>
      </c>
      <c r="D3368">
        <v>24</v>
      </c>
      <c r="E3368" s="1">
        <v>45884</v>
      </c>
      <c r="F3368">
        <v>4.1500000000000004</v>
      </c>
      <c r="G3368">
        <v>10</v>
      </c>
      <c r="H3368">
        <v>6285.68</v>
      </c>
      <c r="I3368">
        <v>0.2</v>
      </c>
    </row>
    <row r="3369" spans="1:9" x14ac:dyDescent="0.3">
      <c r="A3369" t="s">
        <v>3384</v>
      </c>
      <c r="B3369" t="s">
        <v>18</v>
      </c>
      <c r="C3369" t="s">
        <v>11</v>
      </c>
      <c r="D3369">
        <v>45</v>
      </c>
      <c r="E3369" s="1">
        <v>44183</v>
      </c>
      <c r="F3369">
        <v>4.41</v>
      </c>
      <c r="G3369">
        <v>14</v>
      </c>
      <c r="H3369">
        <v>4583.07</v>
      </c>
      <c r="I3369">
        <v>4.9000000000000004</v>
      </c>
    </row>
    <row r="3370" spans="1:9" x14ac:dyDescent="0.3">
      <c r="A3370" t="s">
        <v>3385</v>
      </c>
      <c r="B3370" t="s">
        <v>34</v>
      </c>
      <c r="C3370" t="s">
        <v>14</v>
      </c>
      <c r="D3370">
        <v>43</v>
      </c>
      <c r="E3370" s="1">
        <v>40311</v>
      </c>
      <c r="F3370">
        <v>3.05</v>
      </c>
      <c r="G3370">
        <v>10</v>
      </c>
      <c r="H3370">
        <v>6122.36</v>
      </c>
      <c r="I3370">
        <v>15.5</v>
      </c>
    </row>
    <row r="3371" spans="1:9" x14ac:dyDescent="0.3">
      <c r="A3371" t="s">
        <v>3386</v>
      </c>
      <c r="B3371" t="s">
        <v>18</v>
      </c>
      <c r="C3371" t="s">
        <v>11</v>
      </c>
      <c r="D3371">
        <v>35</v>
      </c>
      <c r="E3371" s="1">
        <v>41615</v>
      </c>
      <c r="F3371">
        <v>2.0299999999999998</v>
      </c>
      <c r="G3371">
        <v>8</v>
      </c>
      <c r="H3371">
        <v>5057.1899999999996</v>
      </c>
      <c r="I3371">
        <v>11.9</v>
      </c>
    </row>
    <row r="3372" spans="1:9" x14ac:dyDescent="0.3">
      <c r="A3372" t="s">
        <v>3387</v>
      </c>
      <c r="B3372" t="s">
        <v>24</v>
      </c>
      <c r="C3372" t="s">
        <v>11</v>
      </c>
      <c r="D3372">
        <v>24</v>
      </c>
      <c r="E3372" s="1">
        <v>43854</v>
      </c>
      <c r="F3372">
        <v>4.82</v>
      </c>
      <c r="G3372">
        <v>8</v>
      </c>
      <c r="H3372">
        <v>5232.5600000000004</v>
      </c>
      <c r="I3372">
        <v>5.8</v>
      </c>
    </row>
    <row r="3373" spans="1:9" x14ac:dyDescent="0.3">
      <c r="A3373" t="s">
        <v>3388</v>
      </c>
      <c r="B3373" t="s">
        <v>34</v>
      </c>
      <c r="C3373" t="s">
        <v>14</v>
      </c>
      <c r="D3373">
        <v>22</v>
      </c>
      <c r="E3373" s="1">
        <v>42500</v>
      </c>
      <c r="F3373">
        <v>2.6</v>
      </c>
      <c r="G3373">
        <v>15</v>
      </c>
      <c r="H3373">
        <v>14032.02</v>
      </c>
      <c r="I3373">
        <v>9.5</v>
      </c>
    </row>
    <row r="3374" spans="1:9" x14ac:dyDescent="0.3">
      <c r="A3374" t="s">
        <v>3389</v>
      </c>
      <c r="B3374" t="s">
        <v>16</v>
      </c>
      <c r="C3374" t="s">
        <v>14</v>
      </c>
      <c r="D3374">
        <v>52</v>
      </c>
      <c r="E3374" s="1">
        <v>40479</v>
      </c>
      <c r="F3374">
        <v>4.18</v>
      </c>
      <c r="G3374">
        <v>3</v>
      </c>
      <c r="H3374">
        <v>9901.59</v>
      </c>
      <c r="I3374">
        <v>15</v>
      </c>
    </row>
    <row r="3375" spans="1:9" x14ac:dyDescent="0.3">
      <c r="A3375" t="s">
        <v>3390</v>
      </c>
      <c r="B3375" t="s">
        <v>10</v>
      </c>
      <c r="C3375" t="s">
        <v>11</v>
      </c>
      <c r="D3375">
        <v>51</v>
      </c>
      <c r="E3375" s="1">
        <v>42337</v>
      </c>
      <c r="F3375">
        <v>2.04</v>
      </c>
      <c r="G3375">
        <v>1</v>
      </c>
      <c r="H3375">
        <v>9720.0400000000009</v>
      </c>
      <c r="I3375">
        <v>9.9</v>
      </c>
    </row>
    <row r="3376" spans="1:9" x14ac:dyDescent="0.3">
      <c r="A3376" t="s">
        <v>3391</v>
      </c>
      <c r="B3376" t="s">
        <v>10</v>
      </c>
      <c r="C3376" t="s">
        <v>11</v>
      </c>
      <c r="D3376">
        <v>33</v>
      </c>
      <c r="E3376" s="1">
        <v>43957</v>
      </c>
      <c r="F3376">
        <v>3.61</v>
      </c>
      <c r="G3376">
        <v>6</v>
      </c>
      <c r="H3376">
        <v>4447.28</v>
      </c>
      <c r="I3376">
        <v>5.5</v>
      </c>
    </row>
    <row r="3377" spans="1:9" x14ac:dyDescent="0.3">
      <c r="A3377" t="s">
        <v>3392</v>
      </c>
      <c r="B3377" t="s">
        <v>18</v>
      </c>
      <c r="C3377" t="s">
        <v>14</v>
      </c>
      <c r="D3377">
        <v>35</v>
      </c>
      <c r="E3377" s="1">
        <v>42023</v>
      </c>
      <c r="F3377">
        <v>2.34</v>
      </c>
      <c r="G3377">
        <v>6</v>
      </c>
      <c r="H3377">
        <v>12112.83</v>
      </c>
      <c r="I3377">
        <v>10.8</v>
      </c>
    </row>
    <row r="3378" spans="1:9" x14ac:dyDescent="0.3">
      <c r="A3378" t="s">
        <v>3393</v>
      </c>
      <c r="B3378" t="s">
        <v>10</v>
      </c>
      <c r="C3378" t="s">
        <v>14</v>
      </c>
      <c r="D3378">
        <v>47</v>
      </c>
      <c r="E3378" s="1">
        <v>42195</v>
      </c>
      <c r="F3378">
        <v>4.3499999999999996</v>
      </c>
      <c r="G3378">
        <v>0</v>
      </c>
      <c r="H3378">
        <v>14932.58</v>
      </c>
      <c r="I3378">
        <v>10.3</v>
      </c>
    </row>
    <row r="3379" spans="1:9" x14ac:dyDescent="0.3">
      <c r="A3379" t="s">
        <v>3394</v>
      </c>
      <c r="B3379" t="s">
        <v>24</v>
      </c>
      <c r="C3379" t="s">
        <v>14</v>
      </c>
      <c r="D3379">
        <v>22</v>
      </c>
      <c r="E3379" s="1">
        <v>41899</v>
      </c>
      <c r="F3379">
        <v>3.6</v>
      </c>
      <c r="G3379">
        <v>8</v>
      </c>
      <c r="H3379">
        <v>8677.4</v>
      </c>
      <c r="I3379">
        <v>11.1</v>
      </c>
    </row>
    <row r="3380" spans="1:9" x14ac:dyDescent="0.3">
      <c r="A3380" t="s">
        <v>3395</v>
      </c>
      <c r="B3380" t="s">
        <v>34</v>
      </c>
      <c r="C3380" t="s">
        <v>11</v>
      </c>
      <c r="D3380">
        <v>51</v>
      </c>
      <c r="E3380" s="1">
        <v>41369</v>
      </c>
      <c r="F3380">
        <v>2.38</v>
      </c>
      <c r="G3380">
        <v>6</v>
      </c>
      <c r="H3380">
        <v>3996.95</v>
      </c>
      <c r="I3380">
        <v>12.6</v>
      </c>
    </row>
    <row r="3381" spans="1:9" x14ac:dyDescent="0.3">
      <c r="A3381" t="s">
        <v>3396</v>
      </c>
      <c r="B3381" t="s">
        <v>34</v>
      </c>
      <c r="C3381" t="s">
        <v>14</v>
      </c>
      <c r="D3381">
        <v>33</v>
      </c>
      <c r="E3381" s="1">
        <v>41480</v>
      </c>
      <c r="F3381">
        <v>1.64</v>
      </c>
      <c r="G3381">
        <v>11</v>
      </c>
      <c r="H3381">
        <v>12147.51</v>
      </c>
      <c r="I3381">
        <v>12.3</v>
      </c>
    </row>
    <row r="3382" spans="1:9" x14ac:dyDescent="0.3">
      <c r="A3382" t="s">
        <v>3397</v>
      </c>
      <c r="B3382" t="s">
        <v>16</v>
      </c>
      <c r="C3382" t="s">
        <v>11</v>
      </c>
      <c r="D3382">
        <v>33</v>
      </c>
      <c r="E3382" s="1">
        <v>41621</v>
      </c>
      <c r="F3382">
        <v>3.6</v>
      </c>
      <c r="G3382">
        <v>9</v>
      </c>
      <c r="H3382">
        <v>4830.55</v>
      </c>
      <c r="I3382">
        <v>11.9</v>
      </c>
    </row>
    <row r="3383" spans="1:9" x14ac:dyDescent="0.3">
      <c r="A3383" t="s">
        <v>3398</v>
      </c>
      <c r="B3383" t="s">
        <v>34</v>
      </c>
      <c r="C3383" t="s">
        <v>14</v>
      </c>
      <c r="D3383">
        <v>46</v>
      </c>
      <c r="E3383" s="1">
        <v>44142</v>
      </c>
      <c r="F3383">
        <v>1.85</v>
      </c>
      <c r="G3383">
        <v>7</v>
      </c>
      <c r="H3383">
        <v>14371</v>
      </c>
      <c r="I3383">
        <v>5</v>
      </c>
    </row>
    <row r="3384" spans="1:9" x14ac:dyDescent="0.3">
      <c r="A3384" t="s">
        <v>3399</v>
      </c>
      <c r="B3384" t="s">
        <v>18</v>
      </c>
      <c r="C3384" t="s">
        <v>14</v>
      </c>
      <c r="D3384">
        <v>40</v>
      </c>
      <c r="E3384" s="1">
        <v>42979</v>
      </c>
      <c r="F3384">
        <v>4.03</v>
      </c>
      <c r="G3384">
        <v>15</v>
      </c>
      <c r="H3384">
        <v>14956.32</v>
      </c>
      <c r="I3384">
        <v>8.1999999999999993</v>
      </c>
    </row>
    <row r="3385" spans="1:9" x14ac:dyDescent="0.3">
      <c r="A3385" t="s">
        <v>3400</v>
      </c>
      <c r="B3385" t="s">
        <v>10</v>
      </c>
      <c r="C3385" t="s">
        <v>11</v>
      </c>
      <c r="D3385">
        <v>39</v>
      </c>
      <c r="E3385" s="1">
        <v>41209</v>
      </c>
      <c r="F3385">
        <v>4.16</v>
      </c>
      <c r="G3385">
        <v>6</v>
      </c>
      <c r="H3385">
        <v>3704.35</v>
      </c>
      <c r="I3385">
        <v>13</v>
      </c>
    </row>
    <row r="3386" spans="1:9" x14ac:dyDescent="0.3">
      <c r="A3386" t="s">
        <v>3401</v>
      </c>
      <c r="B3386" t="s">
        <v>24</v>
      </c>
      <c r="C3386" t="s">
        <v>14</v>
      </c>
      <c r="D3386">
        <v>50</v>
      </c>
      <c r="E3386" s="1">
        <v>42252</v>
      </c>
      <c r="F3386">
        <v>2.1</v>
      </c>
      <c r="G3386">
        <v>13</v>
      </c>
      <c r="H3386">
        <v>5861.3</v>
      </c>
      <c r="I3386">
        <v>10.199999999999999</v>
      </c>
    </row>
    <row r="3387" spans="1:9" x14ac:dyDescent="0.3">
      <c r="A3387" t="s">
        <v>3402</v>
      </c>
      <c r="B3387" t="s">
        <v>10</v>
      </c>
      <c r="C3387" t="s">
        <v>14</v>
      </c>
      <c r="D3387">
        <v>30</v>
      </c>
      <c r="E3387" s="1">
        <v>40986</v>
      </c>
      <c r="F3387">
        <v>1.73</v>
      </c>
      <c r="G3387">
        <v>10</v>
      </c>
      <c r="H3387">
        <v>9279.09</v>
      </c>
      <c r="I3387">
        <v>13.6</v>
      </c>
    </row>
    <row r="3388" spans="1:9" x14ac:dyDescent="0.3">
      <c r="A3388" t="s">
        <v>3403</v>
      </c>
      <c r="B3388" t="s">
        <v>24</v>
      </c>
      <c r="C3388" t="s">
        <v>11</v>
      </c>
      <c r="D3388">
        <v>46</v>
      </c>
      <c r="E3388" s="1">
        <v>45733</v>
      </c>
      <c r="F3388">
        <v>3.29</v>
      </c>
      <c r="G3388">
        <v>0</v>
      </c>
      <c r="H3388">
        <v>8939.4599999999991</v>
      </c>
      <c r="I3388">
        <v>0.6</v>
      </c>
    </row>
    <row r="3389" spans="1:9" x14ac:dyDescent="0.3">
      <c r="A3389" t="s">
        <v>3404</v>
      </c>
      <c r="B3389" t="s">
        <v>18</v>
      </c>
      <c r="C3389" t="s">
        <v>14</v>
      </c>
      <c r="D3389">
        <v>48</v>
      </c>
      <c r="E3389" s="1">
        <v>41530</v>
      </c>
      <c r="F3389">
        <v>4.87</v>
      </c>
      <c r="G3389">
        <v>8</v>
      </c>
      <c r="H3389">
        <v>8640.16</v>
      </c>
      <c r="I3389">
        <v>12.1</v>
      </c>
    </row>
    <row r="3390" spans="1:9" x14ac:dyDescent="0.3">
      <c r="A3390" t="s">
        <v>3405</v>
      </c>
      <c r="B3390" t="s">
        <v>16</v>
      </c>
      <c r="C3390" t="s">
        <v>11</v>
      </c>
      <c r="D3390">
        <v>42</v>
      </c>
      <c r="E3390" s="1">
        <v>43632</v>
      </c>
      <c r="F3390">
        <v>1.86</v>
      </c>
      <c r="G3390">
        <v>1</v>
      </c>
      <c r="H3390">
        <v>5972.47</v>
      </c>
      <c r="I3390">
        <v>6.4</v>
      </c>
    </row>
    <row r="3391" spans="1:9" x14ac:dyDescent="0.3">
      <c r="A3391" t="s">
        <v>3406</v>
      </c>
      <c r="B3391" t="s">
        <v>24</v>
      </c>
      <c r="C3391" t="s">
        <v>11</v>
      </c>
      <c r="D3391">
        <v>56</v>
      </c>
      <c r="E3391" s="1">
        <v>45520</v>
      </c>
      <c r="F3391">
        <v>4.4400000000000004</v>
      </c>
      <c r="G3391">
        <v>10</v>
      </c>
      <c r="H3391">
        <v>3489.52</v>
      </c>
      <c r="I3391">
        <v>1.2</v>
      </c>
    </row>
    <row r="3392" spans="1:9" x14ac:dyDescent="0.3">
      <c r="A3392" t="s">
        <v>3407</v>
      </c>
      <c r="B3392" t="s">
        <v>24</v>
      </c>
      <c r="C3392" t="s">
        <v>11</v>
      </c>
      <c r="D3392">
        <v>34</v>
      </c>
      <c r="E3392" s="1">
        <v>45327</v>
      </c>
      <c r="F3392">
        <v>4.7699999999999996</v>
      </c>
      <c r="G3392">
        <v>6</v>
      </c>
      <c r="H3392">
        <v>10333.709999999999</v>
      </c>
      <c r="I3392">
        <v>1.7</v>
      </c>
    </row>
    <row r="3393" spans="1:9" x14ac:dyDescent="0.3">
      <c r="A3393" t="s">
        <v>3408</v>
      </c>
      <c r="B3393" t="s">
        <v>24</v>
      </c>
      <c r="C3393" t="s">
        <v>11</v>
      </c>
      <c r="D3393">
        <v>33</v>
      </c>
      <c r="E3393" s="1">
        <v>42397</v>
      </c>
      <c r="F3393">
        <v>1.87</v>
      </c>
      <c r="G3393">
        <v>13</v>
      </c>
      <c r="H3393">
        <v>13468.9</v>
      </c>
      <c r="I3393">
        <v>9.8000000000000007</v>
      </c>
    </row>
    <row r="3394" spans="1:9" x14ac:dyDescent="0.3">
      <c r="A3394" t="s">
        <v>3409</v>
      </c>
      <c r="B3394" t="s">
        <v>24</v>
      </c>
      <c r="C3394" t="s">
        <v>14</v>
      </c>
      <c r="D3394">
        <v>37</v>
      </c>
      <c r="E3394" s="1">
        <v>40901</v>
      </c>
      <c r="F3394">
        <v>4.82</v>
      </c>
      <c r="G3394">
        <v>13</v>
      </c>
      <c r="H3394">
        <v>11183.28</v>
      </c>
      <c r="I3394">
        <v>13.9</v>
      </c>
    </row>
    <row r="3395" spans="1:9" x14ac:dyDescent="0.3">
      <c r="A3395" t="s">
        <v>3410</v>
      </c>
      <c r="B3395" t="s">
        <v>16</v>
      </c>
      <c r="C3395" t="s">
        <v>14</v>
      </c>
      <c r="D3395">
        <v>51</v>
      </c>
      <c r="E3395" s="1">
        <v>43030</v>
      </c>
      <c r="F3395">
        <v>2.84</v>
      </c>
      <c r="G3395">
        <v>5</v>
      </c>
      <c r="H3395">
        <v>12099.8</v>
      </c>
      <c r="I3395">
        <v>8</v>
      </c>
    </row>
    <row r="3396" spans="1:9" x14ac:dyDescent="0.3">
      <c r="A3396" t="s">
        <v>3411</v>
      </c>
      <c r="B3396" t="s">
        <v>24</v>
      </c>
      <c r="C3396" t="s">
        <v>14</v>
      </c>
      <c r="D3396">
        <v>51</v>
      </c>
      <c r="E3396" s="1">
        <v>45398</v>
      </c>
      <c r="F3396">
        <v>3.52</v>
      </c>
      <c r="G3396">
        <v>4</v>
      </c>
      <c r="H3396">
        <v>4368.21</v>
      </c>
      <c r="I3396">
        <v>1.5</v>
      </c>
    </row>
    <row r="3397" spans="1:9" x14ac:dyDescent="0.3">
      <c r="A3397" t="s">
        <v>3412</v>
      </c>
      <c r="B3397" t="s">
        <v>34</v>
      </c>
      <c r="C3397" t="s">
        <v>11</v>
      </c>
      <c r="D3397">
        <v>39</v>
      </c>
      <c r="E3397" s="1">
        <v>42065</v>
      </c>
      <c r="F3397">
        <v>1.56</v>
      </c>
      <c r="G3397">
        <v>13</v>
      </c>
      <c r="H3397">
        <v>12943.25</v>
      </c>
      <c r="I3397">
        <v>10.7</v>
      </c>
    </row>
    <row r="3398" spans="1:9" x14ac:dyDescent="0.3">
      <c r="A3398" t="s">
        <v>3413</v>
      </c>
      <c r="B3398" t="s">
        <v>16</v>
      </c>
      <c r="C3398" t="s">
        <v>14</v>
      </c>
      <c r="D3398">
        <v>55</v>
      </c>
      <c r="E3398" s="1">
        <v>44720</v>
      </c>
      <c r="F3398">
        <v>4.04</v>
      </c>
      <c r="G3398">
        <v>1</v>
      </c>
      <c r="H3398">
        <v>14154.71</v>
      </c>
      <c r="I3398">
        <v>3.4</v>
      </c>
    </row>
    <row r="3399" spans="1:9" x14ac:dyDescent="0.3">
      <c r="A3399" t="s">
        <v>3414</v>
      </c>
      <c r="B3399" t="s">
        <v>18</v>
      </c>
      <c r="C3399" t="s">
        <v>11</v>
      </c>
      <c r="D3399">
        <v>44</v>
      </c>
      <c r="E3399" s="1">
        <v>43713</v>
      </c>
      <c r="F3399">
        <v>4.38</v>
      </c>
      <c r="G3399">
        <v>10</v>
      </c>
      <c r="H3399">
        <v>8981.4500000000007</v>
      </c>
      <c r="I3399">
        <v>6.2</v>
      </c>
    </row>
    <row r="3400" spans="1:9" x14ac:dyDescent="0.3">
      <c r="A3400" t="s">
        <v>3415</v>
      </c>
      <c r="B3400" t="s">
        <v>16</v>
      </c>
      <c r="C3400" t="s">
        <v>11</v>
      </c>
      <c r="D3400">
        <v>39</v>
      </c>
      <c r="E3400" s="1">
        <v>40957</v>
      </c>
      <c r="F3400">
        <v>1.69</v>
      </c>
      <c r="G3400">
        <v>14</v>
      </c>
      <c r="H3400">
        <v>12213.61</v>
      </c>
      <c r="I3400">
        <v>13.7</v>
      </c>
    </row>
    <row r="3401" spans="1:9" x14ac:dyDescent="0.3">
      <c r="A3401" t="s">
        <v>3416</v>
      </c>
      <c r="B3401" t="s">
        <v>13</v>
      </c>
      <c r="C3401" t="s">
        <v>11</v>
      </c>
      <c r="D3401">
        <v>49</v>
      </c>
      <c r="E3401" s="1">
        <v>44140</v>
      </c>
      <c r="F3401">
        <v>2.87</v>
      </c>
      <c r="G3401">
        <v>8</v>
      </c>
      <c r="H3401">
        <v>3899.14</v>
      </c>
      <c r="I3401">
        <v>5</v>
      </c>
    </row>
    <row r="3402" spans="1:9" x14ac:dyDescent="0.3">
      <c r="A3402" t="s">
        <v>3417</v>
      </c>
      <c r="B3402" t="s">
        <v>18</v>
      </c>
      <c r="C3402" t="s">
        <v>11</v>
      </c>
      <c r="D3402">
        <v>28</v>
      </c>
      <c r="E3402" s="1">
        <v>44190</v>
      </c>
      <c r="F3402">
        <v>1.75</v>
      </c>
      <c r="G3402">
        <v>8</v>
      </c>
      <c r="H3402">
        <v>5664.25</v>
      </c>
      <c r="I3402">
        <v>4.9000000000000004</v>
      </c>
    </row>
    <row r="3403" spans="1:9" x14ac:dyDescent="0.3">
      <c r="A3403" t="s">
        <v>3418</v>
      </c>
      <c r="B3403" t="s">
        <v>13</v>
      </c>
      <c r="C3403" t="s">
        <v>14</v>
      </c>
      <c r="D3403">
        <v>52</v>
      </c>
      <c r="E3403" s="1">
        <v>43368</v>
      </c>
      <c r="F3403">
        <v>3.11</v>
      </c>
      <c r="G3403">
        <v>4</v>
      </c>
      <c r="H3403">
        <v>4139.18</v>
      </c>
      <c r="I3403">
        <v>7.1</v>
      </c>
    </row>
    <row r="3404" spans="1:9" x14ac:dyDescent="0.3">
      <c r="A3404" t="s">
        <v>3419</v>
      </c>
      <c r="B3404" t="s">
        <v>13</v>
      </c>
      <c r="C3404" t="s">
        <v>11</v>
      </c>
      <c r="D3404">
        <v>40</v>
      </c>
      <c r="E3404" s="1">
        <v>42341</v>
      </c>
      <c r="F3404">
        <v>1.53</v>
      </c>
      <c r="G3404">
        <v>1</v>
      </c>
      <c r="H3404">
        <v>4822.37</v>
      </c>
      <c r="I3404">
        <v>9.9</v>
      </c>
    </row>
    <row r="3405" spans="1:9" x14ac:dyDescent="0.3">
      <c r="A3405" t="s">
        <v>3420</v>
      </c>
      <c r="B3405" t="s">
        <v>16</v>
      </c>
      <c r="C3405" t="s">
        <v>14</v>
      </c>
      <c r="D3405">
        <v>27</v>
      </c>
      <c r="E3405" s="1">
        <v>45856</v>
      </c>
      <c r="F3405">
        <v>4.8899999999999997</v>
      </c>
      <c r="G3405">
        <v>9</v>
      </c>
      <c r="H3405">
        <v>11489.53</v>
      </c>
      <c r="I3405">
        <v>0.3</v>
      </c>
    </row>
    <row r="3406" spans="1:9" x14ac:dyDescent="0.3">
      <c r="A3406" t="s">
        <v>3421</v>
      </c>
      <c r="B3406" t="s">
        <v>18</v>
      </c>
      <c r="C3406" t="s">
        <v>11</v>
      </c>
      <c r="D3406">
        <v>54</v>
      </c>
      <c r="E3406" s="1">
        <v>44701</v>
      </c>
      <c r="F3406">
        <v>2.61</v>
      </c>
      <c r="G3406">
        <v>15</v>
      </c>
      <c r="H3406">
        <v>6222.75</v>
      </c>
      <c r="I3406">
        <v>3.5</v>
      </c>
    </row>
    <row r="3407" spans="1:9" x14ac:dyDescent="0.3">
      <c r="A3407" t="s">
        <v>3422</v>
      </c>
      <c r="B3407" t="s">
        <v>18</v>
      </c>
      <c r="C3407" t="s">
        <v>11</v>
      </c>
      <c r="D3407">
        <v>25</v>
      </c>
      <c r="E3407" s="1">
        <v>41632</v>
      </c>
      <c r="F3407">
        <v>4.38</v>
      </c>
      <c r="G3407">
        <v>5</v>
      </c>
      <c r="H3407">
        <v>8168.83</v>
      </c>
      <c r="I3407">
        <v>11.9</v>
      </c>
    </row>
    <row r="3408" spans="1:9" x14ac:dyDescent="0.3">
      <c r="A3408" t="s">
        <v>3423</v>
      </c>
      <c r="B3408" t="s">
        <v>10</v>
      </c>
      <c r="C3408" t="s">
        <v>11</v>
      </c>
      <c r="D3408">
        <v>44</v>
      </c>
      <c r="E3408" s="1">
        <v>44949</v>
      </c>
      <c r="F3408">
        <v>4.16</v>
      </c>
      <c r="G3408">
        <v>2</v>
      </c>
      <c r="H3408">
        <v>7947.31</v>
      </c>
      <c r="I3408">
        <v>2.8</v>
      </c>
    </row>
    <row r="3409" spans="1:9" x14ac:dyDescent="0.3">
      <c r="A3409" t="s">
        <v>3424</v>
      </c>
      <c r="B3409" t="s">
        <v>34</v>
      </c>
      <c r="C3409" t="s">
        <v>14</v>
      </c>
      <c r="D3409">
        <v>38</v>
      </c>
      <c r="E3409" s="1">
        <v>40743</v>
      </c>
      <c r="F3409">
        <v>1.74</v>
      </c>
      <c r="G3409">
        <v>10</v>
      </c>
      <c r="H3409">
        <v>7066.96</v>
      </c>
      <c r="I3409">
        <v>14.3</v>
      </c>
    </row>
    <row r="3410" spans="1:9" x14ac:dyDescent="0.3">
      <c r="A3410" t="s">
        <v>3425</v>
      </c>
      <c r="B3410" t="s">
        <v>18</v>
      </c>
      <c r="C3410" t="s">
        <v>14</v>
      </c>
      <c r="D3410">
        <v>39</v>
      </c>
      <c r="E3410" s="1">
        <v>45680</v>
      </c>
      <c r="F3410">
        <v>4.3</v>
      </c>
      <c r="G3410">
        <v>4</v>
      </c>
      <c r="H3410">
        <v>7494.55</v>
      </c>
      <c r="I3410">
        <v>0.8</v>
      </c>
    </row>
    <row r="3411" spans="1:9" x14ac:dyDescent="0.3">
      <c r="A3411" t="s">
        <v>3426</v>
      </c>
      <c r="B3411" t="s">
        <v>13</v>
      </c>
      <c r="C3411" t="s">
        <v>14</v>
      </c>
      <c r="D3411">
        <v>53</v>
      </c>
      <c r="E3411" s="1">
        <v>45709</v>
      </c>
      <c r="F3411">
        <v>2.17</v>
      </c>
      <c r="G3411">
        <v>4</v>
      </c>
      <c r="H3411">
        <v>14480.37</v>
      </c>
      <c r="I3411">
        <v>0.7</v>
      </c>
    </row>
    <row r="3412" spans="1:9" x14ac:dyDescent="0.3">
      <c r="A3412" t="s">
        <v>3427</v>
      </c>
      <c r="B3412" t="s">
        <v>16</v>
      </c>
      <c r="C3412" t="s">
        <v>14</v>
      </c>
      <c r="D3412">
        <v>37</v>
      </c>
      <c r="E3412" s="1">
        <v>42111</v>
      </c>
      <c r="F3412">
        <v>3.75</v>
      </c>
      <c r="G3412">
        <v>10</v>
      </c>
      <c r="H3412">
        <v>8821.0499999999993</v>
      </c>
      <c r="I3412">
        <v>10.6</v>
      </c>
    </row>
    <row r="3413" spans="1:9" x14ac:dyDescent="0.3">
      <c r="A3413" t="s">
        <v>3428</v>
      </c>
      <c r="B3413" t="s">
        <v>24</v>
      </c>
      <c r="C3413" t="s">
        <v>11</v>
      </c>
      <c r="D3413">
        <v>34</v>
      </c>
      <c r="E3413" s="1">
        <v>40351</v>
      </c>
      <c r="F3413">
        <v>4.95</v>
      </c>
      <c r="G3413">
        <v>0</v>
      </c>
      <c r="H3413">
        <v>9037.06</v>
      </c>
      <c r="I3413">
        <v>15.4</v>
      </c>
    </row>
    <row r="3414" spans="1:9" x14ac:dyDescent="0.3">
      <c r="A3414" t="s">
        <v>3429</v>
      </c>
      <c r="B3414" t="s">
        <v>13</v>
      </c>
      <c r="C3414" t="s">
        <v>11</v>
      </c>
      <c r="D3414">
        <v>24</v>
      </c>
      <c r="E3414" s="1">
        <v>42142</v>
      </c>
      <c r="F3414">
        <v>2.93</v>
      </c>
      <c r="G3414">
        <v>0</v>
      </c>
      <c r="H3414">
        <v>3366.4</v>
      </c>
      <c r="I3414">
        <v>10.5</v>
      </c>
    </row>
    <row r="3415" spans="1:9" x14ac:dyDescent="0.3">
      <c r="A3415" t="s">
        <v>3430</v>
      </c>
      <c r="B3415" t="s">
        <v>16</v>
      </c>
      <c r="C3415" t="s">
        <v>14</v>
      </c>
      <c r="D3415">
        <v>22</v>
      </c>
      <c r="E3415" s="1">
        <v>44427</v>
      </c>
      <c r="F3415">
        <v>4.38</v>
      </c>
      <c r="G3415">
        <v>0</v>
      </c>
      <c r="H3415">
        <v>14731.49</v>
      </c>
      <c r="I3415">
        <v>4.2</v>
      </c>
    </row>
    <row r="3416" spans="1:9" x14ac:dyDescent="0.3">
      <c r="A3416" t="s">
        <v>3431</v>
      </c>
      <c r="B3416" t="s">
        <v>16</v>
      </c>
      <c r="C3416" t="s">
        <v>11</v>
      </c>
      <c r="D3416">
        <v>38</v>
      </c>
      <c r="E3416" s="1">
        <v>42984</v>
      </c>
      <c r="F3416">
        <v>3.6</v>
      </c>
      <c r="G3416">
        <v>15</v>
      </c>
      <c r="H3416">
        <v>13070.14</v>
      </c>
      <c r="I3416">
        <v>8.1999999999999993</v>
      </c>
    </row>
    <row r="3417" spans="1:9" x14ac:dyDescent="0.3">
      <c r="A3417" t="s">
        <v>3432</v>
      </c>
      <c r="B3417" t="s">
        <v>10</v>
      </c>
      <c r="C3417" t="s">
        <v>14</v>
      </c>
      <c r="D3417">
        <v>59</v>
      </c>
      <c r="E3417" s="1">
        <v>41747</v>
      </c>
      <c r="F3417">
        <v>3.57</v>
      </c>
      <c r="G3417">
        <v>6</v>
      </c>
      <c r="H3417">
        <v>8189.32</v>
      </c>
      <c r="I3417">
        <v>11.5</v>
      </c>
    </row>
    <row r="3418" spans="1:9" x14ac:dyDescent="0.3">
      <c r="A3418" t="s">
        <v>3433</v>
      </c>
      <c r="B3418" t="s">
        <v>18</v>
      </c>
      <c r="C3418" t="s">
        <v>11</v>
      </c>
      <c r="D3418">
        <v>58</v>
      </c>
      <c r="E3418" s="1">
        <v>44993</v>
      </c>
      <c r="F3418">
        <v>4.1399999999999997</v>
      </c>
      <c r="G3418">
        <v>15</v>
      </c>
      <c r="H3418">
        <v>5432.13</v>
      </c>
      <c r="I3418">
        <v>2.7</v>
      </c>
    </row>
    <row r="3419" spans="1:9" x14ac:dyDescent="0.3">
      <c r="A3419" t="s">
        <v>3434</v>
      </c>
      <c r="B3419" t="s">
        <v>10</v>
      </c>
      <c r="C3419" t="s">
        <v>11</v>
      </c>
      <c r="D3419">
        <v>37</v>
      </c>
      <c r="E3419" s="1">
        <v>44249</v>
      </c>
      <c r="F3419">
        <v>2.88</v>
      </c>
      <c r="G3419">
        <v>12</v>
      </c>
      <c r="H3419">
        <v>6791.09</v>
      </c>
      <c r="I3419">
        <v>4.7</v>
      </c>
    </row>
    <row r="3420" spans="1:9" x14ac:dyDescent="0.3">
      <c r="A3420" t="s">
        <v>3435</v>
      </c>
      <c r="B3420" t="s">
        <v>10</v>
      </c>
      <c r="C3420" t="s">
        <v>14</v>
      </c>
      <c r="D3420">
        <v>25</v>
      </c>
      <c r="E3420" s="1">
        <v>41809</v>
      </c>
      <c r="F3420">
        <v>4.53</v>
      </c>
      <c r="G3420">
        <v>10</v>
      </c>
      <c r="H3420">
        <v>6154.52</v>
      </c>
      <c r="I3420">
        <v>11.4</v>
      </c>
    </row>
    <row r="3421" spans="1:9" x14ac:dyDescent="0.3">
      <c r="A3421" t="s">
        <v>3436</v>
      </c>
      <c r="B3421" t="s">
        <v>24</v>
      </c>
      <c r="C3421" t="s">
        <v>14</v>
      </c>
      <c r="D3421">
        <v>30</v>
      </c>
      <c r="E3421" s="1">
        <v>40856</v>
      </c>
      <c r="F3421">
        <v>4.3899999999999997</v>
      </c>
      <c r="G3421">
        <v>3</v>
      </c>
      <c r="H3421">
        <v>7813.52</v>
      </c>
      <c r="I3421">
        <v>14</v>
      </c>
    </row>
    <row r="3422" spans="1:9" x14ac:dyDescent="0.3">
      <c r="A3422" t="s">
        <v>3437</v>
      </c>
      <c r="B3422" t="s">
        <v>18</v>
      </c>
      <c r="C3422" t="s">
        <v>11</v>
      </c>
      <c r="D3422">
        <v>49</v>
      </c>
      <c r="E3422" s="1">
        <v>44946</v>
      </c>
      <c r="F3422">
        <v>2.52</v>
      </c>
      <c r="G3422">
        <v>8</v>
      </c>
      <c r="H3422">
        <v>13751.23</v>
      </c>
      <c r="I3422">
        <v>2.8</v>
      </c>
    </row>
    <row r="3423" spans="1:9" x14ac:dyDescent="0.3">
      <c r="A3423" t="s">
        <v>3438</v>
      </c>
      <c r="B3423" t="s">
        <v>16</v>
      </c>
      <c r="C3423" t="s">
        <v>11</v>
      </c>
      <c r="D3423">
        <v>42</v>
      </c>
      <c r="E3423" s="1">
        <v>45824</v>
      </c>
      <c r="F3423">
        <v>3.4</v>
      </c>
      <c r="G3423">
        <v>11</v>
      </c>
      <c r="H3423">
        <v>7657.89</v>
      </c>
      <c r="I3423">
        <v>0.4</v>
      </c>
    </row>
    <row r="3424" spans="1:9" x14ac:dyDescent="0.3">
      <c r="A3424" t="s">
        <v>3439</v>
      </c>
      <c r="B3424" t="s">
        <v>18</v>
      </c>
      <c r="C3424" t="s">
        <v>14</v>
      </c>
      <c r="D3424">
        <v>53</v>
      </c>
      <c r="E3424" s="1">
        <v>43885</v>
      </c>
      <c r="F3424">
        <v>1.78</v>
      </c>
      <c r="G3424">
        <v>7</v>
      </c>
      <c r="H3424">
        <v>7420.55</v>
      </c>
      <c r="I3424">
        <v>5.7</v>
      </c>
    </row>
    <row r="3425" spans="1:9" x14ac:dyDescent="0.3">
      <c r="A3425" t="s">
        <v>3440</v>
      </c>
      <c r="B3425" t="s">
        <v>10</v>
      </c>
      <c r="C3425" t="s">
        <v>11</v>
      </c>
      <c r="D3425">
        <v>53</v>
      </c>
      <c r="E3425" s="1">
        <v>41447</v>
      </c>
      <c r="F3425">
        <v>4.5999999999999996</v>
      </c>
      <c r="G3425">
        <v>1</v>
      </c>
      <c r="H3425">
        <v>12539.42</v>
      </c>
      <c r="I3425">
        <v>12.4</v>
      </c>
    </row>
    <row r="3426" spans="1:9" x14ac:dyDescent="0.3">
      <c r="A3426" t="s">
        <v>3441</v>
      </c>
      <c r="B3426" t="s">
        <v>10</v>
      </c>
      <c r="C3426" t="s">
        <v>14</v>
      </c>
      <c r="D3426">
        <v>53</v>
      </c>
      <c r="E3426" s="1">
        <v>41050</v>
      </c>
      <c r="F3426">
        <v>1.78</v>
      </c>
      <c r="G3426">
        <v>11</v>
      </c>
      <c r="H3426">
        <v>6397.09</v>
      </c>
      <c r="I3426">
        <v>13.5</v>
      </c>
    </row>
    <row r="3427" spans="1:9" x14ac:dyDescent="0.3">
      <c r="A3427" t="s">
        <v>3442</v>
      </c>
      <c r="B3427" t="s">
        <v>10</v>
      </c>
      <c r="C3427" t="s">
        <v>14</v>
      </c>
      <c r="D3427">
        <v>42</v>
      </c>
      <c r="E3427" s="1">
        <v>42244</v>
      </c>
      <c r="F3427">
        <v>3.54</v>
      </c>
      <c r="G3427">
        <v>2</v>
      </c>
      <c r="H3427">
        <v>14734.9</v>
      </c>
      <c r="I3427">
        <v>10.199999999999999</v>
      </c>
    </row>
    <row r="3428" spans="1:9" x14ac:dyDescent="0.3">
      <c r="A3428" t="s">
        <v>3443</v>
      </c>
      <c r="B3428" t="s">
        <v>24</v>
      </c>
      <c r="C3428" t="s">
        <v>14</v>
      </c>
      <c r="D3428">
        <v>36</v>
      </c>
      <c r="E3428" s="1">
        <v>44317</v>
      </c>
      <c r="F3428">
        <v>3.15</v>
      </c>
      <c r="G3428">
        <v>4</v>
      </c>
      <c r="H3428">
        <v>12134.8</v>
      </c>
      <c r="I3428">
        <v>4.5</v>
      </c>
    </row>
    <row r="3429" spans="1:9" x14ac:dyDescent="0.3">
      <c r="A3429" t="s">
        <v>3444</v>
      </c>
      <c r="B3429" t="s">
        <v>16</v>
      </c>
      <c r="C3429" t="s">
        <v>14</v>
      </c>
      <c r="D3429">
        <v>25</v>
      </c>
      <c r="E3429" s="1">
        <v>42601</v>
      </c>
      <c r="F3429">
        <v>2.85</v>
      </c>
      <c r="G3429">
        <v>3</v>
      </c>
      <c r="H3429">
        <v>14243.23</v>
      </c>
      <c r="I3429">
        <v>9.1999999999999993</v>
      </c>
    </row>
    <row r="3430" spans="1:9" x14ac:dyDescent="0.3">
      <c r="A3430" t="s">
        <v>3445</v>
      </c>
      <c r="B3430" t="s">
        <v>16</v>
      </c>
      <c r="C3430" t="s">
        <v>14</v>
      </c>
      <c r="D3430">
        <v>22</v>
      </c>
      <c r="E3430" s="1">
        <v>42763</v>
      </c>
      <c r="F3430">
        <v>4.38</v>
      </c>
      <c r="G3430">
        <v>12</v>
      </c>
      <c r="H3430">
        <v>12756.6</v>
      </c>
      <c r="I3430">
        <v>8.8000000000000007</v>
      </c>
    </row>
    <row r="3431" spans="1:9" x14ac:dyDescent="0.3">
      <c r="A3431" t="s">
        <v>3446</v>
      </c>
      <c r="B3431" t="s">
        <v>34</v>
      </c>
      <c r="C3431" t="s">
        <v>14</v>
      </c>
      <c r="D3431">
        <v>32</v>
      </c>
      <c r="E3431" s="1">
        <v>42962</v>
      </c>
      <c r="F3431">
        <v>4.16</v>
      </c>
      <c r="G3431">
        <v>4</v>
      </c>
      <c r="H3431">
        <v>4955.8</v>
      </c>
      <c r="I3431">
        <v>8.1999999999999993</v>
      </c>
    </row>
    <row r="3432" spans="1:9" x14ac:dyDescent="0.3">
      <c r="A3432" t="s">
        <v>3447</v>
      </c>
      <c r="B3432" t="s">
        <v>24</v>
      </c>
      <c r="C3432" t="s">
        <v>11</v>
      </c>
      <c r="D3432">
        <v>32</v>
      </c>
      <c r="E3432" s="1">
        <v>41006</v>
      </c>
      <c r="F3432">
        <v>1.97</v>
      </c>
      <c r="G3432">
        <v>3</v>
      </c>
      <c r="H3432">
        <v>4034.3</v>
      </c>
      <c r="I3432">
        <v>13.6</v>
      </c>
    </row>
    <row r="3433" spans="1:9" x14ac:dyDescent="0.3">
      <c r="A3433" t="s">
        <v>3448</v>
      </c>
      <c r="B3433" t="s">
        <v>13</v>
      </c>
      <c r="C3433" t="s">
        <v>14</v>
      </c>
      <c r="D3433">
        <v>46</v>
      </c>
      <c r="E3433" s="1">
        <v>43104</v>
      </c>
      <c r="F3433">
        <v>4.03</v>
      </c>
      <c r="G3433">
        <v>10</v>
      </c>
      <c r="H3433">
        <v>3671.13</v>
      </c>
      <c r="I3433">
        <v>7.8</v>
      </c>
    </row>
    <row r="3434" spans="1:9" x14ac:dyDescent="0.3">
      <c r="A3434" t="s">
        <v>3449</v>
      </c>
      <c r="B3434" t="s">
        <v>13</v>
      </c>
      <c r="C3434" t="s">
        <v>14</v>
      </c>
      <c r="D3434">
        <v>49</v>
      </c>
      <c r="E3434" s="1">
        <v>40290</v>
      </c>
      <c r="F3434">
        <v>3.38</v>
      </c>
      <c r="G3434">
        <v>11</v>
      </c>
      <c r="H3434">
        <v>7084.66</v>
      </c>
      <c r="I3434">
        <v>15.5</v>
      </c>
    </row>
    <row r="3435" spans="1:9" x14ac:dyDescent="0.3">
      <c r="A3435" t="s">
        <v>3450</v>
      </c>
      <c r="B3435" t="s">
        <v>10</v>
      </c>
      <c r="C3435" t="s">
        <v>11</v>
      </c>
      <c r="D3435">
        <v>43</v>
      </c>
      <c r="E3435" s="1">
        <v>40357</v>
      </c>
      <c r="F3435">
        <v>4.26</v>
      </c>
      <c r="G3435">
        <v>2</v>
      </c>
      <c r="H3435">
        <v>3591.24</v>
      </c>
      <c r="I3435">
        <v>15.4</v>
      </c>
    </row>
    <row r="3436" spans="1:9" x14ac:dyDescent="0.3">
      <c r="A3436" t="s">
        <v>3451</v>
      </c>
      <c r="B3436" t="s">
        <v>10</v>
      </c>
      <c r="C3436" t="s">
        <v>14</v>
      </c>
      <c r="D3436">
        <v>49</v>
      </c>
      <c r="E3436" s="1">
        <v>43499</v>
      </c>
      <c r="F3436">
        <v>2.17</v>
      </c>
      <c r="G3436">
        <v>10</v>
      </c>
      <c r="H3436">
        <v>14558.26</v>
      </c>
      <c r="I3436">
        <v>6.7</v>
      </c>
    </row>
    <row r="3437" spans="1:9" x14ac:dyDescent="0.3">
      <c r="A3437" t="s">
        <v>3452</v>
      </c>
      <c r="B3437" t="s">
        <v>13</v>
      </c>
      <c r="C3437" t="s">
        <v>11</v>
      </c>
      <c r="D3437">
        <v>38</v>
      </c>
      <c r="E3437" s="1">
        <v>42503</v>
      </c>
      <c r="F3437">
        <v>1.62</v>
      </c>
      <c r="G3437">
        <v>7</v>
      </c>
      <c r="H3437">
        <v>3812.5</v>
      </c>
      <c r="I3437">
        <v>9.5</v>
      </c>
    </row>
    <row r="3438" spans="1:9" x14ac:dyDescent="0.3">
      <c r="A3438" t="s">
        <v>3453</v>
      </c>
      <c r="B3438" t="s">
        <v>24</v>
      </c>
      <c r="C3438" t="s">
        <v>14</v>
      </c>
      <c r="D3438">
        <v>27</v>
      </c>
      <c r="E3438" s="1">
        <v>43989</v>
      </c>
      <c r="F3438">
        <v>3.75</v>
      </c>
      <c r="G3438">
        <v>1</v>
      </c>
      <c r="H3438">
        <v>5416.34</v>
      </c>
      <c r="I3438">
        <v>5.4</v>
      </c>
    </row>
    <row r="3439" spans="1:9" x14ac:dyDescent="0.3">
      <c r="A3439" t="s">
        <v>3454</v>
      </c>
      <c r="B3439" t="s">
        <v>34</v>
      </c>
      <c r="C3439" t="s">
        <v>11</v>
      </c>
      <c r="D3439">
        <v>28</v>
      </c>
      <c r="E3439" s="1">
        <v>42577</v>
      </c>
      <c r="F3439">
        <v>4.2300000000000004</v>
      </c>
      <c r="G3439">
        <v>4</v>
      </c>
      <c r="H3439">
        <v>8750.49</v>
      </c>
      <c r="I3439">
        <v>9.3000000000000007</v>
      </c>
    </row>
    <row r="3440" spans="1:9" x14ac:dyDescent="0.3">
      <c r="A3440" t="s">
        <v>3455</v>
      </c>
      <c r="B3440" t="s">
        <v>24</v>
      </c>
      <c r="C3440" t="s">
        <v>11</v>
      </c>
      <c r="D3440">
        <v>54</v>
      </c>
      <c r="E3440" s="1">
        <v>41996</v>
      </c>
      <c r="F3440">
        <v>4.05</v>
      </c>
      <c r="G3440">
        <v>3</v>
      </c>
      <c r="H3440">
        <v>4400.76</v>
      </c>
      <c r="I3440">
        <v>10.9</v>
      </c>
    </row>
    <row r="3441" spans="1:9" x14ac:dyDescent="0.3">
      <c r="A3441" t="s">
        <v>3456</v>
      </c>
      <c r="B3441" t="s">
        <v>34</v>
      </c>
      <c r="C3441" t="s">
        <v>11</v>
      </c>
      <c r="D3441">
        <v>36</v>
      </c>
      <c r="E3441" s="1">
        <v>42771</v>
      </c>
      <c r="F3441">
        <v>3.21</v>
      </c>
      <c r="G3441">
        <v>2</v>
      </c>
      <c r="H3441">
        <v>3944.08</v>
      </c>
      <c r="I3441">
        <v>8.6999999999999993</v>
      </c>
    </row>
    <row r="3442" spans="1:9" x14ac:dyDescent="0.3">
      <c r="A3442" t="s">
        <v>3457</v>
      </c>
      <c r="B3442" t="s">
        <v>13</v>
      </c>
      <c r="C3442" t="s">
        <v>11</v>
      </c>
      <c r="D3442">
        <v>56</v>
      </c>
      <c r="E3442" s="1">
        <v>45217</v>
      </c>
      <c r="F3442">
        <v>2.06</v>
      </c>
      <c r="G3442">
        <v>8</v>
      </c>
      <c r="H3442">
        <v>8079.15</v>
      </c>
      <c r="I3442">
        <v>2</v>
      </c>
    </row>
    <row r="3443" spans="1:9" x14ac:dyDescent="0.3">
      <c r="A3443" t="s">
        <v>3458</v>
      </c>
      <c r="B3443" t="s">
        <v>16</v>
      </c>
      <c r="C3443" t="s">
        <v>14</v>
      </c>
      <c r="D3443">
        <v>41</v>
      </c>
      <c r="E3443" s="1">
        <v>41302</v>
      </c>
      <c r="F3443">
        <v>4.3899999999999997</v>
      </c>
      <c r="G3443">
        <v>7</v>
      </c>
      <c r="H3443">
        <v>7824.88</v>
      </c>
      <c r="I3443">
        <v>12.8</v>
      </c>
    </row>
    <row r="3444" spans="1:9" x14ac:dyDescent="0.3">
      <c r="A3444" t="s">
        <v>3459</v>
      </c>
      <c r="B3444" t="s">
        <v>13</v>
      </c>
      <c r="C3444" t="s">
        <v>11</v>
      </c>
      <c r="D3444">
        <v>56</v>
      </c>
      <c r="E3444" s="1">
        <v>41122</v>
      </c>
      <c r="F3444">
        <v>3.9</v>
      </c>
      <c r="G3444">
        <v>5</v>
      </c>
      <c r="H3444">
        <v>8061.58</v>
      </c>
      <c r="I3444">
        <v>13.3</v>
      </c>
    </row>
    <row r="3445" spans="1:9" x14ac:dyDescent="0.3">
      <c r="A3445" t="s">
        <v>3460</v>
      </c>
      <c r="B3445" t="s">
        <v>10</v>
      </c>
      <c r="C3445" t="s">
        <v>14</v>
      </c>
      <c r="D3445">
        <v>33</v>
      </c>
      <c r="E3445" s="1">
        <v>44380</v>
      </c>
      <c r="F3445">
        <v>2.71</v>
      </c>
      <c r="G3445">
        <v>9</v>
      </c>
      <c r="H3445">
        <v>3326.97</v>
      </c>
      <c r="I3445">
        <v>4.3</v>
      </c>
    </row>
    <row r="3446" spans="1:9" x14ac:dyDescent="0.3">
      <c r="A3446" t="s">
        <v>3461</v>
      </c>
      <c r="B3446" t="s">
        <v>10</v>
      </c>
      <c r="C3446" t="s">
        <v>11</v>
      </c>
      <c r="D3446">
        <v>37</v>
      </c>
      <c r="E3446" s="1">
        <v>42566</v>
      </c>
      <c r="F3446">
        <v>3.55</v>
      </c>
      <c r="G3446">
        <v>3</v>
      </c>
      <c r="H3446">
        <v>12268.42</v>
      </c>
      <c r="I3446">
        <v>9.3000000000000007</v>
      </c>
    </row>
    <row r="3447" spans="1:9" x14ac:dyDescent="0.3">
      <c r="A3447" t="s">
        <v>3462</v>
      </c>
      <c r="B3447" t="s">
        <v>18</v>
      </c>
      <c r="C3447" t="s">
        <v>14</v>
      </c>
      <c r="D3447">
        <v>46</v>
      </c>
      <c r="E3447" s="1">
        <v>44007</v>
      </c>
      <c r="F3447">
        <v>3.95</v>
      </c>
      <c r="G3447">
        <v>10</v>
      </c>
      <c r="H3447">
        <v>14118.25</v>
      </c>
      <c r="I3447">
        <v>5.4</v>
      </c>
    </row>
    <row r="3448" spans="1:9" x14ac:dyDescent="0.3">
      <c r="A3448" t="s">
        <v>3463</v>
      </c>
      <c r="B3448" t="s">
        <v>16</v>
      </c>
      <c r="C3448" t="s">
        <v>11</v>
      </c>
      <c r="D3448">
        <v>55</v>
      </c>
      <c r="E3448" s="1">
        <v>43633</v>
      </c>
      <c r="F3448">
        <v>4.6500000000000004</v>
      </c>
      <c r="G3448">
        <v>4</v>
      </c>
      <c r="H3448">
        <v>10951.85</v>
      </c>
      <c r="I3448">
        <v>6.4</v>
      </c>
    </row>
    <row r="3449" spans="1:9" x14ac:dyDescent="0.3">
      <c r="A3449" t="s">
        <v>3464</v>
      </c>
      <c r="B3449" t="s">
        <v>10</v>
      </c>
      <c r="C3449" t="s">
        <v>14</v>
      </c>
      <c r="D3449">
        <v>45</v>
      </c>
      <c r="E3449" s="1">
        <v>44844</v>
      </c>
      <c r="F3449">
        <v>4.3</v>
      </c>
      <c r="G3449">
        <v>10</v>
      </c>
      <c r="H3449">
        <v>10919.33</v>
      </c>
      <c r="I3449">
        <v>3.1</v>
      </c>
    </row>
    <row r="3450" spans="1:9" x14ac:dyDescent="0.3">
      <c r="A3450" t="s">
        <v>3465</v>
      </c>
      <c r="B3450" t="s">
        <v>24</v>
      </c>
      <c r="C3450" t="s">
        <v>11</v>
      </c>
      <c r="D3450">
        <v>39</v>
      </c>
      <c r="E3450" s="1">
        <v>41722</v>
      </c>
      <c r="F3450">
        <v>2.98</v>
      </c>
      <c r="G3450">
        <v>5</v>
      </c>
      <c r="H3450">
        <v>14934.3</v>
      </c>
      <c r="I3450">
        <v>11.6</v>
      </c>
    </row>
    <row r="3451" spans="1:9" x14ac:dyDescent="0.3">
      <c r="A3451" t="s">
        <v>3466</v>
      </c>
      <c r="B3451" t="s">
        <v>18</v>
      </c>
      <c r="C3451" t="s">
        <v>11</v>
      </c>
      <c r="D3451">
        <v>60</v>
      </c>
      <c r="E3451" s="1">
        <v>42607</v>
      </c>
      <c r="F3451">
        <v>4.12</v>
      </c>
      <c r="G3451">
        <v>9</v>
      </c>
      <c r="H3451">
        <v>5339.37</v>
      </c>
      <c r="I3451">
        <v>9.1999999999999993</v>
      </c>
    </row>
    <row r="3452" spans="1:9" x14ac:dyDescent="0.3">
      <c r="A3452" t="s">
        <v>3467</v>
      </c>
      <c r="B3452" t="s">
        <v>18</v>
      </c>
      <c r="C3452" t="s">
        <v>14</v>
      </c>
      <c r="D3452">
        <v>29</v>
      </c>
      <c r="E3452" s="1">
        <v>42371</v>
      </c>
      <c r="F3452">
        <v>2.92</v>
      </c>
      <c r="G3452">
        <v>4</v>
      </c>
      <c r="H3452">
        <v>5018.08</v>
      </c>
      <c r="I3452">
        <v>9.8000000000000007</v>
      </c>
    </row>
    <row r="3453" spans="1:9" x14ac:dyDescent="0.3">
      <c r="A3453" t="s">
        <v>3468</v>
      </c>
      <c r="B3453" t="s">
        <v>34</v>
      </c>
      <c r="C3453" t="s">
        <v>14</v>
      </c>
      <c r="D3453">
        <v>54</v>
      </c>
      <c r="E3453" s="1">
        <v>43807</v>
      </c>
      <c r="F3453">
        <v>4.5199999999999996</v>
      </c>
      <c r="G3453">
        <v>14</v>
      </c>
      <c r="H3453">
        <v>5606.24</v>
      </c>
      <c r="I3453">
        <v>5.9</v>
      </c>
    </row>
    <row r="3454" spans="1:9" x14ac:dyDescent="0.3">
      <c r="A3454" t="s">
        <v>3469</v>
      </c>
      <c r="B3454" t="s">
        <v>24</v>
      </c>
      <c r="C3454" t="s">
        <v>11</v>
      </c>
      <c r="D3454">
        <v>53</v>
      </c>
      <c r="E3454" s="1">
        <v>41584</v>
      </c>
      <c r="F3454">
        <v>4.75</v>
      </c>
      <c r="G3454">
        <v>12</v>
      </c>
      <c r="H3454">
        <v>3815.92</v>
      </c>
      <c r="I3454">
        <v>12</v>
      </c>
    </row>
    <row r="3455" spans="1:9" x14ac:dyDescent="0.3">
      <c r="A3455" t="s">
        <v>3470</v>
      </c>
      <c r="B3455" t="s">
        <v>13</v>
      </c>
      <c r="C3455" t="s">
        <v>14</v>
      </c>
      <c r="D3455">
        <v>32</v>
      </c>
      <c r="E3455" s="1">
        <v>45797</v>
      </c>
      <c r="F3455">
        <v>1.85</v>
      </c>
      <c r="G3455">
        <v>3</v>
      </c>
      <c r="H3455">
        <v>10851.1</v>
      </c>
      <c r="I3455">
        <v>0.5</v>
      </c>
    </row>
    <row r="3456" spans="1:9" x14ac:dyDescent="0.3">
      <c r="A3456" t="s">
        <v>3471</v>
      </c>
      <c r="B3456" t="s">
        <v>18</v>
      </c>
      <c r="C3456" t="s">
        <v>11</v>
      </c>
      <c r="D3456">
        <v>48</v>
      </c>
      <c r="E3456" s="1">
        <v>44760</v>
      </c>
      <c r="F3456">
        <v>4.12</v>
      </c>
      <c r="G3456">
        <v>12</v>
      </c>
      <c r="H3456">
        <v>4660.84</v>
      </c>
      <c r="I3456">
        <v>3.3</v>
      </c>
    </row>
    <row r="3457" spans="1:9" x14ac:dyDescent="0.3">
      <c r="A3457" t="s">
        <v>3472</v>
      </c>
      <c r="B3457" t="s">
        <v>13</v>
      </c>
      <c r="C3457" t="s">
        <v>14</v>
      </c>
      <c r="D3457">
        <v>57</v>
      </c>
      <c r="E3457" s="1">
        <v>40977</v>
      </c>
      <c r="F3457">
        <v>2.34</v>
      </c>
      <c r="G3457">
        <v>7</v>
      </c>
      <c r="H3457">
        <v>5637.22</v>
      </c>
      <c r="I3457">
        <v>13.7</v>
      </c>
    </row>
    <row r="3458" spans="1:9" x14ac:dyDescent="0.3">
      <c r="A3458" t="s">
        <v>3473</v>
      </c>
      <c r="B3458" t="s">
        <v>16</v>
      </c>
      <c r="C3458" t="s">
        <v>14</v>
      </c>
      <c r="D3458">
        <v>31</v>
      </c>
      <c r="E3458" s="1">
        <v>41787</v>
      </c>
      <c r="F3458">
        <v>2.57</v>
      </c>
      <c r="G3458">
        <v>3</v>
      </c>
      <c r="H3458">
        <v>7056.96</v>
      </c>
      <c r="I3458">
        <v>11.4</v>
      </c>
    </row>
    <row r="3459" spans="1:9" x14ac:dyDescent="0.3">
      <c r="A3459" t="s">
        <v>3474</v>
      </c>
      <c r="B3459" t="s">
        <v>24</v>
      </c>
      <c r="C3459" t="s">
        <v>14</v>
      </c>
      <c r="D3459">
        <v>53</v>
      </c>
      <c r="E3459" s="1">
        <v>43024</v>
      </c>
      <c r="F3459">
        <v>4.91</v>
      </c>
      <c r="G3459">
        <v>5</v>
      </c>
      <c r="H3459">
        <v>11635.98</v>
      </c>
      <c r="I3459">
        <v>8</v>
      </c>
    </row>
    <row r="3460" spans="1:9" x14ac:dyDescent="0.3">
      <c r="A3460" t="s">
        <v>3475</v>
      </c>
      <c r="B3460" t="s">
        <v>10</v>
      </c>
      <c r="C3460" t="s">
        <v>14</v>
      </c>
      <c r="D3460">
        <v>39</v>
      </c>
      <c r="E3460" s="1">
        <v>41315</v>
      </c>
      <c r="F3460">
        <v>2.76</v>
      </c>
      <c r="G3460">
        <v>1</v>
      </c>
      <c r="H3460">
        <v>12116.54</v>
      </c>
      <c r="I3460">
        <v>12.7</v>
      </c>
    </row>
    <row r="3461" spans="1:9" x14ac:dyDescent="0.3">
      <c r="A3461" t="s">
        <v>3476</v>
      </c>
      <c r="B3461" t="s">
        <v>34</v>
      </c>
      <c r="C3461" t="s">
        <v>14</v>
      </c>
      <c r="D3461">
        <v>51</v>
      </c>
      <c r="E3461" s="1">
        <v>41639</v>
      </c>
      <c r="F3461">
        <v>4.29</v>
      </c>
      <c r="G3461">
        <v>1</v>
      </c>
      <c r="H3461">
        <v>6543.9</v>
      </c>
      <c r="I3461">
        <v>11.8</v>
      </c>
    </row>
    <row r="3462" spans="1:9" x14ac:dyDescent="0.3">
      <c r="A3462" t="s">
        <v>3477</v>
      </c>
      <c r="B3462" t="s">
        <v>13</v>
      </c>
      <c r="C3462" t="s">
        <v>11</v>
      </c>
      <c r="D3462">
        <v>52</v>
      </c>
      <c r="E3462" s="1">
        <v>45609</v>
      </c>
      <c r="F3462">
        <v>3.15</v>
      </c>
      <c r="G3462">
        <v>12</v>
      </c>
      <c r="H3462">
        <v>11042.19</v>
      </c>
      <c r="I3462">
        <v>1</v>
      </c>
    </row>
    <row r="3463" spans="1:9" x14ac:dyDescent="0.3">
      <c r="A3463" t="s">
        <v>3478</v>
      </c>
      <c r="B3463" t="s">
        <v>24</v>
      </c>
      <c r="C3463" t="s">
        <v>11</v>
      </c>
      <c r="D3463">
        <v>42</v>
      </c>
      <c r="E3463" s="1">
        <v>44060</v>
      </c>
      <c r="F3463">
        <v>2.71</v>
      </c>
      <c r="G3463">
        <v>2</v>
      </c>
      <c r="H3463">
        <v>9431.2800000000007</v>
      </c>
      <c r="I3463">
        <v>5.2</v>
      </c>
    </row>
    <row r="3464" spans="1:9" x14ac:dyDescent="0.3">
      <c r="A3464" t="s">
        <v>3479</v>
      </c>
      <c r="B3464" t="s">
        <v>18</v>
      </c>
      <c r="C3464" t="s">
        <v>11</v>
      </c>
      <c r="D3464">
        <v>45</v>
      </c>
      <c r="E3464" s="1">
        <v>43943</v>
      </c>
      <c r="F3464">
        <v>1.8</v>
      </c>
      <c r="G3464">
        <v>4</v>
      </c>
      <c r="H3464">
        <v>11743.77</v>
      </c>
      <c r="I3464">
        <v>5.5</v>
      </c>
    </row>
    <row r="3465" spans="1:9" x14ac:dyDescent="0.3">
      <c r="A3465" t="s">
        <v>3480</v>
      </c>
      <c r="B3465" t="s">
        <v>24</v>
      </c>
      <c r="C3465" t="s">
        <v>14</v>
      </c>
      <c r="D3465">
        <v>27</v>
      </c>
      <c r="E3465" s="1">
        <v>44469</v>
      </c>
      <c r="F3465">
        <v>4.34</v>
      </c>
      <c r="G3465">
        <v>0</v>
      </c>
      <c r="H3465">
        <v>12540.33</v>
      </c>
      <c r="I3465">
        <v>4.0999999999999996</v>
      </c>
    </row>
    <row r="3466" spans="1:9" x14ac:dyDescent="0.3">
      <c r="A3466" t="s">
        <v>3481</v>
      </c>
      <c r="B3466" t="s">
        <v>18</v>
      </c>
      <c r="C3466" t="s">
        <v>11</v>
      </c>
      <c r="D3466">
        <v>55</v>
      </c>
      <c r="E3466" s="1">
        <v>45141</v>
      </c>
      <c r="F3466">
        <v>1.76</v>
      </c>
      <c r="G3466">
        <v>11</v>
      </c>
      <c r="H3466">
        <v>7144.35</v>
      </c>
      <c r="I3466">
        <v>2.2000000000000002</v>
      </c>
    </row>
    <row r="3467" spans="1:9" x14ac:dyDescent="0.3">
      <c r="A3467" t="s">
        <v>3482</v>
      </c>
      <c r="B3467" t="s">
        <v>18</v>
      </c>
      <c r="C3467" t="s">
        <v>11</v>
      </c>
      <c r="D3467">
        <v>49</v>
      </c>
      <c r="E3467" s="1">
        <v>43746</v>
      </c>
      <c r="F3467">
        <v>2.92</v>
      </c>
      <c r="G3467">
        <v>5</v>
      </c>
      <c r="H3467">
        <v>4335.32</v>
      </c>
      <c r="I3467">
        <v>6.1</v>
      </c>
    </row>
    <row r="3468" spans="1:9" x14ac:dyDescent="0.3">
      <c r="A3468" t="s">
        <v>3483</v>
      </c>
      <c r="B3468" t="s">
        <v>24</v>
      </c>
      <c r="C3468" t="s">
        <v>11</v>
      </c>
      <c r="D3468">
        <v>37</v>
      </c>
      <c r="E3468" s="1">
        <v>40623</v>
      </c>
      <c r="F3468">
        <v>1.77</v>
      </c>
      <c r="G3468">
        <v>10</v>
      </c>
      <c r="H3468">
        <v>13200.4</v>
      </c>
      <c r="I3468">
        <v>14.6</v>
      </c>
    </row>
    <row r="3469" spans="1:9" x14ac:dyDescent="0.3">
      <c r="A3469" t="s">
        <v>3484</v>
      </c>
      <c r="B3469" t="s">
        <v>34</v>
      </c>
      <c r="C3469" t="s">
        <v>14</v>
      </c>
      <c r="D3469">
        <v>33</v>
      </c>
      <c r="E3469" s="1">
        <v>40843</v>
      </c>
      <c r="F3469">
        <v>4.9800000000000004</v>
      </c>
      <c r="G3469">
        <v>6</v>
      </c>
      <c r="H3469">
        <v>4752.16</v>
      </c>
      <c r="I3469">
        <v>14</v>
      </c>
    </row>
    <row r="3470" spans="1:9" x14ac:dyDescent="0.3">
      <c r="A3470" t="s">
        <v>3485</v>
      </c>
      <c r="B3470" t="s">
        <v>16</v>
      </c>
      <c r="C3470" t="s">
        <v>14</v>
      </c>
      <c r="D3470">
        <v>30</v>
      </c>
      <c r="E3470" s="1">
        <v>44163</v>
      </c>
      <c r="F3470">
        <v>3.1</v>
      </c>
      <c r="G3470">
        <v>13</v>
      </c>
      <c r="H3470">
        <v>6747.71</v>
      </c>
      <c r="I3470">
        <v>4.9000000000000004</v>
      </c>
    </row>
    <row r="3471" spans="1:9" x14ac:dyDescent="0.3">
      <c r="A3471" t="s">
        <v>3486</v>
      </c>
      <c r="B3471" t="s">
        <v>34</v>
      </c>
      <c r="C3471" t="s">
        <v>11</v>
      </c>
      <c r="D3471">
        <v>33</v>
      </c>
      <c r="E3471" s="1">
        <v>41247</v>
      </c>
      <c r="F3471">
        <v>2.16</v>
      </c>
      <c r="G3471">
        <v>11</v>
      </c>
      <c r="H3471">
        <v>9212.7099999999991</v>
      </c>
      <c r="I3471">
        <v>12.9</v>
      </c>
    </row>
    <row r="3472" spans="1:9" x14ac:dyDescent="0.3">
      <c r="A3472" t="s">
        <v>3487</v>
      </c>
      <c r="B3472" t="s">
        <v>24</v>
      </c>
      <c r="C3472" t="s">
        <v>14</v>
      </c>
      <c r="D3472">
        <v>28</v>
      </c>
      <c r="E3472" s="1">
        <v>40567</v>
      </c>
      <c r="F3472">
        <v>4.71</v>
      </c>
      <c r="G3472">
        <v>14</v>
      </c>
      <c r="H3472">
        <v>10780.55</v>
      </c>
      <c r="I3472">
        <v>14.8</v>
      </c>
    </row>
    <row r="3473" spans="1:9" x14ac:dyDescent="0.3">
      <c r="A3473" t="s">
        <v>3488</v>
      </c>
      <c r="B3473" t="s">
        <v>18</v>
      </c>
      <c r="C3473" t="s">
        <v>14</v>
      </c>
      <c r="D3473">
        <v>57</v>
      </c>
      <c r="E3473" s="1">
        <v>43066</v>
      </c>
      <c r="F3473">
        <v>3.87</v>
      </c>
      <c r="G3473">
        <v>7</v>
      </c>
      <c r="H3473">
        <v>8998.6299999999992</v>
      </c>
      <c r="I3473">
        <v>7.9</v>
      </c>
    </row>
    <row r="3474" spans="1:9" x14ac:dyDescent="0.3">
      <c r="A3474" t="s">
        <v>3489</v>
      </c>
      <c r="B3474" t="s">
        <v>10</v>
      </c>
      <c r="C3474" t="s">
        <v>11</v>
      </c>
      <c r="D3474">
        <v>49</v>
      </c>
      <c r="E3474" s="1">
        <v>45160</v>
      </c>
      <c r="F3474">
        <v>4.9000000000000004</v>
      </c>
      <c r="G3474">
        <v>2</v>
      </c>
      <c r="H3474">
        <v>7084.42</v>
      </c>
      <c r="I3474">
        <v>2.2000000000000002</v>
      </c>
    </row>
    <row r="3475" spans="1:9" x14ac:dyDescent="0.3">
      <c r="A3475" t="s">
        <v>3490</v>
      </c>
      <c r="B3475" t="s">
        <v>34</v>
      </c>
      <c r="C3475" t="s">
        <v>11</v>
      </c>
      <c r="D3475">
        <v>55</v>
      </c>
      <c r="E3475" s="1">
        <v>41678</v>
      </c>
      <c r="F3475">
        <v>4.78</v>
      </c>
      <c r="G3475">
        <v>10</v>
      </c>
      <c r="H3475">
        <v>13955.16</v>
      </c>
      <c r="I3475">
        <v>11.7</v>
      </c>
    </row>
    <row r="3476" spans="1:9" x14ac:dyDescent="0.3">
      <c r="A3476" t="s">
        <v>3491</v>
      </c>
      <c r="B3476" t="s">
        <v>18</v>
      </c>
      <c r="C3476" t="s">
        <v>11</v>
      </c>
      <c r="D3476">
        <v>54</v>
      </c>
      <c r="E3476" s="1">
        <v>44200</v>
      </c>
      <c r="F3476">
        <v>4.58</v>
      </c>
      <c r="G3476">
        <v>3</v>
      </c>
      <c r="H3476">
        <v>4670.5600000000004</v>
      </c>
      <c r="I3476">
        <v>4.8</v>
      </c>
    </row>
    <row r="3477" spans="1:9" x14ac:dyDescent="0.3">
      <c r="A3477" t="s">
        <v>3492</v>
      </c>
      <c r="B3477" t="s">
        <v>13</v>
      </c>
      <c r="C3477" t="s">
        <v>11</v>
      </c>
      <c r="D3477">
        <v>30</v>
      </c>
      <c r="E3477" s="1">
        <v>44283</v>
      </c>
      <c r="F3477">
        <v>3.95</v>
      </c>
      <c r="G3477">
        <v>10</v>
      </c>
      <c r="H3477">
        <v>3814.46</v>
      </c>
      <c r="I3477">
        <v>4.5999999999999996</v>
      </c>
    </row>
    <row r="3478" spans="1:9" x14ac:dyDescent="0.3">
      <c r="A3478" t="s">
        <v>3493</v>
      </c>
      <c r="B3478" t="s">
        <v>24</v>
      </c>
      <c r="C3478" t="s">
        <v>14</v>
      </c>
      <c r="D3478">
        <v>49</v>
      </c>
      <c r="E3478" s="1">
        <v>44492</v>
      </c>
      <c r="F3478">
        <v>3.2</v>
      </c>
      <c r="G3478">
        <v>5</v>
      </c>
      <c r="H3478">
        <v>11241.06</v>
      </c>
      <c r="I3478">
        <v>4</v>
      </c>
    </row>
    <row r="3479" spans="1:9" x14ac:dyDescent="0.3">
      <c r="A3479" t="s">
        <v>3494</v>
      </c>
      <c r="B3479" t="s">
        <v>18</v>
      </c>
      <c r="C3479" t="s">
        <v>11</v>
      </c>
      <c r="D3479">
        <v>26</v>
      </c>
      <c r="E3479" s="1">
        <v>41761</v>
      </c>
      <c r="F3479">
        <v>3.05</v>
      </c>
      <c r="G3479">
        <v>8</v>
      </c>
      <c r="H3479">
        <v>5301.07</v>
      </c>
      <c r="I3479">
        <v>11.5</v>
      </c>
    </row>
    <row r="3480" spans="1:9" x14ac:dyDescent="0.3">
      <c r="A3480" t="s">
        <v>3495</v>
      </c>
      <c r="B3480" t="s">
        <v>18</v>
      </c>
      <c r="C3480" t="s">
        <v>11</v>
      </c>
      <c r="D3480">
        <v>54</v>
      </c>
      <c r="E3480" s="1">
        <v>40520</v>
      </c>
      <c r="F3480">
        <v>4.43</v>
      </c>
      <c r="G3480">
        <v>11</v>
      </c>
      <c r="H3480">
        <v>10067.66</v>
      </c>
      <c r="I3480">
        <v>14.9</v>
      </c>
    </row>
    <row r="3481" spans="1:9" x14ac:dyDescent="0.3">
      <c r="A3481" t="s">
        <v>3496</v>
      </c>
      <c r="B3481" t="s">
        <v>18</v>
      </c>
      <c r="C3481" t="s">
        <v>14</v>
      </c>
      <c r="D3481">
        <v>37</v>
      </c>
      <c r="E3481" s="1">
        <v>43418</v>
      </c>
      <c r="F3481">
        <v>2.71</v>
      </c>
      <c r="G3481">
        <v>3</v>
      </c>
      <c r="H3481">
        <v>10007</v>
      </c>
      <c r="I3481">
        <v>7</v>
      </c>
    </row>
    <row r="3482" spans="1:9" x14ac:dyDescent="0.3">
      <c r="A3482" t="s">
        <v>3497</v>
      </c>
      <c r="B3482" t="s">
        <v>18</v>
      </c>
      <c r="C3482" t="s">
        <v>11</v>
      </c>
      <c r="D3482">
        <v>41</v>
      </c>
      <c r="E3482" s="1">
        <v>41774</v>
      </c>
      <c r="F3482">
        <v>4.79</v>
      </c>
      <c r="G3482">
        <v>10</v>
      </c>
      <c r="H3482">
        <v>8144.99</v>
      </c>
      <c r="I3482">
        <v>11.5</v>
      </c>
    </row>
    <row r="3483" spans="1:9" x14ac:dyDescent="0.3">
      <c r="A3483" t="s">
        <v>3498</v>
      </c>
      <c r="B3483" t="s">
        <v>16</v>
      </c>
      <c r="C3483" t="s">
        <v>11</v>
      </c>
      <c r="D3483">
        <v>27</v>
      </c>
      <c r="E3483" s="1">
        <v>41773</v>
      </c>
      <c r="F3483">
        <v>1.53</v>
      </c>
      <c r="G3483">
        <v>6</v>
      </c>
      <c r="H3483">
        <v>9805.0400000000009</v>
      </c>
      <c r="I3483">
        <v>11.5</v>
      </c>
    </row>
    <row r="3484" spans="1:9" x14ac:dyDescent="0.3">
      <c r="A3484" t="s">
        <v>3499</v>
      </c>
      <c r="B3484" t="s">
        <v>10</v>
      </c>
      <c r="C3484" t="s">
        <v>14</v>
      </c>
      <c r="D3484">
        <v>28</v>
      </c>
      <c r="E3484" s="1">
        <v>41780</v>
      </c>
      <c r="F3484">
        <v>4.8499999999999996</v>
      </c>
      <c r="G3484">
        <v>1</v>
      </c>
      <c r="H3484">
        <v>13815.03</v>
      </c>
      <c r="I3484">
        <v>11.5</v>
      </c>
    </row>
    <row r="3485" spans="1:9" x14ac:dyDescent="0.3">
      <c r="A3485" t="s">
        <v>3500</v>
      </c>
      <c r="B3485" t="s">
        <v>16</v>
      </c>
      <c r="C3485" t="s">
        <v>11</v>
      </c>
      <c r="D3485">
        <v>52</v>
      </c>
      <c r="E3485" s="1">
        <v>43484</v>
      </c>
      <c r="F3485">
        <v>4.09</v>
      </c>
      <c r="G3485">
        <v>4</v>
      </c>
      <c r="H3485">
        <v>8384.1</v>
      </c>
      <c r="I3485">
        <v>6.8</v>
      </c>
    </row>
    <row r="3486" spans="1:9" x14ac:dyDescent="0.3">
      <c r="A3486" t="s">
        <v>3501</v>
      </c>
      <c r="B3486" t="s">
        <v>24</v>
      </c>
      <c r="C3486" t="s">
        <v>14</v>
      </c>
      <c r="D3486">
        <v>32</v>
      </c>
      <c r="E3486" s="1">
        <v>45383</v>
      </c>
      <c r="F3486">
        <v>4.8499999999999996</v>
      </c>
      <c r="G3486">
        <v>2</v>
      </c>
      <c r="H3486">
        <v>8255.7000000000007</v>
      </c>
      <c r="I3486">
        <v>1.6</v>
      </c>
    </row>
    <row r="3487" spans="1:9" x14ac:dyDescent="0.3">
      <c r="A3487" t="s">
        <v>3502</v>
      </c>
      <c r="B3487" t="s">
        <v>24</v>
      </c>
      <c r="C3487" t="s">
        <v>14</v>
      </c>
      <c r="D3487">
        <v>32</v>
      </c>
      <c r="E3487" s="1">
        <v>42788</v>
      </c>
      <c r="F3487">
        <v>1.71</v>
      </c>
      <c r="G3487">
        <v>5</v>
      </c>
      <c r="H3487">
        <v>10478.33</v>
      </c>
      <c r="I3487">
        <v>8.6999999999999993</v>
      </c>
    </row>
    <row r="3488" spans="1:9" x14ac:dyDescent="0.3">
      <c r="A3488" t="s">
        <v>3503</v>
      </c>
      <c r="B3488" t="s">
        <v>24</v>
      </c>
      <c r="C3488" t="s">
        <v>11</v>
      </c>
      <c r="D3488">
        <v>50</v>
      </c>
      <c r="E3488" s="1">
        <v>42985</v>
      </c>
      <c r="F3488">
        <v>2.04</v>
      </c>
      <c r="G3488">
        <v>7</v>
      </c>
      <c r="H3488">
        <v>14902.38</v>
      </c>
      <c r="I3488">
        <v>8.1999999999999993</v>
      </c>
    </row>
    <row r="3489" spans="1:9" x14ac:dyDescent="0.3">
      <c r="A3489" t="s">
        <v>3504</v>
      </c>
      <c r="B3489" t="s">
        <v>16</v>
      </c>
      <c r="C3489" t="s">
        <v>11</v>
      </c>
      <c r="D3489">
        <v>51</v>
      </c>
      <c r="E3489" s="1">
        <v>43628</v>
      </c>
      <c r="F3489">
        <v>4.4800000000000004</v>
      </c>
      <c r="G3489">
        <v>4</v>
      </c>
      <c r="H3489">
        <v>8321.02</v>
      </c>
      <c r="I3489">
        <v>6.4</v>
      </c>
    </row>
    <row r="3490" spans="1:9" x14ac:dyDescent="0.3">
      <c r="A3490" t="s">
        <v>3505</v>
      </c>
      <c r="B3490" t="s">
        <v>13</v>
      </c>
      <c r="C3490" t="s">
        <v>11</v>
      </c>
      <c r="D3490">
        <v>26</v>
      </c>
      <c r="E3490" s="1">
        <v>44523</v>
      </c>
      <c r="F3490">
        <v>2.12</v>
      </c>
      <c r="G3490">
        <v>3</v>
      </c>
      <c r="H3490">
        <v>12682.52</v>
      </c>
      <c r="I3490">
        <v>3.9</v>
      </c>
    </row>
    <row r="3491" spans="1:9" x14ac:dyDescent="0.3">
      <c r="A3491" t="s">
        <v>3506</v>
      </c>
      <c r="B3491" t="s">
        <v>16</v>
      </c>
      <c r="C3491" t="s">
        <v>14</v>
      </c>
      <c r="D3491">
        <v>39</v>
      </c>
      <c r="E3491" s="1">
        <v>42949</v>
      </c>
      <c r="F3491">
        <v>1.76</v>
      </c>
      <c r="G3491">
        <v>7</v>
      </c>
      <c r="H3491">
        <v>13006.93</v>
      </c>
      <c r="I3491">
        <v>8.3000000000000007</v>
      </c>
    </row>
    <row r="3492" spans="1:9" x14ac:dyDescent="0.3">
      <c r="A3492" t="s">
        <v>3507</v>
      </c>
      <c r="B3492" t="s">
        <v>34</v>
      </c>
      <c r="C3492" t="s">
        <v>11</v>
      </c>
      <c r="D3492">
        <v>48</v>
      </c>
      <c r="E3492" s="1">
        <v>41553</v>
      </c>
      <c r="F3492">
        <v>3.71</v>
      </c>
      <c r="G3492">
        <v>13</v>
      </c>
      <c r="H3492">
        <v>6714.46</v>
      </c>
      <c r="I3492">
        <v>12.1</v>
      </c>
    </row>
    <row r="3493" spans="1:9" x14ac:dyDescent="0.3">
      <c r="A3493" t="s">
        <v>3508</v>
      </c>
      <c r="B3493" t="s">
        <v>34</v>
      </c>
      <c r="C3493" t="s">
        <v>11</v>
      </c>
      <c r="D3493">
        <v>30</v>
      </c>
      <c r="E3493" s="1">
        <v>44514</v>
      </c>
      <c r="F3493">
        <v>3.6</v>
      </c>
      <c r="G3493">
        <v>2</v>
      </c>
      <c r="H3493">
        <v>8946.27</v>
      </c>
      <c r="I3493">
        <v>4</v>
      </c>
    </row>
    <row r="3494" spans="1:9" x14ac:dyDescent="0.3">
      <c r="A3494" t="s">
        <v>3509</v>
      </c>
      <c r="B3494" t="s">
        <v>18</v>
      </c>
      <c r="C3494" t="s">
        <v>14</v>
      </c>
      <c r="D3494">
        <v>29</v>
      </c>
      <c r="E3494" s="1">
        <v>42106</v>
      </c>
      <c r="F3494">
        <v>3.02</v>
      </c>
      <c r="G3494">
        <v>2</v>
      </c>
      <c r="H3494">
        <v>11414.88</v>
      </c>
      <c r="I3494">
        <v>10.6</v>
      </c>
    </row>
    <row r="3495" spans="1:9" x14ac:dyDescent="0.3">
      <c r="A3495" t="s">
        <v>3510</v>
      </c>
      <c r="B3495" t="s">
        <v>24</v>
      </c>
      <c r="C3495" t="s">
        <v>14</v>
      </c>
      <c r="D3495">
        <v>54</v>
      </c>
      <c r="E3495" s="1">
        <v>41015</v>
      </c>
      <c r="F3495">
        <v>2.02</v>
      </c>
      <c r="G3495">
        <v>6</v>
      </c>
      <c r="H3495">
        <v>14100.67</v>
      </c>
      <c r="I3495">
        <v>13.6</v>
      </c>
    </row>
    <row r="3496" spans="1:9" x14ac:dyDescent="0.3">
      <c r="A3496" t="s">
        <v>3511</v>
      </c>
      <c r="B3496" t="s">
        <v>16</v>
      </c>
      <c r="C3496" t="s">
        <v>14</v>
      </c>
      <c r="D3496">
        <v>60</v>
      </c>
      <c r="E3496" s="1">
        <v>43173</v>
      </c>
      <c r="F3496">
        <v>4.5199999999999996</v>
      </c>
      <c r="G3496">
        <v>13</v>
      </c>
      <c r="H3496">
        <v>11330.33</v>
      </c>
      <c r="I3496">
        <v>7.6</v>
      </c>
    </row>
    <row r="3497" spans="1:9" x14ac:dyDescent="0.3">
      <c r="A3497" t="s">
        <v>3512</v>
      </c>
      <c r="B3497" t="s">
        <v>18</v>
      </c>
      <c r="C3497" t="s">
        <v>11</v>
      </c>
      <c r="D3497">
        <v>30</v>
      </c>
      <c r="E3497" s="1">
        <v>44388</v>
      </c>
      <c r="F3497">
        <v>3.88</v>
      </c>
      <c r="G3497">
        <v>3</v>
      </c>
      <c r="H3497">
        <v>11998.4</v>
      </c>
      <c r="I3497">
        <v>4.3</v>
      </c>
    </row>
    <row r="3498" spans="1:9" x14ac:dyDescent="0.3">
      <c r="A3498" t="s">
        <v>3513</v>
      </c>
      <c r="B3498" t="s">
        <v>18</v>
      </c>
      <c r="C3498" t="s">
        <v>14</v>
      </c>
      <c r="D3498">
        <v>26</v>
      </c>
      <c r="E3498" s="1">
        <v>43425</v>
      </c>
      <c r="F3498">
        <v>2.12</v>
      </c>
      <c r="G3498">
        <v>8</v>
      </c>
      <c r="H3498">
        <v>10771.35</v>
      </c>
      <c r="I3498">
        <v>7</v>
      </c>
    </row>
    <row r="3499" spans="1:9" x14ac:dyDescent="0.3">
      <c r="A3499" t="s">
        <v>3514</v>
      </c>
      <c r="B3499" t="s">
        <v>34</v>
      </c>
      <c r="C3499" t="s">
        <v>14</v>
      </c>
      <c r="D3499">
        <v>42</v>
      </c>
      <c r="E3499" s="1">
        <v>41567</v>
      </c>
      <c r="F3499">
        <v>4.99</v>
      </c>
      <c r="G3499">
        <v>10</v>
      </c>
      <c r="H3499">
        <v>14005.46</v>
      </c>
      <c r="I3499">
        <v>12</v>
      </c>
    </row>
    <row r="3500" spans="1:9" x14ac:dyDescent="0.3">
      <c r="A3500" t="s">
        <v>3515</v>
      </c>
      <c r="B3500" t="s">
        <v>24</v>
      </c>
      <c r="C3500" t="s">
        <v>14</v>
      </c>
      <c r="D3500">
        <v>47</v>
      </c>
      <c r="E3500" s="1">
        <v>44871</v>
      </c>
      <c r="F3500">
        <v>1.58</v>
      </c>
      <c r="G3500">
        <v>7</v>
      </c>
      <c r="H3500">
        <v>10858.65</v>
      </c>
      <c r="I3500">
        <v>3</v>
      </c>
    </row>
    <row r="3501" spans="1:9" x14ac:dyDescent="0.3">
      <c r="A3501" t="s">
        <v>3516</v>
      </c>
      <c r="B3501" t="s">
        <v>24</v>
      </c>
      <c r="C3501" t="s">
        <v>14</v>
      </c>
      <c r="D3501">
        <v>56</v>
      </c>
      <c r="E3501" s="1">
        <v>44696</v>
      </c>
      <c r="F3501">
        <v>2.94</v>
      </c>
      <c r="G3501">
        <v>10</v>
      </c>
      <c r="H3501">
        <v>14781.81</v>
      </c>
      <c r="I3501">
        <v>3.5</v>
      </c>
    </row>
    <row r="3502" spans="1:9" x14ac:dyDescent="0.3">
      <c r="A3502" t="s">
        <v>3517</v>
      </c>
      <c r="B3502" t="s">
        <v>18</v>
      </c>
      <c r="C3502" t="s">
        <v>14</v>
      </c>
      <c r="D3502">
        <v>46</v>
      </c>
      <c r="E3502" s="1">
        <v>43131</v>
      </c>
      <c r="F3502">
        <v>2.08</v>
      </c>
      <c r="G3502">
        <v>15</v>
      </c>
      <c r="H3502">
        <v>9071.32</v>
      </c>
      <c r="I3502">
        <v>7.8</v>
      </c>
    </row>
    <row r="3503" spans="1:9" x14ac:dyDescent="0.3">
      <c r="A3503" t="s">
        <v>3518</v>
      </c>
      <c r="B3503" t="s">
        <v>24</v>
      </c>
      <c r="C3503" t="s">
        <v>14</v>
      </c>
      <c r="D3503">
        <v>54</v>
      </c>
      <c r="E3503" s="1">
        <v>45867</v>
      </c>
      <c r="F3503">
        <v>4.29</v>
      </c>
      <c r="G3503">
        <v>15</v>
      </c>
      <c r="H3503">
        <v>6981.77</v>
      </c>
      <c r="I3503">
        <v>0.3</v>
      </c>
    </row>
    <row r="3504" spans="1:9" x14ac:dyDescent="0.3">
      <c r="A3504" t="s">
        <v>3519</v>
      </c>
      <c r="B3504" t="s">
        <v>10</v>
      </c>
      <c r="C3504" t="s">
        <v>11</v>
      </c>
      <c r="D3504">
        <v>52</v>
      </c>
      <c r="E3504" s="1">
        <v>45731</v>
      </c>
      <c r="F3504">
        <v>4.99</v>
      </c>
      <c r="G3504">
        <v>4</v>
      </c>
      <c r="H3504">
        <v>8142.15</v>
      </c>
      <c r="I3504">
        <v>0.6</v>
      </c>
    </row>
    <row r="3505" spans="1:9" x14ac:dyDescent="0.3">
      <c r="A3505" t="s">
        <v>3520</v>
      </c>
      <c r="B3505" t="s">
        <v>13</v>
      </c>
      <c r="C3505" t="s">
        <v>14</v>
      </c>
      <c r="D3505">
        <v>32</v>
      </c>
      <c r="E3505" s="1">
        <v>40669</v>
      </c>
      <c r="F3505">
        <v>3.14</v>
      </c>
      <c r="G3505">
        <v>5</v>
      </c>
      <c r="H3505">
        <v>9940.7900000000009</v>
      </c>
      <c r="I3505">
        <v>14.5</v>
      </c>
    </row>
    <row r="3506" spans="1:9" x14ac:dyDescent="0.3">
      <c r="A3506" t="s">
        <v>3521</v>
      </c>
      <c r="B3506" t="s">
        <v>34</v>
      </c>
      <c r="C3506" t="s">
        <v>14</v>
      </c>
      <c r="D3506">
        <v>49</v>
      </c>
      <c r="E3506" s="1">
        <v>45914</v>
      </c>
      <c r="F3506">
        <v>3.32</v>
      </c>
      <c r="G3506">
        <v>8</v>
      </c>
      <c r="H3506">
        <v>14146.93</v>
      </c>
      <c r="I3506">
        <v>0.1</v>
      </c>
    </row>
    <row r="3507" spans="1:9" x14ac:dyDescent="0.3">
      <c r="A3507" t="s">
        <v>3522</v>
      </c>
      <c r="B3507" t="s">
        <v>13</v>
      </c>
      <c r="C3507" t="s">
        <v>14</v>
      </c>
      <c r="D3507">
        <v>36</v>
      </c>
      <c r="E3507" s="1">
        <v>40419</v>
      </c>
      <c r="F3507">
        <v>4.43</v>
      </c>
      <c r="G3507">
        <v>8</v>
      </c>
      <c r="H3507">
        <v>5803.64</v>
      </c>
      <c r="I3507">
        <v>15.2</v>
      </c>
    </row>
    <row r="3508" spans="1:9" x14ac:dyDescent="0.3">
      <c r="A3508" t="s">
        <v>3523</v>
      </c>
      <c r="B3508" t="s">
        <v>34</v>
      </c>
      <c r="C3508" t="s">
        <v>11</v>
      </c>
      <c r="D3508">
        <v>51</v>
      </c>
      <c r="E3508" s="1">
        <v>41293</v>
      </c>
      <c r="F3508">
        <v>4.08</v>
      </c>
      <c r="G3508">
        <v>12</v>
      </c>
      <c r="H3508">
        <v>5948.73</v>
      </c>
      <c r="I3508">
        <v>12.8</v>
      </c>
    </row>
    <row r="3509" spans="1:9" x14ac:dyDescent="0.3">
      <c r="A3509" t="s">
        <v>3524</v>
      </c>
      <c r="B3509" t="s">
        <v>34</v>
      </c>
      <c r="C3509" t="s">
        <v>14</v>
      </c>
      <c r="D3509">
        <v>24</v>
      </c>
      <c r="E3509" s="1">
        <v>42631</v>
      </c>
      <c r="F3509">
        <v>4.22</v>
      </c>
      <c r="G3509">
        <v>12</v>
      </c>
      <c r="H3509">
        <v>6338.38</v>
      </c>
      <c r="I3509">
        <v>9.1</v>
      </c>
    </row>
    <row r="3510" spans="1:9" x14ac:dyDescent="0.3">
      <c r="A3510" t="s">
        <v>3525</v>
      </c>
      <c r="B3510" t="s">
        <v>13</v>
      </c>
      <c r="C3510" t="s">
        <v>14</v>
      </c>
      <c r="D3510">
        <v>48</v>
      </c>
      <c r="E3510" s="1">
        <v>42768</v>
      </c>
      <c r="F3510">
        <v>3.49</v>
      </c>
      <c r="G3510">
        <v>1</v>
      </c>
      <c r="H3510">
        <v>7308.1</v>
      </c>
      <c r="I3510">
        <v>8.8000000000000007</v>
      </c>
    </row>
    <row r="3511" spans="1:9" x14ac:dyDescent="0.3">
      <c r="A3511" t="s">
        <v>3526</v>
      </c>
      <c r="B3511" t="s">
        <v>18</v>
      </c>
      <c r="C3511" t="s">
        <v>11</v>
      </c>
      <c r="D3511">
        <v>38</v>
      </c>
      <c r="E3511" s="1">
        <v>42856</v>
      </c>
      <c r="F3511">
        <v>4.71</v>
      </c>
      <c r="G3511">
        <v>4</v>
      </c>
      <c r="H3511">
        <v>14433.87</v>
      </c>
      <c r="I3511">
        <v>8.5</v>
      </c>
    </row>
    <row r="3512" spans="1:9" x14ac:dyDescent="0.3">
      <c r="A3512" t="s">
        <v>3527</v>
      </c>
      <c r="B3512" t="s">
        <v>34</v>
      </c>
      <c r="C3512" t="s">
        <v>14</v>
      </c>
      <c r="D3512">
        <v>22</v>
      </c>
      <c r="E3512" s="1">
        <v>43524</v>
      </c>
      <c r="F3512">
        <v>3.13</v>
      </c>
      <c r="G3512">
        <v>2</v>
      </c>
      <c r="H3512">
        <v>12106.34</v>
      </c>
      <c r="I3512">
        <v>6.7</v>
      </c>
    </row>
    <row r="3513" spans="1:9" x14ac:dyDescent="0.3">
      <c r="A3513" t="s">
        <v>3528</v>
      </c>
      <c r="B3513" t="s">
        <v>34</v>
      </c>
      <c r="C3513" t="s">
        <v>11</v>
      </c>
      <c r="D3513">
        <v>26</v>
      </c>
      <c r="E3513" s="1">
        <v>40548</v>
      </c>
      <c r="F3513">
        <v>4.6500000000000004</v>
      </c>
      <c r="G3513">
        <v>13</v>
      </c>
      <c r="H3513">
        <v>3179.88</v>
      </c>
      <c r="I3513">
        <v>14.8</v>
      </c>
    </row>
    <row r="3514" spans="1:9" x14ac:dyDescent="0.3">
      <c r="A3514" t="s">
        <v>3529</v>
      </c>
      <c r="B3514" t="s">
        <v>10</v>
      </c>
      <c r="C3514" t="s">
        <v>14</v>
      </c>
      <c r="D3514">
        <v>43</v>
      </c>
      <c r="E3514" s="1">
        <v>41964</v>
      </c>
      <c r="F3514">
        <v>2.14</v>
      </c>
      <c r="G3514">
        <v>15</v>
      </c>
      <c r="H3514">
        <v>9482.17</v>
      </c>
      <c r="I3514">
        <v>11</v>
      </c>
    </row>
    <row r="3515" spans="1:9" x14ac:dyDescent="0.3">
      <c r="A3515" t="s">
        <v>3530</v>
      </c>
      <c r="B3515" t="s">
        <v>10</v>
      </c>
      <c r="C3515" t="s">
        <v>11</v>
      </c>
      <c r="D3515">
        <v>49</v>
      </c>
      <c r="E3515" s="1">
        <v>45390</v>
      </c>
      <c r="F3515">
        <v>3.29</v>
      </c>
      <c r="G3515">
        <v>6</v>
      </c>
      <c r="H3515">
        <v>3083.88</v>
      </c>
      <c r="I3515">
        <v>1.6</v>
      </c>
    </row>
    <row r="3516" spans="1:9" x14ac:dyDescent="0.3">
      <c r="A3516" t="s">
        <v>3531</v>
      </c>
      <c r="B3516" t="s">
        <v>10</v>
      </c>
      <c r="C3516" t="s">
        <v>14</v>
      </c>
      <c r="D3516">
        <v>24</v>
      </c>
      <c r="E3516" s="1">
        <v>43035</v>
      </c>
      <c r="F3516">
        <v>2.86</v>
      </c>
      <c r="G3516">
        <v>9</v>
      </c>
      <c r="H3516">
        <v>8956.5300000000007</v>
      </c>
      <c r="I3516">
        <v>8</v>
      </c>
    </row>
    <row r="3517" spans="1:9" x14ac:dyDescent="0.3">
      <c r="A3517" t="s">
        <v>3532</v>
      </c>
      <c r="B3517" t="s">
        <v>24</v>
      </c>
      <c r="C3517" t="s">
        <v>14</v>
      </c>
      <c r="D3517">
        <v>50</v>
      </c>
      <c r="E3517" s="1">
        <v>43441</v>
      </c>
      <c r="F3517">
        <v>1.97</v>
      </c>
      <c r="G3517">
        <v>11</v>
      </c>
      <c r="H3517">
        <v>6772.27</v>
      </c>
      <c r="I3517">
        <v>6.9</v>
      </c>
    </row>
    <row r="3518" spans="1:9" x14ac:dyDescent="0.3">
      <c r="A3518" t="s">
        <v>3533</v>
      </c>
      <c r="B3518" t="s">
        <v>24</v>
      </c>
      <c r="C3518" t="s">
        <v>14</v>
      </c>
      <c r="D3518">
        <v>57</v>
      </c>
      <c r="E3518" s="1">
        <v>45461</v>
      </c>
      <c r="F3518">
        <v>2.4300000000000002</v>
      </c>
      <c r="G3518">
        <v>1</v>
      </c>
      <c r="H3518">
        <v>14009.2</v>
      </c>
      <c r="I3518">
        <v>1.4</v>
      </c>
    </row>
    <row r="3519" spans="1:9" x14ac:dyDescent="0.3">
      <c r="A3519" t="s">
        <v>3534</v>
      </c>
      <c r="B3519" t="s">
        <v>16</v>
      </c>
      <c r="C3519" t="s">
        <v>11</v>
      </c>
      <c r="D3519">
        <v>43</v>
      </c>
      <c r="E3519" s="1">
        <v>43056</v>
      </c>
      <c r="F3519">
        <v>3.52</v>
      </c>
      <c r="G3519">
        <v>13</v>
      </c>
      <c r="H3519">
        <v>12579.15</v>
      </c>
      <c r="I3519">
        <v>8</v>
      </c>
    </row>
    <row r="3520" spans="1:9" x14ac:dyDescent="0.3">
      <c r="A3520" t="s">
        <v>3535</v>
      </c>
      <c r="B3520" t="s">
        <v>24</v>
      </c>
      <c r="C3520" t="s">
        <v>11</v>
      </c>
      <c r="D3520">
        <v>38</v>
      </c>
      <c r="E3520" s="1">
        <v>45446</v>
      </c>
      <c r="F3520">
        <v>2.5</v>
      </c>
      <c r="G3520">
        <v>9</v>
      </c>
      <c r="H3520">
        <v>9531.08</v>
      </c>
      <c r="I3520">
        <v>1.4</v>
      </c>
    </row>
    <row r="3521" spans="1:9" x14ac:dyDescent="0.3">
      <c r="A3521" t="s">
        <v>3536</v>
      </c>
      <c r="B3521" t="s">
        <v>10</v>
      </c>
      <c r="C3521" t="s">
        <v>11</v>
      </c>
      <c r="D3521">
        <v>45</v>
      </c>
      <c r="E3521" s="1">
        <v>44045</v>
      </c>
      <c r="F3521">
        <v>1.53</v>
      </c>
      <c r="G3521">
        <v>7</v>
      </c>
      <c r="H3521">
        <v>5819.38</v>
      </c>
      <c r="I3521">
        <v>5.3</v>
      </c>
    </row>
    <row r="3522" spans="1:9" x14ac:dyDescent="0.3">
      <c r="A3522" t="s">
        <v>3537</v>
      </c>
      <c r="B3522" t="s">
        <v>24</v>
      </c>
      <c r="C3522" t="s">
        <v>14</v>
      </c>
      <c r="D3522">
        <v>54</v>
      </c>
      <c r="E3522" s="1">
        <v>40881</v>
      </c>
      <c r="F3522">
        <v>3.97</v>
      </c>
      <c r="G3522">
        <v>13</v>
      </c>
      <c r="H3522">
        <v>10606.6</v>
      </c>
      <c r="I3522">
        <v>13.9</v>
      </c>
    </row>
    <row r="3523" spans="1:9" x14ac:dyDescent="0.3">
      <c r="A3523" t="s">
        <v>3538</v>
      </c>
      <c r="B3523" t="s">
        <v>10</v>
      </c>
      <c r="C3523" t="s">
        <v>11</v>
      </c>
      <c r="D3523">
        <v>31</v>
      </c>
      <c r="E3523" s="1">
        <v>44120</v>
      </c>
      <c r="F3523">
        <v>3.21</v>
      </c>
      <c r="G3523">
        <v>5</v>
      </c>
      <c r="H3523">
        <v>7290.92</v>
      </c>
      <c r="I3523">
        <v>5</v>
      </c>
    </row>
    <row r="3524" spans="1:9" x14ac:dyDescent="0.3">
      <c r="A3524" t="s">
        <v>3539</v>
      </c>
      <c r="B3524" t="s">
        <v>10</v>
      </c>
      <c r="C3524" t="s">
        <v>14</v>
      </c>
      <c r="D3524">
        <v>26</v>
      </c>
      <c r="E3524" s="1">
        <v>40352</v>
      </c>
      <c r="F3524">
        <v>4.42</v>
      </c>
      <c r="G3524">
        <v>0</v>
      </c>
      <c r="H3524">
        <v>11696.93</v>
      </c>
      <c r="I3524">
        <v>15.4</v>
      </c>
    </row>
    <row r="3525" spans="1:9" x14ac:dyDescent="0.3">
      <c r="A3525" t="s">
        <v>3540</v>
      </c>
      <c r="B3525" t="s">
        <v>24</v>
      </c>
      <c r="C3525" t="s">
        <v>11</v>
      </c>
      <c r="D3525">
        <v>27</v>
      </c>
      <c r="E3525" s="1">
        <v>43481</v>
      </c>
      <c r="F3525">
        <v>1.52</v>
      </c>
      <c r="G3525">
        <v>3</v>
      </c>
      <c r="H3525">
        <v>13524.18</v>
      </c>
      <c r="I3525">
        <v>6.8</v>
      </c>
    </row>
    <row r="3526" spans="1:9" x14ac:dyDescent="0.3">
      <c r="A3526" t="s">
        <v>3541</v>
      </c>
      <c r="B3526" t="s">
        <v>24</v>
      </c>
      <c r="C3526" t="s">
        <v>11</v>
      </c>
      <c r="D3526">
        <v>55</v>
      </c>
      <c r="E3526" s="1">
        <v>42966</v>
      </c>
      <c r="F3526">
        <v>3.62</v>
      </c>
      <c r="G3526">
        <v>11</v>
      </c>
      <c r="H3526">
        <v>12005.1</v>
      </c>
      <c r="I3526">
        <v>8.1999999999999993</v>
      </c>
    </row>
    <row r="3527" spans="1:9" x14ac:dyDescent="0.3">
      <c r="A3527" t="s">
        <v>3542</v>
      </c>
      <c r="B3527" t="s">
        <v>16</v>
      </c>
      <c r="C3527" t="s">
        <v>14</v>
      </c>
      <c r="D3527">
        <v>29</v>
      </c>
      <c r="E3527" s="1">
        <v>45669</v>
      </c>
      <c r="F3527">
        <v>3.79</v>
      </c>
      <c r="G3527">
        <v>11</v>
      </c>
      <c r="H3527">
        <v>6502.89</v>
      </c>
      <c r="I3527">
        <v>0.8</v>
      </c>
    </row>
    <row r="3528" spans="1:9" x14ac:dyDescent="0.3">
      <c r="A3528" t="s">
        <v>3543</v>
      </c>
      <c r="B3528" t="s">
        <v>10</v>
      </c>
      <c r="C3528" t="s">
        <v>14</v>
      </c>
      <c r="D3528">
        <v>29</v>
      </c>
      <c r="E3528" s="1">
        <v>42150</v>
      </c>
      <c r="F3528">
        <v>3.07</v>
      </c>
      <c r="G3528">
        <v>11</v>
      </c>
      <c r="H3528">
        <v>5684</v>
      </c>
      <c r="I3528">
        <v>10.4</v>
      </c>
    </row>
    <row r="3529" spans="1:9" x14ac:dyDescent="0.3">
      <c r="A3529" t="s">
        <v>3544</v>
      </c>
      <c r="B3529" t="s">
        <v>10</v>
      </c>
      <c r="C3529" t="s">
        <v>14</v>
      </c>
      <c r="D3529">
        <v>51</v>
      </c>
      <c r="E3529" s="1">
        <v>40863</v>
      </c>
      <c r="F3529">
        <v>2.13</v>
      </c>
      <c r="G3529">
        <v>10</v>
      </c>
      <c r="H3529">
        <v>3579.77</v>
      </c>
      <c r="I3529">
        <v>14</v>
      </c>
    </row>
    <row r="3530" spans="1:9" x14ac:dyDescent="0.3">
      <c r="A3530" t="s">
        <v>3545</v>
      </c>
      <c r="B3530" t="s">
        <v>13</v>
      </c>
      <c r="C3530" t="s">
        <v>11</v>
      </c>
      <c r="D3530">
        <v>55</v>
      </c>
      <c r="E3530" s="1">
        <v>42569</v>
      </c>
      <c r="F3530">
        <v>4.47</v>
      </c>
      <c r="G3530">
        <v>0</v>
      </c>
      <c r="H3530">
        <v>6472.43</v>
      </c>
      <c r="I3530">
        <v>9.3000000000000007</v>
      </c>
    </row>
    <row r="3531" spans="1:9" x14ac:dyDescent="0.3">
      <c r="A3531" t="s">
        <v>3546</v>
      </c>
      <c r="B3531" t="s">
        <v>16</v>
      </c>
      <c r="C3531" t="s">
        <v>11</v>
      </c>
      <c r="D3531">
        <v>35</v>
      </c>
      <c r="E3531" s="1">
        <v>43539</v>
      </c>
      <c r="F3531">
        <v>1.83</v>
      </c>
      <c r="G3531">
        <v>13</v>
      </c>
      <c r="H3531">
        <v>4753.96</v>
      </c>
      <c r="I3531">
        <v>6.6</v>
      </c>
    </row>
    <row r="3532" spans="1:9" x14ac:dyDescent="0.3">
      <c r="A3532" t="s">
        <v>3547</v>
      </c>
      <c r="B3532" t="s">
        <v>24</v>
      </c>
      <c r="C3532" t="s">
        <v>14</v>
      </c>
      <c r="D3532">
        <v>42</v>
      </c>
      <c r="E3532" s="1">
        <v>44834</v>
      </c>
      <c r="F3532">
        <v>2.04</v>
      </c>
      <c r="G3532">
        <v>11</v>
      </c>
      <c r="H3532">
        <v>7067.67</v>
      </c>
      <c r="I3532">
        <v>3.1</v>
      </c>
    </row>
    <row r="3533" spans="1:9" x14ac:dyDescent="0.3">
      <c r="A3533" t="s">
        <v>3548</v>
      </c>
      <c r="B3533" t="s">
        <v>16</v>
      </c>
      <c r="C3533" t="s">
        <v>11</v>
      </c>
      <c r="D3533">
        <v>52</v>
      </c>
      <c r="E3533" s="1">
        <v>44371</v>
      </c>
      <c r="F3533">
        <v>3.15</v>
      </c>
      <c r="G3533">
        <v>12</v>
      </c>
      <c r="H3533">
        <v>12991.56</v>
      </c>
      <c r="I3533">
        <v>4.4000000000000004</v>
      </c>
    </row>
    <row r="3534" spans="1:9" x14ac:dyDescent="0.3">
      <c r="A3534" t="s">
        <v>3549</v>
      </c>
      <c r="B3534" t="s">
        <v>24</v>
      </c>
      <c r="C3534" t="s">
        <v>14</v>
      </c>
      <c r="D3534">
        <v>34</v>
      </c>
      <c r="E3534" s="1">
        <v>44164</v>
      </c>
      <c r="F3534">
        <v>4</v>
      </c>
      <c r="G3534">
        <v>13</v>
      </c>
      <c r="H3534">
        <v>4244.07</v>
      </c>
      <c r="I3534">
        <v>4.9000000000000004</v>
      </c>
    </row>
    <row r="3535" spans="1:9" x14ac:dyDescent="0.3">
      <c r="A3535" t="s">
        <v>3550</v>
      </c>
      <c r="B3535" t="s">
        <v>16</v>
      </c>
      <c r="C3535" t="s">
        <v>11</v>
      </c>
      <c r="D3535">
        <v>31</v>
      </c>
      <c r="E3535" s="1">
        <v>43775</v>
      </c>
      <c r="F3535">
        <v>4.87</v>
      </c>
      <c r="G3535">
        <v>12</v>
      </c>
      <c r="H3535">
        <v>5563.56</v>
      </c>
      <c r="I3535">
        <v>6</v>
      </c>
    </row>
    <row r="3536" spans="1:9" x14ac:dyDescent="0.3">
      <c r="A3536" t="s">
        <v>3551</v>
      </c>
      <c r="B3536" t="s">
        <v>10</v>
      </c>
      <c r="C3536" t="s">
        <v>14</v>
      </c>
      <c r="D3536">
        <v>42</v>
      </c>
      <c r="E3536" s="1">
        <v>45818</v>
      </c>
      <c r="F3536">
        <v>1.61</v>
      </c>
      <c r="G3536">
        <v>12</v>
      </c>
      <c r="H3536">
        <v>5487.02</v>
      </c>
      <c r="I3536">
        <v>0.4</v>
      </c>
    </row>
    <row r="3537" spans="1:9" x14ac:dyDescent="0.3">
      <c r="A3537" t="s">
        <v>3552</v>
      </c>
      <c r="B3537" t="s">
        <v>10</v>
      </c>
      <c r="C3537" t="s">
        <v>14</v>
      </c>
      <c r="D3537">
        <v>27</v>
      </c>
      <c r="E3537" s="1">
        <v>42701</v>
      </c>
      <c r="F3537">
        <v>3.14</v>
      </c>
      <c r="G3537">
        <v>1</v>
      </c>
      <c r="H3537">
        <v>13875.68</v>
      </c>
      <c r="I3537">
        <v>8.9</v>
      </c>
    </row>
    <row r="3538" spans="1:9" x14ac:dyDescent="0.3">
      <c r="A3538" t="s">
        <v>3553</v>
      </c>
      <c r="B3538" t="s">
        <v>34</v>
      </c>
      <c r="C3538" t="s">
        <v>14</v>
      </c>
      <c r="D3538">
        <v>51</v>
      </c>
      <c r="E3538" s="1">
        <v>41465</v>
      </c>
      <c r="F3538">
        <v>4.01</v>
      </c>
      <c r="G3538">
        <v>10</v>
      </c>
      <c r="H3538">
        <v>6701.81</v>
      </c>
      <c r="I3538">
        <v>12.3</v>
      </c>
    </row>
    <row r="3539" spans="1:9" x14ac:dyDescent="0.3">
      <c r="A3539" t="s">
        <v>3554</v>
      </c>
      <c r="B3539" t="s">
        <v>18</v>
      </c>
      <c r="C3539" t="s">
        <v>11</v>
      </c>
      <c r="D3539">
        <v>51</v>
      </c>
      <c r="E3539" s="1">
        <v>43104</v>
      </c>
      <c r="F3539">
        <v>3.83</v>
      </c>
      <c r="G3539">
        <v>5</v>
      </c>
      <c r="H3539">
        <v>5211.9799999999996</v>
      </c>
      <c r="I3539">
        <v>7.8</v>
      </c>
    </row>
    <row r="3540" spans="1:9" x14ac:dyDescent="0.3">
      <c r="A3540" t="s">
        <v>3555</v>
      </c>
      <c r="B3540" t="s">
        <v>18</v>
      </c>
      <c r="C3540" t="s">
        <v>11</v>
      </c>
      <c r="D3540">
        <v>36</v>
      </c>
      <c r="E3540" s="1">
        <v>41688</v>
      </c>
      <c r="F3540">
        <v>4.5599999999999996</v>
      </c>
      <c r="G3540">
        <v>0</v>
      </c>
      <c r="H3540">
        <v>5293.61</v>
      </c>
      <c r="I3540">
        <v>11.7</v>
      </c>
    </row>
    <row r="3541" spans="1:9" x14ac:dyDescent="0.3">
      <c r="A3541" t="s">
        <v>3556</v>
      </c>
      <c r="B3541" t="s">
        <v>24</v>
      </c>
      <c r="C3541" t="s">
        <v>11</v>
      </c>
      <c r="D3541">
        <v>45</v>
      </c>
      <c r="E3541" s="1">
        <v>41329</v>
      </c>
      <c r="F3541">
        <v>3.91</v>
      </c>
      <c r="G3541">
        <v>7</v>
      </c>
      <c r="H3541">
        <v>10606.21</v>
      </c>
      <c r="I3541">
        <v>12.7</v>
      </c>
    </row>
    <row r="3542" spans="1:9" x14ac:dyDescent="0.3">
      <c r="A3542" t="s">
        <v>3557</v>
      </c>
      <c r="B3542" t="s">
        <v>13</v>
      </c>
      <c r="C3542" t="s">
        <v>14</v>
      </c>
      <c r="D3542">
        <v>56</v>
      </c>
      <c r="E3542" s="1">
        <v>41395</v>
      </c>
      <c r="F3542">
        <v>2.13</v>
      </c>
      <c r="G3542">
        <v>14</v>
      </c>
      <c r="H3542">
        <v>12803.64</v>
      </c>
      <c r="I3542">
        <v>12.5</v>
      </c>
    </row>
    <row r="3543" spans="1:9" x14ac:dyDescent="0.3">
      <c r="A3543" t="s">
        <v>3558</v>
      </c>
      <c r="B3543" t="s">
        <v>13</v>
      </c>
      <c r="C3543" t="s">
        <v>14</v>
      </c>
      <c r="D3543">
        <v>46</v>
      </c>
      <c r="E3543" s="1">
        <v>40367</v>
      </c>
      <c r="F3543">
        <v>4.3899999999999997</v>
      </c>
      <c r="G3543">
        <v>1</v>
      </c>
      <c r="H3543">
        <v>3841.16</v>
      </c>
      <c r="I3543">
        <v>15.3</v>
      </c>
    </row>
    <row r="3544" spans="1:9" x14ac:dyDescent="0.3">
      <c r="A3544" t="s">
        <v>3559</v>
      </c>
      <c r="B3544" t="s">
        <v>16</v>
      </c>
      <c r="C3544" t="s">
        <v>11</v>
      </c>
      <c r="D3544">
        <v>24</v>
      </c>
      <c r="E3544" s="1">
        <v>42450</v>
      </c>
      <c r="F3544">
        <v>2.92</v>
      </c>
      <c r="G3544">
        <v>4</v>
      </c>
      <c r="H3544">
        <v>12499.98</v>
      </c>
      <c r="I3544">
        <v>9.6</v>
      </c>
    </row>
    <row r="3545" spans="1:9" x14ac:dyDescent="0.3">
      <c r="A3545" t="s">
        <v>3560</v>
      </c>
      <c r="B3545" t="s">
        <v>10</v>
      </c>
      <c r="C3545" t="s">
        <v>11</v>
      </c>
      <c r="D3545">
        <v>27</v>
      </c>
      <c r="E3545" s="1">
        <v>40761</v>
      </c>
      <c r="F3545">
        <v>2.54</v>
      </c>
      <c r="G3545">
        <v>8</v>
      </c>
      <c r="H3545">
        <v>3344.2</v>
      </c>
      <c r="I3545">
        <v>14.2</v>
      </c>
    </row>
    <row r="3546" spans="1:9" x14ac:dyDescent="0.3">
      <c r="A3546" t="s">
        <v>3561</v>
      </c>
      <c r="B3546" t="s">
        <v>18</v>
      </c>
      <c r="C3546" t="s">
        <v>14</v>
      </c>
      <c r="D3546">
        <v>49</v>
      </c>
      <c r="E3546" s="1">
        <v>42757</v>
      </c>
      <c r="F3546">
        <v>4.47</v>
      </c>
      <c r="G3546">
        <v>1</v>
      </c>
      <c r="H3546">
        <v>9320.1</v>
      </c>
      <c r="I3546">
        <v>8.8000000000000007</v>
      </c>
    </row>
    <row r="3547" spans="1:9" x14ac:dyDescent="0.3">
      <c r="A3547" t="s">
        <v>3562</v>
      </c>
      <c r="B3547" t="s">
        <v>24</v>
      </c>
      <c r="C3547" t="s">
        <v>11</v>
      </c>
      <c r="D3547">
        <v>42</v>
      </c>
      <c r="E3547" s="1">
        <v>44110</v>
      </c>
      <c r="F3547">
        <v>3.68</v>
      </c>
      <c r="G3547">
        <v>0</v>
      </c>
      <c r="H3547">
        <v>7803.04</v>
      </c>
      <c r="I3547">
        <v>5.0999999999999996</v>
      </c>
    </row>
    <row r="3548" spans="1:9" x14ac:dyDescent="0.3">
      <c r="A3548" t="s">
        <v>3563</v>
      </c>
      <c r="B3548" t="s">
        <v>10</v>
      </c>
      <c r="C3548" t="s">
        <v>14</v>
      </c>
      <c r="D3548">
        <v>49</v>
      </c>
      <c r="E3548" s="1">
        <v>44959</v>
      </c>
      <c r="F3548">
        <v>3.39</v>
      </c>
      <c r="G3548">
        <v>8</v>
      </c>
      <c r="H3548">
        <v>14893.42</v>
      </c>
      <c r="I3548">
        <v>2.7</v>
      </c>
    </row>
    <row r="3549" spans="1:9" x14ac:dyDescent="0.3">
      <c r="A3549" t="s">
        <v>3564</v>
      </c>
      <c r="B3549" t="s">
        <v>34</v>
      </c>
      <c r="C3549" t="s">
        <v>11</v>
      </c>
      <c r="D3549">
        <v>43</v>
      </c>
      <c r="E3549" s="1">
        <v>42205</v>
      </c>
      <c r="F3549">
        <v>4.18</v>
      </c>
      <c r="G3549">
        <v>6</v>
      </c>
      <c r="H3549">
        <v>10414.459999999999</v>
      </c>
      <c r="I3549">
        <v>10.3</v>
      </c>
    </row>
    <row r="3550" spans="1:9" x14ac:dyDescent="0.3">
      <c r="A3550" t="s">
        <v>3565</v>
      </c>
      <c r="B3550" t="s">
        <v>16</v>
      </c>
      <c r="C3550" t="s">
        <v>11</v>
      </c>
      <c r="D3550">
        <v>40</v>
      </c>
      <c r="E3550" s="1">
        <v>43628</v>
      </c>
      <c r="F3550">
        <v>2.0099999999999998</v>
      </c>
      <c r="G3550">
        <v>13</v>
      </c>
      <c r="H3550">
        <v>4486.75</v>
      </c>
      <c r="I3550">
        <v>6.4</v>
      </c>
    </row>
    <row r="3551" spans="1:9" x14ac:dyDescent="0.3">
      <c r="A3551" t="s">
        <v>3566</v>
      </c>
      <c r="B3551" t="s">
        <v>18</v>
      </c>
      <c r="C3551" t="s">
        <v>11</v>
      </c>
      <c r="D3551">
        <v>36</v>
      </c>
      <c r="E3551" s="1">
        <v>44946</v>
      </c>
      <c r="F3551">
        <v>3.97</v>
      </c>
      <c r="G3551">
        <v>7</v>
      </c>
      <c r="H3551">
        <v>7559.3</v>
      </c>
      <c r="I3551">
        <v>2.8</v>
      </c>
    </row>
    <row r="3552" spans="1:9" x14ac:dyDescent="0.3">
      <c r="A3552" t="s">
        <v>3567</v>
      </c>
      <c r="B3552" t="s">
        <v>34</v>
      </c>
      <c r="C3552" t="s">
        <v>14</v>
      </c>
      <c r="D3552">
        <v>34</v>
      </c>
      <c r="E3552" s="1">
        <v>42543</v>
      </c>
      <c r="F3552">
        <v>4.33</v>
      </c>
      <c r="G3552">
        <v>11</v>
      </c>
      <c r="H3552">
        <v>3609.41</v>
      </c>
      <c r="I3552">
        <v>9.4</v>
      </c>
    </row>
    <row r="3553" spans="1:9" x14ac:dyDescent="0.3">
      <c r="A3553" t="s">
        <v>3568</v>
      </c>
      <c r="B3553" t="s">
        <v>16</v>
      </c>
      <c r="C3553" t="s">
        <v>14</v>
      </c>
      <c r="D3553">
        <v>30</v>
      </c>
      <c r="E3553" s="1">
        <v>43723</v>
      </c>
      <c r="F3553">
        <v>3.23</v>
      </c>
      <c r="G3553">
        <v>4</v>
      </c>
      <c r="H3553">
        <v>8416.14</v>
      </c>
      <c r="I3553">
        <v>6.1</v>
      </c>
    </row>
    <row r="3554" spans="1:9" x14ac:dyDescent="0.3">
      <c r="A3554" t="s">
        <v>3569</v>
      </c>
      <c r="B3554" t="s">
        <v>10</v>
      </c>
      <c r="C3554" t="s">
        <v>14</v>
      </c>
      <c r="D3554">
        <v>44</v>
      </c>
      <c r="E3554" s="1">
        <v>45241</v>
      </c>
      <c r="F3554">
        <v>4.3</v>
      </c>
      <c r="G3554">
        <v>11</v>
      </c>
      <c r="H3554">
        <v>5049.18</v>
      </c>
      <c r="I3554">
        <v>2</v>
      </c>
    </row>
    <row r="3555" spans="1:9" x14ac:dyDescent="0.3">
      <c r="A3555" t="s">
        <v>3570</v>
      </c>
      <c r="B3555" t="s">
        <v>18</v>
      </c>
      <c r="C3555" t="s">
        <v>14</v>
      </c>
      <c r="D3555">
        <v>57</v>
      </c>
      <c r="E3555" s="1">
        <v>43237</v>
      </c>
      <c r="F3555">
        <v>2.57</v>
      </c>
      <c r="G3555">
        <v>4</v>
      </c>
      <c r="H3555">
        <v>13426.9</v>
      </c>
      <c r="I3555">
        <v>7.5</v>
      </c>
    </row>
    <row r="3556" spans="1:9" x14ac:dyDescent="0.3">
      <c r="A3556" t="s">
        <v>3571</v>
      </c>
      <c r="B3556" t="s">
        <v>10</v>
      </c>
      <c r="C3556" t="s">
        <v>14</v>
      </c>
      <c r="D3556">
        <v>34</v>
      </c>
      <c r="E3556" s="1">
        <v>43643</v>
      </c>
      <c r="F3556">
        <v>2.5499999999999998</v>
      </c>
      <c r="G3556">
        <v>11</v>
      </c>
      <c r="H3556">
        <v>9184.26</v>
      </c>
      <c r="I3556">
        <v>6.4</v>
      </c>
    </row>
    <row r="3557" spans="1:9" x14ac:dyDescent="0.3">
      <c r="A3557" t="s">
        <v>3572</v>
      </c>
      <c r="B3557" t="s">
        <v>16</v>
      </c>
      <c r="C3557" t="s">
        <v>14</v>
      </c>
      <c r="D3557">
        <v>42</v>
      </c>
      <c r="E3557" s="1">
        <v>40870</v>
      </c>
      <c r="F3557">
        <v>2.65</v>
      </c>
      <c r="G3557">
        <v>2</v>
      </c>
      <c r="H3557">
        <v>4043.55</v>
      </c>
      <c r="I3557">
        <v>14</v>
      </c>
    </row>
    <row r="3558" spans="1:9" x14ac:dyDescent="0.3">
      <c r="A3558" t="s">
        <v>3573</v>
      </c>
      <c r="B3558" t="s">
        <v>13</v>
      </c>
      <c r="C3558" t="s">
        <v>11</v>
      </c>
      <c r="D3558">
        <v>31</v>
      </c>
      <c r="E3558" s="1">
        <v>40467</v>
      </c>
      <c r="F3558">
        <v>4.9400000000000004</v>
      </c>
      <c r="G3558">
        <v>6</v>
      </c>
      <c r="H3558">
        <v>7453.53</v>
      </c>
      <c r="I3558">
        <v>15.1</v>
      </c>
    </row>
    <row r="3559" spans="1:9" x14ac:dyDescent="0.3">
      <c r="A3559" t="s">
        <v>3574</v>
      </c>
      <c r="B3559" t="s">
        <v>16</v>
      </c>
      <c r="C3559" t="s">
        <v>11</v>
      </c>
      <c r="D3559">
        <v>50</v>
      </c>
      <c r="E3559" s="1">
        <v>45551</v>
      </c>
      <c r="F3559">
        <v>3.71</v>
      </c>
      <c r="G3559">
        <v>1</v>
      </c>
      <c r="H3559">
        <v>3445.28</v>
      </c>
      <c r="I3559">
        <v>1.1000000000000001</v>
      </c>
    </row>
    <row r="3560" spans="1:9" x14ac:dyDescent="0.3">
      <c r="A3560" t="s">
        <v>3575</v>
      </c>
      <c r="B3560" t="s">
        <v>34</v>
      </c>
      <c r="C3560" t="s">
        <v>14</v>
      </c>
      <c r="D3560">
        <v>37</v>
      </c>
      <c r="E3560" s="1">
        <v>44065</v>
      </c>
      <c r="F3560">
        <v>1.69</v>
      </c>
      <c r="G3560">
        <v>14</v>
      </c>
      <c r="H3560">
        <v>5765.83</v>
      </c>
      <c r="I3560">
        <v>5.2</v>
      </c>
    </row>
    <row r="3561" spans="1:9" x14ac:dyDescent="0.3">
      <c r="A3561" t="s">
        <v>3576</v>
      </c>
      <c r="B3561" t="s">
        <v>34</v>
      </c>
      <c r="C3561" t="s">
        <v>14</v>
      </c>
      <c r="D3561">
        <v>23</v>
      </c>
      <c r="E3561" s="1">
        <v>43899</v>
      </c>
      <c r="F3561">
        <v>3.73</v>
      </c>
      <c r="G3561">
        <v>15</v>
      </c>
      <c r="H3561">
        <v>12757.02</v>
      </c>
      <c r="I3561">
        <v>5.7</v>
      </c>
    </row>
    <row r="3562" spans="1:9" x14ac:dyDescent="0.3">
      <c r="A3562" t="s">
        <v>3577</v>
      </c>
      <c r="B3562" t="s">
        <v>34</v>
      </c>
      <c r="C3562" t="s">
        <v>14</v>
      </c>
      <c r="D3562">
        <v>38</v>
      </c>
      <c r="E3562" s="1">
        <v>42896</v>
      </c>
      <c r="F3562">
        <v>2.13</v>
      </c>
      <c r="G3562">
        <v>10</v>
      </c>
      <c r="H3562">
        <v>10687.06</v>
      </c>
      <c r="I3562">
        <v>8.4</v>
      </c>
    </row>
    <row r="3563" spans="1:9" x14ac:dyDescent="0.3">
      <c r="A3563" t="s">
        <v>3578</v>
      </c>
      <c r="B3563" t="s">
        <v>10</v>
      </c>
      <c r="C3563" t="s">
        <v>11</v>
      </c>
      <c r="D3563">
        <v>24</v>
      </c>
      <c r="E3563" s="1">
        <v>45183</v>
      </c>
      <c r="F3563">
        <v>4.13</v>
      </c>
      <c r="G3563">
        <v>13</v>
      </c>
      <c r="H3563">
        <v>11859.28</v>
      </c>
      <c r="I3563">
        <v>2.1</v>
      </c>
    </row>
    <row r="3564" spans="1:9" x14ac:dyDescent="0.3">
      <c r="A3564" t="s">
        <v>3579</v>
      </c>
      <c r="B3564" t="s">
        <v>16</v>
      </c>
      <c r="C3564" t="s">
        <v>14</v>
      </c>
      <c r="D3564">
        <v>50</v>
      </c>
      <c r="E3564" s="1">
        <v>44335</v>
      </c>
      <c r="F3564">
        <v>2.1800000000000002</v>
      </c>
      <c r="G3564">
        <v>5</v>
      </c>
      <c r="H3564">
        <v>9581.25</v>
      </c>
      <c r="I3564">
        <v>4.5</v>
      </c>
    </row>
    <row r="3565" spans="1:9" x14ac:dyDescent="0.3">
      <c r="A3565" t="s">
        <v>3580</v>
      </c>
      <c r="B3565" t="s">
        <v>10</v>
      </c>
      <c r="C3565" t="s">
        <v>11</v>
      </c>
      <c r="D3565">
        <v>30</v>
      </c>
      <c r="E3565" s="1">
        <v>44806</v>
      </c>
      <c r="F3565">
        <v>3.1</v>
      </c>
      <c r="G3565">
        <v>3</v>
      </c>
      <c r="H3565">
        <v>9860.06</v>
      </c>
      <c r="I3565">
        <v>3.2</v>
      </c>
    </row>
    <row r="3566" spans="1:9" x14ac:dyDescent="0.3">
      <c r="A3566" t="s">
        <v>3581</v>
      </c>
      <c r="B3566" t="s">
        <v>16</v>
      </c>
      <c r="C3566" t="s">
        <v>14</v>
      </c>
      <c r="D3566">
        <v>59</v>
      </c>
      <c r="E3566" s="1">
        <v>44831</v>
      </c>
      <c r="F3566">
        <v>3.94</v>
      </c>
      <c r="G3566">
        <v>5</v>
      </c>
      <c r="H3566">
        <v>7924.03</v>
      </c>
      <c r="I3566">
        <v>3.1</v>
      </c>
    </row>
    <row r="3567" spans="1:9" x14ac:dyDescent="0.3">
      <c r="A3567" t="s">
        <v>3582</v>
      </c>
      <c r="B3567" t="s">
        <v>24</v>
      </c>
      <c r="C3567" t="s">
        <v>14</v>
      </c>
      <c r="D3567">
        <v>52</v>
      </c>
      <c r="E3567" s="1">
        <v>43271</v>
      </c>
      <c r="F3567">
        <v>4.42</v>
      </c>
      <c r="G3567">
        <v>8</v>
      </c>
      <c r="H3567">
        <v>5270.21</v>
      </c>
      <c r="I3567">
        <v>7.4</v>
      </c>
    </row>
    <row r="3568" spans="1:9" x14ac:dyDescent="0.3">
      <c r="A3568" t="s">
        <v>3583</v>
      </c>
      <c r="B3568" t="s">
        <v>13</v>
      </c>
      <c r="C3568" t="s">
        <v>14</v>
      </c>
      <c r="D3568">
        <v>56</v>
      </c>
      <c r="E3568" s="1">
        <v>42019</v>
      </c>
      <c r="F3568">
        <v>3.78</v>
      </c>
      <c r="G3568">
        <v>4</v>
      </c>
      <c r="H3568">
        <v>4780.71</v>
      </c>
      <c r="I3568">
        <v>10.8</v>
      </c>
    </row>
    <row r="3569" spans="1:9" x14ac:dyDescent="0.3">
      <c r="A3569" t="s">
        <v>3584</v>
      </c>
      <c r="B3569" t="s">
        <v>24</v>
      </c>
      <c r="C3569" t="s">
        <v>14</v>
      </c>
      <c r="D3569">
        <v>40</v>
      </c>
      <c r="E3569" s="1">
        <v>43010</v>
      </c>
      <c r="F3569">
        <v>1.87</v>
      </c>
      <c r="G3569">
        <v>4</v>
      </c>
      <c r="H3569">
        <v>7960.35</v>
      </c>
      <c r="I3569">
        <v>8.1</v>
      </c>
    </row>
    <row r="3570" spans="1:9" x14ac:dyDescent="0.3">
      <c r="A3570" t="s">
        <v>3585</v>
      </c>
      <c r="B3570" t="s">
        <v>18</v>
      </c>
      <c r="C3570" t="s">
        <v>14</v>
      </c>
      <c r="D3570">
        <v>46</v>
      </c>
      <c r="E3570" s="1">
        <v>43896</v>
      </c>
      <c r="F3570">
        <v>2.5499999999999998</v>
      </c>
      <c r="G3570">
        <v>6</v>
      </c>
      <c r="H3570">
        <v>6850.22</v>
      </c>
      <c r="I3570">
        <v>5.7</v>
      </c>
    </row>
    <row r="3571" spans="1:9" x14ac:dyDescent="0.3">
      <c r="A3571" t="s">
        <v>3586</v>
      </c>
      <c r="B3571" t="s">
        <v>18</v>
      </c>
      <c r="C3571" t="s">
        <v>14</v>
      </c>
      <c r="D3571">
        <v>45</v>
      </c>
      <c r="E3571" s="1">
        <v>42360</v>
      </c>
      <c r="F3571">
        <v>4.3</v>
      </c>
      <c r="G3571">
        <v>6</v>
      </c>
      <c r="H3571">
        <v>5372.59</v>
      </c>
      <c r="I3571">
        <v>9.9</v>
      </c>
    </row>
    <row r="3572" spans="1:9" x14ac:dyDescent="0.3">
      <c r="A3572" t="s">
        <v>3587</v>
      </c>
      <c r="B3572" t="s">
        <v>16</v>
      </c>
      <c r="C3572" t="s">
        <v>11</v>
      </c>
      <c r="D3572">
        <v>46</v>
      </c>
      <c r="E3572" s="1">
        <v>45798</v>
      </c>
      <c r="F3572">
        <v>3.12</v>
      </c>
      <c r="G3572">
        <v>0</v>
      </c>
      <c r="H3572">
        <v>14156.75</v>
      </c>
      <c r="I3572">
        <v>0.4</v>
      </c>
    </row>
    <row r="3573" spans="1:9" x14ac:dyDescent="0.3">
      <c r="A3573" t="s">
        <v>3588</v>
      </c>
      <c r="B3573" t="s">
        <v>24</v>
      </c>
      <c r="C3573" t="s">
        <v>11</v>
      </c>
      <c r="D3573">
        <v>40</v>
      </c>
      <c r="E3573" s="1">
        <v>40561</v>
      </c>
      <c r="F3573">
        <v>4.24</v>
      </c>
      <c r="G3573">
        <v>6</v>
      </c>
      <c r="H3573">
        <v>6611.32</v>
      </c>
      <c r="I3573">
        <v>14.8</v>
      </c>
    </row>
    <row r="3574" spans="1:9" x14ac:dyDescent="0.3">
      <c r="A3574" t="s">
        <v>3589</v>
      </c>
      <c r="B3574" t="s">
        <v>13</v>
      </c>
      <c r="C3574" t="s">
        <v>14</v>
      </c>
      <c r="D3574">
        <v>59</v>
      </c>
      <c r="E3574" s="1">
        <v>41470</v>
      </c>
      <c r="F3574">
        <v>3.82</v>
      </c>
      <c r="G3574">
        <v>0</v>
      </c>
      <c r="H3574">
        <v>7599.54</v>
      </c>
      <c r="I3574">
        <v>12.3</v>
      </c>
    </row>
    <row r="3575" spans="1:9" x14ac:dyDescent="0.3">
      <c r="A3575" t="s">
        <v>3590</v>
      </c>
      <c r="B3575" t="s">
        <v>13</v>
      </c>
      <c r="C3575" t="s">
        <v>14</v>
      </c>
      <c r="D3575">
        <v>60</v>
      </c>
      <c r="E3575" s="1">
        <v>42373</v>
      </c>
      <c r="F3575">
        <v>3.54</v>
      </c>
      <c r="G3575">
        <v>6</v>
      </c>
      <c r="H3575">
        <v>7088.85</v>
      </c>
      <c r="I3575">
        <v>9.8000000000000007</v>
      </c>
    </row>
    <row r="3576" spans="1:9" x14ac:dyDescent="0.3">
      <c r="A3576" t="s">
        <v>3591</v>
      </c>
      <c r="B3576" t="s">
        <v>34</v>
      </c>
      <c r="C3576" t="s">
        <v>14</v>
      </c>
      <c r="D3576">
        <v>35</v>
      </c>
      <c r="E3576" s="1">
        <v>41794</v>
      </c>
      <c r="F3576">
        <v>3</v>
      </c>
      <c r="G3576">
        <v>2</v>
      </c>
      <c r="H3576">
        <v>6625.6</v>
      </c>
      <c r="I3576">
        <v>11.4</v>
      </c>
    </row>
    <row r="3577" spans="1:9" x14ac:dyDescent="0.3">
      <c r="A3577" t="s">
        <v>3592</v>
      </c>
      <c r="B3577" t="s">
        <v>34</v>
      </c>
      <c r="C3577" t="s">
        <v>14</v>
      </c>
      <c r="D3577">
        <v>25</v>
      </c>
      <c r="E3577" s="1">
        <v>42338</v>
      </c>
      <c r="F3577">
        <v>3.73</v>
      </c>
      <c r="G3577">
        <v>2</v>
      </c>
      <c r="H3577">
        <v>9955.1</v>
      </c>
      <c r="I3577">
        <v>9.9</v>
      </c>
    </row>
    <row r="3578" spans="1:9" x14ac:dyDescent="0.3">
      <c r="A3578" t="s">
        <v>3593</v>
      </c>
      <c r="B3578" t="s">
        <v>24</v>
      </c>
      <c r="C3578" t="s">
        <v>11</v>
      </c>
      <c r="D3578">
        <v>32</v>
      </c>
      <c r="E3578" s="1">
        <v>41988</v>
      </c>
      <c r="F3578">
        <v>2.23</v>
      </c>
      <c r="G3578">
        <v>7</v>
      </c>
      <c r="H3578">
        <v>11545.95</v>
      </c>
      <c r="I3578">
        <v>10.9</v>
      </c>
    </row>
    <row r="3579" spans="1:9" x14ac:dyDescent="0.3">
      <c r="A3579" t="s">
        <v>3594</v>
      </c>
      <c r="B3579" t="s">
        <v>16</v>
      </c>
      <c r="C3579" t="s">
        <v>11</v>
      </c>
      <c r="D3579">
        <v>37</v>
      </c>
      <c r="E3579" s="1">
        <v>40780</v>
      </c>
      <c r="F3579">
        <v>2.68</v>
      </c>
      <c r="G3579">
        <v>8</v>
      </c>
      <c r="H3579">
        <v>9180.1299999999992</v>
      </c>
      <c r="I3579">
        <v>14.2</v>
      </c>
    </row>
    <row r="3580" spans="1:9" x14ac:dyDescent="0.3">
      <c r="A3580" t="s">
        <v>3595</v>
      </c>
      <c r="B3580" t="s">
        <v>24</v>
      </c>
      <c r="C3580" t="s">
        <v>14</v>
      </c>
      <c r="D3580">
        <v>60</v>
      </c>
      <c r="E3580" s="1">
        <v>44220</v>
      </c>
      <c r="F3580">
        <v>3.11</v>
      </c>
      <c r="G3580">
        <v>12</v>
      </c>
      <c r="H3580">
        <v>3494.72</v>
      </c>
      <c r="I3580">
        <v>4.8</v>
      </c>
    </row>
    <row r="3581" spans="1:9" x14ac:dyDescent="0.3">
      <c r="A3581" t="s">
        <v>3596</v>
      </c>
      <c r="B3581" t="s">
        <v>16</v>
      </c>
      <c r="C3581" t="s">
        <v>11</v>
      </c>
      <c r="D3581">
        <v>26</v>
      </c>
      <c r="E3581" s="1">
        <v>42479</v>
      </c>
      <c r="F3581">
        <v>4.57</v>
      </c>
      <c r="G3581">
        <v>13</v>
      </c>
      <c r="H3581">
        <v>11540.38</v>
      </c>
      <c r="I3581">
        <v>9.5</v>
      </c>
    </row>
    <row r="3582" spans="1:9" x14ac:dyDescent="0.3">
      <c r="A3582" t="s">
        <v>3597</v>
      </c>
      <c r="B3582" t="s">
        <v>18</v>
      </c>
      <c r="C3582" t="s">
        <v>14</v>
      </c>
      <c r="D3582">
        <v>56</v>
      </c>
      <c r="E3582" s="1">
        <v>42243</v>
      </c>
      <c r="F3582">
        <v>4.41</v>
      </c>
      <c r="G3582">
        <v>7</v>
      </c>
      <c r="H3582">
        <v>10496.12</v>
      </c>
      <c r="I3582">
        <v>10.199999999999999</v>
      </c>
    </row>
    <row r="3583" spans="1:9" x14ac:dyDescent="0.3">
      <c r="A3583" t="s">
        <v>3598</v>
      </c>
      <c r="B3583" t="s">
        <v>10</v>
      </c>
      <c r="C3583" t="s">
        <v>14</v>
      </c>
      <c r="D3583">
        <v>23</v>
      </c>
      <c r="E3583" s="1">
        <v>45701</v>
      </c>
      <c r="F3583">
        <v>2.14</v>
      </c>
      <c r="G3583">
        <v>7</v>
      </c>
      <c r="H3583">
        <v>5795.53</v>
      </c>
      <c r="I3583">
        <v>0.7</v>
      </c>
    </row>
    <row r="3584" spans="1:9" x14ac:dyDescent="0.3">
      <c r="A3584" t="s">
        <v>3599</v>
      </c>
      <c r="B3584" t="s">
        <v>18</v>
      </c>
      <c r="C3584" t="s">
        <v>11</v>
      </c>
      <c r="D3584">
        <v>29</v>
      </c>
      <c r="E3584" s="1">
        <v>43521</v>
      </c>
      <c r="F3584">
        <v>4.88</v>
      </c>
      <c r="G3584">
        <v>8</v>
      </c>
      <c r="H3584">
        <v>6660.58</v>
      </c>
      <c r="I3584">
        <v>6.7</v>
      </c>
    </row>
    <row r="3585" spans="1:9" x14ac:dyDescent="0.3">
      <c r="A3585" t="s">
        <v>3600</v>
      </c>
      <c r="B3585" t="s">
        <v>18</v>
      </c>
      <c r="C3585" t="s">
        <v>14</v>
      </c>
      <c r="D3585">
        <v>54</v>
      </c>
      <c r="E3585" s="1">
        <v>43901</v>
      </c>
      <c r="F3585">
        <v>4.5</v>
      </c>
      <c r="G3585">
        <v>14</v>
      </c>
      <c r="H3585">
        <v>8005.9</v>
      </c>
      <c r="I3585">
        <v>5.6</v>
      </c>
    </row>
    <row r="3586" spans="1:9" x14ac:dyDescent="0.3">
      <c r="A3586" t="s">
        <v>3601</v>
      </c>
      <c r="B3586" t="s">
        <v>24</v>
      </c>
      <c r="C3586" t="s">
        <v>14</v>
      </c>
      <c r="D3586">
        <v>46</v>
      </c>
      <c r="E3586" s="1">
        <v>44561</v>
      </c>
      <c r="F3586">
        <v>2.23</v>
      </c>
      <c r="G3586">
        <v>5</v>
      </c>
      <c r="H3586">
        <v>9575.9500000000007</v>
      </c>
      <c r="I3586">
        <v>3.8</v>
      </c>
    </row>
    <row r="3587" spans="1:9" x14ac:dyDescent="0.3">
      <c r="A3587" t="s">
        <v>3602</v>
      </c>
      <c r="B3587" t="s">
        <v>16</v>
      </c>
      <c r="C3587" t="s">
        <v>11</v>
      </c>
      <c r="D3587">
        <v>40</v>
      </c>
      <c r="E3587" s="1">
        <v>44601</v>
      </c>
      <c r="F3587">
        <v>3.5</v>
      </c>
      <c r="G3587">
        <v>9</v>
      </c>
      <c r="H3587">
        <v>5857.73</v>
      </c>
      <c r="I3587">
        <v>3.7</v>
      </c>
    </row>
    <row r="3588" spans="1:9" x14ac:dyDescent="0.3">
      <c r="A3588" t="s">
        <v>3603</v>
      </c>
      <c r="B3588" t="s">
        <v>13</v>
      </c>
      <c r="C3588" t="s">
        <v>11</v>
      </c>
      <c r="D3588">
        <v>51</v>
      </c>
      <c r="E3588" s="1">
        <v>43544</v>
      </c>
      <c r="F3588">
        <v>1.51</v>
      </c>
      <c r="G3588">
        <v>3</v>
      </c>
      <c r="H3588">
        <v>10611.84</v>
      </c>
      <c r="I3588">
        <v>6.6</v>
      </c>
    </row>
    <row r="3589" spans="1:9" x14ac:dyDescent="0.3">
      <c r="A3589" t="s">
        <v>3604</v>
      </c>
      <c r="B3589" t="s">
        <v>10</v>
      </c>
      <c r="C3589" t="s">
        <v>14</v>
      </c>
      <c r="D3589">
        <v>42</v>
      </c>
      <c r="E3589" s="1">
        <v>42999</v>
      </c>
      <c r="F3589">
        <v>3.72</v>
      </c>
      <c r="G3589">
        <v>15</v>
      </c>
      <c r="H3589">
        <v>4712.3900000000003</v>
      </c>
      <c r="I3589">
        <v>8.1</v>
      </c>
    </row>
    <row r="3590" spans="1:9" x14ac:dyDescent="0.3">
      <c r="A3590" t="s">
        <v>3605</v>
      </c>
      <c r="B3590" t="s">
        <v>16</v>
      </c>
      <c r="C3590" t="s">
        <v>11</v>
      </c>
      <c r="D3590">
        <v>38</v>
      </c>
      <c r="E3590" s="1">
        <v>40220</v>
      </c>
      <c r="F3590">
        <v>4.09</v>
      </c>
      <c r="G3590">
        <v>14</v>
      </c>
      <c r="H3590">
        <v>7217.91</v>
      </c>
      <c r="I3590">
        <v>15.7</v>
      </c>
    </row>
    <row r="3591" spans="1:9" x14ac:dyDescent="0.3">
      <c r="A3591" t="s">
        <v>3606</v>
      </c>
      <c r="B3591" t="s">
        <v>16</v>
      </c>
      <c r="C3591" t="s">
        <v>14</v>
      </c>
      <c r="D3591">
        <v>28</v>
      </c>
      <c r="E3591" s="1">
        <v>45767</v>
      </c>
      <c r="F3591">
        <v>4.92</v>
      </c>
      <c r="G3591">
        <v>11</v>
      </c>
      <c r="H3591">
        <v>7482.39</v>
      </c>
      <c r="I3591">
        <v>0.5</v>
      </c>
    </row>
    <row r="3592" spans="1:9" x14ac:dyDescent="0.3">
      <c r="A3592" t="s">
        <v>3607</v>
      </c>
      <c r="B3592" t="s">
        <v>10</v>
      </c>
      <c r="C3592" t="s">
        <v>14</v>
      </c>
      <c r="D3592">
        <v>42</v>
      </c>
      <c r="E3592" s="1">
        <v>40250</v>
      </c>
      <c r="F3592">
        <v>2.5499999999999998</v>
      </c>
      <c r="G3592">
        <v>2</v>
      </c>
      <c r="H3592">
        <v>4076.89</v>
      </c>
      <c r="I3592">
        <v>15.6</v>
      </c>
    </row>
    <row r="3593" spans="1:9" x14ac:dyDescent="0.3">
      <c r="A3593" t="s">
        <v>3608</v>
      </c>
      <c r="B3593" t="s">
        <v>10</v>
      </c>
      <c r="C3593" t="s">
        <v>11</v>
      </c>
      <c r="D3593">
        <v>22</v>
      </c>
      <c r="E3593" s="1">
        <v>40622</v>
      </c>
      <c r="F3593">
        <v>2.73</v>
      </c>
      <c r="G3593">
        <v>13</v>
      </c>
      <c r="H3593">
        <v>4261.4399999999996</v>
      </c>
      <c r="I3593">
        <v>14.6</v>
      </c>
    </row>
    <row r="3594" spans="1:9" x14ac:dyDescent="0.3">
      <c r="A3594" t="s">
        <v>3609</v>
      </c>
      <c r="B3594" t="s">
        <v>10</v>
      </c>
      <c r="C3594" t="s">
        <v>14</v>
      </c>
      <c r="D3594">
        <v>27</v>
      </c>
      <c r="E3594" s="1">
        <v>44197</v>
      </c>
      <c r="F3594">
        <v>1.85</v>
      </c>
      <c r="G3594">
        <v>8</v>
      </c>
      <c r="H3594">
        <v>4221.32</v>
      </c>
      <c r="I3594">
        <v>4.8</v>
      </c>
    </row>
    <row r="3595" spans="1:9" x14ac:dyDescent="0.3">
      <c r="A3595" t="s">
        <v>3610</v>
      </c>
      <c r="B3595" t="s">
        <v>16</v>
      </c>
      <c r="C3595" t="s">
        <v>11</v>
      </c>
      <c r="D3595">
        <v>28</v>
      </c>
      <c r="E3595" s="1">
        <v>41391</v>
      </c>
      <c r="F3595">
        <v>4.8600000000000003</v>
      </c>
      <c r="G3595">
        <v>6</v>
      </c>
      <c r="H3595">
        <v>13062.23</v>
      </c>
      <c r="I3595">
        <v>12.5</v>
      </c>
    </row>
    <row r="3596" spans="1:9" x14ac:dyDescent="0.3">
      <c r="A3596" t="s">
        <v>3611</v>
      </c>
      <c r="B3596" t="s">
        <v>13</v>
      </c>
      <c r="C3596" t="s">
        <v>11</v>
      </c>
      <c r="D3596">
        <v>48</v>
      </c>
      <c r="E3596" s="1">
        <v>44295</v>
      </c>
      <c r="F3596">
        <v>4.37</v>
      </c>
      <c r="G3596">
        <v>15</v>
      </c>
      <c r="H3596">
        <v>13948.91</v>
      </c>
      <c r="I3596">
        <v>4.5999999999999996</v>
      </c>
    </row>
    <row r="3597" spans="1:9" x14ac:dyDescent="0.3">
      <c r="A3597" t="s">
        <v>3612</v>
      </c>
      <c r="B3597" t="s">
        <v>10</v>
      </c>
      <c r="C3597" t="s">
        <v>14</v>
      </c>
      <c r="D3597">
        <v>25</v>
      </c>
      <c r="E3597" s="1">
        <v>40580</v>
      </c>
      <c r="F3597">
        <v>2.36</v>
      </c>
      <c r="G3597">
        <v>10</v>
      </c>
      <c r="H3597">
        <v>7037.68</v>
      </c>
      <c r="I3597">
        <v>14.7</v>
      </c>
    </row>
    <row r="3598" spans="1:9" x14ac:dyDescent="0.3">
      <c r="A3598" t="s">
        <v>3613</v>
      </c>
      <c r="B3598" t="s">
        <v>10</v>
      </c>
      <c r="C3598" t="s">
        <v>11</v>
      </c>
      <c r="D3598">
        <v>25</v>
      </c>
      <c r="E3598" s="1">
        <v>45908</v>
      </c>
      <c r="F3598">
        <v>4.9800000000000004</v>
      </c>
      <c r="G3598">
        <v>1</v>
      </c>
      <c r="H3598">
        <v>5634.12</v>
      </c>
      <c r="I3598">
        <v>0.1</v>
      </c>
    </row>
    <row r="3599" spans="1:9" x14ac:dyDescent="0.3">
      <c r="A3599" t="s">
        <v>3614</v>
      </c>
      <c r="B3599" t="s">
        <v>13</v>
      </c>
      <c r="C3599" t="s">
        <v>14</v>
      </c>
      <c r="D3599">
        <v>32</v>
      </c>
      <c r="E3599" s="1">
        <v>44597</v>
      </c>
      <c r="F3599">
        <v>2.91</v>
      </c>
      <c r="G3599">
        <v>9</v>
      </c>
      <c r="H3599">
        <v>13187.47</v>
      </c>
      <c r="I3599">
        <v>3.7</v>
      </c>
    </row>
    <row r="3600" spans="1:9" x14ac:dyDescent="0.3">
      <c r="A3600" t="s">
        <v>3615</v>
      </c>
      <c r="B3600" t="s">
        <v>18</v>
      </c>
      <c r="C3600" t="s">
        <v>14</v>
      </c>
      <c r="D3600">
        <v>57</v>
      </c>
      <c r="E3600" s="1">
        <v>45036</v>
      </c>
      <c r="F3600">
        <v>4.92</v>
      </c>
      <c r="G3600">
        <v>3</v>
      </c>
      <c r="H3600">
        <v>8945.99</v>
      </c>
      <c r="I3600">
        <v>2.5</v>
      </c>
    </row>
    <row r="3601" spans="1:9" x14ac:dyDescent="0.3">
      <c r="A3601" t="s">
        <v>3616</v>
      </c>
      <c r="B3601" t="s">
        <v>24</v>
      </c>
      <c r="C3601" t="s">
        <v>14</v>
      </c>
      <c r="D3601">
        <v>38</v>
      </c>
      <c r="E3601" s="1">
        <v>45351</v>
      </c>
      <c r="F3601">
        <v>1.8</v>
      </c>
      <c r="G3601">
        <v>3</v>
      </c>
      <c r="H3601">
        <v>12092.75</v>
      </c>
      <c r="I3601">
        <v>1.7</v>
      </c>
    </row>
    <row r="3602" spans="1:9" x14ac:dyDescent="0.3">
      <c r="A3602" t="s">
        <v>3617</v>
      </c>
      <c r="B3602" t="s">
        <v>16</v>
      </c>
      <c r="C3602" t="s">
        <v>11</v>
      </c>
      <c r="D3602">
        <v>52</v>
      </c>
      <c r="E3602" s="1">
        <v>41128</v>
      </c>
      <c r="F3602">
        <v>2.5299999999999998</v>
      </c>
      <c r="G3602">
        <v>3</v>
      </c>
      <c r="H3602">
        <v>7537.62</v>
      </c>
      <c r="I3602">
        <v>13.2</v>
      </c>
    </row>
    <row r="3603" spans="1:9" x14ac:dyDescent="0.3">
      <c r="A3603" t="s">
        <v>3618</v>
      </c>
      <c r="B3603" t="s">
        <v>16</v>
      </c>
      <c r="C3603" t="s">
        <v>14</v>
      </c>
      <c r="D3603">
        <v>25</v>
      </c>
      <c r="E3603" s="1">
        <v>40995</v>
      </c>
      <c r="F3603">
        <v>2.2200000000000002</v>
      </c>
      <c r="G3603">
        <v>1</v>
      </c>
      <c r="H3603">
        <v>10394.950000000001</v>
      </c>
      <c r="I3603">
        <v>13.6</v>
      </c>
    </row>
    <row r="3604" spans="1:9" x14ac:dyDescent="0.3">
      <c r="A3604" t="s">
        <v>3619</v>
      </c>
      <c r="B3604" t="s">
        <v>18</v>
      </c>
      <c r="C3604" t="s">
        <v>11</v>
      </c>
      <c r="D3604">
        <v>36</v>
      </c>
      <c r="E3604" s="1">
        <v>41634</v>
      </c>
      <c r="F3604">
        <v>3.96</v>
      </c>
      <c r="G3604">
        <v>2</v>
      </c>
      <c r="H3604">
        <v>11296.61</v>
      </c>
      <c r="I3604">
        <v>11.9</v>
      </c>
    </row>
    <row r="3605" spans="1:9" x14ac:dyDescent="0.3">
      <c r="A3605" t="s">
        <v>3620</v>
      </c>
      <c r="B3605" t="s">
        <v>34</v>
      </c>
      <c r="C3605" t="s">
        <v>14</v>
      </c>
      <c r="D3605">
        <v>42</v>
      </c>
      <c r="E3605" s="1">
        <v>43834</v>
      </c>
      <c r="F3605">
        <v>3.01</v>
      </c>
      <c r="G3605">
        <v>7</v>
      </c>
      <c r="H3605">
        <v>14678.76</v>
      </c>
      <c r="I3605">
        <v>5.8</v>
      </c>
    </row>
    <row r="3606" spans="1:9" x14ac:dyDescent="0.3">
      <c r="A3606" t="s">
        <v>3621</v>
      </c>
      <c r="B3606" t="s">
        <v>16</v>
      </c>
      <c r="C3606" t="s">
        <v>14</v>
      </c>
      <c r="D3606">
        <v>45</v>
      </c>
      <c r="E3606" s="1">
        <v>43897</v>
      </c>
      <c r="F3606">
        <v>2.46</v>
      </c>
      <c r="G3606">
        <v>9</v>
      </c>
      <c r="H3606">
        <v>5872.59</v>
      </c>
      <c r="I3606">
        <v>5.7</v>
      </c>
    </row>
    <row r="3607" spans="1:9" x14ac:dyDescent="0.3">
      <c r="A3607" t="s">
        <v>3622</v>
      </c>
      <c r="B3607" t="s">
        <v>16</v>
      </c>
      <c r="C3607" t="s">
        <v>14</v>
      </c>
      <c r="D3607">
        <v>47</v>
      </c>
      <c r="E3607" s="1">
        <v>43862</v>
      </c>
      <c r="F3607">
        <v>1.87</v>
      </c>
      <c r="G3607">
        <v>9</v>
      </c>
      <c r="H3607">
        <v>12281.35</v>
      </c>
      <c r="I3607">
        <v>5.8</v>
      </c>
    </row>
    <row r="3608" spans="1:9" x14ac:dyDescent="0.3">
      <c r="A3608" t="s">
        <v>3623</v>
      </c>
      <c r="B3608" t="s">
        <v>10</v>
      </c>
      <c r="C3608" t="s">
        <v>11</v>
      </c>
      <c r="D3608">
        <v>52</v>
      </c>
      <c r="E3608" s="1">
        <v>45327</v>
      </c>
      <c r="F3608">
        <v>3.41</v>
      </c>
      <c r="G3608">
        <v>15</v>
      </c>
      <c r="H3608">
        <v>14069.56</v>
      </c>
      <c r="I3608">
        <v>1.7</v>
      </c>
    </row>
    <row r="3609" spans="1:9" x14ac:dyDescent="0.3">
      <c r="A3609" t="s">
        <v>3624</v>
      </c>
      <c r="B3609" t="s">
        <v>18</v>
      </c>
      <c r="C3609" t="s">
        <v>11</v>
      </c>
      <c r="D3609">
        <v>31</v>
      </c>
      <c r="E3609" s="1">
        <v>44585</v>
      </c>
      <c r="F3609">
        <v>2.31</v>
      </c>
      <c r="G3609">
        <v>2</v>
      </c>
      <c r="H3609">
        <v>10878.8</v>
      </c>
      <c r="I3609">
        <v>3.8</v>
      </c>
    </row>
    <row r="3610" spans="1:9" x14ac:dyDescent="0.3">
      <c r="A3610" t="s">
        <v>3625</v>
      </c>
      <c r="B3610" t="s">
        <v>16</v>
      </c>
      <c r="C3610" t="s">
        <v>11</v>
      </c>
      <c r="D3610">
        <v>59</v>
      </c>
      <c r="E3610" s="1">
        <v>43286</v>
      </c>
      <c r="F3610">
        <v>3.03</v>
      </c>
      <c r="G3610">
        <v>12</v>
      </c>
      <c r="H3610">
        <v>5181.2299999999996</v>
      </c>
      <c r="I3610">
        <v>7.3</v>
      </c>
    </row>
    <row r="3611" spans="1:9" x14ac:dyDescent="0.3">
      <c r="A3611" t="s">
        <v>3626</v>
      </c>
      <c r="B3611" t="s">
        <v>13</v>
      </c>
      <c r="C3611" t="s">
        <v>11</v>
      </c>
      <c r="D3611">
        <v>39</v>
      </c>
      <c r="E3611" s="1">
        <v>41079</v>
      </c>
      <c r="F3611">
        <v>4.6900000000000004</v>
      </c>
      <c r="G3611">
        <v>9</v>
      </c>
      <c r="H3611">
        <v>3333.85</v>
      </c>
      <c r="I3611">
        <v>13.4</v>
      </c>
    </row>
    <row r="3612" spans="1:9" x14ac:dyDescent="0.3">
      <c r="A3612" t="s">
        <v>3627</v>
      </c>
      <c r="B3612" t="s">
        <v>24</v>
      </c>
      <c r="C3612" t="s">
        <v>11</v>
      </c>
      <c r="D3612">
        <v>41</v>
      </c>
      <c r="E3612" s="1">
        <v>43744</v>
      </c>
      <c r="F3612">
        <v>4.66</v>
      </c>
      <c r="G3612">
        <v>15</v>
      </c>
      <c r="H3612">
        <v>12884.79</v>
      </c>
      <c r="I3612">
        <v>6.1</v>
      </c>
    </row>
    <row r="3613" spans="1:9" x14ac:dyDescent="0.3">
      <c r="A3613" t="s">
        <v>3628</v>
      </c>
      <c r="B3613" t="s">
        <v>24</v>
      </c>
      <c r="C3613" t="s">
        <v>11</v>
      </c>
      <c r="D3613">
        <v>50</v>
      </c>
      <c r="E3613" s="1">
        <v>40636</v>
      </c>
      <c r="F3613">
        <v>1.73</v>
      </c>
      <c r="G3613">
        <v>5</v>
      </c>
      <c r="H3613">
        <v>13052.43</v>
      </c>
      <c r="I3613">
        <v>14.6</v>
      </c>
    </row>
    <row r="3614" spans="1:9" x14ac:dyDescent="0.3">
      <c r="A3614" t="s">
        <v>3629</v>
      </c>
      <c r="B3614" t="s">
        <v>16</v>
      </c>
      <c r="C3614" t="s">
        <v>14</v>
      </c>
      <c r="D3614">
        <v>56</v>
      </c>
      <c r="E3614" s="1">
        <v>41720</v>
      </c>
      <c r="F3614">
        <v>3.12</v>
      </c>
      <c r="G3614">
        <v>8</v>
      </c>
      <c r="H3614">
        <v>12851.4</v>
      </c>
      <c r="I3614">
        <v>11.6</v>
      </c>
    </row>
    <row r="3615" spans="1:9" x14ac:dyDescent="0.3">
      <c r="A3615" t="s">
        <v>3630</v>
      </c>
      <c r="B3615" t="s">
        <v>24</v>
      </c>
      <c r="C3615" t="s">
        <v>11</v>
      </c>
      <c r="D3615">
        <v>50</v>
      </c>
      <c r="E3615" s="1">
        <v>43842</v>
      </c>
      <c r="F3615">
        <v>3.56</v>
      </c>
      <c r="G3615">
        <v>5</v>
      </c>
      <c r="H3615">
        <v>3240.33</v>
      </c>
      <c r="I3615">
        <v>5.8</v>
      </c>
    </row>
    <row r="3616" spans="1:9" x14ac:dyDescent="0.3">
      <c r="A3616" t="s">
        <v>3631</v>
      </c>
      <c r="B3616" t="s">
        <v>16</v>
      </c>
      <c r="C3616" t="s">
        <v>11</v>
      </c>
      <c r="D3616">
        <v>41</v>
      </c>
      <c r="E3616" s="1">
        <v>40461</v>
      </c>
      <c r="F3616">
        <v>4.67</v>
      </c>
      <c r="G3616">
        <v>6</v>
      </c>
      <c r="H3616">
        <v>12430.69</v>
      </c>
      <c r="I3616">
        <v>15.1</v>
      </c>
    </row>
    <row r="3617" spans="1:9" x14ac:dyDescent="0.3">
      <c r="A3617" t="s">
        <v>3632</v>
      </c>
      <c r="B3617" t="s">
        <v>16</v>
      </c>
      <c r="C3617" t="s">
        <v>14</v>
      </c>
      <c r="D3617">
        <v>42</v>
      </c>
      <c r="E3617" s="1">
        <v>40856</v>
      </c>
      <c r="F3617">
        <v>4.04</v>
      </c>
      <c r="G3617">
        <v>2</v>
      </c>
      <c r="H3617">
        <v>10115.27</v>
      </c>
      <c r="I3617">
        <v>14</v>
      </c>
    </row>
    <row r="3618" spans="1:9" x14ac:dyDescent="0.3">
      <c r="A3618" t="s">
        <v>3633</v>
      </c>
      <c r="B3618" t="s">
        <v>10</v>
      </c>
      <c r="C3618" t="s">
        <v>11</v>
      </c>
      <c r="D3618">
        <v>45</v>
      </c>
      <c r="E3618" s="1">
        <v>42666</v>
      </c>
      <c r="F3618">
        <v>3.1</v>
      </c>
      <c r="G3618">
        <v>13</v>
      </c>
      <c r="H3618">
        <v>7029.16</v>
      </c>
      <c r="I3618">
        <v>9</v>
      </c>
    </row>
    <row r="3619" spans="1:9" x14ac:dyDescent="0.3">
      <c r="A3619" t="s">
        <v>3634</v>
      </c>
      <c r="B3619" t="s">
        <v>10</v>
      </c>
      <c r="C3619" t="s">
        <v>14</v>
      </c>
      <c r="D3619">
        <v>50</v>
      </c>
      <c r="E3619" s="1">
        <v>43814</v>
      </c>
      <c r="F3619">
        <v>4.2</v>
      </c>
      <c r="G3619">
        <v>9</v>
      </c>
      <c r="H3619">
        <v>8713.36</v>
      </c>
      <c r="I3619">
        <v>5.9</v>
      </c>
    </row>
    <row r="3620" spans="1:9" x14ac:dyDescent="0.3">
      <c r="A3620" t="s">
        <v>3635</v>
      </c>
      <c r="B3620" t="s">
        <v>34</v>
      </c>
      <c r="C3620" t="s">
        <v>14</v>
      </c>
      <c r="D3620">
        <v>34</v>
      </c>
      <c r="E3620" s="1">
        <v>42011</v>
      </c>
      <c r="F3620">
        <v>3.51</v>
      </c>
      <c r="G3620">
        <v>5</v>
      </c>
      <c r="H3620">
        <v>4828.84</v>
      </c>
      <c r="I3620">
        <v>10.8</v>
      </c>
    </row>
    <row r="3621" spans="1:9" x14ac:dyDescent="0.3">
      <c r="A3621" t="s">
        <v>3636</v>
      </c>
      <c r="B3621" t="s">
        <v>16</v>
      </c>
      <c r="C3621" t="s">
        <v>14</v>
      </c>
      <c r="D3621">
        <v>24</v>
      </c>
      <c r="E3621" s="1">
        <v>45689</v>
      </c>
      <c r="F3621">
        <v>1.8</v>
      </c>
      <c r="G3621">
        <v>4</v>
      </c>
      <c r="H3621">
        <v>11940.86</v>
      </c>
      <c r="I3621">
        <v>0.7</v>
      </c>
    </row>
    <row r="3622" spans="1:9" x14ac:dyDescent="0.3">
      <c r="A3622" t="s">
        <v>3637</v>
      </c>
      <c r="B3622" t="s">
        <v>24</v>
      </c>
      <c r="C3622" t="s">
        <v>11</v>
      </c>
      <c r="D3622">
        <v>53</v>
      </c>
      <c r="E3622" s="1">
        <v>44131</v>
      </c>
      <c r="F3622">
        <v>3.19</v>
      </c>
      <c r="G3622">
        <v>14</v>
      </c>
      <c r="H3622">
        <v>3319.33</v>
      </c>
      <c r="I3622">
        <v>5</v>
      </c>
    </row>
    <row r="3623" spans="1:9" x14ac:dyDescent="0.3">
      <c r="A3623" t="s">
        <v>3638</v>
      </c>
      <c r="B3623" t="s">
        <v>10</v>
      </c>
      <c r="C3623" t="s">
        <v>14</v>
      </c>
      <c r="D3623">
        <v>55</v>
      </c>
      <c r="E3623" s="1">
        <v>41265</v>
      </c>
      <c r="F3623">
        <v>1.6</v>
      </c>
      <c r="G3623">
        <v>7</v>
      </c>
      <c r="H3623">
        <v>10183.24</v>
      </c>
      <c r="I3623">
        <v>12.9</v>
      </c>
    </row>
    <row r="3624" spans="1:9" x14ac:dyDescent="0.3">
      <c r="A3624" t="s">
        <v>3639</v>
      </c>
      <c r="B3624" t="s">
        <v>18</v>
      </c>
      <c r="C3624" t="s">
        <v>14</v>
      </c>
      <c r="D3624">
        <v>50</v>
      </c>
      <c r="E3624" s="1">
        <v>42154</v>
      </c>
      <c r="F3624">
        <v>3.32</v>
      </c>
      <c r="G3624">
        <v>0</v>
      </c>
      <c r="H3624">
        <v>11712.58</v>
      </c>
      <c r="I3624">
        <v>10.4</v>
      </c>
    </row>
    <row r="3625" spans="1:9" x14ac:dyDescent="0.3">
      <c r="A3625" t="s">
        <v>3640</v>
      </c>
      <c r="B3625" t="s">
        <v>16</v>
      </c>
      <c r="C3625" t="s">
        <v>14</v>
      </c>
      <c r="D3625">
        <v>58</v>
      </c>
      <c r="E3625" s="1">
        <v>42233</v>
      </c>
      <c r="F3625">
        <v>1.81</v>
      </c>
      <c r="G3625">
        <v>0</v>
      </c>
      <c r="H3625">
        <v>3898.79</v>
      </c>
      <c r="I3625">
        <v>10.199999999999999</v>
      </c>
    </row>
    <row r="3626" spans="1:9" x14ac:dyDescent="0.3">
      <c r="A3626" t="s">
        <v>3641</v>
      </c>
      <c r="B3626" t="s">
        <v>16</v>
      </c>
      <c r="C3626" t="s">
        <v>11</v>
      </c>
      <c r="D3626">
        <v>30</v>
      </c>
      <c r="E3626" s="1">
        <v>43922</v>
      </c>
      <c r="F3626">
        <v>2.8</v>
      </c>
      <c r="G3626">
        <v>4</v>
      </c>
      <c r="H3626">
        <v>13854.8</v>
      </c>
      <c r="I3626">
        <v>5.6</v>
      </c>
    </row>
    <row r="3627" spans="1:9" x14ac:dyDescent="0.3">
      <c r="A3627" t="s">
        <v>3642</v>
      </c>
      <c r="B3627" t="s">
        <v>16</v>
      </c>
      <c r="C3627" t="s">
        <v>14</v>
      </c>
      <c r="D3627">
        <v>40</v>
      </c>
      <c r="E3627" s="1">
        <v>42000</v>
      </c>
      <c r="F3627">
        <v>3.04</v>
      </c>
      <c r="G3627">
        <v>10</v>
      </c>
      <c r="H3627">
        <v>6973.49</v>
      </c>
      <c r="I3627">
        <v>10.9</v>
      </c>
    </row>
    <row r="3628" spans="1:9" x14ac:dyDescent="0.3">
      <c r="A3628" t="s">
        <v>3643</v>
      </c>
      <c r="B3628" t="s">
        <v>16</v>
      </c>
      <c r="C3628" t="s">
        <v>11</v>
      </c>
      <c r="D3628">
        <v>32</v>
      </c>
      <c r="E3628" s="1">
        <v>44081</v>
      </c>
      <c r="F3628">
        <v>4.57</v>
      </c>
      <c r="G3628">
        <v>8</v>
      </c>
      <c r="H3628">
        <v>11227.51</v>
      </c>
      <c r="I3628">
        <v>5.2</v>
      </c>
    </row>
    <row r="3629" spans="1:9" x14ac:dyDescent="0.3">
      <c r="A3629" t="s">
        <v>3644</v>
      </c>
      <c r="B3629" t="s">
        <v>24</v>
      </c>
      <c r="C3629" t="s">
        <v>11</v>
      </c>
      <c r="D3629">
        <v>55</v>
      </c>
      <c r="E3629" s="1">
        <v>43133</v>
      </c>
      <c r="F3629">
        <v>4.49</v>
      </c>
      <c r="G3629">
        <v>7</v>
      </c>
      <c r="H3629">
        <v>6579.52</v>
      </c>
      <c r="I3629">
        <v>7.8</v>
      </c>
    </row>
    <row r="3630" spans="1:9" x14ac:dyDescent="0.3">
      <c r="A3630" t="s">
        <v>3645</v>
      </c>
      <c r="B3630" t="s">
        <v>18</v>
      </c>
      <c r="C3630" t="s">
        <v>11</v>
      </c>
      <c r="D3630">
        <v>37</v>
      </c>
      <c r="E3630" s="1">
        <v>40301</v>
      </c>
      <c r="F3630">
        <v>4.91</v>
      </c>
      <c r="G3630">
        <v>6</v>
      </c>
      <c r="H3630">
        <v>5160.33</v>
      </c>
      <c r="I3630">
        <v>15.5</v>
      </c>
    </row>
    <row r="3631" spans="1:9" x14ac:dyDescent="0.3">
      <c r="A3631" t="s">
        <v>3646</v>
      </c>
      <c r="B3631" t="s">
        <v>16</v>
      </c>
      <c r="C3631" t="s">
        <v>14</v>
      </c>
      <c r="D3631">
        <v>39</v>
      </c>
      <c r="E3631" s="1">
        <v>40470</v>
      </c>
      <c r="F3631">
        <v>1.84</v>
      </c>
      <c r="G3631">
        <v>14</v>
      </c>
      <c r="H3631">
        <v>7542.96</v>
      </c>
      <c r="I3631">
        <v>15</v>
      </c>
    </row>
    <row r="3632" spans="1:9" x14ac:dyDescent="0.3">
      <c r="A3632" t="s">
        <v>3647</v>
      </c>
      <c r="B3632" t="s">
        <v>24</v>
      </c>
      <c r="C3632" t="s">
        <v>14</v>
      </c>
      <c r="D3632">
        <v>59</v>
      </c>
      <c r="E3632" s="1">
        <v>45014</v>
      </c>
      <c r="F3632">
        <v>2.7</v>
      </c>
      <c r="G3632">
        <v>4</v>
      </c>
      <c r="H3632">
        <v>14667.06</v>
      </c>
      <c r="I3632">
        <v>2.6</v>
      </c>
    </row>
    <row r="3633" spans="1:9" x14ac:dyDescent="0.3">
      <c r="A3633" t="s">
        <v>3648</v>
      </c>
      <c r="B3633" t="s">
        <v>34</v>
      </c>
      <c r="C3633" t="s">
        <v>14</v>
      </c>
      <c r="D3633">
        <v>29</v>
      </c>
      <c r="E3633" s="1">
        <v>40281</v>
      </c>
      <c r="F3633">
        <v>3.32</v>
      </c>
      <c r="G3633">
        <v>14</v>
      </c>
      <c r="H3633">
        <v>3850.09</v>
      </c>
      <c r="I3633">
        <v>15.6</v>
      </c>
    </row>
    <row r="3634" spans="1:9" x14ac:dyDescent="0.3">
      <c r="A3634" t="s">
        <v>3649</v>
      </c>
      <c r="B3634" t="s">
        <v>18</v>
      </c>
      <c r="C3634" t="s">
        <v>14</v>
      </c>
      <c r="D3634">
        <v>34</v>
      </c>
      <c r="E3634" s="1">
        <v>40823</v>
      </c>
      <c r="F3634">
        <v>2.91</v>
      </c>
      <c r="G3634">
        <v>9</v>
      </c>
      <c r="H3634">
        <v>12392.16</v>
      </c>
      <c r="I3634">
        <v>14.1</v>
      </c>
    </row>
    <row r="3635" spans="1:9" x14ac:dyDescent="0.3">
      <c r="A3635" t="s">
        <v>3650</v>
      </c>
      <c r="B3635" t="s">
        <v>18</v>
      </c>
      <c r="C3635" t="s">
        <v>14</v>
      </c>
      <c r="D3635">
        <v>25</v>
      </c>
      <c r="E3635" s="1">
        <v>41322</v>
      </c>
      <c r="F3635">
        <v>2.5099999999999998</v>
      </c>
      <c r="G3635">
        <v>11</v>
      </c>
      <c r="H3635">
        <v>8813.09</v>
      </c>
      <c r="I3635">
        <v>12.7</v>
      </c>
    </row>
    <row r="3636" spans="1:9" x14ac:dyDescent="0.3">
      <c r="A3636" t="s">
        <v>3651</v>
      </c>
      <c r="B3636" t="s">
        <v>10</v>
      </c>
      <c r="C3636" t="s">
        <v>11</v>
      </c>
      <c r="D3636">
        <v>22</v>
      </c>
      <c r="E3636" s="1">
        <v>42664</v>
      </c>
      <c r="F3636">
        <v>4.53</v>
      </c>
      <c r="G3636">
        <v>5</v>
      </c>
      <c r="H3636">
        <v>12017.02</v>
      </c>
      <c r="I3636">
        <v>9</v>
      </c>
    </row>
    <row r="3637" spans="1:9" x14ac:dyDescent="0.3">
      <c r="A3637" t="s">
        <v>3652</v>
      </c>
      <c r="B3637" t="s">
        <v>18</v>
      </c>
      <c r="C3637" t="s">
        <v>14</v>
      </c>
      <c r="D3637">
        <v>45</v>
      </c>
      <c r="E3637" s="1">
        <v>44453</v>
      </c>
      <c r="F3637">
        <v>4.78</v>
      </c>
      <c r="G3637">
        <v>12</v>
      </c>
      <c r="H3637">
        <v>14613.22</v>
      </c>
      <c r="I3637">
        <v>4.0999999999999996</v>
      </c>
    </row>
    <row r="3638" spans="1:9" x14ac:dyDescent="0.3">
      <c r="A3638" t="s">
        <v>3653</v>
      </c>
      <c r="B3638" t="s">
        <v>13</v>
      </c>
      <c r="C3638" t="s">
        <v>11</v>
      </c>
      <c r="D3638">
        <v>59</v>
      </c>
      <c r="E3638" s="1">
        <v>42899</v>
      </c>
      <c r="F3638">
        <v>1.57</v>
      </c>
      <c r="G3638">
        <v>4</v>
      </c>
      <c r="H3638">
        <v>3776.44</v>
      </c>
      <c r="I3638">
        <v>8.4</v>
      </c>
    </row>
    <row r="3639" spans="1:9" x14ac:dyDescent="0.3">
      <c r="A3639" t="s">
        <v>3654</v>
      </c>
      <c r="B3639" t="s">
        <v>34</v>
      </c>
      <c r="C3639" t="s">
        <v>11</v>
      </c>
      <c r="D3639">
        <v>31</v>
      </c>
      <c r="E3639" s="1">
        <v>42393</v>
      </c>
      <c r="F3639">
        <v>4.8099999999999996</v>
      </c>
      <c r="G3639">
        <v>14</v>
      </c>
      <c r="H3639">
        <v>9358.81</v>
      </c>
      <c r="I3639">
        <v>9.8000000000000007</v>
      </c>
    </row>
    <row r="3640" spans="1:9" x14ac:dyDescent="0.3">
      <c r="A3640" t="s">
        <v>3655</v>
      </c>
      <c r="B3640" t="s">
        <v>16</v>
      </c>
      <c r="C3640" t="s">
        <v>14</v>
      </c>
      <c r="D3640">
        <v>37</v>
      </c>
      <c r="E3640" s="1">
        <v>44217</v>
      </c>
      <c r="F3640">
        <v>2.21</v>
      </c>
      <c r="G3640">
        <v>5</v>
      </c>
      <c r="H3640">
        <v>9946.34</v>
      </c>
      <c r="I3640">
        <v>4.8</v>
      </c>
    </row>
    <row r="3641" spans="1:9" x14ac:dyDescent="0.3">
      <c r="A3641" t="s">
        <v>3656</v>
      </c>
      <c r="B3641" t="s">
        <v>10</v>
      </c>
      <c r="C3641" t="s">
        <v>14</v>
      </c>
      <c r="D3641">
        <v>39</v>
      </c>
      <c r="E3641" s="1">
        <v>40713</v>
      </c>
      <c r="F3641">
        <v>3.1</v>
      </c>
      <c r="G3641">
        <v>14</v>
      </c>
      <c r="H3641">
        <v>4933.3</v>
      </c>
      <c r="I3641">
        <v>14.4</v>
      </c>
    </row>
    <row r="3642" spans="1:9" x14ac:dyDescent="0.3">
      <c r="A3642" t="s">
        <v>3657</v>
      </c>
      <c r="B3642" t="s">
        <v>34</v>
      </c>
      <c r="C3642" t="s">
        <v>14</v>
      </c>
      <c r="D3642">
        <v>60</v>
      </c>
      <c r="E3642" s="1">
        <v>45241</v>
      </c>
      <c r="F3642">
        <v>3.48</v>
      </c>
      <c r="G3642">
        <v>5</v>
      </c>
      <c r="H3642">
        <v>5555.51</v>
      </c>
      <c r="I3642">
        <v>2</v>
      </c>
    </row>
    <row r="3643" spans="1:9" x14ac:dyDescent="0.3">
      <c r="A3643" t="s">
        <v>3658</v>
      </c>
      <c r="B3643" t="s">
        <v>13</v>
      </c>
      <c r="C3643" t="s">
        <v>11</v>
      </c>
      <c r="D3643">
        <v>38</v>
      </c>
      <c r="E3643" s="1">
        <v>40823</v>
      </c>
      <c r="F3643">
        <v>2.0699999999999998</v>
      </c>
      <c r="G3643">
        <v>11</v>
      </c>
      <c r="H3643">
        <v>10051.049999999999</v>
      </c>
      <c r="I3643">
        <v>14.1</v>
      </c>
    </row>
    <row r="3644" spans="1:9" x14ac:dyDescent="0.3">
      <c r="A3644" t="s">
        <v>3659</v>
      </c>
      <c r="B3644" t="s">
        <v>10</v>
      </c>
      <c r="C3644" t="s">
        <v>14</v>
      </c>
      <c r="D3644">
        <v>27</v>
      </c>
      <c r="E3644" s="1">
        <v>42984</v>
      </c>
      <c r="F3644">
        <v>4.38</v>
      </c>
      <c r="G3644">
        <v>3</v>
      </c>
      <c r="H3644">
        <v>12361.94</v>
      </c>
      <c r="I3644">
        <v>8.1999999999999993</v>
      </c>
    </row>
    <row r="3645" spans="1:9" x14ac:dyDescent="0.3">
      <c r="A3645" t="s">
        <v>3660</v>
      </c>
      <c r="B3645" t="s">
        <v>16</v>
      </c>
      <c r="C3645" t="s">
        <v>14</v>
      </c>
      <c r="D3645">
        <v>53</v>
      </c>
      <c r="E3645" s="1">
        <v>43912</v>
      </c>
      <c r="F3645">
        <v>4.2</v>
      </c>
      <c r="G3645">
        <v>5</v>
      </c>
      <c r="H3645">
        <v>12689.84</v>
      </c>
      <c r="I3645">
        <v>5.6</v>
      </c>
    </row>
    <row r="3646" spans="1:9" x14ac:dyDescent="0.3">
      <c r="A3646" t="s">
        <v>3661</v>
      </c>
      <c r="B3646" t="s">
        <v>16</v>
      </c>
      <c r="C3646" t="s">
        <v>14</v>
      </c>
      <c r="D3646">
        <v>55</v>
      </c>
      <c r="E3646" s="1">
        <v>44987</v>
      </c>
      <c r="F3646">
        <v>2.17</v>
      </c>
      <c r="G3646">
        <v>3</v>
      </c>
      <c r="H3646">
        <v>5003.3500000000004</v>
      </c>
      <c r="I3646">
        <v>2.7</v>
      </c>
    </row>
    <row r="3647" spans="1:9" x14ac:dyDescent="0.3">
      <c r="A3647" t="s">
        <v>3662</v>
      </c>
      <c r="B3647" t="s">
        <v>13</v>
      </c>
      <c r="C3647" t="s">
        <v>14</v>
      </c>
      <c r="D3647">
        <v>43</v>
      </c>
      <c r="E3647" s="1">
        <v>45832</v>
      </c>
      <c r="F3647">
        <v>4.16</v>
      </c>
      <c r="G3647">
        <v>2</v>
      </c>
      <c r="H3647">
        <v>10443.9</v>
      </c>
      <c r="I3647">
        <v>0.4</v>
      </c>
    </row>
    <row r="3648" spans="1:9" x14ac:dyDescent="0.3">
      <c r="A3648" t="s">
        <v>3663</v>
      </c>
      <c r="B3648" t="s">
        <v>18</v>
      </c>
      <c r="C3648" t="s">
        <v>11</v>
      </c>
      <c r="D3648">
        <v>31</v>
      </c>
      <c r="E3648" s="1">
        <v>42912</v>
      </c>
      <c r="F3648">
        <v>4.92</v>
      </c>
      <c r="G3648">
        <v>2</v>
      </c>
      <c r="H3648">
        <v>10159.74</v>
      </c>
      <c r="I3648">
        <v>8.4</v>
      </c>
    </row>
    <row r="3649" spans="1:9" x14ac:dyDescent="0.3">
      <c r="A3649" t="s">
        <v>3664</v>
      </c>
      <c r="B3649" t="s">
        <v>24</v>
      </c>
      <c r="C3649" t="s">
        <v>14</v>
      </c>
      <c r="D3649">
        <v>56</v>
      </c>
      <c r="E3649" s="1">
        <v>44625</v>
      </c>
      <c r="F3649">
        <v>4.2</v>
      </c>
      <c r="G3649">
        <v>10</v>
      </c>
      <c r="H3649">
        <v>7470.64</v>
      </c>
      <c r="I3649">
        <v>3.7</v>
      </c>
    </row>
    <row r="3650" spans="1:9" x14ac:dyDescent="0.3">
      <c r="A3650" t="s">
        <v>3665</v>
      </c>
      <c r="B3650" t="s">
        <v>34</v>
      </c>
      <c r="C3650" t="s">
        <v>11</v>
      </c>
      <c r="D3650">
        <v>38</v>
      </c>
      <c r="E3650" s="1">
        <v>43408</v>
      </c>
      <c r="F3650">
        <v>2.31</v>
      </c>
      <c r="G3650">
        <v>13</v>
      </c>
      <c r="H3650">
        <v>5770.76</v>
      </c>
      <c r="I3650">
        <v>7</v>
      </c>
    </row>
    <row r="3651" spans="1:9" x14ac:dyDescent="0.3">
      <c r="A3651" t="s">
        <v>3666</v>
      </c>
      <c r="B3651" t="s">
        <v>34</v>
      </c>
      <c r="C3651" t="s">
        <v>14</v>
      </c>
      <c r="D3651">
        <v>43</v>
      </c>
      <c r="E3651" s="1">
        <v>41323</v>
      </c>
      <c r="F3651">
        <v>3.34</v>
      </c>
      <c r="G3651">
        <v>9</v>
      </c>
      <c r="H3651">
        <v>8535.84</v>
      </c>
      <c r="I3651">
        <v>12.7</v>
      </c>
    </row>
    <row r="3652" spans="1:9" x14ac:dyDescent="0.3">
      <c r="A3652" t="s">
        <v>3667</v>
      </c>
      <c r="B3652" t="s">
        <v>18</v>
      </c>
      <c r="C3652" t="s">
        <v>14</v>
      </c>
      <c r="D3652">
        <v>25</v>
      </c>
      <c r="E3652" s="1">
        <v>40796</v>
      </c>
      <c r="F3652">
        <v>4.05</v>
      </c>
      <c r="G3652">
        <v>8</v>
      </c>
      <c r="H3652">
        <v>12430.59</v>
      </c>
      <c r="I3652">
        <v>14.2</v>
      </c>
    </row>
    <row r="3653" spans="1:9" x14ac:dyDescent="0.3">
      <c r="A3653" t="s">
        <v>3668</v>
      </c>
      <c r="B3653" t="s">
        <v>24</v>
      </c>
      <c r="C3653" t="s">
        <v>14</v>
      </c>
      <c r="D3653">
        <v>31</v>
      </c>
      <c r="E3653" s="1">
        <v>43208</v>
      </c>
      <c r="F3653">
        <v>2.41</v>
      </c>
      <c r="G3653">
        <v>13</v>
      </c>
      <c r="H3653">
        <v>5377.52</v>
      </c>
      <c r="I3653">
        <v>7.5</v>
      </c>
    </row>
    <row r="3654" spans="1:9" x14ac:dyDescent="0.3">
      <c r="A3654" t="s">
        <v>3669</v>
      </c>
      <c r="B3654" t="s">
        <v>16</v>
      </c>
      <c r="C3654" t="s">
        <v>11</v>
      </c>
      <c r="D3654">
        <v>33</v>
      </c>
      <c r="E3654" s="1">
        <v>43458</v>
      </c>
      <c r="F3654">
        <v>1.66</v>
      </c>
      <c r="G3654">
        <v>1</v>
      </c>
      <c r="H3654">
        <v>4307.4799999999996</v>
      </c>
      <c r="I3654">
        <v>6.9</v>
      </c>
    </row>
    <row r="3655" spans="1:9" x14ac:dyDescent="0.3">
      <c r="A3655" t="s">
        <v>3670</v>
      </c>
      <c r="B3655" t="s">
        <v>18</v>
      </c>
      <c r="C3655" t="s">
        <v>11</v>
      </c>
      <c r="D3655">
        <v>38</v>
      </c>
      <c r="E3655" s="1">
        <v>44236</v>
      </c>
      <c r="F3655">
        <v>4.4800000000000004</v>
      </c>
      <c r="G3655">
        <v>12</v>
      </c>
      <c r="H3655">
        <v>6738.86</v>
      </c>
      <c r="I3655">
        <v>4.7</v>
      </c>
    </row>
    <row r="3656" spans="1:9" x14ac:dyDescent="0.3">
      <c r="A3656" t="s">
        <v>3671</v>
      </c>
      <c r="B3656" t="s">
        <v>16</v>
      </c>
      <c r="C3656" t="s">
        <v>14</v>
      </c>
      <c r="D3656">
        <v>49</v>
      </c>
      <c r="E3656" s="1">
        <v>44257</v>
      </c>
      <c r="F3656">
        <v>2.11</v>
      </c>
      <c r="G3656">
        <v>14</v>
      </c>
      <c r="H3656">
        <v>14274.57</v>
      </c>
      <c r="I3656">
        <v>4.7</v>
      </c>
    </row>
    <row r="3657" spans="1:9" x14ac:dyDescent="0.3">
      <c r="A3657" t="s">
        <v>3672</v>
      </c>
      <c r="B3657" t="s">
        <v>18</v>
      </c>
      <c r="C3657" t="s">
        <v>11</v>
      </c>
      <c r="D3657">
        <v>51</v>
      </c>
      <c r="E3657" s="1">
        <v>44480</v>
      </c>
      <c r="F3657">
        <v>2.56</v>
      </c>
      <c r="G3657">
        <v>15</v>
      </c>
      <c r="H3657">
        <v>11728.05</v>
      </c>
      <c r="I3657">
        <v>4.0999999999999996</v>
      </c>
    </row>
    <row r="3658" spans="1:9" x14ac:dyDescent="0.3">
      <c r="A3658" t="s">
        <v>3673</v>
      </c>
      <c r="B3658" t="s">
        <v>34</v>
      </c>
      <c r="C3658" t="s">
        <v>11</v>
      </c>
      <c r="D3658">
        <v>22</v>
      </c>
      <c r="E3658" s="1">
        <v>41322</v>
      </c>
      <c r="F3658">
        <v>4</v>
      </c>
      <c r="G3658">
        <v>2</v>
      </c>
      <c r="H3658">
        <v>10463.780000000001</v>
      </c>
      <c r="I3658">
        <v>12.7</v>
      </c>
    </row>
    <row r="3659" spans="1:9" x14ac:dyDescent="0.3">
      <c r="A3659" t="s">
        <v>3674</v>
      </c>
      <c r="B3659" t="s">
        <v>34</v>
      </c>
      <c r="C3659" t="s">
        <v>11</v>
      </c>
      <c r="D3659">
        <v>37</v>
      </c>
      <c r="E3659" s="1">
        <v>45143</v>
      </c>
      <c r="F3659">
        <v>3.12</v>
      </c>
      <c r="G3659">
        <v>10</v>
      </c>
      <c r="H3659">
        <v>13577.8</v>
      </c>
      <c r="I3659">
        <v>2.2000000000000002</v>
      </c>
    </row>
    <row r="3660" spans="1:9" x14ac:dyDescent="0.3">
      <c r="A3660" t="s">
        <v>3675</v>
      </c>
      <c r="B3660" t="s">
        <v>13</v>
      </c>
      <c r="C3660" t="s">
        <v>14</v>
      </c>
      <c r="D3660">
        <v>49</v>
      </c>
      <c r="E3660" s="1">
        <v>41680</v>
      </c>
      <c r="F3660">
        <v>4.16</v>
      </c>
      <c r="G3660">
        <v>4</v>
      </c>
      <c r="H3660">
        <v>13370.58</v>
      </c>
      <c r="I3660">
        <v>11.7</v>
      </c>
    </row>
    <row r="3661" spans="1:9" x14ac:dyDescent="0.3">
      <c r="A3661" t="s">
        <v>3676</v>
      </c>
      <c r="B3661" t="s">
        <v>34</v>
      </c>
      <c r="C3661" t="s">
        <v>14</v>
      </c>
      <c r="D3661">
        <v>44</v>
      </c>
      <c r="E3661" s="1">
        <v>43586</v>
      </c>
      <c r="F3661">
        <v>2.56</v>
      </c>
      <c r="G3661">
        <v>15</v>
      </c>
      <c r="H3661">
        <v>11993.4</v>
      </c>
      <c r="I3661">
        <v>6.5</v>
      </c>
    </row>
    <row r="3662" spans="1:9" x14ac:dyDescent="0.3">
      <c r="A3662" t="s">
        <v>3677</v>
      </c>
      <c r="B3662" t="s">
        <v>24</v>
      </c>
      <c r="C3662" t="s">
        <v>11</v>
      </c>
      <c r="D3662">
        <v>59</v>
      </c>
      <c r="E3662" s="1">
        <v>45673</v>
      </c>
      <c r="F3662">
        <v>4.08</v>
      </c>
      <c r="G3662">
        <v>13</v>
      </c>
      <c r="H3662">
        <v>6158.27</v>
      </c>
      <c r="I3662">
        <v>0.8</v>
      </c>
    </row>
    <row r="3663" spans="1:9" x14ac:dyDescent="0.3">
      <c r="A3663" t="s">
        <v>3678</v>
      </c>
      <c r="B3663" t="s">
        <v>13</v>
      </c>
      <c r="C3663" t="s">
        <v>11</v>
      </c>
      <c r="D3663">
        <v>22</v>
      </c>
      <c r="E3663" s="1">
        <v>44254</v>
      </c>
      <c r="F3663">
        <v>3.03</v>
      </c>
      <c r="G3663">
        <v>10</v>
      </c>
      <c r="H3663">
        <v>10347.06</v>
      </c>
      <c r="I3663">
        <v>4.7</v>
      </c>
    </row>
    <row r="3664" spans="1:9" x14ac:dyDescent="0.3">
      <c r="A3664" t="s">
        <v>3679</v>
      </c>
      <c r="B3664" t="s">
        <v>18</v>
      </c>
      <c r="C3664" t="s">
        <v>14</v>
      </c>
      <c r="D3664">
        <v>60</v>
      </c>
      <c r="E3664" s="1">
        <v>45351</v>
      </c>
      <c r="F3664">
        <v>3.08</v>
      </c>
      <c r="G3664">
        <v>12</v>
      </c>
      <c r="H3664">
        <v>11626.56</v>
      </c>
      <c r="I3664">
        <v>1.7</v>
      </c>
    </row>
    <row r="3665" spans="1:9" x14ac:dyDescent="0.3">
      <c r="A3665" t="s">
        <v>3680</v>
      </c>
      <c r="B3665" t="s">
        <v>24</v>
      </c>
      <c r="C3665" t="s">
        <v>11</v>
      </c>
      <c r="D3665">
        <v>42</v>
      </c>
      <c r="E3665" s="1">
        <v>44735</v>
      </c>
      <c r="F3665">
        <v>4.82</v>
      </c>
      <c r="G3665">
        <v>1</v>
      </c>
      <c r="H3665">
        <v>14332.88</v>
      </c>
      <c r="I3665">
        <v>3.4</v>
      </c>
    </row>
    <row r="3666" spans="1:9" x14ac:dyDescent="0.3">
      <c r="A3666" t="s">
        <v>3681</v>
      </c>
      <c r="B3666" t="s">
        <v>16</v>
      </c>
      <c r="C3666" t="s">
        <v>14</v>
      </c>
      <c r="D3666">
        <v>52</v>
      </c>
      <c r="E3666" s="1">
        <v>43915</v>
      </c>
      <c r="F3666">
        <v>2.17</v>
      </c>
      <c r="G3666">
        <v>5</v>
      </c>
      <c r="H3666">
        <v>3670.68</v>
      </c>
      <c r="I3666">
        <v>5.6</v>
      </c>
    </row>
    <row r="3667" spans="1:9" x14ac:dyDescent="0.3">
      <c r="A3667" t="s">
        <v>3682</v>
      </c>
      <c r="B3667" t="s">
        <v>13</v>
      </c>
      <c r="C3667" t="s">
        <v>14</v>
      </c>
      <c r="D3667">
        <v>32</v>
      </c>
      <c r="E3667" s="1">
        <v>43564</v>
      </c>
      <c r="F3667">
        <v>2.72</v>
      </c>
      <c r="G3667">
        <v>3</v>
      </c>
      <c r="H3667">
        <v>7202.01</v>
      </c>
      <c r="I3667">
        <v>6.6</v>
      </c>
    </row>
    <row r="3668" spans="1:9" x14ac:dyDescent="0.3">
      <c r="A3668" t="s">
        <v>3683</v>
      </c>
      <c r="B3668" t="s">
        <v>18</v>
      </c>
      <c r="C3668" t="s">
        <v>14</v>
      </c>
      <c r="D3668">
        <v>48</v>
      </c>
      <c r="E3668" s="1">
        <v>45438</v>
      </c>
      <c r="F3668">
        <v>3.66</v>
      </c>
      <c r="G3668">
        <v>15</v>
      </c>
      <c r="H3668">
        <v>9423.99</v>
      </c>
      <c r="I3668">
        <v>1.4</v>
      </c>
    </row>
    <row r="3669" spans="1:9" x14ac:dyDescent="0.3">
      <c r="A3669" t="s">
        <v>3684</v>
      </c>
      <c r="B3669" t="s">
        <v>10</v>
      </c>
      <c r="C3669" t="s">
        <v>11</v>
      </c>
      <c r="D3669">
        <v>58</v>
      </c>
      <c r="E3669" s="1">
        <v>41965</v>
      </c>
      <c r="F3669">
        <v>4.0599999999999996</v>
      </c>
      <c r="G3669">
        <v>6</v>
      </c>
      <c r="H3669">
        <v>7317.05</v>
      </c>
      <c r="I3669">
        <v>11</v>
      </c>
    </row>
    <row r="3670" spans="1:9" x14ac:dyDescent="0.3">
      <c r="A3670" t="s">
        <v>3685</v>
      </c>
      <c r="B3670" t="s">
        <v>34</v>
      </c>
      <c r="C3670" t="s">
        <v>11</v>
      </c>
      <c r="D3670">
        <v>45</v>
      </c>
      <c r="E3670" s="1">
        <v>44147</v>
      </c>
      <c r="F3670">
        <v>3.35</v>
      </c>
      <c r="G3670">
        <v>7</v>
      </c>
      <c r="H3670">
        <v>5252.61</v>
      </c>
      <c r="I3670">
        <v>5</v>
      </c>
    </row>
    <row r="3671" spans="1:9" x14ac:dyDescent="0.3">
      <c r="A3671" t="s">
        <v>3686</v>
      </c>
      <c r="B3671" t="s">
        <v>24</v>
      </c>
      <c r="C3671" t="s">
        <v>14</v>
      </c>
      <c r="D3671">
        <v>54</v>
      </c>
      <c r="E3671" s="1">
        <v>43118</v>
      </c>
      <c r="F3671">
        <v>2.11</v>
      </c>
      <c r="G3671">
        <v>2</v>
      </c>
      <c r="H3671">
        <v>6567.83</v>
      </c>
      <c r="I3671">
        <v>7.8</v>
      </c>
    </row>
    <row r="3672" spans="1:9" x14ac:dyDescent="0.3">
      <c r="A3672" t="s">
        <v>3687</v>
      </c>
      <c r="B3672" t="s">
        <v>10</v>
      </c>
      <c r="C3672" t="s">
        <v>14</v>
      </c>
      <c r="D3672">
        <v>22</v>
      </c>
      <c r="E3672" s="1">
        <v>41291</v>
      </c>
      <c r="F3672">
        <v>3.87</v>
      </c>
      <c r="G3672">
        <v>14</v>
      </c>
      <c r="H3672">
        <v>13934.96</v>
      </c>
      <c r="I3672">
        <v>12.8</v>
      </c>
    </row>
    <row r="3673" spans="1:9" x14ac:dyDescent="0.3">
      <c r="A3673" t="s">
        <v>3688</v>
      </c>
      <c r="B3673" t="s">
        <v>13</v>
      </c>
      <c r="C3673" t="s">
        <v>14</v>
      </c>
      <c r="D3673">
        <v>40</v>
      </c>
      <c r="E3673" s="1">
        <v>44606</v>
      </c>
      <c r="F3673">
        <v>3.72</v>
      </c>
      <c r="G3673">
        <v>3</v>
      </c>
      <c r="H3673">
        <v>11058.67</v>
      </c>
      <c r="I3673">
        <v>3.7</v>
      </c>
    </row>
    <row r="3674" spans="1:9" x14ac:dyDescent="0.3">
      <c r="A3674" t="s">
        <v>3689</v>
      </c>
      <c r="B3674" t="s">
        <v>16</v>
      </c>
      <c r="C3674" t="s">
        <v>11</v>
      </c>
      <c r="D3674">
        <v>59</v>
      </c>
      <c r="E3674" s="1">
        <v>45424</v>
      </c>
      <c r="F3674">
        <v>4.25</v>
      </c>
      <c r="G3674">
        <v>12</v>
      </c>
      <c r="H3674">
        <v>12422.5</v>
      </c>
      <c r="I3674">
        <v>1.5</v>
      </c>
    </row>
    <row r="3675" spans="1:9" x14ac:dyDescent="0.3">
      <c r="A3675" t="s">
        <v>3690</v>
      </c>
      <c r="B3675" t="s">
        <v>34</v>
      </c>
      <c r="C3675" t="s">
        <v>14</v>
      </c>
      <c r="D3675">
        <v>32</v>
      </c>
      <c r="E3675" s="1">
        <v>42814</v>
      </c>
      <c r="F3675">
        <v>3.47</v>
      </c>
      <c r="G3675">
        <v>1</v>
      </c>
      <c r="H3675">
        <v>14686.57</v>
      </c>
      <c r="I3675">
        <v>8.6</v>
      </c>
    </row>
    <row r="3676" spans="1:9" x14ac:dyDescent="0.3">
      <c r="A3676" t="s">
        <v>3691</v>
      </c>
      <c r="B3676" t="s">
        <v>24</v>
      </c>
      <c r="C3676" t="s">
        <v>14</v>
      </c>
      <c r="D3676">
        <v>32</v>
      </c>
      <c r="E3676" s="1">
        <v>40801</v>
      </c>
      <c r="F3676">
        <v>3.36</v>
      </c>
      <c r="G3676">
        <v>10</v>
      </c>
      <c r="H3676">
        <v>9300.6</v>
      </c>
      <c r="I3676">
        <v>14.1</v>
      </c>
    </row>
    <row r="3677" spans="1:9" x14ac:dyDescent="0.3">
      <c r="A3677" t="s">
        <v>3692</v>
      </c>
      <c r="B3677" t="s">
        <v>10</v>
      </c>
      <c r="C3677" t="s">
        <v>14</v>
      </c>
      <c r="D3677">
        <v>37</v>
      </c>
      <c r="E3677" s="1">
        <v>45266</v>
      </c>
      <c r="F3677">
        <v>2.94</v>
      </c>
      <c r="G3677">
        <v>4</v>
      </c>
      <c r="H3677">
        <v>5157.97</v>
      </c>
      <c r="I3677">
        <v>1.9</v>
      </c>
    </row>
    <row r="3678" spans="1:9" x14ac:dyDescent="0.3">
      <c r="A3678" t="s">
        <v>3693</v>
      </c>
      <c r="B3678" t="s">
        <v>16</v>
      </c>
      <c r="C3678" t="s">
        <v>14</v>
      </c>
      <c r="D3678">
        <v>51</v>
      </c>
      <c r="E3678" s="1">
        <v>42298</v>
      </c>
      <c r="F3678">
        <v>1.78</v>
      </c>
      <c r="G3678">
        <v>12</v>
      </c>
      <c r="H3678">
        <v>11933.12</v>
      </c>
      <c r="I3678">
        <v>10</v>
      </c>
    </row>
    <row r="3679" spans="1:9" x14ac:dyDescent="0.3">
      <c r="A3679" t="s">
        <v>3694</v>
      </c>
      <c r="B3679" t="s">
        <v>34</v>
      </c>
      <c r="C3679" t="s">
        <v>14</v>
      </c>
      <c r="D3679">
        <v>41</v>
      </c>
      <c r="E3679" s="1">
        <v>45092</v>
      </c>
      <c r="F3679">
        <v>1.64</v>
      </c>
      <c r="G3679">
        <v>11</v>
      </c>
      <c r="H3679">
        <v>13355.9</v>
      </c>
      <c r="I3679">
        <v>2.4</v>
      </c>
    </row>
    <row r="3680" spans="1:9" x14ac:dyDescent="0.3">
      <c r="A3680" t="s">
        <v>3695</v>
      </c>
      <c r="B3680" t="s">
        <v>16</v>
      </c>
      <c r="C3680" t="s">
        <v>11</v>
      </c>
      <c r="D3680">
        <v>38</v>
      </c>
      <c r="E3680" s="1">
        <v>41200</v>
      </c>
      <c r="F3680">
        <v>4.5999999999999996</v>
      </c>
      <c r="G3680">
        <v>13</v>
      </c>
      <c r="H3680">
        <v>12352.29</v>
      </c>
      <c r="I3680">
        <v>13</v>
      </c>
    </row>
    <row r="3681" spans="1:9" x14ac:dyDescent="0.3">
      <c r="A3681" t="s">
        <v>3696</v>
      </c>
      <c r="B3681" t="s">
        <v>34</v>
      </c>
      <c r="C3681" t="s">
        <v>11</v>
      </c>
      <c r="D3681">
        <v>22</v>
      </c>
      <c r="E3681" s="1">
        <v>43716</v>
      </c>
      <c r="F3681">
        <v>4.8600000000000003</v>
      </c>
      <c r="G3681">
        <v>6</v>
      </c>
      <c r="H3681">
        <v>10001.67</v>
      </c>
      <c r="I3681">
        <v>6.2</v>
      </c>
    </row>
    <row r="3682" spans="1:9" x14ac:dyDescent="0.3">
      <c r="A3682" t="s">
        <v>3697</v>
      </c>
      <c r="B3682" t="s">
        <v>10</v>
      </c>
      <c r="C3682" t="s">
        <v>14</v>
      </c>
      <c r="D3682">
        <v>44</v>
      </c>
      <c r="E3682" s="1">
        <v>41132</v>
      </c>
      <c r="F3682">
        <v>3.77</v>
      </c>
      <c r="G3682">
        <v>3</v>
      </c>
      <c r="H3682">
        <v>11494.2</v>
      </c>
      <c r="I3682">
        <v>13.2</v>
      </c>
    </row>
    <row r="3683" spans="1:9" x14ac:dyDescent="0.3">
      <c r="A3683" t="s">
        <v>3698</v>
      </c>
      <c r="B3683" t="s">
        <v>10</v>
      </c>
      <c r="C3683" t="s">
        <v>11</v>
      </c>
      <c r="D3683">
        <v>25</v>
      </c>
      <c r="E3683" s="1">
        <v>44454</v>
      </c>
      <c r="F3683">
        <v>4.01</v>
      </c>
      <c r="G3683">
        <v>0</v>
      </c>
      <c r="H3683">
        <v>3455.52</v>
      </c>
      <c r="I3683">
        <v>4.0999999999999996</v>
      </c>
    </row>
    <row r="3684" spans="1:9" x14ac:dyDescent="0.3">
      <c r="A3684" t="s">
        <v>3699</v>
      </c>
      <c r="B3684" t="s">
        <v>24</v>
      </c>
      <c r="C3684" t="s">
        <v>14</v>
      </c>
      <c r="D3684">
        <v>41</v>
      </c>
      <c r="E3684" s="1">
        <v>45093</v>
      </c>
      <c r="F3684">
        <v>3.74</v>
      </c>
      <c r="G3684">
        <v>4</v>
      </c>
      <c r="H3684">
        <v>10049.41</v>
      </c>
      <c r="I3684">
        <v>2.4</v>
      </c>
    </row>
    <row r="3685" spans="1:9" x14ac:dyDescent="0.3">
      <c r="A3685" t="s">
        <v>3700</v>
      </c>
      <c r="B3685" t="s">
        <v>18</v>
      </c>
      <c r="C3685" t="s">
        <v>14</v>
      </c>
      <c r="D3685">
        <v>27</v>
      </c>
      <c r="E3685" s="1">
        <v>41462</v>
      </c>
      <c r="F3685">
        <v>1.53</v>
      </c>
      <c r="G3685">
        <v>6</v>
      </c>
      <c r="H3685">
        <v>11782.73</v>
      </c>
      <c r="I3685">
        <v>12.3</v>
      </c>
    </row>
    <row r="3686" spans="1:9" x14ac:dyDescent="0.3">
      <c r="A3686" t="s">
        <v>3701</v>
      </c>
      <c r="B3686" t="s">
        <v>18</v>
      </c>
      <c r="C3686" t="s">
        <v>14</v>
      </c>
      <c r="D3686">
        <v>42</v>
      </c>
      <c r="E3686" s="1">
        <v>41484</v>
      </c>
      <c r="F3686">
        <v>1.88</v>
      </c>
      <c r="G3686">
        <v>1</v>
      </c>
      <c r="H3686">
        <v>8218.6299999999992</v>
      </c>
      <c r="I3686">
        <v>12.3</v>
      </c>
    </row>
    <row r="3687" spans="1:9" x14ac:dyDescent="0.3">
      <c r="A3687" t="s">
        <v>3702</v>
      </c>
      <c r="B3687" t="s">
        <v>18</v>
      </c>
      <c r="C3687" t="s">
        <v>11</v>
      </c>
      <c r="D3687">
        <v>60</v>
      </c>
      <c r="E3687" s="1">
        <v>43588</v>
      </c>
      <c r="F3687">
        <v>4.53</v>
      </c>
      <c r="G3687">
        <v>15</v>
      </c>
      <c r="H3687">
        <v>8845.9500000000007</v>
      </c>
      <c r="I3687">
        <v>6.5</v>
      </c>
    </row>
    <row r="3688" spans="1:9" x14ac:dyDescent="0.3">
      <c r="A3688" t="s">
        <v>3703</v>
      </c>
      <c r="B3688" t="s">
        <v>13</v>
      </c>
      <c r="C3688" t="s">
        <v>11</v>
      </c>
      <c r="D3688">
        <v>33</v>
      </c>
      <c r="E3688" s="1">
        <v>45870</v>
      </c>
      <c r="F3688">
        <v>1.74</v>
      </c>
      <c r="G3688">
        <v>1</v>
      </c>
      <c r="H3688">
        <v>5919.08</v>
      </c>
      <c r="I3688">
        <v>0.3</v>
      </c>
    </row>
    <row r="3689" spans="1:9" x14ac:dyDescent="0.3">
      <c r="A3689" t="s">
        <v>3704</v>
      </c>
      <c r="B3689" t="s">
        <v>10</v>
      </c>
      <c r="C3689" t="s">
        <v>14</v>
      </c>
      <c r="D3689">
        <v>43</v>
      </c>
      <c r="E3689" s="1">
        <v>44148</v>
      </c>
      <c r="F3689">
        <v>3.46</v>
      </c>
      <c r="G3689">
        <v>13</v>
      </c>
      <c r="H3689">
        <v>3576.62</v>
      </c>
      <c r="I3689">
        <v>5</v>
      </c>
    </row>
    <row r="3690" spans="1:9" x14ac:dyDescent="0.3">
      <c r="A3690" t="s">
        <v>3705</v>
      </c>
      <c r="B3690" t="s">
        <v>24</v>
      </c>
      <c r="C3690" t="s">
        <v>11</v>
      </c>
      <c r="D3690">
        <v>34</v>
      </c>
      <c r="E3690" s="1">
        <v>41385</v>
      </c>
      <c r="F3690">
        <v>4.42</v>
      </c>
      <c r="G3690">
        <v>7</v>
      </c>
      <c r="H3690">
        <v>12934.86</v>
      </c>
      <c r="I3690">
        <v>12.5</v>
      </c>
    </row>
    <row r="3691" spans="1:9" x14ac:dyDescent="0.3">
      <c r="A3691" t="s">
        <v>3706</v>
      </c>
      <c r="B3691" t="s">
        <v>34</v>
      </c>
      <c r="C3691" t="s">
        <v>11</v>
      </c>
      <c r="D3691">
        <v>51</v>
      </c>
      <c r="E3691" s="1">
        <v>42070</v>
      </c>
      <c r="F3691">
        <v>3.54</v>
      </c>
      <c r="G3691">
        <v>14</v>
      </c>
      <c r="H3691">
        <v>7360.45</v>
      </c>
      <c r="I3691">
        <v>10.7</v>
      </c>
    </row>
    <row r="3692" spans="1:9" x14ac:dyDescent="0.3">
      <c r="A3692" t="s">
        <v>3707</v>
      </c>
      <c r="B3692" t="s">
        <v>10</v>
      </c>
      <c r="C3692" t="s">
        <v>11</v>
      </c>
      <c r="D3692">
        <v>55</v>
      </c>
      <c r="E3692" s="1">
        <v>40371</v>
      </c>
      <c r="F3692">
        <v>4.1399999999999997</v>
      </c>
      <c r="G3692">
        <v>6</v>
      </c>
      <c r="H3692">
        <v>13939.81</v>
      </c>
      <c r="I3692">
        <v>15.3</v>
      </c>
    </row>
    <row r="3693" spans="1:9" x14ac:dyDescent="0.3">
      <c r="A3693" t="s">
        <v>3708</v>
      </c>
      <c r="B3693" t="s">
        <v>24</v>
      </c>
      <c r="C3693" t="s">
        <v>11</v>
      </c>
      <c r="D3693">
        <v>24</v>
      </c>
      <c r="E3693" s="1">
        <v>45010</v>
      </c>
      <c r="F3693">
        <v>3.66</v>
      </c>
      <c r="G3693">
        <v>14</v>
      </c>
      <c r="H3693">
        <v>5452.63</v>
      </c>
      <c r="I3693">
        <v>2.6</v>
      </c>
    </row>
    <row r="3694" spans="1:9" x14ac:dyDescent="0.3">
      <c r="A3694" t="s">
        <v>3709</v>
      </c>
      <c r="B3694" t="s">
        <v>18</v>
      </c>
      <c r="C3694" t="s">
        <v>11</v>
      </c>
      <c r="D3694">
        <v>56</v>
      </c>
      <c r="E3694" s="1">
        <v>42690</v>
      </c>
      <c r="F3694">
        <v>1.72</v>
      </c>
      <c r="G3694">
        <v>10</v>
      </c>
      <c r="H3694">
        <v>9455.31</v>
      </c>
      <c r="I3694">
        <v>9</v>
      </c>
    </row>
    <row r="3695" spans="1:9" x14ac:dyDescent="0.3">
      <c r="A3695" t="s">
        <v>3710</v>
      </c>
      <c r="B3695" t="s">
        <v>18</v>
      </c>
      <c r="C3695" t="s">
        <v>11</v>
      </c>
      <c r="D3695">
        <v>40</v>
      </c>
      <c r="E3695" s="1">
        <v>45422</v>
      </c>
      <c r="F3695">
        <v>3.83</v>
      </c>
      <c r="G3695">
        <v>2</v>
      </c>
      <c r="H3695">
        <v>5212.2299999999996</v>
      </c>
      <c r="I3695">
        <v>1.5</v>
      </c>
    </row>
    <row r="3696" spans="1:9" x14ac:dyDescent="0.3">
      <c r="A3696" t="s">
        <v>3711</v>
      </c>
      <c r="B3696" t="s">
        <v>16</v>
      </c>
      <c r="C3696" t="s">
        <v>11</v>
      </c>
      <c r="D3696">
        <v>23</v>
      </c>
      <c r="E3696" s="1">
        <v>42744</v>
      </c>
      <c r="F3696">
        <v>3.31</v>
      </c>
      <c r="G3696">
        <v>8</v>
      </c>
      <c r="H3696">
        <v>9004.3799999999992</v>
      </c>
      <c r="I3696">
        <v>8.8000000000000007</v>
      </c>
    </row>
    <row r="3697" spans="1:9" x14ac:dyDescent="0.3">
      <c r="A3697" t="s">
        <v>3712</v>
      </c>
      <c r="B3697" t="s">
        <v>24</v>
      </c>
      <c r="C3697" t="s">
        <v>11</v>
      </c>
      <c r="D3697">
        <v>43</v>
      </c>
      <c r="E3697" s="1">
        <v>44939</v>
      </c>
      <c r="F3697">
        <v>3.62</v>
      </c>
      <c r="G3697">
        <v>5</v>
      </c>
      <c r="H3697">
        <v>13304.8</v>
      </c>
      <c r="I3697">
        <v>2.8</v>
      </c>
    </row>
    <row r="3698" spans="1:9" x14ac:dyDescent="0.3">
      <c r="A3698" t="s">
        <v>3713</v>
      </c>
      <c r="B3698" t="s">
        <v>10</v>
      </c>
      <c r="C3698" t="s">
        <v>11</v>
      </c>
      <c r="D3698">
        <v>25</v>
      </c>
      <c r="E3698" s="1">
        <v>41069</v>
      </c>
      <c r="F3698">
        <v>3.69</v>
      </c>
      <c r="G3698">
        <v>8</v>
      </c>
      <c r="H3698">
        <v>11735.46</v>
      </c>
      <c r="I3698">
        <v>13.4</v>
      </c>
    </row>
    <row r="3699" spans="1:9" x14ac:dyDescent="0.3">
      <c r="A3699" t="s">
        <v>3714</v>
      </c>
      <c r="B3699" t="s">
        <v>34</v>
      </c>
      <c r="C3699" t="s">
        <v>11</v>
      </c>
      <c r="D3699">
        <v>24</v>
      </c>
      <c r="E3699" s="1">
        <v>42653</v>
      </c>
      <c r="F3699">
        <v>4.6500000000000004</v>
      </c>
      <c r="G3699">
        <v>12</v>
      </c>
      <c r="H3699">
        <v>11877.24</v>
      </c>
      <c r="I3699">
        <v>9.1</v>
      </c>
    </row>
    <row r="3700" spans="1:9" x14ac:dyDescent="0.3">
      <c r="A3700" t="s">
        <v>3715</v>
      </c>
      <c r="B3700" t="s">
        <v>18</v>
      </c>
      <c r="C3700" t="s">
        <v>14</v>
      </c>
      <c r="D3700">
        <v>40</v>
      </c>
      <c r="E3700" s="1">
        <v>41008</v>
      </c>
      <c r="F3700">
        <v>2.09</v>
      </c>
      <c r="G3700">
        <v>11</v>
      </c>
      <c r="H3700">
        <v>13932.65</v>
      </c>
      <c r="I3700">
        <v>13.6</v>
      </c>
    </row>
    <row r="3701" spans="1:9" x14ac:dyDescent="0.3">
      <c r="A3701" t="s">
        <v>3716</v>
      </c>
      <c r="B3701" t="s">
        <v>13</v>
      </c>
      <c r="C3701" t="s">
        <v>14</v>
      </c>
      <c r="D3701">
        <v>30</v>
      </c>
      <c r="E3701" s="1">
        <v>43354</v>
      </c>
      <c r="F3701">
        <v>1.94</v>
      </c>
      <c r="G3701">
        <v>9</v>
      </c>
      <c r="H3701">
        <v>13768.86</v>
      </c>
      <c r="I3701">
        <v>7.1</v>
      </c>
    </row>
    <row r="3702" spans="1:9" x14ac:dyDescent="0.3">
      <c r="A3702" t="s">
        <v>3717</v>
      </c>
      <c r="B3702" t="s">
        <v>18</v>
      </c>
      <c r="C3702" t="s">
        <v>11</v>
      </c>
      <c r="D3702">
        <v>55</v>
      </c>
      <c r="E3702" s="1">
        <v>42618</v>
      </c>
      <c r="F3702">
        <v>2.66</v>
      </c>
      <c r="G3702">
        <v>4</v>
      </c>
      <c r="H3702">
        <v>8393.5300000000007</v>
      </c>
      <c r="I3702">
        <v>9.1999999999999993</v>
      </c>
    </row>
    <row r="3703" spans="1:9" x14ac:dyDescent="0.3">
      <c r="A3703" t="s">
        <v>3718</v>
      </c>
      <c r="B3703" t="s">
        <v>16</v>
      </c>
      <c r="C3703" t="s">
        <v>11</v>
      </c>
      <c r="D3703">
        <v>54</v>
      </c>
      <c r="E3703" s="1">
        <v>41078</v>
      </c>
      <c r="F3703">
        <v>1.9</v>
      </c>
      <c r="G3703">
        <v>1</v>
      </c>
      <c r="H3703">
        <v>3653.65</v>
      </c>
      <c r="I3703">
        <v>13.4</v>
      </c>
    </row>
    <row r="3704" spans="1:9" x14ac:dyDescent="0.3">
      <c r="A3704" t="s">
        <v>3719</v>
      </c>
      <c r="B3704" t="s">
        <v>24</v>
      </c>
      <c r="C3704" t="s">
        <v>11</v>
      </c>
      <c r="D3704">
        <v>57</v>
      </c>
      <c r="E3704" s="1">
        <v>43514</v>
      </c>
      <c r="F3704">
        <v>1.7</v>
      </c>
      <c r="G3704">
        <v>12</v>
      </c>
      <c r="H3704">
        <v>13444.72</v>
      </c>
      <c r="I3704">
        <v>6.7</v>
      </c>
    </row>
    <row r="3705" spans="1:9" x14ac:dyDescent="0.3">
      <c r="A3705" t="s">
        <v>3720</v>
      </c>
      <c r="B3705" t="s">
        <v>16</v>
      </c>
      <c r="C3705" t="s">
        <v>14</v>
      </c>
      <c r="D3705">
        <v>32</v>
      </c>
      <c r="E3705" s="1">
        <v>41584</v>
      </c>
      <c r="F3705">
        <v>4.42</v>
      </c>
      <c r="G3705">
        <v>1</v>
      </c>
      <c r="H3705">
        <v>12332.97</v>
      </c>
      <c r="I3705">
        <v>12</v>
      </c>
    </row>
    <row r="3706" spans="1:9" x14ac:dyDescent="0.3">
      <c r="A3706" t="s">
        <v>3721</v>
      </c>
      <c r="B3706" t="s">
        <v>10</v>
      </c>
      <c r="C3706" t="s">
        <v>14</v>
      </c>
      <c r="D3706">
        <v>29</v>
      </c>
      <c r="E3706" s="1">
        <v>40393</v>
      </c>
      <c r="F3706">
        <v>4.8499999999999996</v>
      </c>
      <c r="G3706">
        <v>11</v>
      </c>
      <c r="H3706">
        <v>14639.92</v>
      </c>
      <c r="I3706">
        <v>15.3</v>
      </c>
    </row>
    <row r="3707" spans="1:9" x14ac:dyDescent="0.3">
      <c r="A3707" t="s">
        <v>3722</v>
      </c>
      <c r="B3707" t="s">
        <v>10</v>
      </c>
      <c r="C3707" t="s">
        <v>14</v>
      </c>
      <c r="D3707">
        <v>44</v>
      </c>
      <c r="E3707" s="1">
        <v>40361</v>
      </c>
      <c r="F3707">
        <v>2.4500000000000002</v>
      </c>
      <c r="G3707">
        <v>11</v>
      </c>
      <c r="H3707">
        <v>9221.07</v>
      </c>
      <c r="I3707">
        <v>15.3</v>
      </c>
    </row>
    <row r="3708" spans="1:9" x14ac:dyDescent="0.3">
      <c r="A3708" t="s">
        <v>3723</v>
      </c>
      <c r="B3708" t="s">
        <v>18</v>
      </c>
      <c r="C3708" t="s">
        <v>11</v>
      </c>
      <c r="D3708">
        <v>28</v>
      </c>
      <c r="E3708" s="1">
        <v>43062</v>
      </c>
      <c r="F3708">
        <v>4.58</v>
      </c>
      <c r="G3708">
        <v>1</v>
      </c>
      <c r="H3708">
        <v>11255.7</v>
      </c>
      <c r="I3708">
        <v>7.9</v>
      </c>
    </row>
    <row r="3709" spans="1:9" x14ac:dyDescent="0.3">
      <c r="A3709" t="s">
        <v>3724</v>
      </c>
      <c r="B3709" t="s">
        <v>24</v>
      </c>
      <c r="C3709" t="s">
        <v>11</v>
      </c>
      <c r="D3709">
        <v>60</v>
      </c>
      <c r="E3709" s="1">
        <v>40239</v>
      </c>
      <c r="F3709">
        <v>1.65</v>
      </c>
      <c r="G3709">
        <v>5</v>
      </c>
      <c r="H3709">
        <v>12069.52</v>
      </c>
      <c r="I3709">
        <v>15.7</v>
      </c>
    </row>
    <row r="3710" spans="1:9" x14ac:dyDescent="0.3">
      <c r="A3710" t="s">
        <v>3725</v>
      </c>
      <c r="B3710" t="s">
        <v>24</v>
      </c>
      <c r="C3710" t="s">
        <v>14</v>
      </c>
      <c r="D3710">
        <v>45</v>
      </c>
      <c r="E3710" s="1">
        <v>40319</v>
      </c>
      <c r="F3710">
        <v>3.24</v>
      </c>
      <c r="G3710">
        <v>6</v>
      </c>
      <c r="H3710">
        <v>14519.89</v>
      </c>
      <c r="I3710">
        <v>15.5</v>
      </c>
    </row>
    <row r="3711" spans="1:9" x14ac:dyDescent="0.3">
      <c r="A3711" t="s">
        <v>3726</v>
      </c>
      <c r="B3711" t="s">
        <v>34</v>
      </c>
      <c r="C3711" t="s">
        <v>14</v>
      </c>
      <c r="D3711">
        <v>26</v>
      </c>
      <c r="E3711" s="1">
        <v>45308</v>
      </c>
      <c r="F3711">
        <v>4.9000000000000004</v>
      </c>
      <c r="G3711">
        <v>9</v>
      </c>
      <c r="H3711">
        <v>14346.96</v>
      </c>
      <c r="I3711">
        <v>1.8</v>
      </c>
    </row>
    <row r="3712" spans="1:9" x14ac:dyDescent="0.3">
      <c r="A3712" t="s">
        <v>3727</v>
      </c>
      <c r="B3712" t="s">
        <v>34</v>
      </c>
      <c r="C3712" t="s">
        <v>11</v>
      </c>
      <c r="D3712">
        <v>48</v>
      </c>
      <c r="E3712" s="1">
        <v>45182</v>
      </c>
      <c r="F3712">
        <v>1.55</v>
      </c>
      <c r="G3712">
        <v>0</v>
      </c>
      <c r="H3712">
        <v>5611.89</v>
      </c>
      <c r="I3712">
        <v>2.1</v>
      </c>
    </row>
    <row r="3713" spans="1:9" x14ac:dyDescent="0.3">
      <c r="A3713" t="s">
        <v>3728</v>
      </c>
      <c r="B3713" t="s">
        <v>10</v>
      </c>
      <c r="C3713" t="s">
        <v>14</v>
      </c>
      <c r="D3713">
        <v>40</v>
      </c>
      <c r="E3713" s="1">
        <v>41543</v>
      </c>
      <c r="F3713">
        <v>4.17</v>
      </c>
      <c r="G3713">
        <v>8</v>
      </c>
      <c r="H3713">
        <v>3899.57</v>
      </c>
      <c r="I3713">
        <v>12.1</v>
      </c>
    </row>
    <row r="3714" spans="1:9" x14ac:dyDescent="0.3">
      <c r="A3714" t="s">
        <v>3729</v>
      </c>
      <c r="B3714" t="s">
        <v>24</v>
      </c>
      <c r="C3714" t="s">
        <v>11</v>
      </c>
      <c r="D3714">
        <v>42</v>
      </c>
      <c r="E3714" s="1">
        <v>44923</v>
      </c>
      <c r="F3714">
        <v>3.33</v>
      </c>
      <c r="G3714">
        <v>2</v>
      </c>
      <c r="H3714">
        <v>7211.21</v>
      </c>
      <c r="I3714">
        <v>2.8</v>
      </c>
    </row>
    <row r="3715" spans="1:9" x14ac:dyDescent="0.3">
      <c r="A3715" t="s">
        <v>3730</v>
      </c>
      <c r="B3715" t="s">
        <v>10</v>
      </c>
      <c r="C3715" t="s">
        <v>11</v>
      </c>
      <c r="D3715">
        <v>22</v>
      </c>
      <c r="E3715" s="1">
        <v>42645</v>
      </c>
      <c r="F3715">
        <v>3.99</v>
      </c>
      <c r="G3715">
        <v>6</v>
      </c>
      <c r="H3715">
        <v>10476.6</v>
      </c>
      <c r="I3715">
        <v>9.1</v>
      </c>
    </row>
    <row r="3716" spans="1:9" x14ac:dyDescent="0.3">
      <c r="A3716" t="s">
        <v>3731</v>
      </c>
      <c r="B3716" t="s">
        <v>13</v>
      </c>
      <c r="C3716" t="s">
        <v>11</v>
      </c>
      <c r="D3716">
        <v>32</v>
      </c>
      <c r="E3716" s="1">
        <v>43113</v>
      </c>
      <c r="F3716">
        <v>2.69</v>
      </c>
      <c r="G3716">
        <v>5</v>
      </c>
      <c r="H3716">
        <v>3887.91</v>
      </c>
      <c r="I3716">
        <v>7.8</v>
      </c>
    </row>
    <row r="3717" spans="1:9" x14ac:dyDescent="0.3">
      <c r="A3717" t="s">
        <v>3732</v>
      </c>
      <c r="B3717" t="s">
        <v>18</v>
      </c>
      <c r="C3717" t="s">
        <v>11</v>
      </c>
      <c r="D3717">
        <v>53</v>
      </c>
      <c r="E3717" s="1">
        <v>41427</v>
      </c>
      <c r="F3717">
        <v>3.43</v>
      </c>
      <c r="G3717">
        <v>11</v>
      </c>
      <c r="H3717">
        <v>9303.9599999999991</v>
      </c>
      <c r="I3717">
        <v>12.4</v>
      </c>
    </row>
    <row r="3718" spans="1:9" x14ac:dyDescent="0.3">
      <c r="A3718" t="s">
        <v>3733</v>
      </c>
      <c r="B3718" t="s">
        <v>16</v>
      </c>
      <c r="C3718" t="s">
        <v>11</v>
      </c>
      <c r="D3718">
        <v>60</v>
      </c>
      <c r="E3718" s="1">
        <v>40210</v>
      </c>
      <c r="F3718">
        <v>4.0199999999999996</v>
      </c>
      <c r="G3718">
        <v>11</v>
      </c>
      <c r="H3718">
        <v>11545.39</v>
      </c>
      <c r="I3718">
        <v>15.8</v>
      </c>
    </row>
    <row r="3719" spans="1:9" x14ac:dyDescent="0.3">
      <c r="A3719" t="s">
        <v>3734</v>
      </c>
      <c r="B3719" t="s">
        <v>16</v>
      </c>
      <c r="C3719" t="s">
        <v>14</v>
      </c>
      <c r="D3719">
        <v>55</v>
      </c>
      <c r="E3719" s="1">
        <v>44140</v>
      </c>
      <c r="F3719">
        <v>3.8</v>
      </c>
      <c r="G3719">
        <v>0</v>
      </c>
      <c r="H3719">
        <v>6193.08</v>
      </c>
      <c r="I3719">
        <v>5</v>
      </c>
    </row>
    <row r="3720" spans="1:9" x14ac:dyDescent="0.3">
      <c r="A3720" t="s">
        <v>3735</v>
      </c>
      <c r="B3720" t="s">
        <v>34</v>
      </c>
      <c r="C3720" t="s">
        <v>14</v>
      </c>
      <c r="D3720">
        <v>54</v>
      </c>
      <c r="E3720" s="1">
        <v>45923</v>
      </c>
      <c r="F3720">
        <v>1.84</v>
      </c>
      <c r="G3720">
        <v>8</v>
      </c>
      <c r="H3720">
        <v>5673.62</v>
      </c>
      <c r="I3720">
        <v>0.1</v>
      </c>
    </row>
    <row r="3721" spans="1:9" x14ac:dyDescent="0.3">
      <c r="A3721" t="s">
        <v>3736</v>
      </c>
      <c r="B3721" t="s">
        <v>18</v>
      </c>
      <c r="C3721" t="s">
        <v>11</v>
      </c>
      <c r="D3721">
        <v>23</v>
      </c>
      <c r="E3721" s="1">
        <v>45118</v>
      </c>
      <c r="F3721">
        <v>4.37</v>
      </c>
      <c r="G3721">
        <v>2</v>
      </c>
      <c r="H3721">
        <v>9481.69</v>
      </c>
      <c r="I3721">
        <v>2.2999999999999998</v>
      </c>
    </row>
    <row r="3722" spans="1:9" x14ac:dyDescent="0.3">
      <c r="A3722" t="s">
        <v>3737</v>
      </c>
      <c r="B3722" t="s">
        <v>10</v>
      </c>
      <c r="C3722" t="s">
        <v>14</v>
      </c>
      <c r="D3722">
        <v>25</v>
      </c>
      <c r="E3722" s="1">
        <v>42347</v>
      </c>
      <c r="F3722">
        <v>4.9000000000000004</v>
      </c>
      <c r="G3722">
        <v>6</v>
      </c>
      <c r="H3722">
        <v>14909.21</v>
      </c>
      <c r="I3722">
        <v>9.9</v>
      </c>
    </row>
    <row r="3723" spans="1:9" x14ac:dyDescent="0.3">
      <c r="A3723" t="s">
        <v>3738</v>
      </c>
      <c r="B3723" t="s">
        <v>18</v>
      </c>
      <c r="C3723" t="s">
        <v>14</v>
      </c>
      <c r="D3723">
        <v>30</v>
      </c>
      <c r="E3723" s="1">
        <v>41475</v>
      </c>
      <c r="F3723">
        <v>4.3499999999999996</v>
      </c>
      <c r="G3723">
        <v>9</v>
      </c>
      <c r="H3723">
        <v>14628.91</v>
      </c>
      <c r="I3723">
        <v>12.3</v>
      </c>
    </row>
    <row r="3724" spans="1:9" x14ac:dyDescent="0.3">
      <c r="A3724" t="s">
        <v>3739</v>
      </c>
      <c r="B3724" t="s">
        <v>18</v>
      </c>
      <c r="C3724" t="s">
        <v>14</v>
      </c>
      <c r="D3724">
        <v>50</v>
      </c>
      <c r="E3724" s="1">
        <v>45349</v>
      </c>
      <c r="F3724">
        <v>3.44</v>
      </c>
      <c r="G3724">
        <v>7</v>
      </c>
      <c r="H3724">
        <v>7984.77</v>
      </c>
      <c r="I3724">
        <v>1.7</v>
      </c>
    </row>
    <row r="3725" spans="1:9" x14ac:dyDescent="0.3">
      <c r="A3725" t="s">
        <v>3740</v>
      </c>
      <c r="B3725" t="s">
        <v>10</v>
      </c>
      <c r="C3725" t="s">
        <v>11</v>
      </c>
      <c r="D3725">
        <v>27</v>
      </c>
      <c r="E3725" s="1">
        <v>40686</v>
      </c>
      <c r="F3725">
        <v>4.33</v>
      </c>
      <c r="G3725">
        <v>4</v>
      </c>
      <c r="H3725">
        <v>7839.99</v>
      </c>
      <c r="I3725">
        <v>14.5</v>
      </c>
    </row>
    <row r="3726" spans="1:9" x14ac:dyDescent="0.3">
      <c r="A3726" t="s">
        <v>3741</v>
      </c>
      <c r="B3726" t="s">
        <v>10</v>
      </c>
      <c r="C3726" t="s">
        <v>14</v>
      </c>
      <c r="D3726">
        <v>29</v>
      </c>
      <c r="E3726" s="1">
        <v>45251</v>
      </c>
      <c r="F3726">
        <v>4.3600000000000003</v>
      </c>
      <c r="G3726">
        <v>14</v>
      </c>
      <c r="H3726">
        <v>3439.25</v>
      </c>
      <c r="I3726">
        <v>1.9</v>
      </c>
    </row>
    <row r="3727" spans="1:9" x14ac:dyDescent="0.3">
      <c r="A3727" t="s">
        <v>3742</v>
      </c>
      <c r="B3727" t="s">
        <v>34</v>
      </c>
      <c r="C3727" t="s">
        <v>11</v>
      </c>
      <c r="D3727">
        <v>37</v>
      </c>
      <c r="E3727" s="1">
        <v>44237</v>
      </c>
      <c r="F3727">
        <v>1.89</v>
      </c>
      <c r="G3727">
        <v>9</v>
      </c>
      <c r="H3727">
        <v>14334.72</v>
      </c>
      <c r="I3727">
        <v>4.7</v>
      </c>
    </row>
    <row r="3728" spans="1:9" x14ac:dyDescent="0.3">
      <c r="A3728" t="s">
        <v>3743</v>
      </c>
      <c r="B3728" t="s">
        <v>34</v>
      </c>
      <c r="C3728" t="s">
        <v>14</v>
      </c>
      <c r="D3728">
        <v>43</v>
      </c>
      <c r="E3728" s="1">
        <v>40494</v>
      </c>
      <c r="F3728">
        <v>3.76</v>
      </c>
      <c r="G3728">
        <v>15</v>
      </c>
      <c r="H3728">
        <v>3247.26</v>
      </c>
      <c r="I3728">
        <v>15</v>
      </c>
    </row>
    <row r="3729" spans="1:9" x14ac:dyDescent="0.3">
      <c r="A3729" t="s">
        <v>3744</v>
      </c>
      <c r="B3729" t="s">
        <v>13</v>
      </c>
      <c r="C3729" t="s">
        <v>11</v>
      </c>
      <c r="D3729">
        <v>28</v>
      </c>
      <c r="E3729" s="1">
        <v>43276</v>
      </c>
      <c r="F3729">
        <v>4.63</v>
      </c>
      <c r="G3729">
        <v>14</v>
      </c>
      <c r="H3729">
        <v>6326.22</v>
      </c>
      <c r="I3729">
        <v>7.4</v>
      </c>
    </row>
    <row r="3730" spans="1:9" x14ac:dyDescent="0.3">
      <c r="A3730" t="s">
        <v>3745</v>
      </c>
      <c r="B3730" t="s">
        <v>16</v>
      </c>
      <c r="C3730" t="s">
        <v>14</v>
      </c>
      <c r="D3730">
        <v>31</v>
      </c>
      <c r="E3730" s="1">
        <v>43234</v>
      </c>
      <c r="F3730">
        <v>3.08</v>
      </c>
      <c r="G3730">
        <v>0</v>
      </c>
      <c r="H3730">
        <v>9005.5300000000007</v>
      </c>
      <c r="I3730">
        <v>7.5</v>
      </c>
    </row>
    <row r="3731" spans="1:9" x14ac:dyDescent="0.3">
      <c r="A3731" t="s">
        <v>3746</v>
      </c>
      <c r="B3731" t="s">
        <v>34</v>
      </c>
      <c r="C3731" t="s">
        <v>11</v>
      </c>
      <c r="D3731">
        <v>41</v>
      </c>
      <c r="E3731" s="1">
        <v>43008</v>
      </c>
      <c r="F3731">
        <v>4.95</v>
      </c>
      <c r="G3731">
        <v>1</v>
      </c>
      <c r="H3731">
        <v>6202.19</v>
      </c>
      <c r="I3731">
        <v>8.1</v>
      </c>
    </row>
    <row r="3732" spans="1:9" x14ac:dyDescent="0.3">
      <c r="A3732" t="s">
        <v>3747</v>
      </c>
      <c r="B3732" t="s">
        <v>24</v>
      </c>
      <c r="C3732" t="s">
        <v>11</v>
      </c>
      <c r="D3732">
        <v>59</v>
      </c>
      <c r="E3732" s="1">
        <v>42044</v>
      </c>
      <c r="F3732">
        <v>4.21</v>
      </c>
      <c r="G3732">
        <v>13</v>
      </c>
      <c r="H3732">
        <v>11829.76</v>
      </c>
      <c r="I3732">
        <v>10.7</v>
      </c>
    </row>
    <row r="3733" spans="1:9" x14ac:dyDescent="0.3">
      <c r="A3733" t="s">
        <v>3748</v>
      </c>
      <c r="B3733" t="s">
        <v>34</v>
      </c>
      <c r="C3733" t="s">
        <v>14</v>
      </c>
      <c r="D3733">
        <v>52</v>
      </c>
      <c r="E3733" s="1">
        <v>40562</v>
      </c>
      <c r="F3733">
        <v>4.3499999999999996</v>
      </c>
      <c r="G3733">
        <v>9</v>
      </c>
      <c r="H3733">
        <v>14214.54</v>
      </c>
      <c r="I3733">
        <v>14.8</v>
      </c>
    </row>
    <row r="3734" spans="1:9" x14ac:dyDescent="0.3">
      <c r="A3734" t="s">
        <v>3749</v>
      </c>
      <c r="B3734" t="s">
        <v>10</v>
      </c>
      <c r="C3734" t="s">
        <v>14</v>
      </c>
      <c r="D3734">
        <v>40</v>
      </c>
      <c r="E3734" s="1">
        <v>40325</v>
      </c>
      <c r="F3734">
        <v>2.15</v>
      </c>
      <c r="G3734">
        <v>12</v>
      </c>
      <c r="H3734">
        <v>4643.83</v>
      </c>
      <c r="I3734">
        <v>15.4</v>
      </c>
    </row>
    <row r="3735" spans="1:9" x14ac:dyDescent="0.3">
      <c r="A3735" t="s">
        <v>3750</v>
      </c>
      <c r="B3735" t="s">
        <v>34</v>
      </c>
      <c r="C3735" t="s">
        <v>11</v>
      </c>
      <c r="D3735">
        <v>53</v>
      </c>
      <c r="E3735" s="1">
        <v>42953</v>
      </c>
      <c r="F3735">
        <v>2.75</v>
      </c>
      <c r="G3735">
        <v>7</v>
      </c>
      <c r="H3735">
        <v>5111.3100000000004</v>
      </c>
      <c r="I3735">
        <v>8.1999999999999993</v>
      </c>
    </row>
    <row r="3736" spans="1:9" x14ac:dyDescent="0.3">
      <c r="A3736" t="s">
        <v>3751</v>
      </c>
      <c r="B3736" t="s">
        <v>13</v>
      </c>
      <c r="C3736" t="s">
        <v>14</v>
      </c>
      <c r="D3736">
        <v>34</v>
      </c>
      <c r="E3736" s="1">
        <v>41132</v>
      </c>
      <c r="F3736">
        <v>4.8499999999999996</v>
      </c>
      <c r="G3736">
        <v>1</v>
      </c>
      <c r="H3736">
        <v>9857.8799999999992</v>
      </c>
      <c r="I3736">
        <v>13.2</v>
      </c>
    </row>
    <row r="3737" spans="1:9" x14ac:dyDescent="0.3">
      <c r="A3737" t="s">
        <v>3752</v>
      </c>
      <c r="B3737" t="s">
        <v>24</v>
      </c>
      <c r="C3737" t="s">
        <v>11</v>
      </c>
      <c r="D3737">
        <v>34</v>
      </c>
      <c r="E3737" s="1">
        <v>44214</v>
      </c>
      <c r="F3737">
        <v>1.95</v>
      </c>
      <c r="G3737">
        <v>8</v>
      </c>
      <c r="H3737">
        <v>8133.25</v>
      </c>
      <c r="I3737">
        <v>4.8</v>
      </c>
    </row>
    <row r="3738" spans="1:9" x14ac:dyDescent="0.3">
      <c r="A3738" t="s">
        <v>3753</v>
      </c>
      <c r="B3738" t="s">
        <v>34</v>
      </c>
      <c r="C3738" t="s">
        <v>14</v>
      </c>
      <c r="D3738">
        <v>47</v>
      </c>
      <c r="E3738" s="1">
        <v>43276</v>
      </c>
      <c r="F3738">
        <v>1.58</v>
      </c>
      <c r="G3738">
        <v>8</v>
      </c>
      <c r="H3738">
        <v>7583.92</v>
      </c>
      <c r="I3738">
        <v>7.4</v>
      </c>
    </row>
    <row r="3739" spans="1:9" x14ac:dyDescent="0.3">
      <c r="A3739" t="s">
        <v>3754</v>
      </c>
      <c r="B3739" t="s">
        <v>10</v>
      </c>
      <c r="C3739" t="s">
        <v>11</v>
      </c>
      <c r="D3739">
        <v>39</v>
      </c>
      <c r="E3739" s="1">
        <v>41048</v>
      </c>
      <c r="F3739">
        <v>2.25</v>
      </c>
      <c r="G3739">
        <v>7</v>
      </c>
      <c r="H3739">
        <v>13127.94</v>
      </c>
      <c r="I3739">
        <v>13.5</v>
      </c>
    </row>
    <row r="3740" spans="1:9" x14ac:dyDescent="0.3">
      <c r="A3740" t="s">
        <v>3755</v>
      </c>
      <c r="B3740" t="s">
        <v>10</v>
      </c>
      <c r="C3740" t="s">
        <v>14</v>
      </c>
      <c r="D3740">
        <v>38</v>
      </c>
      <c r="E3740" s="1">
        <v>43125</v>
      </c>
      <c r="F3740">
        <v>1.88</v>
      </c>
      <c r="G3740">
        <v>1</v>
      </c>
      <c r="H3740">
        <v>11886.55</v>
      </c>
      <c r="I3740">
        <v>7.8</v>
      </c>
    </row>
    <row r="3741" spans="1:9" x14ac:dyDescent="0.3">
      <c r="A3741" t="s">
        <v>3756</v>
      </c>
      <c r="B3741" t="s">
        <v>13</v>
      </c>
      <c r="C3741" t="s">
        <v>14</v>
      </c>
      <c r="D3741">
        <v>33</v>
      </c>
      <c r="E3741" s="1">
        <v>45215</v>
      </c>
      <c r="F3741">
        <v>2.7</v>
      </c>
      <c r="G3741">
        <v>15</v>
      </c>
      <c r="H3741">
        <v>12237.53</v>
      </c>
      <c r="I3741">
        <v>2</v>
      </c>
    </row>
    <row r="3742" spans="1:9" x14ac:dyDescent="0.3">
      <c r="A3742" t="s">
        <v>3757</v>
      </c>
      <c r="B3742" t="s">
        <v>24</v>
      </c>
      <c r="C3742" t="s">
        <v>14</v>
      </c>
      <c r="D3742">
        <v>57</v>
      </c>
      <c r="E3742" s="1">
        <v>43181</v>
      </c>
      <c r="F3742">
        <v>2.1800000000000002</v>
      </c>
      <c r="G3742">
        <v>0</v>
      </c>
      <c r="H3742">
        <v>13164.01</v>
      </c>
      <c r="I3742">
        <v>7.6</v>
      </c>
    </row>
    <row r="3743" spans="1:9" x14ac:dyDescent="0.3">
      <c r="A3743" t="s">
        <v>3758</v>
      </c>
      <c r="B3743" t="s">
        <v>13</v>
      </c>
      <c r="C3743" t="s">
        <v>11</v>
      </c>
      <c r="D3743">
        <v>35</v>
      </c>
      <c r="E3743" s="1">
        <v>43728</v>
      </c>
      <c r="F3743">
        <v>2.99</v>
      </c>
      <c r="G3743">
        <v>0</v>
      </c>
      <c r="H3743">
        <v>7977.32</v>
      </c>
      <c r="I3743">
        <v>6.1</v>
      </c>
    </row>
    <row r="3744" spans="1:9" x14ac:dyDescent="0.3">
      <c r="A3744" t="s">
        <v>3759</v>
      </c>
      <c r="B3744" t="s">
        <v>34</v>
      </c>
      <c r="C3744" t="s">
        <v>14</v>
      </c>
      <c r="D3744">
        <v>32</v>
      </c>
      <c r="E3744" s="1">
        <v>44461</v>
      </c>
      <c r="F3744">
        <v>4.29</v>
      </c>
      <c r="G3744">
        <v>0</v>
      </c>
      <c r="H3744">
        <v>4424.88</v>
      </c>
      <c r="I3744">
        <v>4.0999999999999996</v>
      </c>
    </row>
    <row r="3745" spans="1:9" x14ac:dyDescent="0.3">
      <c r="A3745" t="s">
        <v>3760</v>
      </c>
      <c r="B3745" t="s">
        <v>18</v>
      </c>
      <c r="C3745" t="s">
        <v>11</v>
      </c>
      <c r="D3745">
        <v>30</v>
      </c>
      <c r="E3745" s="1">
        <v>43136</v>
      </c>
      <c r="F3745">
        <v>3.53</v>
      </c>
      <c r="G3745">
        <v>1</v>
      </c>
      <c r="H3745">
        <v>11746.2</v>
      </c>
      <c r="I3745">
        <v>7.7</v>
      </c>
    </row>
    <row r="3746" spans="1:9" x14ac:dyDescent="0.3">
      <c r="A3746" t="s">
        <v>3761</v>
      </c>
      <c r="B3746" t="s">
        <v>10</v>
      </c>
      <c r="C3746" t="s">
        <v>11</v>
      </c>
      <c r="D3746">
        <v>47</v>
      </c>
      <c r="E3746" s="1">
        <v>44128</v>
      </c>
      <c r="F3746">
        <v>3.26</v>
      </c>
      <c r="G3746">
        <v>0</v>
      </c>
      <c r="H3746">
        <v>13032.68</v>
      </c>
      <c r="I3746">
        <v>5</v>
      </c>
    </row>
    <row r="3747" spans="1:9" x14ac:dyDescent="0.3">
      <c r="A3747" t="s">
        <v>3762</v>
      </c>
      <c r="B3747" t="s">
        <v>13</v>
      </c>
      <c r="C3747" t="s">
        <v>14</v>
      </c>
      <c r="D3747">
        <v>39</v>
      </c>
      <c r="E3747" s="1">
        <v>43439</v>
      </c>
      <c r="F3747">
        <v>2.57</v>
      </c>
      <c r="G3747">
        <v>9</v>
      </c>
      <c r="H3747">
        <v>12235.6</v>
      </c>
      <c r="I3747">
        <v>6.9</v>
      </c>
    </row>
    <row r="3748" spans="1:9" x14ac:dyDescent="0.3">
      <c r="A3748" t="s">
        <v>3763</v>
      </c>
      <c r="B3748" t="s">
        <v>34</v>
      </c>
      <c r="C3748" t="s">
        <v>14</v>
      </c>
      <c r="D3748">
        <v>45</v>
      </c>
      <c r="E3748" s="1">
        <v>43190</v>
      </c>
      <c r="F3748">
        <v>4.25</v>
      </c>
      <c r="G3748">
        <v>11</v>
      </c>
      <c r="H3748">
        <v>13885.88</v>
      </c>
      <c r="I3748">
        <v>7.6</v>
      </c>
    </row>
    <row r="3749" spans="1:9" x14ac:dyDescent="0.3">
      <c r="A3749" t="s">
        <v>3764</v>
      </c>
      <c r="B3749" t="s">
        <v>13</v>
      </c>
      <c r="C3749" t="s">
        <v>11</v>
      </c>
      <c r="D3749">
        <v>54</v>
      </c>
      <c r="E3749" s="1">
        <v>42284</v>
      </c>
      <c r="F3749">
        <v>4.84</v>
      </c>
      <c r="G3749">
        <v>3</v>
      </c>
      <c r="H3749">
        <v>4477.05</v>
      </c>
      <c r="I3749">
        <v>10.1</v>
      </c>
    </row>
    <row r="3750" spans="1:9" x14ac:dyDescent="0.3">
      <c r="A3750" t="s">
        <v>3765</v>
      </c>
      <c r="B3750" t="s">
        <v>13</v>
      </c>
      <c r="C3750" t="s">
        <v>14</v>
      </c>
      <c r="D3750">
        <v>59</v>
      </c>
      <c r="E3750" s="1">
        <v>44882</v>
      </c>
      <c r="F3750">
        <v>4.34</v>
      </c>
      <c r="G3750">
        <v>13</v>
      </c>
      <c r="H3750">
        <v>3613.71</v>
      </c>
      <c r="I3750">
        <v>3</v>
      </c>
    </row>
    <row r="3751" spans="1:9" x14ac:dyDescent="0.3">
      <c r="A3751" t="s">
        <v>3766</v>
      </c>
      <c r="B3751" t="s">
        <v>34</v>
      </c>
      <c r="C3751" t="s">
        <v>11</v>
      </c>
      <c r="D3751">
        <v>46</v>
      </c>
      <c r="E3751" s="1">
        <v>41031</v>
      </c>
      <c r="F3751">
        <v>4.72</v>
      </c>
      <c r="G3751">
        <v>13</v>
      </c>
      <c r="H3751">
        <v>4924.5200000000004</v>
      </c>
      <c r="I3751">
        <v>13.5</v>
      </c>
    </row>
    <row r="3752" spans="1:9" x14ac:dyDescent="0.3">
      <c r="A3752" t="s">
        <v>3767</v>
      </c>
      <c r="B3752" t="s">
        <v>34</v>
      </c>
      <c r="C3752" t="s">
        <v>14</v>
      </c>
      <c r="D3752">
        <v>51</v>
      </c>
      <c r="E3752" s="1">
        <v>44964</v>
      </c>
      <c r="F3752">
        <v>3.29</v>
      </c>
      <c r="G3752">
        <v>8</v>
      </c>
      <c r="H3752">
        <v>6049.02</v>
      </c>
      <c r="I3752">
        <v>2.7</v>
      </c>
    </row>
    <row r="3753" spans="1:9" x14ac:dyDescent="0.3">
      <c r="A3753" t="s">
        <v>3768</v>
      </c>
      <c r="B3753" t="s">
        <v>13</v>
      </c>
      <c r="C3753" t="s">
        <v>14</v>
      </c>
      <c r="D3753">
        <v>50</v>
      </c>
      <c r="E3753" s="1">
        <v>42905</v>
      </c>
      <c r="F3753">
        <v>4.9000000000000004</v>
      </c>
      <c r="G3753">
        <v>3</v>
      </c>
      <c r="H3753">
        <v>9626.2900000000009</v>
      </c>
      <c r="I3753">
        <v>8.4</v>
      </c>
    </row>
    <row r="3754" spans="1:9" x14ac:dyDescent="0.3">
      <c r="A3754" t="s">
        <v>3769</v>
      </c>
      <c r="B3754" t="s">
        <v>13</v>
      </c>
      <c r="C3754" t="s">
        <v>14</v>
      </c>
      <c r="D3754">
        <v>41</v>
      </c>
      <c r="E3754" s="1">
        <v>41132</v>
      </c>
      <c r="F3754">
        <v>3.32</v>
      </c>
      <c r="G3754">
        <v>7</v>
      </c>
      <c r="H3754">
        <v>4201.74</v>
      </c>
      <c r="I3754">
        <v>13.2</v>
      </c>
    </row>
    <row r="3755" spans="1:9" x14ac:dyDescent="0.3">
      <c r="A3755" t="s">
        <v>3770</v>
      </c>
      <c r="B3755" t="s">
        <v>16</v>
      </c>
      <c r="C3755" t="s">
        <v>11</v>
      </c>
      <c r="D3755">
        <v>43</v>
      </c>
      <c r="E3755" s="1">
        <v>40442</v>
      </c>
      <c r="F3755">
        <v>4.8499999999999996</v>
      </c>
      <c r="G3755">
        <v>10</v>
      </c>
      <c r="H3755">
        <v>9092.15</v>
      </c>
      <c r="I3755">
        <v>15.1</v>
      </c>
    </row>
    <row r="3756" spans="1:9" x14ac:dyDescent="0.3">
      <c r="A3756" t="s">
        <v>3771</v>
      </c>
      <c r="B3756" t="s">
        <v>10</v>
      </c>
      <c r="C3756" t="s">
        <v>11</v>
      </c>
      <c r="D3756">
        <v>23</v>
      </c>
      <c r="E3756" s="1">
        <v>44654</v>
      </c>
      <c r="F3756">
        <v>4.2</v>
      </c>
      <c r="G3756">
        <v>12</v>
      </c>
      <c r="H3756">
        <v>9061.92</v>
      </c>
      <c r="I3756">
        <v>3.6</v>
      </c>
    </row>
    <row r="3757" spans="1:9" x14ac:dyDescent="0.3">
      <c r="A3757" t="s">
        <v>3772</v>
      </c>
      <c r="B3757" t="s">
        <v>34</v>
      </c>
      <c r="C3757" t="s">
        <v>11</v>
      </c>
      <c r="D3757">
        <v>38</v>
      </c>
      <c r="E3757" s="1">
        <v>45082</v>
      </c>
      <c r="F3757">
        <v>3.81</v>
      </c>
      <c r="G3757">
        <v>15</v>
      </c>
      <c r="H3757">
        <v>6476.53</v>
      </c>
      <c r="I3757">
        <v>2.4</v>
      </c>
    </row>
    <row r="3758" spans="1:9" x14ac:dyDescent="0.3">
      <c r="A3758" t="s">
        <v>3773</v>
      </c>
      <c r="B3758" t="s">
        <v>18</v>
      </c>
      <c r="C3758" t="s">
        <v>11</v>
      </c>
      <c r="D3758">
        <v>38</v>
      </c>
      <c r="E3758" s="1">
        <v>45821</v>
      </c>
      <c r="F3758">
        <v>4.7699999999999996</v>
      </c>
      <c r="G3758">
        <v>14</v>
      </c>
      <c r="H3758">
        <v>14245.65</v>
      </c>
      <c r="I3758">
        <v>0.4</v>
      </c>
    </row>
    <row r="3759" spans="1:9" x14ac:dyDescent="0.3">
      <c r="A3759" t="s">
        <v>3774</v>
      </c>
      <c r="B3759" t="s">
        <v>16</v>
      </c>
      <c r="C3759" t="s">
        <v>14</v>
      </c>
      <c r="D3759">
        <v>40</v>
      </c>
      <c r="E3759" s="1">
        <v>42099</v>
      </c>
      <c r="F3759">
        <v>4.42</v>
      </c>
      <c r="G3759">
        <v>1</v>
      </c>
      <c r="H3759">
        <v>7462.95</v>
      </c>
      <c r="I3759">
        <v>10.6</v>
      </c>
    </row>
    <row r="3760" spans="1:9" x14ac:dyDescent="0.3">
      <c r="A3760" t="s">
        <v>3775</v>
      </c>
      <c r="B3760" t="s">
        <v>34</v>
      </c>
      <c r="C3760" t="s">
        <v>11</v>
      </c>
      <c r="D3760">
        <v>34</v>
      </c>
      <c r="E3760" s="1">
        <v>41693</v>
      </c>
      <c r="F3760">
        <v>2.09</v>
      </c>
      <c r="G3760">
        <v>4</v>
      </c>
      <c r="H3760">
        <v>13880.38</v>
      </c>
      <c r="I3760">
        <v>11.7</v>
      </c>
    </row>
    <row r="3761" spans="1:9" x14ac:dyDescent="0.3">
      <c r="A3761" t="s">
        <v>3776</v>
      </c>
      <c r="B3761" t="s">
        <v>16</v>
      </c>
      <c r="C3761" t="s">
        <v>14</v>
      </c>
      <c r="D3761">
        <v>56</v>
      </c>
      <c r="E3761" s="1">
        <v>41711</v>
      </c>
      <c r="F3761">
        <v>2.0699999999999998</v>
      </c>
      <c r="G3761">
        <v>12</v>
      </c>
      <c r="H3761">
        <v>9461.56</v>
      </c>
      <c r="I3761">
        <v>11.6</v>
      </c>
    </row>
    <row r="3762" spans="1:9" x14ac:dyDescent="0.3">
      <c r="A3762" t="s">
        <v>3777</v>
      </c>
      <c r="B3762" t="s">
        <v>16</v>
      </c>
      <c r="C3762" t="s">
        <v>11</v>
      </c>
      <c r="D3762">
        <v>60</v>
      </c>
      <c r="E3762" s="1">
        <v>41624</v>
      </c>
      <c r="F3762">
        <v>1.88</v>
      </c>
      <c r="G3762">
        <v>8</v>
      </c>
      <c r="H3762">
        <v>11419.27</v>
      </c>
      <c r="I3762">
        <v>11.9</v>
      </c>
    </row>
    <row r="3763" spans="1:9" x14ac:dyDescent="0.3">
      <c r="A3763" t="s">
        <v>3778</v>
      </c>
      <c r="B3763" t="s">
        <v>13</v>
      </c>
      <c r="C3763" t="s">
        <v>14</v>
      </c>
      <c r="D3763">
        <v>22</v>
      </c>
      <c r="E3763" s="1">
        <v>43766</v>
      </c>
      <c r="F3763">
        <v>4.91</v>
      </c>
      <c r="G3763">
        <v>14</v>
      </c>
      <c r="H3763">
        <v>13040.69</v>
      </c>
      <c r="I3763">
        <v>6</v>
      </c>
    </row>
    <row r="3764" spans="1:9" x14ac:dyDescent="0.3">
      <c r="A3764" t="s">
        <v>3779</v>
      </c>
      <c r="B3764" t="s">
        <v>24</v>
      </c>
      <c r="C3764" t="s">
        <v>11</v>
      </c>
      <c r="D3764">
        <v>47</v>
      </c>
      <c r="E3764" s="1">
        <v>43805</v>
      </c>
      <c r="F3764">
        <v>1.52</v>
      </c>
      <c r="G3764">
        <v>8</v>
      </c>
      <c r="H3764">
        <v>13139.64</v>
      </c>
      <c r="I3764">
        <v>5.9</v>
      </c>
    </row>
    <row r="3765" spans="1:9" x14ac:dyDescent="0.3">
      <c r="A3765" t="s">
        <v>3780</v>
      </c>
      <c r="B3765" t="s">
        <v>34</v>
      </c>
      <c r="C3765" t="s">
        <v>14</v>
      </c>
      <c r="D3765">
        <v>49</v>
      </c>
      <c r="E3765" s="1">
        <v>44886</v>
      </c>
      <c r="F3765">
        <v>2.46</v>
      </c>
      <c r="G3765">
        <v>11</v>
      </c>
      <c r="H3765">
        <v>5641.08</v>
      </c>
      <c r="I3765">
        <v>2.9</v>
      </c>
    </row>
    <row r="3766" spans="1:9" x14ac:dyDescent="0.3">
      <c r="A3766" t="s">
        <v>3781</v>
      </c>
      <c r="B3766" t="s">
        <v>18</v>
      </c>
      <c r="C3766" t="s">
        <v>14</v>
      </c>
      <c r="D3766">
        <v>22</v>
      </c>
      <c r="E3766" s="1">
        <v>40885</v>
      </c>
      <c r="F3766">
        <v>3.6</v>
      </c>
      <c r="G3766">
        <v>8</v>
      </c>
      <c r="H3766">
        <v>13307.19</v>
      </c>
      <c r="I3766">
        <v>13.9</v>
      </c>
    </row>
    <row r="3767" spans="1:9" x14ac:dyDescent="0.3">
      <c r="A3767" t="s">
        <v>3782</v>
      </c>
      <c r="B3767" t="s">
        <v>13</v>
      </c>
      <c r="C3767" t="s">
        <v>11</v>
      </c>
      <c r="D3767">
        <v>49</v>
      </c>
      <c r="E3767" s="1">
        <v>43615</v>
      </c>
      <c r="F3767">
        <v>2.92</v>
      </c>
      <c r="G3767">
        <v>7</v>
      </c>
      <c r="H3767">
        <v>14797.74</v>
      </c>
      <c r="I3767">
        <v>6.4</v>
      </c>
    </row>
    <row r="3768" spans="1:9" x14ac:dyDescent="0.3">
      <c r="A3768" t="s">
        <v>3783</v>
      </c>
      <c r="B3768" t="s">
        <v>13</v>
      </c>
      <c r="C3768" t="s">
        <v>11</v>
      </c>
      <c r="D3768">
        <v>28</v>
      </c>
      <c r="E3768" s="1">
        <v>43317</v>
      </c>
      <c r="F3768">
        <v>3.36</v>
      </c>
      <c r="G3768">
        <v>9</v>
      </c>
      <c r="H3768">
        <v>7897.05</v>
      </c>
      <c r="I3768">
        <v>7.2</v>
      </c>
    </row>
    <row r="3769" spans="1:9" x14ac:dyDescent="0.3">
      <c r="A3769" t="s">
        <v>3784</v>
      </c>
      <c r="B3769" t="s">
        <v>13</v>
      </c>
      <c r="C3769" t="s">
        <v>11</v>
      </c>
      <c r="D3769">
        <v>46</v>
      </c>
      <c r="E3769" s="1">
        <v>45023</v>
      </c>
      <c r="F3769">
        <v>3.05</v>
      </c>
      <c r="G3769">
        <v>14</v>
      </c>
      <c r="H3769">
        <v>5313.08</v>
      </c>
      <c r="I3769">
        <v>2.6</v>
      </c>
    </row>
    <row r="3770" spans="1:9" x14ac:dyDescent="0.3">
      <c r="A3770" t="s">
        <v>3785</v>
      </c>
      <c r="B3770" t="s">
        <v>16</v>
      </c>
      <c r="C3770" t="s">
        <v>11</v>
      </c>
      <c r="D3770">
        <v>40</v>
      </c>
      <c r="E3770" s="1">
        <v>44959</v>
      </c>
      <c r="F3770">
        <v>4.13</v>
      </c>
      <c r="G3770">
        <v>5</v>
      </c>
      <c r="H3770">
        <v>4096</v>
      </c>
      <c r="I3770">
        <v>2.7</v>
      </c>
    </row>
    <row r="3771" spans="1:9" x14ac:dyDescent="0.3">
      <c r="A3771" t="s">
        <v>3786</v>
      </c>
      <c r="B3771" t="s">
        <v>16</v>
      </c>
      <c r="C3771" t="s">
        <v>14</v>
      </c>
      <c r="D3771">
        <v>51</v>
      </c>
      <c r="E3771" s="1">
        <v>44115</v>
      </c>
      <c r="F3771">
        <v>2.54</v>
      </c>
      <c r="G3771">
        <v>7</v>
      </c>
      <c r="H3771">
        <v>10682.04</v>
      </c>
      <c r="I3771">
        <v>5.0999999999999996</v>
      </c>
    </row>
    <row r="3772" spans="1:9" x14ac:dyDescent="0.3">
      <c r="A3772" t="s">
        <v>3787</v>
      </c>
      <c r="B3772" t="s">
        <v>24</v>
      </c>
      <c r="C3772" t="s">
        <v>11</v>
      </c>
      <c r="D3772">
        <v>58</v>
      </c>
      <c r="E3772" s="1">
        <v>40782</v>
      </c>
      <c r="F3772">
        <v>4.4000000000000004</v>
      </c>
      <c r="G3772">
        <v>3</v>
      </c>
      <c r="H3772">
        <v>11169.38</v>
      </c>
      <c r="I3772">
        <v>14.2</v>
      </c>
    </row>
    <row r="3773" spans="1:9" x14ac:dyDescent="0.3">
      <c r="A3773" t="s">
        <v>3788</v>
      </c>
      <c r="B3773" t="s">
        <v>13</v>
      </c>
      <c r="C3773" t="s">
        <v>11</v>
      </c>
      <c r="D3773">
        <v>50</v>
      </c>
      <c r="E3773" s="1">
        <v>45637</v>
      </c>
      <c r="F3773">
        <v>1.71</v>
      </c>
      <c r="G3773">
        <v>13</v>
      </c>
      <c r="H3773">
        <v>13689.17</v>
      </c>
      <c r="I3773">
        <v>0.9</v>
      </c>
    </row>
    <row r="3774" spans="1:9" x14ac:dyDescent="0.3">
      <c r="A3774" t="s">
        <v>3789</v>
      </c>
      <c r="B3774" t="s">
        <v>16</v>
      </c>
      <c r="C3774" t="s">
        <v>14</v>
      </c>
      <c r="D3774">
        <v>37</v>
      </c>
      <c r="E3774" s="1">
        <v>40777</v>
      </c>
      <c r="F3774">
        <v>3.11</v>
      </c>
      <c r="G3774">
        <v>0</v>
      </c>
      <c r="H3774">
        <v>3894.91</v>
      </c>
      <c r="I3774">
        <v>14.2</v>
      </c>
    </row>
    <row r="3775" spans="1:9" x14ac:dyDescent="0.3">
      <c r="A3775" t="s">
        <v>3790</v>
      </c>
      <c r="B3775" t="s">
        <v>13</v>
      </c>
      <c r="C3775" t="s">
        <v>14</v>
      </c>
      <c r="D3775">
        <v>41</v>
      </c>
      <c r="E3775" s="1">
        <v>45401</v>
      </c>
      <c r="F3775">
        <v>2.88</v>
      </c>
      <c r="G3775">
        <v>9</v>
      </c>
      <c r="H3775">
        <v>4790.4399999999996</v>
      </c>
      <c r="I3775">
        <v>1.5</v>
      </c>
    </row>
    <row r="3776" spans="1:9" x14ac:dyDescent="0.3">
      <c r="A3776" t="s">
        <v>3791</v>
      </c>
      <c r="B3776" t="s">
        <v>10</v>
      </c>
      <c r="C3776" t="s">
        <v>14</v>
      </c>
      <c r="D3776">
        <v>43</v>
      </c>
      <c r="E3776" s="1">
        <v>42663</v>
      </c>
      <c r="F3776">
        <v>4.7699999999999996</v>
      </c>
      <c r="G3776">
        <v>9</v>
      </c>
      <c r="H3776">
        <v>14570.02</v>
      </c>
      <c r="I3776">
        <v>9</v>
      </c>
    </row>
    <row r="3777" spans="1:9" x14ac:dyDescent="0.3">
      <c r="A3777" t="s">
        <v>3792</v>
      </c>
      <c r="B3777" t="s">
        <v>10</v>
      </c>
      <c r="C3777" t="s">
        <v>11</v>
      </c>
      <c r="D3777">
        <v>23</v>
      </c>
      <c r="E3777" s="1">
        <v>44033</v>
      </c>
      <c r="F3777">
        <v>4.92</v>
      </c>
      <c r="G3777">
        <v>5</v>
      </c>
      <c r="H3777">
        <v>8514.94</v>
      </c>
      <c r="I3777">
        <v>5.3</v>
      </c>
    </row>
    <row r="3778" spans="1:9" x14ac:dyDescent="0.3">
      <c r="A3778" t="s">
        <v>3793</v>
      </c>
      <c r="B3778" t="s">
        <v>13</v>
      </c>
      <c r="C3778" t="s">
        <v>14</v>
      </c>
      <c r="D3778">
        <v>39</v>
      </c>
      <c r="E3778" s="1">
        <v>43764</v>
      </c>
      <c r="F3778">
        <v>3.24</v>
      </c>
      <c r="G3778">
        <v>12</v>
      </c>
      <c r="H3778">
        <v>11322.84</v>
      </c>
      <c r="I3778">
        <v>6</v>
      </c>
    </row>
    <row r="3779" spans="1:9" x14ac:dyDescent="0.3">
      <c r="A3779" t="s">
        <v>3794</v>
      </c>
      <c r="B3779" t="s">
        <v>10</v>
      </c>
      <c r="C3779" t="s">
        <v>11</v>
      </c>
      <c r="D3779">
        <v>40</v>
      </c>
      <c r="E3779" s="1">
        <v>42168</v>
      </c>
      <c r="F3779">
        <v>1.52</v>
      </c>
      <c r="G3779">
        <v>9</v>
      </c>
      <c r="H3779">
        <v>14933.09</v>
      </c>
      <c r="I3779">
        <v>10.4</v>
      </c>
    </row>
    <row r="3780" spans="1:9" x14ac:dyDescent="0.3">
      <c r="A3780" t="s">
        <v>3795</v>
      </c>
      <c r="B3780" t="s">
        <v>34</v>
      </c>
      <c r="C3780" t="s">
        <v>14</v>
      </c>
      <c r="D3780">
        <v>43</v>
      </c>
      <c r="E3780" s="1">
        <v>43157</v>
      </c>
      <c r="F3780">
        <v>3.06</v>
      </c>
      <c r="G3780">
        <v>4</v>
      </c>
      <c r="H3780">
        <v>6716.42</v>
      </c>
      <c r="I3780">
        <v>7.7</v>
      </c>
    </row>
    <row r="3781" spans="1:9" x14ac:dyDescent="0.3">
      <c r="A3781" t="s">
        <v>3796</v>
      </c>
      <c r="B3781" t="s">
        <v>18</v>
      </c>
      <c r="C3781" t="s">
        <v>11</v>
      </c>
      <c r="D3781">
        <v>45</v>
      </c>
      <c r="E3781" s="1">
        <v>40686</v>
      </c>
      <c r="F3781">
        <v>3.56</v>
      </c>
      <c r="G3781">
        <v>12</v>
      </c>
      <c r="H3781">
        <v>6731.19</v>
      </c>
      <c r="I3781">
        <v>14.5</v>
      </c>
    </row>
    <row r="3782" spans="1:9" x14ac:dyDescent="0.3">
      <c r="A3782" t="s">
        <v>3797</v>
      </c>
      <c r="B3782" t="s">
        <v>13</v>
      </c>
      <c r="C3782" t="s">
        <v>11</v>
      </c>
      <c r="D3782">
        <v>43</v>
      </c>
      <c r="E3782" s="1">
        <v>42431</v>
      </c>
      <c r="F3782">
        <v>3.46</v>
      </c>
      <c r="G3782">
        <v>2</v>
      </c>
      <c r="H3782">
        <v>5115.67</v>
      </c>
      <c r="I3782">
        <v>9.6999999999999993</v>
      </c>
    </row>
    <row r="3783" spans="1:9" x14ac:dyDescent="0.3">
      <c r="A3783" t="s">
        <v>3798</v>
      </c>
      <c r="B3783" t="s">
        <v>10</v>
      </c>
      <c r="C3783" t="s">
        <v>11</v>
      </c>
      <c r="D3783">
        <v>46</v>
      </c>
      <c r="E3783" s="1">
        <v>45674</v>
      </c>
      <c r="F3783">
        <v>2.58</v>
      </c>
      <c r="G3783">
        <v>2</v>
      </c>
      <c r="H3783">
        <v>6852.73</v>
      </c>
      <c r="I3783">
        <v>0.8</v>
      </c>
    </row>
    <row r="3784" spans="1:9" x14ac:dyDescent="0.3">
      <c r="A3784" t="s">
        <v>3799</v>
      </c>
      <c r="B3784" t="s">
        <v>13</v>
      </c>
      <c r="C3784" t="s">
        <v>14</v>
      </c>
      <c r="D3784">
        <v>36</v>
      </c>
      <c r="E3784" s="1">
        <v>41660</v>
      </c>
      <c r="F3784">
        <v>2.1</v>
      </c>
      <c r="G3784">
        <v>2</v>
      </c>
      <c r="H3784">
        <v>11519.9</v>
      </c>
      <c r="I3784">
        <v>11.8</v>
      </c>
    </row>
    <row r="3785" spans="1:9" x14ac:dyDescent="0.3">
      <c r="A3785" t="s">
        <v>3800</v>
      </c>
      <c r="B3785" t="s">
        <v>13</v>
      </c>
      <c r="C3785" t="s">
        <v>11</v>
      </c>
      <c r="D3785">
        <v>26</v>
      </c>
      <c r="E3785" s="1">
        <v>41140</v>
      </c>
      <c r="F3785">
        <v>4.3099999999999996</v>
      </c>
      <c r="G3785">
        <v>6</v>
      </c>
      <c r="H3785">
        <v>11220.1</v>
      </c>
      <c r="I3785">
        <v>13.2</v>
      </c>
    </row>
    <row r="3786" spans="1:9" x14ac:dyDescent="0.3">
      <c r="A3786" t="s">
        <v>3801</v>
      </c>
      <c r="B3786" t="s">
        <v>10</v>
      </c>
      <c r="C3786" t="s">
        <v>14</v>
      </c>
      <c r="D3786">
        <v>47</v>
      </c>
      <c r="E3786" s="1">
        <v>41119</v>
      </c>
      <c r="F3786">
        <v>2.64</v>
      </c>
      <c r="G3786">
        <v>6</v>
      </c>
      <c r="H3786">
        <v>3318.42</v>
      </c>
      <c r="I3786">
        <v>13.3</v>
      </c>
    </row>
    <row r="3787" spans="1:9" x14ac:dyDescent="0.3">
      <c r="A3787" t="s">
        <v>3802</v>
      </c>
      <c r="B3787" t="s">
        <v>18</v>
      </c>
      <c r="C3787" t="s">
        <v>11</v>
      </c>
      <c r="D3787">
        <v>60</v>
      </c>
      <c r="E3787" s="1">
        <v>44087</v>
      </c>
      <c r="F3787">
        <v>3.78</v>
      </c>
      <c r="G3787">
        <v>2</v>
      </c>
      <c r="H3787">
        <v>12728.34</v>
      </c>
      <c r="I3787">
        <v>5.0999999999999996</v>
      </c>
    </row>
    <row r="3788" spans="1:9" x14ac:dyDescent="0.3">
      <c r="A3788" t="s">
        <v>3803</v>
      </c>
      <c r="B3788" t="s">
        <v>24</v>
      </c>
      <c r="C3788" t="s">
        <v>14</v>
      </c>
      <c r="D3788">
        <v>27</v>
      </c>
      <c r="E3788" s="1">
        <v>41795</v>
      </c>
      <c r="F3788">
        <v>2.65</v>
      </c>
      <c r="G3788">
        <v>7</v>
      </c>
      <c r="H3788">
        <v>5220.8</v>
      </c>
      <c r="I3788">
        <v>11.4</v>
      </c>
    </row>
    <row r="3789" spans="1:9" x14ac:dyDescent="0.3">
      <c r="A3789" t="s">
        <v>3804</v>
      </c>
      <c r="B3789" t="s">
        <v>34</v>
      </c>
      <c r="C3789" t="s">
        <v>11</v>
      </c>
      <c r="D3789">
        <v>39</v>
      </c>
      <c r="E3789" s="1">
        <v>43388</v>
      </c>
      <c r="F3789">
        <v>3</v>
      </c>
      <c r="G3789">
        <v>4</v>
      </c>
      <c r="H3789">
        <v>5891.56</v>
      </c>
      <c r="I3789">
        <v>7.1</v>
      </c>
    </row>
    <row r="3790" spans="1:9" x14ac:dyDescent="0.3">
      <c r="A3790" t="s">
        <v>3805</v>
      </c>
      <c r="B3790" t="s">
        <v>10</v>
      </c>
      <c r="C3790" t="s">
        <v>14</v>
      </c>
      <c r="D3790">
        <v>60</v>
      </c>
      <c r="E3790" s="1">
        <v>45766</v>
      </c>
      <c r="F3790">
        <v>4.66</v>
      </c>
      <c r="G3790">
        <v>1</v>
      </c>
      <c r="H3790">
        <v>13730.15</v>
      </c>
      <c r="I3790">
        <v>0.5</v>
      </c>
    </row>
    <row r="3791" spans="1:9" x14ac:dyDescent="0.3">
      <c r="A3791" t="s">
        <v>3806</v>
      </c>
      <c r="B3791" t="s">
        <v>24</v>
      </c>
      <c r="C3791" t="s">
        <v>14</v>
      </c>
      <c r="D3791">
        <v>40</v>
      </c>
      <c r="E3791" s="1">
        <v>45463</v>
      </c>
      <c r="F3791">
        <v>2.4900000000000002</v>
      </c>
      <c r="G3791">
        <v>15</v>
      </c>
      <c r="H3791">
        <v>7133.06</v>
      </c>
      <c r="I3791">
        <v>1.4</v>
      </c>
    </row>
    <row r="3792" spans="1:9" x14ac:dyDescent="0.3">
      <c r="A3792" t="s">
        <v>3807</v>
      </c>
      <c r="B3792" t="s">
        <v>10</v>
      </c>
      <c r="C3792" t="s">
        <v>14</v>
      </c>
      <c r="D3792">
        <v>42</v>
      </c>
      <c r="E3792" s="1">
        <v>44052</v>
      </c>
      <c r="F3792">
        <v>3.02</v>
      </c>
      <c r="G3792">
        <v>4</v>
      </c>
      <c r="H3792">
        <v>14861.04</v>
      </c>
      <c r="I3792">
        <v>5.2</v>
      </c>
    </row>
    <row r="3793" spans="1:9" x14ac:dyDescent="0.3">
      <c r="A3793" t="s">
        <v>3808</v>
      </c>
      <c r="B3793" t="s">
        <v>24</v>
      </c>
      <c r="C3793" t="s">
        <v>14</v>
      </c>
      <c r="D3793">
        <v>35</v>
      </c>
      <c r="E3793" s="1">
        <v>45834</v>
      </c>
      <c r="F3793">
        <v>2.66</v>
      </c>
      <c r="G3793">
        <v>7</v>
      </c>
      <c r="H3793">
        <v>11615.59</v>
      </c>
      <c r="I3793">
        <v>0.4</v>
      </c>
    </row>
    <row r="3794" spans="1:9" x14ac:dyDescent="0.3">
      <c r="A3794" t="s">
        <v>3809</v>
      </c>
      <c r="B3794" t="s">
        <v>34</v>
      </c>
      <c r="C3794" t="s">
        <v>14</v>
      </c>
      <c r="D3794">
        <v>30</v>
      </c>
      <c r="E3794" s="1">
        <v>42857</v>
      </c>
      <c r="F3794">
        <v>4.46</v>
      </c>
      <c r="G3794">
        <v>5</v>
      </c>
      <c r="H3794">
        <v>8463.4500000000007</v>
      </c>
      <c r="I3794">
        <v>8.5</v>
      </c>
    </row>
    <row r="3795" spans="1:9" x14ac:dyDescent="0.3">
      <c r="A3795" t="s">
        <v>3810</v>
      </c>
      <c r="B3795" t="s">
        <v>16</v>
      </c>
      <c r="C3795" t="s">
        <v>11</v>
      </c>
      <c r="D3795">
        <v>38</v>
      </c>
      <c r="E3795" s="1">
        <v>41216</v>
      </c>
      <c r="F3795">
        <v>4.7</v>
      </c>
      <c r="G3795">
        <v>3</v>
      </c>
      <c r="H3795">
        <v>11455.6</v>
      </c>
      <c r="I3795">
        <v>13</v>
      </c>
    </row>
    <row r="3796" spans="1:9" x14ac:dyDescent="0.3">
      <c r="A3796" t="s">
        <v>3811</v>
      </c>
      <c r="B3796" t="s">
        <v>24</v>
      </c>
      <c r="C3796" t="s">
        <v>14</v>
      </c>
      <c r="D3796">
        <v>46</v>
      </c>
      <c r="E3796" s="1">
        <v>45448</v>
      </c>
      <c r="F3796">
        <v>3.02</v>
      </c>
      <c r="G3796">
        <v>11</v>
      </c>
      <c r="H3796">
        <v>4332.91</v>
      </c>
      <c r="I3796">
        <v>1.4</v>
      </c>
    </row>
    <row r="3797" spans="1:9" x14ac:dyDescent="0.3">
      <c r="A3797" t="s">
        <v>3812</v>
      </c>
      <c r="B3797" t="s">
        <v>34</v>
      </c>
      <c r="C3797" t="s">
        <v>11</v>
      </c>
      <c r="D3797">
        <v>31</v>
      </c>
      <c r="E3797" s="1">
        <v>40867</v>
      </c>
      <c r="F3797">
        <v>1.65</v>
      </c>
      <c r="G3797">
        <v>6</v>
      </c>
      <c r="H3797">
        <v>12922.4</v>
      </c>
      <c r="I3797">
        <v>14</v>
      </c>
    </row>
    <row r="3798" spans="1:9" x14ac:dyDescent="0.3">
      <c r="A3798" t="s">
        <v>3813</v>
      </c>
      <c r="B3798" t="s">
        <v>13</v>
      </c>
      <c r="C3798" t="s">
        <v>14</v>
      </c>
      <c r="D3798">
        <v>51</v>
      </c>
      <c r="E3798" s="1">
        <v>45592</v>
      </c>
      <c r="F3798">
        <v>4.8099999999999996</v>
      </c>
      <c r="G3798">
        <v>9</v>
      </c>
      <c r="H3798">
        <v>8229.5300000000007</v>
      </c>
      <c r="I3798">
        <v>1</v>
      </c>
    </row>
    <row r="3799" spans="1:9" x14ac:dyDescent="0.3">
      <c r="A3799" t="s">
        <v>3814</v>
      </c>
      <c r="B3799" t="s">
        <v>18</v>
      </c>
      <c r="C3799" t="s">
        <v>11</v>
      </c>
      <c r="D3799">
        <v>47</v>
      </c>
      <c r="E3799" s="1">
        <v>44657</v>
      </c>
      <c r="F3799">
        <v>2.59</v>
      </c>
      <c r="G3799">
        <v>3</v>
      </c>
      <c r="H3799">
        <v>10751.29</v>
      </c>
      <c r="I3799">
        <v>3.6</v>
      </c>
    </row>
    <row r="3800" spans="1:9" x14ac:dyDescent="0.3">
      <c r="A3800" t="s">
        <v>3815</v>
      </c>
      <c r="B3800" t="s">
        <v>10</v>
      </c>
      <c r="C3800" t="s">
        <v>11</v>
      </c>
      <c r="D3800">
        <v>38</v>
      </c>
      <c r="E3800" s="1">
        <v>44606</v>
      </c>
      <c r="F3800">
        <v>2.16</v>
      </c>
      <c r="G3800">
        <v>0</v>
      </c>
      <c r="H3800">
        <v>7060.42</v>
      </c>
      <c r="I3800">
        <v>3.7</v>
      </c>
    </row>
    <row r="3801" spans="1:9" x14ac:dyDescent="0.3">
      <c r="A3801" t="s">
        <v>3816</v>
      </c>
      <c r="B3801" t="s">
        <v>10</v>
      </c>
      <c r="C3801" t="s">
        <v>14</v>
      </c>
      <c r="D3801">
        <v>26</v>
      </c>
      <c r="E3801" s="1">
        <v>42466</v>
      </c>
      <c r="F3801">
        <v>3.67</v>
      </c>
      <c r="G3801">
        <v>3</v>
      </c>
      <c r="H3801">
        <v>8530.7999999999993</v>
      </c>
      <c r="I3801">
        <v>9.6</v>
      </c>
    </row>
    <row r="3802" spans="1:9" x14ac:dyDescent="0.3">
      <c r="A3802" t="s">
        <v>3817</v>
      </c>
      <c r="B3802" t="s">
        <v>13</v>
      </c>
      <c r="C3802" t="s">
        <v>14</v>
      </c>
      <c r="D3802">
        <v>41</v>
      </c>
      <c r="E3802" s="1">
        <v>44165</v>
      </c>
      <c r="F3802">
        <v>4.3600000000000003</v>
      </c>
      <c r="G3802">
        <v>2</v>
      </c>
      <c r="H3802">
        <v>10976.76</v>
      </c>
      <c r="I3802">
        <v>4.9000000000000004</v>
      </c>
    </row>
    <row r="3803" spans="1:9" x14ac:dyDescent="0.3">
      <c r="A3803" t="s">
        <v>3818</v>
      </c>
      <c r="B3803" t="s">
        <v>24</v>
      </c>
      <c r="C3803" t="s">
        <v>14</v>
      </c>
      <c r="D3803">
        <v>41</v>
      </c>
      <c r="E3803" s="1">
        <v>40798</v>
      </c>
      <c r="F3803">
        <v>5</v>
      </c>
      <c r="G3803">
        <v>12</v>
      </c>
      <c r="H3803">
        <v>12105.03</v>
      </c>
      <c r="I3803">
        <v>14.1</v>
      </c>
    </row>
    <row r="3804" spans="1:9" x14ac:dyDescent="0.3">
      <c r="A3804" t="s">
        <v>3819</v>
      </c>
      <c r="B3804" t="s">
        <v>34</v>
      </c>
      <c r="C3804" t="s">
        <v>14</v>
      </c>
      <c r="D3804">
        <v>30</v>
      </c>
      <c r="E3804" s="1">
        <v>42618</v>
      </c>
      <c r="F3804">
        <v>3.86</v>
      </c>
      <c r="G3804">
        <v>12</v>
      </c>
      <c r="H3804">
        <v>3059.59</v>
      </c>
      <c r="I3804">
        <v>9.1999999999999993</v>
      </c>
    </row>
    <row r="3805" spans="1:9" x14ac:dyDescent="0.3">
      <c r="A3805" t="s">
        <v>3820</v>
      </c>
      <c r="B3805" t="s">
        <v>16</v>
      </c>
      <c r="C3805" t="s">
        <v>14</v>
      </c>
      <c r="D3805">
        <v>24</v>
      </c>
      <c r="E3805" s="1">
        <v>44773</v>
      </c>
      <c r="F3805">
        <v>4.3499999999999996</v>
      </c>
      <c r="G3805">
        <v>3</v>
      </c>
      <c r="H3805">
        <v>7750.28</v>
      </c>
      <c r="I3805">
        <v>3.3</v>
      </c>
    </row>
    <row r="3806" spans="1:9" x14ac:dyDescent="0.3">
      <c r="A3806" t="s">
        <v>3821</v>
      </c>
      <c r="B3806" t="s">
        <v>34</v>
      </c>
      <c r="C3806" t="s">
        <v>14</v>
      </c>
      <c r="D3806">
        <v>59</v>
      </c>
      <c r="E3806" s="1">
        <v>40880</v>
      </c>
      <c r="F3806">
        <v>4.18</v>
      </c>
      <c r="G3806">
        <v>5</v>
      </c>
      <c r="H3806">
        <v>8090.33</v>
      </c>
      <c r="I3806">
        <v>13.9</v>
      </c>
    </row>
    <row r="3807" spans="1:9" x14ac:dyDescent="0.3">
      <c r="A3807" t="s">
        <v>3822</v>
      </c>
      <c r="B3807" t="s">
        <v>13</v>
      </c>
      <c r="C3807" t="s">
        <v>14</v>
      </c>
      <c r="D3807">
        <v>44</v>
      </c>
      <c r="E3807" s="1">
        <v>42811</v>
      </c>
      <c r="F3807">
        <v>4.7300000000000004</v>
      </c>
      <c r="G3807">
        <v>3</v>
      </c>
      <c r="H3807">
        <v>9943.19</v>
      </c>
      <c r="I3807">
        <v>8.6</v>
      </c>
    </row>
    <row r="3808" spans="1:9" x14ac:dyDescent="0.3">
      <c r="A3808" t="s">
        <v>3823</v>
      </c>
      <c r="B3808" t="s">
        <v>13</v>
      </c>
      <c r="C3808" t="s">
        <v>11</v>
      </c>
      <c r="D3808">
        <v>47</v>
      </c>
      <c r="E3808" s="1">
        <v>42212</v>
      </c>
      <c r="F3808">
        <v>4.6100000000000003</v>
      </c>
      <c r="G3808">
        <v>10</v>
      </c>
      <c r="H3808">
        <v>3480.92</v>
      </c>
      <c r="I3808">
        <v>10.3</v>
      </c>
    </row>
    <row r="3809" spans="1:9" x14ac:dyDescent="0.3">
      <c r="A3809" t="s">
        <v>3824</v>
      </c>
      <c r="B3809" t="s">
        <v>18</v>
      </c>
      <c r="C3809" t="s">
        <v>11</v>
      </c>
      <c r="D3809">
        <v>59</v>
      </c>
      <c r="E3809" s="1">
        <v>41756</v>
      </c>
      <c r="F3809">
        <v>3.41</v>
      </c>
      <c r="G3809">
        <v>10</v>
      </c>
      <c r="H3809">
        <v>12258.86</v>
      </c>
      <c r="I3809">
        <v>11.5</v>
      </c>
    </row>
    <row r="3810" spans="1:9" x14ac:dyDescent="0.3">
      <c r="A3810" t="s">
        <v>3825</v>
      </c>
      <c r="B3810" t="s">
        <v>10</v>
      </c>
      <c r="C3810" t="s">
        <v>14</v>
      </c>
      <c r="D3810">
        <v>45</v>
      </c>
      <c r="E3810" s="1">
        <v>40411</v>
      </c>
      <c r="F3810">
        <v>4.03</v>
      </c>
      <c r="G3810">
        <v>10</v>
      </c>
      <c r="H3810">
        <v>10628.36</v>
      </c>
      <c r="I3810">
        <v>15.2</v>
      </c>
    </row>
    <row r="3811" spans="1:9" x14ac:dyDescent="0.3">
      <c r="A3811" t="s">
        <v>3826</v>
      </c>
      <c r="B3811" t="s">
        <v>34</v>
      </c>
      <c r="C3811" t="s">
        <v>11</v>
      </c>
      <c r="D3811">
        <v>23</v>
      </c>
      <c r="E3811" s="1">
        <v>43503</v>
      </c>
      <c r="F3811">
        <v>3.8</v>
      </c>
      <c r="G3811">
        <v>6</v>
      </c>
      <c r="H3811">
        <v>11679.5</v>
      </c>
      <c r="I3811">
        <v>6.7</v>
      </c>
    </row>
    <row r="3812" spans="1:9" x14ac:dyDescent="0.3">
      <c r="A3812" t="s">
        <v>3827</v>
      </c>
      <c r="B3812" t="s">
        <v>13</v>
      </c>
      <c r="C3812" t="s">
        <v>11</v>
      </c>
      <c r="D3812">
        <v>50</v>
      </c>
      <c r="E3812" s="1">
        <v>43540</v>
      </c>
      <c r="F3812">
        <v>3.42</v>
      </c>
      <c r="G3812">
        <v>3</v>
      </c>
      <c r="H3812">
        <v>13334.74</v>
      </c>
      <c r="I3812">
        <v>6.6</v>
      </c>
    </row>
    <row r="3813" spans="1:9" x14ac:dyDescent="0.3">
      <c r="A3813" t="s">
        <v>3828</v>
      </c>
      <c r="B3813" t="s">
        <v>34</v>
      </c>
      <c r="C3813" t="s">
        <v>14</v>
      </c>
      <c r="D3813">
        <v>37</v>
      </c>
      <c r="E3813" s="1">
        <v>40996</v>
      </c>
      <c r="F3813">
        <v>4.13</v>
      </c>
      <c r="G3813">
        <v>4</v>
      </c>
      <c r="H3813">
        <v>4505.55</v>
      </c>
      <c r="I3813">
        <v>13.6</v>
      </c>
    </row>
    <row r="3814" spans="1:9" x14ac:dyDescent="0.3">
      <c r="A3814" t="s">
        <v>3829</v>
      </c>
      <c r="B3814" t="s">
        <v>18</v>
      </c>
      <c r="C3814" t="s">
        <v>11</v>
      </c>
      <c r="D3814">
        <v>28</v>
      </c>
      <c r="E3814" s="1">
        <v>43924</v>
      </c>
      <c r="F3814">
        <v>2.36</v>
      </c>
      <c r="G3814">
        <v>9</v>
      </c>
      <c r="H3814">
        <v>13219.5</v>
      </c>
      <c r="I3814">
        <v>5.6</v>
      </c>
    </row>
    <row r="3815" spans="1:9" x14ac:dyDescent="0.3">
      <c r="A3815" t="s">
        <v>3830</v>
      </c>
      <c r="B3815" t="s">
        <v>18</v>
      </c>
      <c r="C3815" t="s">
        <v>14</v>
      </c>
      <c r="D3815">
        <v>31</v>
      </c>
      <c r="E3815" s="1">
        <v>44634</v>
      </c>
      <c r="F3815">
        <v>3.91</v>
      </c>
      <c r="G3815">
        <v>3</v>
      </c>
      <c r="H3815">
        <v>6906.19</v>
      </c>
      <c r="I3815">
        <v>3.6</v>
      </c>
    </row>
    <row r="3816" spans="1:9" x14ac:dyDescent="0.3">
      <c r="A3816" t="s">
        <v>3831</v>
      </c>
      <c r="B3816" t="s">
        <v>16</v>
      </c>
      <c r="C3816" t="s">
        <v>14</v>
      </c>
      <c r="D3816">
        <v>45</v>
      </c>
      <c r="E3816" s="1">
        <v>45643</v>
      </c>
      <c r="F3816">
        <v>4.0599999999999996</v>
      </c>
      <c r="G3816">
        <v>11</v>
      </c>
      <c r="H3816">
        <v>10687.03</v>
      </c>
      <c r="I3816">
        <v>0.9</v>
      </c>
    </row>
    <row r="3817" spans="1:9" x14ac:dyDescent="0.3">
      <c r="A3817" t="s">
        <v>3832</v>
      </c>
      <c r="B3817" t="s">
        <v>18</v>
      </c>
      <c r="C3817" t="s">
        <v>14</v>
      </c>
      <c r="D3817">
        <v>59</v>
      </c>
      <c r="E3817" s="1">
        <v>44041</v>
      </c>
      <c r="F3817">
        <v>3.47</v>
      </c>
      <c r="G3817">
        <v>15</v>
      </c>
      <c r="H3817">
        <v>4076.83</v>
      </c>
      <c r="I3817">
        <v>5.3</v>
      </c>
    </row>
    <row r="3818" spans="1:9" x14ac:dyDescent="0.3">
      <c r="A3818" t="s">
        <v>3833</v>
      </c>
      <c r="B3818" t="s">
        <v>18</v>
      </c>
      <c r="C3818" t="s">
        <v>14</v>
      </c>
      <c r="D3818">
        <v>25</v>
      </c>
      <c r="E3818" s="1">
        <v>42564</v>
      </c>
      <c r="F3818">
        <v>2.2400000000000002</v>
      </c>
      <c r="G3818">
        <v>7</v>
      </c>
      <c r="H3818">
        <v>11498.36</v>
      </c>
      <c r="I3818">
        <v>9.3000000000000007</v>
      </c>
    </row>
    <row r="3819" spans="1:9" x14ac:dyDescent="0.3">
      <c r="A3819" t="s">
        <v>3834</v>
      </c>
      <c r="B3819" t="s">
        <v>10</v>
      </c>
      <c r="C3819" t="s">
        <v>14</v>
      </c>
      <c r="D3819">
        <v>54</v>
      </c>
      <c r="E3819" s="1">
        <v>41442</v>
      </c>
      <c r="F3819">
        <v>2.95</v>
      </c>
      <c r="G3819">
        <v>8</v>
      </c>
      <c r="H3819">
        <v>11000.03</v>
      </c>
      <c r="I3819">
        <v>12.4</v>
      </c>
    </row>
    <row r="3820" spans="1:9" x14ac:dyDescent="0.3">
      <c r="A3820" t="s">
        <v>3835</v>
      </c>
      <c r="B3820" t="s">
        <v>34</v>
      </c>
      <c r="C3820" t="s">
        <v>11</v>
      </c>
      <c r="D3820">
        <v>43</v>
      </c>
      <c r="E3820" s="1">
        <v>42186</v>
      </c>
      <c r="F3820">
        <v>4.0999999999999996</v>
      </c>
      <c r="G3820">
        <v>8</v>
      </c>
      <c r="H3820">
        <v>4713.93</v>
      </c>
      <c r="I3820">
        <v>10.3</v>
      </c>
    </row>
    <row r="3821" spans="1:9" x14ac:dyDescent="0.3">
      <c r="A3821" t="s">
        <v>3836</v>
      </c>
      <c r="B3821" t="s">
        <v>34</v>
      </c>
      <c r="C3821" t="s">
        <v>14</v>
      </c>
      <c r="D3821">
        <v>40</v>
      </c>
      <c r="E3821" s="1">
        <v>45095</v>
      </c>
      <c r="F3821">
        <v>4.96</v>
      </c>
      <c r="G3821">
        <v>12</v>
      </c>
      <c r="H3821">
        <v>9245.8799999999992</v>
      </c>
      <c r="I3821">
        <v>2.4</v>
      </c>
    </row>
    <row r="3822" spans="1:9" x14ac:dyDescent="0.3">
      <c r="A3822" t="s">
        <v>3837</v>
      </c>
      <c r="B3822" t="s">
        <v>24</v>
      </c>
      <c r="C3822" t="s">
        <v>11</v>
      </c>
      <c r="D3822">
        <v>27</v>
      </c>
      <c r="E3822" s="1">
        <v>43021</v>
      </c>
      <c r="F3822">
        <v>4.2699999999999996</v>
      </c>
      <c r="G3822">
        <v>14</v>
      </c>
      <c r="H3822">
        <v>8130.71</v>
      </c>
      <c r="I3822">
        <v>8.1</v>
      </c>
    </row>
    <row r="3823" spans="1:9" x14ac:dyDescent="0.3">
      <c r="A3823" t="s">
        <v>3838</v>
      </c>
      <c r="B3823" t="s">
        <v>13</v>
      </c>
      <c r="C3823" t="s">
        <v>11</v>
      </c>
      <c r="D3823">
        <v>33</v>
      </c>
      <c r="E3823" s="1">
        <v>43062</v>
      </c>
      <c r="F3823">
        <v>3.53</v>
      </c>
      <c r="G3823">
        <v>8</v>
      </c>
      <c r="H3823">
        <v>5934.84</v>
      </c>
      <c r="I3823">
        <v>7.9</v>
      </c>
    </row>
    <row r="3824" spans="1:9" x14ac:dyDescent="0.3">
      <c r="A3824" t="s">
        <v>3839</v>
      </c>
      <c r="B3824" t="s">
        <v>16</v>
      </c>
      <c r="C3824" t="s">
        <v>11</v>
      </c>
      <c r="D3824">
        <v>31</v>
      </c>
      <c r="E3824" s="1">
        <v>44636</v>
      </c>
      <c r="F3824">
        <v>3.73</v>
      </c>
      <c r="G3824">
        <v>6</v>
      </c>
      <c r="H3824">
        <v>10318.52</v>
      </c>
      <c r="I3824">
        <v>3.6</v>
      </c>
    </row>
    <row r="3825" spans="1:9" x14ac:dyDescent="0.3">
      <c r="A3825" t="s">
        <v>3840</v>
      </c>
      <c r="B3825" t="s">
        <v>10</v>
      </c>
      <c r="C3825" t="s">
        <v>11</v>
      </c>
      <c r="D3825">
        <v>30</v>
      </c>
      <c r="E3825" s="1">
        <v>41282</v>
      </c>
      <c r="F3825">
        <v>4.97</v>
      </c>
      <c r="G3825">
        <v>10</v>
      </c>
      <c r="H3825">
        <v>4594.93</v>
      </c>
      <c r="I3825">
        <v>12.8</v>
      </c>
    </row>
    <row r="3826" spans="1:9" x14ac:dyDescent="0.3">
      <c r="A3826" t="s">
        <v>3841</v>
      </c>
      <c r="B3826" t="s">
        <v>13</v>
      </c>
      <c r="C3826" t="s">
        <v>14</v>
      </c>
      <c r="D3826">
        <v>44</v>
      </c>
      <c r="E3826" s="1">
        <v>45434</v>
      </c>
      <c r="F3826">
        <v>4.74</v>
      </c>
      <c r="G3826">
        <v>3</v>
      </c>
      <c r="H3826">
        <v>10695.14</v>
      </c>
      <c r="I3826">
        <v>1.4</v>
      </c>
    </row>
    <row r="3827" spans="1:9" x14ac:dyDescent="0.3">
      <c r="A3827" t="s">
        <v>3842</v>
      </c>
      <c r="B3827" t="s">
        <v>10</v>
      </c>
      <c r="C3827" t="s">
        <v>14</v>
      </c>
      <c r="D3827">
        <v>59</v>
      </c>
      <c r="E3827" s="1">
        <v>45372</v>
      </c>
      <c r="F3827">
        <v>2.19</v>
      </c>
      <c r="G3827">
        <v>4</v>
      </c>
      <c r="H3827">
        <v>7033.21</v>
      </c>
      <c r="I3827">
        <v>1.6</v>
      </c>
    </row>
    <row r="3828" spans="1:9" x14ac:dyDescent="0.3">
      <c r="A3828" t="s">
        <v>3843</v>
      </c>
      <c r="B3828" t="s">
        <v>24</v>
      </c>
      <c r="C3828" t="s">
        <v>11</v>
      </c>
      <c r="D3828">
        <v>22</v>
      </c>
      <c r="E3828" s="1">
        <v>45945</v>
      </c>
      <c r="F3828">
        <v>2.2999999999999998</v>
      </c>
      <c r="G3828">
        <v>12</v>
      </c>
      <c r="H3828">
        <v>6471.34</v>
      </c>
      <c r="I3828">
        <v>0</v>
      </c>
    </row>
    <row r="3829" spans="1:9" x14ac:dyDescent="0.3">
      <c r="A3829" t="s">
        <v>3844</v>
      </c>
      <c r="B3829" t="s">
        <v>18</v>
      </c>
      <c r="C3829" t="s">
        <v>14</v>
      </c>
      <c r="D3829">
        <v>34</v>
      </c>
      <c r="E3829" s="1">
        <v>44761</v>
      </c>
      <c r="F3829">
        <v>1.67</v>
      </c>
      <c r="G3829">
        <v>1</v>
      </c>
      <c r="H3829">
        <v>8749.26</v>
      </c>
      <c r="I3829">
        <v>3.3</v>
      </c>
    </row>
    <row r="3830" spans="1:9" x14ac:dyDescent="0.3">
      <c r="A3830" t="s">
        <v>3845</v>
      </c>
      <c r="B3830" t="s">
        <v>16</v>
      </c>
      <c r="C3830" t="s">
        <v>11</v>
      </c>
      <c r="D3830">
        <v>53</v>
      </c>
      <c r="E3830" s="1">
        <v>41655</v>
      </c>
      <c r="F3830">
        <v>2.4</v>
      </c>
      <c r="G3830">
        <v>4</v>
      </c>
      <c r="H3830">
        <v>9001.65</v>
      </c>
      <c r="I3830">
        <v>11.8</v>
      </c>
    </row>
    <row r="3831" spans="1:9" x14ac:dyDescent="0.3">
      <c r="A3831" t="s">
        <v>3846</v>
      </c>
      <c r="B3831" t="s">
        <v>16</v>
      </c>
      <c r="C3831" t="s">
        <v>11</v>
      </c>
      <c r="D3831">
        <v>28</v>
      </c>
      <c r="E3831" s="1">
        <v>45676</v>
      </c>
      <c r="F3831">
        <v>3.34</v>
      </c>
      <c r="G3831">
        <v>10</v>
      </c>
      <c r="H3831">
        <v>12105.01</v>
      </c>
      <c r="I3831">
        <v>0.8</v>
      </c>
    </row>
    <row r="3832" spans="1:9" x14ac:dyDescent="0.3">
      <c r="A3832" t="s">
        <v>3847</v>
      </c>
      <c r="B3832" t="s">
        <v>13</v>
      </c>
      <c r="C3832" t="s">
        <v>11</v>
      </c>
      <c r="D3832">
        <v>27</v>
      </c>
      <c r="E3832" s="1">
        <v>45114</v>
      </c>
      <c r="F3832">
        <v>2.5299999999999998</v>
      </c>
      <c r="G3832">
        <v>5</v>
      </c>
      <c r="H3832">
        <v>6261.51</v>
      </c>
      <c r="I3832">
        <v>2.2999999999999998</v>
      </c>
    </row>
    <row r="3833" spans="1:9" x14ac:dyDescent="0.3">
      <c r="A3833" t="s">
        <v>3848</v>
      </c>
      <c r="B3833" t="s">
        <v>10</v>
      </c>
      <c r="C3833" t="s">
        <v>11</v>
      </c>
      <c r="D3833">
        <v>23</v>
      </c>
      <c r="E3833" s="1">
        <v>43205</v>
      </c>
      <c r="F3833">
        <v>2.06</v>
      </c>
      <c r="G3833">
        <v>7</v>
      </c>
      <c r="H3833">
        <v>5486.01</v>
      </c>
      <c r="I3833">
        <v>7.6</v>
      </c>
    </row>
    <row r="3834" spans="1:9" x14ac:dyDescent="0.3">
      <c r="A3834" t="s">
        <v>3849</v>
      </c>
      <c r="B3834" t="s">
        <v>24</v>
      </c>
      <c r="C3834" t="s">
        <v>14</v>
      </c>
      <c r="D3834">
        <v>58</v>
      </c>
      <c r="E3834" s="1">
        <v>41251</v>
      </c>
      <c r="F3834">
        <v>1.54</v>
      </c>
      <c r="G3834">
        <v>2</v>
      </c>
      <c r="H3834">
        <v>12693.15</v>
      </c>
      <c r="I3834">
        <v>12.9</v>
      </c>
    </row>
    <row r="3835" spans="1:9" x14ac:dyDescent="0.3">
      <c r="A3835" t="s">
        <v>3850</v>
      </c>
      <c r="B3835" t="s">
        <v>16</v>
      </c>
      <c r="C3835" t="s">
        <v>11</v>
      </c>
      <c r="D3835">
        <v>32</v>
      </c>
      <c r="E3835" s="1">
        <v>41707</v>
      </c>
      <c r="F3835">
        <v>2.54</v>
      </c>
      <c r="G3835">
        <v>7</v>
      </c>
      <c r="H3835">
        <v>12385.26</v>
      </c>
      <c r="I3835">
        <v>11.7</v>
      </c>
    </row>
    <row r="3836" spans="1:9" x14ac:dyDescent="0.3">
      <c r="A3836" t="s">
        <v>3851</v>
      </c>
      <c r="B3836" t="s">
        <v>34</v>
      </c>
      <c r="C3836" t="s">
        <v>14</v>
      </c>
      <c r="D3836">
        <v>57</v>
      </c>
      <c r="E3836" s="1">
        <v>45676</v>
      </c>
      <c r="F3836">
        <v>3.77</v>
      </c>
      <c r="G3836">
        <v>14</v>
      </c>
      <c r="H3836">
        <v>9494.31</v>
      </c>
      <c r="I3836">
        <v>0.8</v>
      </c>
    </row>
    <row r="3837" spans="1:9" x14ac:dyDescent="0.3">
      <c r="A3837" t="s">
        <v>3852</v>
      </c>
      <c r="B3837" t="s">
        <v>10</v>
      </c>
      <c r="C3837" t="s">
        <v>14</v>
      </c>
      <c r="D3837">
        <v>38</v>
      </c>
      <c r="E3837" s="1">
        <v>45383</v>
      </c>
      <c r="F3837">
        <v>1.75</v>
      </c>
      <c r="G3837">
        <v>3</v>
      </c>
      <c r="H3837">
        <v>7851.1</v>
      </c>
      <c r="I3837">
        <v>1.6</v>
      </c>
    </row>
    <row r="3838" spans="1:9" x14ac:dyDescent="0.3">
      <c r="A3838" t="s">
        <v>3853</v>
      </c>
      <c r="B3838" t="s">
        <v>24</v>
      </c>
      <c r="C3838" t="s">
        <v>11</v>
      </c>
      <c r="D3838">
        <v>58</v>
      </c>
      <c r="E3838" s="1">
        <v>42261</v>
      </c>
      <c r="F3838">
        <v>3.2</v>
      </c>
      <c r="G3838">
        <v>9</v>
      </c>
      <c r="H3838">
        <v>9127.4500000000007</v>
      </c>
      <c r="I3838">
        <v>10.1</v>
      </c>
    </row>
    <row r="3839" spans="1:9" x14ac:dyDescent="0.3">
      <c r="A3839" t="s">
        <v>3854</v>
      </c>
      <c r="B3839" t="s">
        <v>18</v>
      </c>
      <c r="C3839" t="s">
        <v>11</v>
      </c>
      <c r="D3839">
        <v>23</v>
      </c>
      <c r="E3839" s="1">
        <v>45224</v>
      </c>
      <c r="F3839">
        <v>3.83</v>
      </c>
      <c r="G3839">
        <v>13</v>
      </c>
      <c r="H3839">
        <v>6116.4</v>
      </c>
      <c r="I3839">
        <v>2</v>
      </c>
    </row>
    <row r="3840" spans="1:9" x14ac:dyDescent="0.3">
      <c r="A3840" t="s">
        <v>3855</v>
      </c>
      <c r="B3840" t="s">
        <v>24</v>
      </c>
      <c r="C3840" t="s">
        <v>11</v>
      </c>
      <c r="D3840">
        <v>31</v>
      </c>
      <c r="E3840" s="1">
        <v>44924</v>
      </c>
      <c r="F3840">
        <v>3.13</v>
      </c>
      <c r="G3840">
        <v>4</v>
      </c>
      <c r="H3840">
        <v>6928.4</v>
      </c>
      <c r="I3840">
        <v>2.8</v>
      </c>
    </row>
    <row r="3841" spans="1:9" x14ac:dyDescent="0.3">
      <c r="A3841" t="s">
        <v>3856</v>
      </c>
      <c r="B3841" t="s">
        <v>16</v>
      </c>
      <c r="C3841" t="s">
        <v>11</v>
      </c>
      <c r="D3841">
        <v>54</v>
      </c>
      <c r="E3841" s="1">
        <v>43793</v>
      </c>
      <c r="F3841">
        <v>1.56</v>
      </c>
      <c r="G3841">
        <v>3</v>
      </c>
      <c r="H3841">
        <v>9004.44</v>
      </c>
      <c r="I3841">
        <v>5.9</v>
      </c>
    </row>
    <row r="3842" spans="1:9" x14ac:dyDescent="0.3">
      <c r="A3842" t="s">
        <v>3857</v>
      </c>
      <c r="B3842" t="s">
        <v>24</v>
      </c>
      <c r="C3842" t="s">
        <v>14</v>
      </c>
      <c r="D3842">
        <v>28</v>
      </c>
      <c r="E3842" s="1">
        <v>44636</v>
      </c>
      <c r="F3842">
        <v>2.2599999999999998</v>
      </c>
      <c r="G3842">
        <v>4</v>
      </c>
      <c r="H3842">
        <v>3788.53</v>
      </c>
      <c r="I3842">
        <v>3.6</v>
      </c>
    </row>
    <row r="3843" spans="1:9" x14ac:dyDescent="0.3">
      <c r="A3843" t="s">
        <v>3858</v>
      </c>
      <c r="B3843" t="s">
        <v>24</v>
      </c>
      <c r="C3843" t="s">
        <v>11</v>
      </c>
      <c r="D3843">
        <v>51</v>
      </c>
      <c r="E3843" s="1">
        <v>45881</v>
      </c>
      <c r="F3843">
        <v>2.82</v>
      </c>
      <c r="G3843">
        <v>15</v>
      </c>
      <c r="H3843">
        <v>6158.29</v>
      </c>
      <c r="I3843">
        <v>0.2</v>
      </c>
    </row>
    <row r="3844" spans="1:9" x14ac:dyDescent="0.3">
      <c r="A3844" t="s">
        <v>3859</v>
      </c>
      <c r="B3844" t="s">
        <v>16</v>
      </c>
      <c r="C3844" t="s">
        <v>11</v>
      </c>
      <c r="D3844">
        <v>46</v>
      </c>
      <c r="E3844" s="1">
        <v>40964</v>
      </c>
      <c r="F3844">
        <v>1.72</v>
      </c>
      <c r="G3844">
        <v>12</v>
      </c>
      <c r="H3844">
        <v>14055.69</v>
      </c>
      <c r="I3844">
        <v>13.7</v>
      </c>
    </row>
    <row r="3845" spans="1:9" x14ac:dyDescent="0.3">
      <c r="A3845" t="s">
        <v>3860</v>
      </c>
      <c r="B3845" t="s">
        <v>34</v>
      </c>
      <c r="C3845" t="s">
        <v>14</v>
      </c>
      <c r="D3845">
        <v>38</v>
      </c>
      <c r="E3845" s="1">
        <v>45581</v>
      </c>
      <c r="F3845">
        <v>4.72</v>
      </c>
      <c r="G3845">
        <v>9</v>
      </c>
      <c r="H3845">
        <v>13339.71</v>
      </c>
      <c r="I3845">
        <v>1</v>
      </c>
    </row>
    <row r="3846" spans="1:9" x14ac:dyDescent="0.3">
      <c r="A3846" t="s">
        <v>3861</v>
      </c>
      <c r="B3846" t="s">
        <v>18</v>
      </c>
      <c r="C3846" t="s">
        <v>14</v>
      </c>
      <c r="D3846">
        <v>46</v>
      </c>
      <c r="E3846" s="1">
        <v>43300</v>
      </c>
      <c r="F3846">
        <v>4.79</v>
      </c>
      <c r="G3846">
        <v>1</v>
      </c>
      <c r="H3846">
        <v>5252.39</v>
      </c>
      <c r="I3846">
        <v>7.3</v>
      </c>
    </row>
    <row r="3847" spans="1:9" x14ac:dyDescent="0.3">
      <c r="A3847" t="s">
        <v>3862</v>
      </c>
      <c r="B3847" t="s">
        <v>34</v>
      </c>
      <c r="C3847" t="s">
        <v>11</v>
      </c>
      <c r="D3847">
        <v>53</v>
      </c>
      <c r="E3847" s="1">
        <v>44797</v>
      </c>
      <c r="F3847">
        <v>4.7</v>
      </c>
      <c r="G3847">
        <v>13</v>
      </c>
      <c r="H3847">
        <v>13525.93</v>
      </c>
      <c r="I3847">
        <v>3.2</v>
      </c>
    </row>
    <row r="3848" spans="1:9" x14ac:dyDescent="0.3">
      <c r="A3848" t="s">
        <v>3863</v>
      </c>
      <c r="B3848" t="s">
        <v>18</v>
      </c>
      <c r="C3848" t="s">
        <v>11</v>
      </c>
      <c r="D3848">
        <v>49</v>
      </c>
      <c r="E3848" s="1">
        <v>43235</v>
      </c>
      <c r="F3848">
        <v>3.78</v>
      </c>
      <c r="G3848">
        <v>10</v>
      </c>
      <c r="H3848">
        <v>13599.4</v>
      </c>
      <c r="I3848">
        <v>7.5</v>
      </c>
    </row>
    <row r="3849" spans="1:9" x14ac:dyDescent="0.3">
      <c r="A3849" t="s">
        <v>3864</v>
      </c>
      <c r="B3849" t="s">
        <v>34</v>
      </c>
      <c r="C3849" t="s">
        <v>11</v>
      </c>
      <c r="D3849">
        <v>42</v>
      </c>
      <c r="E3849" s="1">
        <v>40932</v>
      </c>
      <c r="F3849">
        <v>3.99</v>
      </c>
      <c r="G3849">
        <v>0</v>
      </c>
      <c r="H3849">
        <v>4358.2299999999996</v>
      </c>
      <c r="I3849">
        <v>13.8</v>
      </c>
    </row>
    <row r="3850" spans="1:9" x14ac:dyDescent="0.3">
      <c r="A3850" t="s">
        <v>3865</v>
      </c>
      <c r="B3850" t="s">
        <v>13</v>
      </c>
      <c r="C3850" t="s">
        <v>14</v>
      </c>
      <c r="D3850">
        <v>31</v>
      </c>
      <c r="E3850" s="1">
        <v>44762</v>
      </c>
      <c r="F3850">
        <v>1.94</v>
      </c>
      <c r="G3850">
        <v>11</v>
      </c>
      <c r="H3850">
        <v>11465.45</v>
      </c>
      <c r="I3850">
        <v>3.3</v>
      </c>
    </row>
    <row r="3851" spans="1:9" x14ac:dyDescent="0.3">
      <c r="A3851" t="s">
        <v>3866</v>
      </c>
      <c r="B3851" t="s">
        <v>18</v>
      </c>
      <c r="C3851" t="s">
        <v>14</v>
      </c>
      <c r="D3851">
        <v>29</v>
      </c>
      <c r="E3851" s="1">
        <v>45769</v>
      </c>
      <c r="F3851">
        <v>2.1</v>
      </c>
      <c r="G3851">
        <v>3</v>
      </c>
      <c r="H3851">
        <v>4581.6400000000003</v>
      </c>
      <c r="I3851">
        <v>0.5</v>
      </c>
    </row>
    <row r="3852" spans="1:9" x14ac:dyDescent="0.3">
      <c r="A3852" t="s">
        <v>3867</v>
      </c>
      <c r="B3852" t="s">
        <v>18</v>
      </c>
      <c r="C3852" t="s">
        <v>14</v>
      </c>
      <c r="D3852">
        <v>29</v>
      </c>
      <c r="E3852" s="1">
        <v>40590</v>
      </c>
      <c r="F3852">
        <v>3.47</v>
      </c>
      <c r="G3852">
        <v>0</v>
      </c>
      <c r="H3852">
        <v>8182.48</v>
      </c>
      <c r="I3852">
        <v>14.7</v>
      </c>
    </row>
    <row r="3853" spans="1:9" x14ac:dyDescent="0.3">
      <c r="A3853" t="s">
        <v>3868</v>
      </c>
      <c r="B3853" t="s">
        <v>24</v>
      </c>
      <c r="C3853" t="s">
        <v>11</v>
      </c>
      <c r="D3853">
        <v>47</v>
      </c>
      <c r="E3853" s="1">
        <v>42465</v>
      </c>
      <c r="F3853">
        <v>1.85</v>
      </c>
      <c r="G3853">
        <v>4</v>
      </c>
      <c r="H3853">
        <v>3389.35</v>
      </c>
      <c r="I3853">
        <v>9.6</v>
      </c>
    </row>
    <row r="3854" spans="1:9" x14ac:dyDescent="0.3">
      <c r="A3854" t="s">
        <v>3869</v>
      </c>
      <c r="B3854" t="s">
        <v>34</v>
      </c>
      <c r="C3854" t="s">
        <v>11</v>
      </c>
      <c r="D3854">
        <v>48</v>
      </c>
      <c r="E3854" s="1">
        <v>42141</v>
      </c>
      <c r="F3854">
        <v>2.04</v>
      </c>
      <c r="G3854">
        <v>13</v>
      </c>
      <c r="H3854">
        <v>12346.3</v>
      </c>
      <c r="I3854">
        <v>10.5</v>
      </c>
    </row>
    <row r="3855" spans="1:9" x14ac:dyDescent="0.3">
      <c r="A3855" t="s">
        <v>3870</v>
      </c>
      <c r="B3855" t="s">
        <v>18</v>
      </c>
      <c r="C3855" t="s">
        <v>11</v>
      </c>
      <c r="D3855">
        <v>49</v>
      </c>
      <c r="E3855" s="1">
        <v>43322</v>
      </c>
      <c r="F3855">
        <v>3.15</v>
      </c>
      <c r="G3855">
        <v>14</v>
      </c>
      <c r="H3855">
        <v>6757.85</v>
      </c>
      <c r="I3855">
        <v>7.2</v>
      </c>
    </row>
    <row r="3856" spans="1:9" x14ac:dyDescent="0.3">
      <c r="A3856" t="s">
        <v>3871</v>
      </c>
      <c r="B3856" t="s">
        <v>13</v>
      </c>
      <c r="C3856" t="s">
        <v>11</v>
      </c>
      <c r="D3856">
        <v>31</v>
      </c>
      <c r="E3856" s="1">
        <v>42888</v>
      </c>
      <c r="F3856">
        <v>3.37</v>
      </c>
      <c r="G3856">
        <v>0</v>
      </c>
      <c r="H3856">
        <v>12070.2</v>
      </c>
      <c r="I3856">
        <v>8.4</v>
      </c>
    </row>
    <row r="3857" spans="1:9" x14ac:dyDescent="0.3">
      <c r="A3857" t="s">
        <v>3872</v>
      </c>
      <c r="B3857" t="s">
        <v>10</v>
      </c>
      <c r="C3857" t="s">
        <v>11</v>
      </c>
      <c r="D3857">
        <v>46</v>
      </c>
      <c r="E3857" s="1">
        <v>45549</v>
      </c>
      <c r="F3857">
        <v>1.86</v>
      </c>
      <c r="G3857">
        <v>9</v>
      </c>
      <c r="H3857">
        <v>8303.92</v>
      </c>
      <c r="I3857">
        <v>1.1000000000000001</v>
      </c>
    </row>
    <row r="3858" spans="1:9" x14ac:dyDescent="0.3">
      <c r="A3858" t="s">
        <v>3873</v>
      </c>
      <c r="B3858" t="s">
        <v>34</v>
      </c>
      <c r="C3858" t="s">
        <v>14</v>
      </c>
      <c r="D3858">
        <v>32</v>
      </c>
      <c r="E3858" s="1">
        <v>41725</v>
      </c>
      <c r="F3858">
        <v>4.68</v>
      </c>
      <c r="G3858">
        <v>0</v>
      </c>
      <c r="H3858">
        <v>9137.49</v>
      </c>
      <c r="I3858">
        <v>11.6</v>
      </c>
    </row>
    <row r="3859" spans="1:9" x14ac:dyDescent="0.3">
      <c r="A3859" t="s">
        <v>3874</v>
      </c>
      <c r="B3859" t="s">
        <v>13</v>
      </c>
      <c r="C3859" t="s">
        <v>11</v>
      </c>
      <c r="D3859">
        <v>54</v>
      </c>
      <c r="E3859" s="1">
        <v>45468</v>
      </c>
      <c r="F3859">
        <v>3.55</v>
      </c>
      <c r="G3859">
        <v>10</v>
      </c>
      <c r="H3859">
        <v>6118.87</v>
      </c>
      <c r="I3859">
        <v>1.4</v>
      </c>
    </row>
    <row r="3860" spans="1:9" x14ac:dyDescent="0.3">
      <c r="A3860" t="s">
        <v>3875</v>
      </c>
      <c r="B3860" t="s">
        <v>16</v>
      </c>
      <c r="C3860" t="s">
        <v>14</v>
      </c>
      <c r="D3860">
        <v>44</v>
      </c>
      <c r="E3860" s="1">
        <v>41414</v>
      </c>
      <c r="F3860">
        <v>3.54</v>
      </c>
      <c r="G3860">
        <v>8</v>
      </c>
      <c r="H3860">
        <v>11883.83</v>
      </c>
      <c r="I3860">
        <v>12.5</v>
      </c>
    </row>
    <row r="3861" spans="1:9" x14ac:dyDescent="0.3">
      <c r="A3861" t="s">
        <v>3876</v>
      </c>
      <c r="B3861" t="s">
        <v>16</v>
      </c>
      <c r="C3861" t="s">
        <v>11</v>
      </c>
      <c r="D3861">
        <v>24</v>
      </c>
      <c r="E3861" s="1">
        <v>44035</v>
      </c>
      <c r="F3861">
        <v>1.92</v>
      </c>
      <c r="G3861">
        <v>3</v>
      </c>
      <c r="H3861">
        <v>3027.03</v>
      </c>
      <c r="I3861">
        <v>5.3</v>
      </c>
    </row>
    <row r="3862" spans="1:9" x14ac:dyDescent="0.3">
      <c r="A3862" t="s">
        <v>3877</v>
      </c>
      <c r="B3862" t="s">
        <v>13</v>
      </c>
      <c r="C3862" t="s">
        <v>11</v>
      </c>
      <c r="D3862">
        <v>22</v>
      </c>
      <c r="E3862" s="1">
        <v>44921</v>
      </c>
      <c r="F3862">
        <v>4.5999999999999996</v>
      </c>
      <c r="G3862">
        <v>9</v>
      </c>
      <c r="H3862">
        <v>4713.71</v>
      </c>
      <c r="I3862">
        <v>2.9</v>
      </c>
    </row>
    <row r="3863" spans="1:9" x14ac:dyDescent="0.3">
      <c r="A3863" t="s">
        <v>3878</v>
      </c>
      <c r="B3863" t="s">
        <v>13</v>
      </c>
      <c r="C3863" t="s">
        <v>14</v>
      </c>
      <c r="D3863">
        <v>57</v>
      </c>
      <c r="E3863" s="1">
        <v>45596</v>
      </c>
      <c r="F3863">
        <v>2.29</v>
      </c>
      <c r="G3863">
        <v>10</v>
      </c>
      <c r="H3863">
        <v>12675.77</v>
      </c>
      <c r="I3863">
        <v>1</v>
      </c>
    </row>
    <row r="3864" spans="1:9" x14ac:dyDescent="0.3">
      <c r="A3864" t="s">
        <v>3879</v>
      </c>
      <c r="B3864" t="s">
        <v>34</v>
      </c>
      <c r="C3864" t="s">
        <v>14</v>
      </c>
      <c r="D3864">
        <v>49</v>
      </c>
      <c r="E3864" s="1">
        <v>42111</v>
      </c>
      <c r="F3864">
        <v>3.44</v>
      </c>
      <c r="G3864">
        <v>6</v>
      </c>
      <c r="H3864">
        <v>8593.19</v>
      </c>
      <c r="I3864">
        <v>10.6</v>
      </c>
    </row>
    <row r="3865" spans="1:9" x14ac:dyDescent="0.3">
      <c r="A3865" t="s">
        <v>3880</v>
      </c>
      <c r="B3865" t="s">
        <v>24</v>
      </c>
      <c r="C3865" t="s">
        <v>11</v>
      </c>
      <c r="D3865">
        <v>55</v>
      </c>
      <c r="E3865" s="1">
        <v>45036</v>
      </c>
      <c r="F3865">
        <v>1.52</v>
      </c>
      <c r="G3865">
        <v>7</v>
      </c>
      <c r="H3865">
        <v>10677.55</v>
      </c>
      <c r="I3865">
        <v>2.5</v>
      </c>
    </row>
    <row r="3866" spans="1:9" x14ac:dyDescent="0.3">
      <c r="A3866" t="s">
        <v>3881</v>
      </c>
      <c r="B3866" t="s">
        <v>10</v>
      </c>
      <c r="C3866" t="s">
        <v>14</v>
      </c>
      <c r="D3866">
        <v>30</v>
      </c>
      <c r="E3866" s="1">
        <v>40782</v>
      </c>
      <c r="F3866">
        <v>3.32</v>
      </c>
      <c r="G3866">
        <v>5</v>
      </c>
      <c r="H3866">
        <v>11140.51</v>
      </c>
      <c r="I3866">
        <v>14.2</v>
      </c>
    </row>
    <row r="3867" spans="1:9" x14ac:dyDescent="0.3">
      <c r="A3867" t="s">
        <v>3882</v>
      </c>
      <c r="B3867" t="s">
        <v>24</v>
      </c>
      <c r="C3867" t="s">
        <v>14</v>
      </c>
      <c r="D3867">
        <v>38</v>
      </c>
      <c r="E3867" s="1">
        <v>43298</v>
      </c>
      <c r="F3867">
        <v>4.12</v>
      </c>
      <c r="G3867">
        <v>9</v>
      </c>
      <c r="H3867">
        <v>10027.219999999999</v>
      </c>
      <c r="I3867">
        <v>7.3</v>
      </c>
    </row>
    <row r="3868" spans="1:9" x14ac:dyDescent="0.3">
      <c r="A3868" t="s">
        <v>3883</v>
      </c>
      <c r="B3868" t="s">
        <v>13</v>
      </c>
      <c r="C3868" t="s">
        <v>11</v>
      </c>
      <c r="D3868">
        <v>55</v>
      </c>
      <c r="E3868" s="1">
        <v>41014</v>
      </c>
      <c r="F3868">
        <v>4.53</v>
      </c>
      <c r="G3868">
        <v>6</v>
      </c>
      <c r="H3868">
        <v>9062.25</v>
      </c>
      <c r="I3868">
        <v>13.6</v>
      </c>
    </row>
    <row r="3869" spans="1:9" x14ac:dyDescent="0.3">
      <c r="A3869" t="s">
        <v>3884</v>
      </c>
      <c r="B3869" t="s">
        <v>18</v>
      </c>
      <c r="C3869" t="s">
        <v>14</v>
      </c>
      <c r="D3869">
        <v>43</v>
      </c>
      <c r="E3869" s="1">
        <v>42914</v>
      </c>
      <c r="F3869">
        <v>2.3199999999999998</v>
      </c>
      <c r="G3869">
        <v>14</v>
      </c>
      <c r="H3869">
        <v>12402.52</v>
      </c>
      <c r="I3869">
        <v>8.4</v>
      </c>
    </row>
    <row r="3870" spans="1:9" x14ac:dyDescent="0.3">
      <c r="A3870" t="s">
        <v>3885</v>
      </c>
      <c r="B3870" t="s">
        <v>18</v>
      </c>
      <c r="C3870" t="s">
        <v>14</v>
      </c>
      <c r="D3870">
        <v>49</v>
      </c>
      <c r="E3870" s="1">
        <v>41679</v>
      </c>
      <c r="F3870">
        <v>3.94</v>
      </c>
      <c r="G3870">
        <v>15</v>
      </c>
      <c r="H3870">
        <v>14351.31</v>
      </c>
      <c r="I3870">
        <v>11.7</v>
      </c>
    </row>
    <row r="3871" spans="1:9" x14ac:dyDescent="0.3">
      <c r="A3871" t="s">
        <v>3886</v>
      </c>
      <c r="B3871" t="s">
        <v>13</v>
      </c>
      <c r="C3871" t="s">
        <v>14</v>
      </c>
      <c r="D3871">
        <v>29</v>
      </c>
      <c r="E3871" s="1">
        <v>45614</v>
      </c>
      <c r="F3871">
        <v>4.07</v>
      </c>
      <c r="G3871">
        <v>14</v>
      </c>
      <c r="H3871">
        <v>11549.5</v>
      </c>
      <c r="I3871">
        <v>1</v>
      </c>
    </row>
    <row r="3872" spans="1:9" x14ac:dyDescent="0.3">
      <c r="A3872" t="s">
        <v>3887</v>
      </c>
      <c r="B3872" t="s">
        <v>10</v>
      </c>
      <c r="C3872" t="s">
        <v>11</v>
      </c>
      <c r="D3872">
        <v>51</v>
      </c>
      <c r="E3872" s="1">
        <v>40278</v>
      </c>
      <c r="F3872">
        <v>2.8</v>
      </c>
      <c r="G3872">
        <v>2</v>
      </c>
      <c r="H3872">
        <v>10597.16</v>
      </c>
      <c r="I3872">
        <v>15.6</v>
      </c>
    </row>
    <row r="3873" spans="1:9" x14ac:dyDescent="0.3">
      <c r="A3873" t="s">
        <v>3888</v>
      </c>
      <c r="B3873" t="s">
        <v>13</v>
      </c>
      <c r="C3873" t="s">
        <v>11</v>
      </c>
      <c r="D3873">
        <v>55</v>
      </c>
      <c r="E3873" s="1">
        <v>41374</v>
      </c>
      <c r="F3873">
        <v>4.04</v>
      </c>
      <c r="G3873">
        <v>1</v>
      </c>
      <c r="H3873">
        <v>3926.73</v>
      </c>
      <c r="I3873">
        <v>12.6</v>
      </c>
    </row>
    <row r="3874" spans="1:9" x14ac:dyDescent="0.3">
      <c r="A3874" t="s">
        <v>3889</v>
      </c>
      <c r="B3874" t="s">
        <v>16</v>
      </c>
      <c r="C3874" t="s">
        <v>11</v>
      </c>
      <c r="D3874">
        <v>40</v>
      </c>
      <c r="E3874" s="1">
        <v>42592</v>
      </c>
      <c r="F3874">
        <v>4.2300000000000004</v>
      </c>
      <c r="G3874">
        <v>13</v>
      </c>
      <c r="H3874">
        <v>4197.75</v>
      </c>
      <c r="I3874">
        <v>9.1999999999999993</v>
      </c>
    </row>
    <row r="3875" spans="1:9" x14ac:dyDescent="0.3">
      <c r="A3875" t="s">
        <v>3890</v>
      </c>
      <c r="B3875" t="s">
        <v>10</v>
      </c>
      <c r="C3875" t="s">
        <v>11</v>
      </c>
      <c r="D3875">
        <v>26</v>
      </c>
      <c r="E3875" s="1">
        <v>41942</v>
      </c>
      <c r="F3875">
        <v>2</v>
      </c>
      <c r="G3875">
        <v>6</v>
      </c>
      <c r="H3875">
        <v>8496.98</v>
      </c>
      <c r="I3875">
        <v>11</v>
      </c>
    </row>
    <row r="3876" spans="1:9" x14ac:dyDescent="0.3">
      <c r="A3876" t="s">
        <v>3891</v>
      </c>
      <c r="B3876" t="s">
        <v>13</v>
      </c>
      <c r="C3876" t="s">
        <v>11</v>
      </c>
      <c r="D3876">
        <v>40</v>
      </c>
      <c r="E3876" s="1">
        <v>43708</v>
      </c>
      <c r="F3876">
        <v>2.1800000000000002</v>
      </c>
      <c r="G3876">
        <v>11</v>
      </c>
      <c r="H3876">
        <v>4343.1400000000003</v>
      </c>
      <c r="I3876">
        <v>6.2</v>
      </c>
    </row>
    <row r="3877" spans="1:9" x14ac:dyDescent="0.3">
      <c r="A3877" t="s">
        <v>3892</v>
      </c>
      <c r="B3877" t="s">
        <v>18</v>
      </c>
      <c r="C3877" t="s">
        <v>11</v>
      </c>
      <c r="D3877">
        <v>52</v>
      </c>
      <c r="E3877" s="1">
        <v>41199</v>
      </c>
      <c r="F3877">
        <v>2.4</v>
      </c>
      <c r="G3877">
        <v>7</v>
      </c>
      <c r="H3877">
        <v>11588.28</v>
      </c>
      <c r="I3877">
        <v>13</v>
      </c>
    </row>
    <row r="3878" spans="1:9" x14ac:dyDescent="0.3">
      <c r="A3878" t="s">
        <v>3893</v>
      </c>
      <c r="B3878" t="s">
        <v>10</v>
      </c>
      <c r="C3878" t="s">
        <v>14</v>
      </c>
      <c r="D3878">
        <v>24</v>
      </c>
      <c r="E3878" s="1">
        <v>41654</v>
      </c>
      <c r="F3878">
        <v>2.29</v>
      </c>
      <c r="G3878">
        <v>7</v>
      </c>
      <c r="H3878">
        <v>10839.92</v>
      </c>
      <c r="I3878">
        <v>11.8</v>
      </c>
    </row>
    <row r="3879" spans="1:9" x14ac:dyDescent="0.3">
      <c r="A3879" t="s">
        <v>3894</v>
      </c>
      <c r="B3879" t="s">
        <v>24</v>
      </c>
      <c r="C3879" t="s">
        <v>14</v>
      </c>
      <c r="D3879">
        <v>33</v>
      </c>
      <c r="E3879" s="1">
        <v>40978</v>
      </c>
      <c r="F3879">
        <v>4.9000000000000004</v>
      </c>
      <c r="G3879">
        <v>10</v>
      </c>
      <c r="H3879">
        <v>9796.23</v>
      </c>
      <c r="I3879">
        <v>13.7</v>
      </c>
    </row>
    <row r="3880" spans="1:9" x14ac:dyDescent="0.3">
      <c r="A3880" t="s">
        <v>3895</v>
      </c>
      <c r="B3880" t="s">
        <v>24</v>
      </c>
      <c r="C3880" t="s">
        <v>14</v>
      </c>
      <c r="D3880">
        <v>37</v>
      </c>
      <c r="E3880" s="1">
        <v>43424</v>
      </c>
      <c r="F3880">
        <v>1.78</v>
      </c>
      <c r="G3880">
        <v>2</v>
      </c>
      <c r="H3880">
        <v>3510.38</v>
      </c>
      <c r="I3880">
        <v>7</v>
      </c>
    </row>
    <row r="3881" spans="1:9" x14ac:dyDescent="0.3">
      <c r="A3881" t="s">
        <v>3896</v>
      </c>
      <c r="B3881" t="s">
        <v>24</v>
      </c>
      <c r="C3881" t="s">
        <v>11</v>
      </c>
      <c r="D3881">
        <v>50</v>
      </c>
      <c r="E3881" s="1">
        <v>41583</v>
      </c>
      <c r="F3881">
        <v>1.66</v>
      </c>
      <c r="G3881">
        <v>3</v>
      </c>
      <c r="H3881">
        <v>6225.6</v>
      </c>
      <c r="I3881">
        <v>12</v>
      </c>
    </row>
    <row r="3882" spans="1:9" x14ac:dyDescent="0.3">
      <c r="A3882" t="s">
        <v>3897</v>
      </c>
      <c r="B3882" t="s">
        <v>10</v>
      </c>
      <c r="C3882" t="s">
        <v>11</v>
      </c>
      <c r="D3882">
        <v>34</v>
      </c>
      <c r="E3882" s="1">
        <v>43126</v>
      </c>
      <c r="F3882">
        <v>4.5599999999999996</v>
      </c>
      <c r="G3882">
        <v>6</v>
      </c>
      <c r="H3882">
        <v>13856.8</v>
      </c>
      <c r="I3882">
        <v>7.8</v>
      </c>
    </row>
    <row r="3883" spans="1:9" x14ac:dyDescent="0.3">
      <c r="A3883" t="s">
        <v>3898</v>
      </c>
      <c r="B3883" t="s">
        <v>34</v>
      </c>
      <c r="C3883" t="s">
        <v>11</v>
      </c>
      <c r="D3883">
        <v>36</v>
      </c>
      <c r="E3883" s="1">
        <v>41480</v>
      </c>
      <c r="F3883">
        <v>2.63</v>
      </c>
      <c r="G3883">
        <v>13</v>
      </c>
      <c r="H3883">
        <v>12464.92</v>
      </c>
      <c r="I3883">
        <v>12.3</v>
      </c>
    </row>
    <row r="3884" spans="1:9" x14ac:dyDescent="0.3">
      <c r="A3884" t="s">
        <v>3899</v>
      </c>
      <c r="B3884" t="s">
        <v>18</v>
      </c>
      <c r="C3884" t="s">
        <v>14</v>
      </c>
      <c r="D3884">
        <v>50</v>
      </c>
      <c r="E3884" s="1">
        <v>40860</v>
      </c>
      <c r="F3884">
        <v>2.54</v>
      </c>
      <c r="G3884">
        <v>11</v>
      </c>
      <c r="H3884">
        <v>8517.9</v>
      </c>
      <c r="I3884">
        <v>14</v>
      </c>
    </row>
    <row r="3885" spans="1:9" x14ac:dyDescent="0.3">
      <c r="A3885" t="s">
        <v>3900</v>
      </c>
      <c r="B3885" t="s">
        <v>18</v>
      </c>
      <c r="C3885" t="s">
        <v>14</v>
      </c>
      <c r="D3885">
        <v>56</v>
      </c>
      <c r="E3885" s="1">
        <v>44337</v>
      </c>
      <c r="F3885">
        <v>2.88</v>
      </c>
      <c r="G3885">
        <v>3</v>
      </c>
      <c r="H3885">
        <v>10124.94</v>
      </c>
      <c r="I3885">
        <v>4.5</v>
      </c>
    </row>
    <row r="3886" spans="1:9" x14ac:dyDescent="0.3">
      <c r="A3886" t="s">
        <v>3901</v>
      </c>
      <c r="B3886" t="s">
        <v>13</v>
      </c>
      <c r="C3886" t="s">
        <v>14</v>
      </c>
      <c r="D3886">
        <v>55</v>
      </c>
      <c r="E3886" s="1">
        <v>42208</v>
      </c>
      <c r="F3886">
        <v>3.02</v>
      </c>
      <c r="G3886">
        <v>11</v>
      </c>
      <c r="H3886">
        <v>11591.11</v>
      </c>
      <c r="I3886">
        <v>10.3</v>
      </c>
    </row>
    <row r="3887" spans="1:9" x14ac:dyDescent="0.3">
      <c r="A3887" t="s">
        <v>3902</v>
      </c>
      <c r="B3887" t="s">
        <v>16</v>
      </c>
      <c r="C3887" t="s">
        <v>11</v>
      </c>
      <c r="D3887">
        <v>25</v>
      </c>
      <c r="E3887" s="1">
        <v>44734</v>
      </c>
      <c r="F3887">
        <v>3.99</v>
      </c>
      <c r="G3887">
        <v>8</v>
      </c>
      <c r="H3887">
        <v>8770.59</v>
      </c>
      <c r="I3887">
        <v>3.4</v>
      </c>
    </row>
    <row r="3888" spans="1:9" x14ac:dyDescent="0.3">
      <c r="A3888" t="s">
        <v>3903</v>
      </c>
      <c r="B3888" t="s">
        <v>34</v>
      </c>
      <c r="C3888" t="s">
        <v>14</v>
      </c>
      <c r="D3888">
        <v>45</v>
      </c>
      <c r="E3888" s="1">
        <v>45113</v>
      </c>
      <c r="F3888">
        <v>1.98</v>
      </c>
      <c r="G3888">
        <v>14</v>
      </c>
      <c r="H3888">
        <v>14729.94</v>
      </c>
      <c r="I3888">
        <v>2.2999999999999998</v>
      </c>
    </row>
    <row r="3889" spans="1:9" x14ac:dyDescent="0.3">
      <c r="A3889" t="s">
        <v>3904</v>
      </c>
      <c r="B3889" t="s">
        <v>34</v>
      </c>
      <c r="C3889" t="s">
        <v>11</v>
      </c>
      <c r="D3889">
        <v>35</v>
      </c>
      <c r="E3889" s="1">
        <v>44063</v>
      </c>
      <c r="F3889">
        <v>1.75</v>
      </c>
      <c r="G3889">
        <v>7</v>
      </c>
      <c r="H3889">
        <v>6021.85</v>
      </c>
      <c r="I3889">
        <v>5.2</v>
      </c>
    </row>
    <row r="3890" spans="1:9" x14ac:dyDescent="0.3">
      <c r="A3890" t="s">
        <v>3905</v>
      </c>
      <c r="B3890" t="s">
        <v>10</v>
      </c>
      <c r="C3890" t="s">
        <v>11</v>
      </c>
      <c r="D3890">
        <v>43</v>
      </c>
      <c r="E3890" s="1">
        <v>42805</v>
      </c>
      <c r="F3890">
        <v>4.1100000000000003</v>
      </c>
      <c r="G3890">
        <v>12</v>
      </c>
      <c r="H3890">
        <v>3094.03</v>
      </c>
      <c r="I3890">
        <v>8.6</v>
      </c>
    </row>
    <row r="3891" spans="1:9" x14ac:dyDescent="0.3">
      <c r="A3891" t="s">
        <v>3906</v>
      </c>
      <c r="B3891" t="s">
        <v>34</v>
      </c>
      <c r="C3891" t="s">
        <v>14</v>
      </c>
      <c r="D3891">
        <v>58</v>
      </c>
      <c r="E3891" s="1">
        <v>44224</v>
      </c>
      <c r="F3891">
        <v>4.2300000000000004</v>
      </c>
      <c r="G3891">
        <v>14</v>
      </c>
      <c r="H3891">
        <v>3598.36</v>
      </c>
      <c r="I3891">
        <v>4.8</v>
      </c>
    </row>
    <row r="3892" spans="1:9" x14ac:dyDescent="0.3">
      <c r="A3892" t="s">
        <v>3907</v>
      </c>
      <c r="B3892" t="s">
        <v>13</v>
      </c>
      <c r="C3892" t="s">
        <v>14</v>
      </c>
      <c r="D3892">
        <v>35</v>
      </c>
      <c r="E3892" s="1">
        <v>43518</v>
      </c>
      <c r="F3892">
        <v>3.33</v>
      </c>
      <c r="G3892">
        <v>2</v>
      </c>
      <c r="H3892">
        <v>14472.7</v>
      </c>
      <c r="I3892">
        <v>6.7</v>
      </c>
    </row>
    <row r="3893" spans="1:9" x14ac:dyDescent="0.3">
      <c r="A3893" t="s">
        <v>3908</v>
      </c>
      <c r="B3893" t="s">
        <v>24</v>
      </c>
      <c r="C3893" t="s">
        <v>14</v>
      </c>
      <c r="D3893">
        <v>55</v>
      </c>
      <c r="E3893" s="1">
        <v>45269</v>
      </c>
      <c r="F3893">
        <v>4.45</v>
      </c>
      <c r="G3893">
        <v>9</v>
      </c>
      <c r="H3893">
        <v>14185.63</v>
      </c>
      <c r="I3893">
        <v>1.9</v>
      </c>
    </row>
    <row r="3894" spans="1:9" x14ac:dyDescent="0.3">
      <c r="A3894" t="s">
        <v>3909</v>
      </c>
      <c r="B3894" t="s">
        <v>18</v>
      </c>
      <c r="C3894" t="s">
        <v>14</v>
      </c>
      <c r="D3894">
        <v>27</v>
      </c>
      <c r="E3894" s="1">
        <v>41501</v>
      </c>
      <c r="F3894">
        <v>3.46</v>
      </c>
      <c r="G3894">
        <v>2</v>
      </c>
      <c r="H3894">
        <v>8340</v>
      </c>
      <c r="I3894">
        <v>12.2</v>
      </c>
    </row>
    <row r="3895" spans="1:9" x14ac:dyDescent="0.3">
      <c r="A3895" t="s">
        <v>3910</v>
      </c>
      <c r="B3895" t="s">
        <v>18</v>
      </c>
      <c r="C3895" t="s">
        <v>14</v>
      </c>
      <c r="D3895">
        <v>28</v>
      </c>
      <c r="E3895" s="1">
        <v>41692</v>
      </c>
      <c r="F3895">
        <v>3.84</v>
      </c>
      <c r="G3895">
        <v>7</v>
      </c>
      <c r="H3895">
        <v>9045.61</v>
      </c>
      <c r="I3895">
        <v>11.7</v>
      </c>
    </row>
    <row r="3896" spans="1:9" x14ac:dyDescent="0.3">
      <c r="A3896" t="s">
        <v>3911</v>
      </c>
      <c r="B3896" t="s">
        <v>13</v>
      </c>
      <c r="C3896" t="s">
        <v>11</v>
      </c>
      <c r="D3896">
        <v>32</v>
      </c>
      <c r="E3896" s="1">
        <v>41189</v>
      </c>
      <c r="F3896">
        <v>3.51</v>
      </c>
      <c r="G3896">
        <v>15</v>
      </c>
      <c r="H3896">
        <v>5995.37</v>
      </c>
      <c r="I3896">
        <v>13.1</v>
      </c>
    </row>
    <row r="3897" spans="1:9" x14ac:dyDescent="0.3">
      <c r="A3897" t="s">
        <v>3912</v>
      </c>
      <c r="B3897" t="s">
        <v>16</v>
      </c>
      <c r="C3897" t="s">
        <v>14</v>
      </c>
      <c r="D3897">
        <v>38</v>
      </c>
      <c r="E3897" s="1">
        <v>41811</v>
      </c>
      <c r="F3897">
        <v>2</v>
      </c>
      <c r="G3897">
        <v>6</v>
      </c>
      <c r="H3897">
        <v>11297.78</v>
      </c>
      <c r="I3897">
        <v>11.4</v>
      </c>
    </row>
    <row r="3898" spans="1:9" x14ac:dyDescent="0.3">
      <c r="A3898" t="s">
        <v>3913</v>
      </c>
      <c r="B3898" t="s">
        <v>34</v>
      </c>
      <c r="C3898" t="s">
        <v>11</v>
      </c>
      <c r="D3898">
        <v>37</v>
      </c>
      <c r="E3898" s="1">
        <v>42744</v>
      </c>
      <c r="F3898">
        <v>4.53</v>
      </c>
      <c r="G3898">
        <v>11</v>
      </c>
      <c r="H3898">
        <v>8612.5400000000009</v>
      </c>
      <c r="I3898">
        <v>8.8000000000000007</v>
      </c>
    </row>
    <row r="3899" spans="1:9" x14ac:dyDescent="0.3">
      <c r="A3899" t="s">
        <v>3914</v>
      </c>
      <c r="B3899" t="s">
        <v>16</v>
      </c>
      <c r="C3899" t="s">
        <v>11</v>
      </c>
      <c r="D3899">
        <v>40</v>
      </c>
      <c r="E3899" s="1">
        <v>44996</v>
      </c>
      <c r="F3899">
        <v>3.47</v>
      </c>
      <c r="G3899">
        <v>10</v>
      </c>
      <c r="H3899">
        <v>6319.54</v>
      </c>
      <c r="I3899">
        <v>2.6</v>
      </c>
    </row>
    <row r="3900" spans="1:9" x14ac:dyDescent="0.3">
      <c r="A3900" t="s">
        <v>3915</v>
      </c>
      <c r="B3900" t="s">
        <v>18</v>
      </c>
      <c r="C3900" t="s">
        <v>11</v>
      </c>
      <c r="D3900">
        <v>57</v>
      </c>
      <c r="E3900" s="1">
        <v>43875</v>
      </c>
      <c r="F3900">
        <v>3.97</v>
      </c>
      <c r="G3900">
        <v>10</v>
      </c>
      <c r="H3900">
        <v>12593.59</v>
      </c>
      <c r="I3900">
        <v>5.7</v>
      </c>
    </row>
    <row r="3901" spans="1:9" x14ac:dyDescent="0.3">
      <c r="A3901" t="s">
        <v>3916</v>
      </c>
      <c r="B3901" t="s">
        <v>34</v>
      </c>
      <c r="C3901" t="s">
        <v>11</v>
      </c>
      <c r="D3901">
        <v>59</v>
      </c>
      <c r="E3901" s="1">
        <v>44719</v>
      </c>
      <c r="F3901">
        <v>4.33</v>
      </c>
      <c r="G3901">
        <v>6</v>
      </c>
      <c r="H3901">
        <v>14982.56</v>
      </c>
      <c r="I3901">
        <v>3.4</v>
      </c>
    </row>
    <row r="3902" spans="1:9" x14ac:dyDescent="0.3">
      <c r="A3902" t="s">
        <v>3917</v>
      </c>
      <c r="B3902" t="s">
        <v>10</v>
      </c>
      <c r="C3902" t="s">
        <v>11</v>
      </c>
      <c r="D3902">
        <v>50</v>
      </c>
      <c r="E3902" s="1">
        <v>41004</v>
      </c>
      <c r="F3902">
        <v>4.03</v>
      </c>
      <c r="G3902">
        <v>7</v>
      </c>
      <c r="H3902">
        <v>8691.51</v>
      </c>
      <c r="I3902">
        <v>13.6</v>
      </c>
    </row>
    <row r="3903" spans="1:9" x14ac:dyDescent="0.3">
      <c r="A3903" t="s">
        <v>3918</v>
      </c>
      <c r="B3903" t="s">
        <v>13</v>
      </c>
      <c r="C3903" t="s">
        <v>14</v>
      </c>
      <c r="D3903">
        <v>44</v>
      </c>
      <c r="E3903" s="1">
        <v>40673</v>
      </c>
      <c r="F3903">
        <v>3.96</v>
      </c>
      <c r="G3903">
        <v>2</v>
      </c>
      <c r="H3903">
        <v>11205.91</v>
      </c>
      <c r="I3903">
        <v>14.5</v>
      </c>
    </row>
    <row r="3904" spans="1:9" x14ac:dyDescent="0.3">
      <c r="A3904" t="s">
        <v>3919</v>
      </c>
      <c r="B3904" t="s">
        <v>13</v>
      </c>
      <c r="C3904" t="s">
        <v>11</v>
      </c>
      <c r="D3904">
        <v>57</v>
      </c>
      <c r="E3904" s="1">
        <v>42370</v>
      </c>
      <c r="F3904">
        <v>3.68</v>
      </c>
      <c r="G3904">
        <v>2</v>
      </c>
      <c r="H3904">
        <v>14283.24</v>
      </c>
      <c r="I3904">
        <v>9.8000000000000007</v>
      </c>
    </row>
    <row r="3905" spans="1:9" x14ac:dyDescent="0.3">
      <c r="A3905" t="s">
        <v>3920</v>
      </c>
      <c r="B3905" t="s">
        <v>18</v>
      </c>
      <c r="C3905" t="s">
        <v>11</v>
      </c>
      <c r="D3905">
        <v>44</v>
      </c>
      <c r="E3905" s="1">
        <v>42079</v>
      </c>
      <c r="F3905">
        <v>1.68</v>
      </c>
      <c r="G3905">
        <v>11</v>
      </c>
      <c r="H3905">
        <v>12708.04</v>
      </c>
      <c r="I3905">
        <v>10.6</v>
      </c>
    </row>
    <row r="3906" spans="1:9" x14ac:dyDescent="0.3">
      <c r="A3906" t="s">
        <v>3921</v>
      </c>
      <c r="B3906" t="s">
        <v>16</v>
      </c>
      <c r="C3906" t="s">
        <v>11</v>
      </c>
      <c r="D3906">
        <v>56</v>
      </c>
      <c r="E3906" s="1">
        <v>45680</v>
      </c>
      <c r="F3906">
        <v>1.68</v>
      </c>
      <c r="G3906">
        <v>6</v>
      </c>
      <c r="H3906">
        <v>9274.65</v>
      </c>
      <c r="I3906">
        <v>0.8</v>
      </c>
    </row>
    <row r="3907" spans="1:9" x14ac:dyDescent="0.3">
      <c r="A3907" t="s">
        <v>3922</v>
      </c>
      <c r="B3907" t="s">
        <v>13</v>
      </c>
      <c r="C3907" t="s">
        <v>14</v>
      </c>
      <c r="D3907">
        <v>39</v>
      </c>
      <c r="E3907" s="1">
        <v>40909</v>
      </c>
      <c r="F3907">
        <v>3.21</v>
      </c>
      <c r="G3907">
        <v>2</v>
      </c>
      <c r="H3907">
        <v>4486.3</v>
      </c>
      <c r="I3907">
        <v>13.8</v>
      </c>
    </row>
    <row r="3908" spans="1:9" x14ac:dyDescent="0.3">
      <c r="A3908" t="s">
        <v>3923</v>
      </c>
      <c r="B3908" t="s">
        <v>24</v>
      </c>
      <c r="C3908" t="s">
        <v>11</v>
      </c>
      <c r="D3908">
        <v>38</v>
      </c>
      <c r="E3908" s="1">
        <v>42600</v>
      </c>
      <c r="F3908">
        <v>4.3899999999999997</v>
      </c>
      <c r="G3908">
        <v>8</v>
      </c>
      <c r="H3908">
        <v>7371.35</v>
      </c>
      <c r="I3908">
        <v>9.1999999999999993</v>
      </c>
    </row>
    <row r="3909" spans="1:9" x14ac:dyDescent="0.3">
      <c r="A3909" t="s">
        <v>3924</v>
      </c>
      <c r="B3909" t="s">
        <v>13</v>
      </c>
      <c r="C3909" t="s">
        <v>14</v>
      </c>
      <c r="D3909">
        <v>54</v>
      </c>
      <c r="E3909" s="1">
        <v>41305</v>
      </c>
      <c r="F3909">
        <v>4.95</v>
      </c>
      <c r="G3909">
        <v>14</v>
      </c>
      <c r="H3909">
        <v>10990.63</v>
      </c>
      <c r="I3909">
        <v>12.8</v>
      </c>
    </row>
    <row r="3910" spans="1:9" x14ac:dyDescent="0.3">
      <c r="A3910" t="s">
        <v>3925</v>
      </c>
      <c r="B3910" t="s">
        <v>18</v>
      </c>
      <c r="C3910" t="s">
        <v>11</v>
      </c>
      <c r="D3910">
        <v>59</v>
      </c>
      <c r="E3910" s="1">
        <v>41038</v>
      </c>
      <c r="F3910">
        <v>2.72</v>
      </c>
      <c r="G3910">
        <v>14</v>
      </c>
      <c r="H3910">
        <v>5284.61</v>
      </c>
      <c r="I3910">
        <v>13.5</v>
      </c>
    </row>
    <row r="3911" spans="1:9" x14ac:dyDescent="0.3">
      <c r="A3911" t="s">
        <v>3926</v>
      </c>
      <c r="B3911" t="s">
        <v>18</v>
      </c>
      <c r="C3911" t="s">
        <v>11</v>
      </c>
      <c r="D3911">
        <v>36</v>
      </c>
      <c r="E3911" s="1">
        <v>41733</v>
      </c>
      <c r="F3911">
        <v>4.41</v>
      </c>
      <c r="G3911">
        <v>2</v>
      </c>
      <c r="H3911">
        <v>11613.95</v>
      </c>
      <c r="I3911">
        <v>11.6</v>
      </c>
    </row>
    <row r="3912" spans="1:9" x14ac:dyDescent="0.3">
      <c r="A3912" t="s">
        <v>3927</v>
      </c>
      <c r="B3912" t="s">
        <v>34</v>
      </c>
      <c r="C3912" t="s">
        <v>11</v>
      </c>
      <c r="D3912">
        <v>25</v>
      </c>
      <c r="E3912" s="1">
        <v>40280</v>
      </c>
      <c r="F3912">
        <v>2.39</v>
      </c>
      <c r="G3912">
        <v>5</v>
      </c>
      <c r="H3912">
        <v>3106.79</v>
      </c>
      <c r="I3912">
        <v>15.6</v>
      </c>
    </row>
    <row r="3913" spans="1:9" x14ac:dyDescent="0.3">
      <c r="A3913" t="s">
        <v>3928</v>
      </c>
      <c r="B3913" t="s">
        <v>34</v>
      </c>
      <c r="C3913" t="s">
        <v>14</v>
      </c>
      <c r="D3913">
        <v>29</v>
      </c>
      <c r="E3913" s="1">
        <v>40695</v>
      </c>
      <c r="F3913">
        <v>1.95</v>
      </c>
      <c r="G3913">
        <v>2</v>
      </c>
      <c r="H3913">
        <v>8600.2000000000007</v>
      </c>
      <c r="I3913">
        <v>14.4</v>
      </c>
    </row>
    <row r="3914" spans="1:9" x14ac:dyDescent="0.3">
      <c r="A3914" t="s">
        <v>3929</v>
      </c>
      <c r="B3914" t="s">
        <v>18</v>
      </c>
      <c r="C3914" t="s">
        <v>14</v>
      </c>
      <c r="D3914">
        <v>24</v>
      </c>
      <c r="E3914" s="1">
        <v>44372</v>
      </c>
      <c r="F3914">
        <v>3.64</v>
      </c>
      <c r="G3914">
        <v>12</v>
      </c>
      <c r="H3914">
        <v>14381.7</v>
      </c>
      <c r="I3914">
        <v>4.4000000000000004</v>
      </c>
    </row>
    <row r="3915" spans="1:9" x14ac:dyDescent="0.3">
      <c r="A3915" t="s">
        <v>3930</v>
      </c>
      <c r="B3915" t="s">
        <v>16</v>
      </c>
      <c r="C3915" t="s">
        <v>14</v>
      </c>
      <c r="D3915">
        <v>43</v>
      </c>
      <c r="E3915" s="1">
        <v>42304</v>
      </c>
      <c r="F3915">
        <v>4.0999999999999996</v>
      </c>
      <c r="G3915">
        <v>15</v>
      </c>
      <c r="H3915">
        <v>10747.44</v>
      </c>
      <c r="I3915">
        <v>10</v>
      </c>
    </row>
    <row r="3916" spans="1:9" x14ac:dyDescent="0.3">
      <c r="A3916" t="s">
        <v>3931</v>
      </c>
      <c r="B3916" t="s">
        <v>16</v>
      </c>
      <c r="C3916" t="s">
        <v>14</v>
      </c>
      <c r="D3916">
        <v>25</v>
      </c>
      <c r="E3916" s="1">
        <v>43570</v>
      </c>
      <c r="F3916">
        <v>1.58</v>
      </c>
      <c r="G3916">
        <v>10</v>
      </c>
      <c r="H3916">
        <v>5760.18</v>
      </c>
      <c r="I3916">
        <v>6.6</v>
      </c>
    </row>
    <row r="3917" spans="1:9" x14ac:dyDescent="0.3">
      <c r="A3917" t="s">
        <v>3932</v>
      </c>
      <c r="B3917" t="s">
        <v>24</v>
      </c>
      <c r="C3917" t="s">
        <v>14</v>
      </c>
      <c r="D3917">
        <v>60</v>
      </c>
      <c r="E3917" s="1">
        <v>40838</v>
      </c>
      <c r="F3917">
        <v>3.63</v>
      </c>
      <c r="G3917">
        <v>6</v>
      </c>
      <c r="H3917">
        <v>14204.76</v>
      </c>
      <c r="I3917">
        <v>14</v>
      </c>
    </row>
    <row r="3918" spans="1:9" x14ac:dyDescent="0.3">
      <c r="A3918" t="s">
        <v>3933</v>
      </c>
      <c r="B3918" t="s">
        <v>10</v>
      </c>
      <c r="C3918" t="s">
        <v>11</v>
      </c>
      <c r="D3918">
        <v>44</v>
      </c>
      <c r="E3918" s="1">
        <v>42286</v>
      </c>
      <c r="F3918">
        <v>3.59</v>
      </c>
      <c r="G3918">
        <v>10</v>
      </c>
      <c r="H3918">
        <v>12246.83</v>
      </c>
      <c r="I3918">
        <v>10.1</v>
      </c>
    </row>
    <row r="3919" spans="1:9" x14ac:dyDescent="0.3">
      <c r="A3919" t="s">
        <v>3934</v>
      </c>
      <c r="B3919" t="s">
        <v>13</v>
      </c>
      <c r="C3919" t="s">
        <v>11</v>
      </c>
      <c r="D3919">
        <v>43</v>
      </c>
      <c r="E3919" s="1">
        <v>44292</v>
      </c>
      <c r="F3919">
        <v>4.91</v>
      </c>
      <c r="G3919">
        <v>14</v>
      </c>
      <c r="H3919">
        <v>13308.2</v>
      </c>
      <c r="I3919">
        <v>4.5999999999999996</v>
      </c>
    </row>
    <row r="3920" spans="1:9" x14ac:dyDescent="0.3">
      <c r="A3920" t="s">
        <v>3935</v>
      </c>
      <c r="B3920" t="s">
        <v>24</v>
      </c>
      <c r="C3920" t="s">
        <v>14</v>
      </c>
      <c r="D3920">
        <v>52</v>
      </c>
      <c r="E3920" s="1">
        <v>45683</v>
      </c>
      <c r="F3920">
        <v>3.25</v>
      </c>
      <c r="G3920">
        <v>11</v>
      </c>
      <c r="H3920">
        <v>14585.04</v>
      </c>
      <c r="I3920">
        <v>0.8</v>
      </c>
    </row>
    <row r="3921" spans="1:9" x14ac:dyDescent="0.3">
      <c r="A3921" t="s">
        <v>3936</v>
      </c>
      <c r="B3921" t="s">
        <v>24</v>
      </c>
      <c r="C3921" t="s">
        <v>11</v>
      </c>
      <c r="D3921">
        <v>50</v>
      </c>
      <c r="E3921" s="1">
        <v>42386</v>
      </c>
      <c r="F3921">
        <v>2.52</v>
      </c>
      <c r="G3921">
        <v>1</v>
      </c>
      <c r="H3921">
        <v>12584.28</v>
      </c>
      <c r="I3921">
        <v>9.8000000000000007</v>
      </c>
    </row>
    <row r="3922" spans="1:9" x14ac:dyDescent="0.3">
      <c r="A3922" t="s">
        <v>3937</v>
      </c>
      <c r="B3922" t="s">
        <v>10</v>
      </c>
      <c r="C3922" t="s">
        <v>11</v>
      </c>
      <c r="D3922">
        <v>43</v>
      </c>
      <c r="E3922" s="1">
        <v>43976</v>
      </c>
      <c r="F3922">
        <v>4.97</v>
      </c>
      <c r="G3922">
        <v>14</v>
      </c>
      <c r="H3922">
        <v>7496.5</v>
      </c>
      <c r="I3922">
        <v>5.4</v>
      </c>
    </row>
    <row r="3923" spans="1:9" x14ac:dyDescent="0.3">
      <c r="A3923" t="s">
        <v>3938</v>
      </c>
      <c r="B3923" t="s">
        <v>34</v>
      </c>
      <c r="C3923" t="s">
        <v>11</v>
      </c>
      <c r="D3923">
        <v>47</v>
      </c>
      <c r="E3923" s="1">
        <v>40547</v>
      </c>
      <c r="F3923">
        <v>5</v>
      </c>
      <c r="G3923">
        <v>13</v>
      </c>
      <c r="H3923">
        <v>13796.42</v>
      </c>
      <c r="I3923">
        <v>14.8</v>
      </c>
    </row>
    <row r="3924" spans="1:9" x14ac:dyDescent="0.3">
      <c r="A3924" t="s">
        <v>3939</v>
      </c>
      <c r="B3924" t="s">
        <v>24</v>
      </c>
      <c r="C3924" t="s">
        <v>14</v>
      </c>
      <c r="D3924">
        <v>26</v>
      </c>
      <c r="E3924" s="1">
        <v>42439</v>
      </c>
      <c r="F3924">
        <v>1.52</v>
      </c>
      <c r="G3924">
        <v>7</v>
      </c>
      <c r="H3924">
        <v>10691.71</v>
      </c>
      <c r="I3924">
        <v>9.6999999999999993</v>
      </c>
    </row>
    <row r="3925" spans="1:9" x14ac:dyDescent="0.3">
      <c r="A3925" t="s">
        <v>3940</v>
      </c>
      <c r="B3925" t="s">
        <v>24</v>
      </c>
      <c r="C3925" t="s">
        <v>14</v>
      </c>
      <c r="D3925">
        <v>55</v>
      </c>
      <c r="E3925" s="1">
        <v>42914</v>
      </c>
      <c r="F3925">
        <v>1.56</v>
      </c>
      <c r="G3925">
        <v>12</v>
      </c>
      <c r="H3925">
        <v>7028.13</v>
      </c>
      <c r="I3925">
        <v>8.4</v>
      </c>
    </row>
    <row r="3926" spans="1:9" x14ac:dyDescent="0.3">
      <c r="A3926" t="s">
        <v>3941</v>
      </c>
      <c r="B3926" t="s">
        <v>18</v>
      </c>
      <c r="C3926" t="s">
        <v>11</v>
      </c>
      <c r="D3926">
        <v>25</v>
      </c>
      <c r="E3926" s="1">
        <v>45103</v>
      </c>
      <c r="F3926">
        <v>2.4900000000000002</v>
      </c>
      <c r="G3926">
        <v>12</v>
      </c>
      <c r="H3926">
        <v>8673.33</v>
      </c>
      <c r="I3926">
        <v>2.4</v>
      </c>
    </row>
    <row r="3927" spans="1:9" x14ac:dyDescent="0.3">
      <c r="A3927" t="s">
        <v>3942</v>
      </c>
      <c r="B3927" t="s">
        <v>34</v>
      </c>
      <c r="C3927" t="s">
        <v>11</v>
      </c>
      <c r="D3927">
        <v>33</v>
      </c>
      <c r="E3927" s="1">
        <v>41625</v>
      </c>
      <c r="F3927">
        <v>4.71</v>
      </c>
      <c r="G3927">
        <v>6</v>
      </c>
      <c r="H3927">
        <v>5174.12</v>
      </c>
      <c r="I3927">
        <v>11.9</v>
      </c>
    </row>
    <row r="3928" spans="1:9" x14ac:dyDescent="0.3">
      <c r="A3928" t="s">
        <v>3943</v>
      </c>
      <c r="B3928" t="s">
        <v>34</v>
      </c>
      <c r="C3928" t="s">
        <v>14</v>
      </c>
      <c r="D3928">
        <v>26</v>
      </c>
      <c r="E3928" s="1">
        <v>45530</v>
      </c>
      <c r="F3928">
        <v>4.1900000000000004</v>
      </c>
      <c r="G3928">
        <v>1</v>
      </c>
      <c r="H3928">
        <v>13210.59</v>
      </c>
      <c r="I3928">
        <v>1.2</v>
      </c>
    </row>
    <row r="3929" spans="1:9" x14ac:dyDescent="0.3">
      <c r="A3929" t="s">
        <v>3944</v>
      </c>
      <c r="B3929" t="s">
        <v>10</v>
      </c>
      <c r="C3929" t="s">
        <v>14</v>
      </c>
      <c r="D3929">
        <v>26</v>
      </c>
      <c r="E3929" s="1">
        <v>40619</v>
      </c>
      <c r="F3929">
        <v>1.74</v>
      </c>
      <c r="G3929">
        <v>4</v>
      </c>
      <c r="H3929">
        <v>14103.29</v>
      </c>
      <c r="I3929">
        <v>14.6</v>
      </c>
    </row>
    <row r="3930" spans="1:9" x14ac:dyDescent="0.3">
      <c r="A3930" t="s">
        <v>3945</v>
      </c>
      <c r="B3930" t="s">
        <v>24</v>
      </c>
      <c r="C3930" t="s">
        <v>14</v>
      </c>
      <c r="D3930">
        <v>60</v>
      </c>
      <c r="E3930" s="1">
        <v>40680</v>
      </c>
      <c r="F3930">
        <v>1.85</v>
      </c>
      <c r="G3930">
        <v>0</v>
      </c>
      <c r="H3930">
        <v>12064.79</v>
      </c>
      <c r="I3930">
        <v>14.5</v>
      </c>
    </row>
    <row r="3931" spans="1:9" x14ac:dyDescent="0.3">
      <c r="A3931" t="s">
        <v>3946</v>
      </c>
      <c r="B3931" t="s">
        <v>10</v>
      </c>
      <c r="C3931" t="s">
        <v>14</v>
      </c>
      <c r="D3931">
        <v>32</v>
      </c>
      <c r="E3931" s="1">
        <v>43482</v>
      </c>
      <c r="F3931">
        <v>2.27</v>
      </c>
      <c r="G3931">
        <v>4</v>
      </c>
      <c r="H3931">
        <v>10528.56</v>
      </c>
      <c r="I3931">
        <v>6.8</v>
      </c>
    </row>
    <row r="3932" spans="1:9" x14ac:dyDescent="0.3">
      <c r="A3932" t="s">
        <v>3947</v>
      </c>
      <c r="B3932" t="s">
        <v>10</v>
      </c>
      <c r="C3932" t="s">
        <v>11</v>
      </c>
      <c r="D3932">
        <v>55</v>
      </c>
      <c r="E3932" s="1">
        <v>41290</v>
      </c>
      <c r="F3932">
        <v>1.86</v>
      </c>
      <c r="G3932">
        <v>7</v>
      </c>
      <c r="H3932">
        <v>9427.2800000000007</v>
      </c>
      <c r="I3932">
        <v>12.8</v>
      </c>
    </row>
    <row r="3933" spans="1:9" x14ac:dyDescent="0.3">
      <c r="A3933" t="s">
        <v>3948</v>
      </c>
      <c r="B3933" t="s">
        <v>34</v>
      </c>
      <c r="C3933" t="s">
        <v>14</v>
      </c>
      <c r="D3933">
        <v>46</v>
      </c>
      <c r="E3933" s="1">
        <v>45402</v>
      </c>
      <c r="F3933">
        <v>3.14</v>
      </c>
      <c r="G3933">
        <v>9</v>
      </c>
      <c r="H3933">
        <v>7901.01</v>
      </c>
      <c r="I3933">
        <v>1.5</v>
      </c>
    </row>
    <row r="3934" spans="1:9" x14ac:dyDescent="0.3">
      <c r="A3934" t="s">
        <v>3949</v>
      </c>
      <c r="B3934" t="s">
        <v>18</v>
      </c>
      <c r="C3934" t="s">
        <v>11</v>
      </c>
      <c r="D3934">
        <v>25</v>
      </c>
      <c r="E3934" s="1">
        <v>44574</v>
      </c>
      <c r="F3934">
        <v>4.22</v>
      </c>
      <c r="G3934">
        <v>15</v>
      </c>
      <c r="H3934">
        <v>7475.81</v>
      </c>
      <c r="I3934">
        <v>3.8</v>
      </c>
    </row>
    <row r="3935" spans="1:9" x14ac:dyDescent="0.3">
      <c r="A3935" t="s">
        <v>3950</v>
      </c>
      <c r="B3935" t="s">
        <v>18</v>
      </c>
      <c r="C3935" t="s">
        <v>14</v>
      </c>
      <c r="D3935">
        <v>40</v>
      </c>
      <c r="E3935" s="1">
        <v>44068</v>
      </c>
      <c r="F3935">
        <v>3.74</v>
      </c>
      <c r="G3935">
        <v>4</v>
      </c>
      <c r="H3935">
        <v>3767.42</v>
      </c>
      <c r="I3935">
        <v>5.2</v>
      </c>
    </row>
    <row r="3936" spans="1:9" x14ac:dyDescent="0.3">
      <c r="A3936" t="s">
        <v>3951</v>
      </c>
      <c r="B3936" t="s">
        <v>13</v>
      </c>
      <c r="C3936" t="s">
        <v>14</v>
      </c>
      <c r="D3936">
        <v>59</v>
      </c>
      <c r="E3936" s="1">
        <v>41669</v>
      </c>
      <c r="F3936">
        <v>4.67</v>
      </c>
      <c r="G3936">
        <v>6</v>
      </c>
      <c r="H3936">
        <v>4831</v>
      </c>
      <c r="I3936">
        <v>11.8</v>
      </c>
    </row>
    <row r="3937" spans="1:9" x14ac:dyDescent="0.3">
      <c r="A3937" t="s">
        <v>3952</v>
      </c>
      <c r="B3937" t="s">
        <v>34</v>
      </c>
      <c r="C3937" t="s">
        <v>11</v>
      </c>
      <c r="D3937">
        <v>22</v>
      </c>
      <c r="E3937" s="1">
        <v>43498</v>
      </c>
      <c r="F3937">
        <v>4.54</v>
      </c>
      <c r="G3937">
        <v>3</v>
      </c>
      <c r="H3937">
        <v>11624.08</v>
      </c>
      <c r="I3937">
        <v>6.8</v>
      </c>
    </row>
    <row r="3938" spans="1:9" x14ac:dyDescent="0.3">
      <c r="A3938" t="s">
        <v>3953</v>
      </c>
      <c r="B3938" t="s">
        <v>18</v>
      </c>
      <c r="C3938" t="s">
        <v>11</v>
      </c>
      <c r="D3938">
        <v>47</v>
      </c>
      <c r="E3938" s="1">
        <v>44692</v>
      </c>
      <c r="F3938">
        <v>3</v>
      </c>
      <c r="G3938">
        <v>8</v>
      </c>
      <c r="H3938">
        <v>7111.15</v>
      </c>
      <c r="I3938">
        <v>3.5</v>
      </c>
    </row>
    <row r="3939" spans="1:9" x14ac:dyDescent="0.3">
      <c r="A3939" t="s">
        <v>3954</v>
      </c>
      <c r="B3939" t="s">
        <v>13</v>
      </c>
      <c r="C3939" t="s">
        <v>14</v>
      </c>
      <c r="D3939">
        <v>44</v>
      </c>
      <c r="E3939" s="1">
        <v>45670</v>
      </c>
      <c r="F3939">
        <v>1.66</v>
      </c>
      <c r="G3939">
        <v>10</v>
      </c>
      <c r="H3939">
        <v>5157.5200000000004</v>
      </c>
      <c r="I3939">
        <v>0.8</v>
      </c>
    </row>
    <row r="3940" spans="1:9" x14ac:dyDescent="0.3">
      <c r="A3940" t="s">
        <v>3955</v>
      </c>
      <c r="B3940" t="s">
        <v>34</v>
      </c>
      <c r="C3940" t="s">
        <v>14</v>
      </c>
      <c r="D3940">
        <v>42</v>
      </c>
      <c r="E3940" s="1">
        <v>43509</v>
      </c>
      <c r="F3940">
        <v>4.4400000000000004</v>
      </c>
      <c r="G3940">
        <v>6</v>
      </c>
      <c r="H3940">
        <v>9485.0499999999993</v>
      </c>
      <c r="I3940">
        <v>6.7</v>
      </c>
    </row>
    <row r="3941" spans="1:9" x14ac:dyDescent="0.3">
      <c r="A3941" t="s">
        <v>3956</v>
      </c>
      <c r="B3941" t="s">
        <v>13</v>
      </c>
      <c r="C3941" t="s">
        <v>11</v>
      </c>
      <c r="D3941">
        <v>31</v>
      </c>
      <c r="E3941" s="1">
        <v>41631</v>
      </c>
      <c r="F3941">
        <v>4.46</v>
      </c>
      <c r="G3941">
        <v>6</v>
      </c>
      <c r="H3941">
        <v>7741.88</v>
      </c>
      <c r="I3941">
        <v>11.9</v>
      </c>
    </row>
    <row r="3942" spans="1:9" x14ac:dyDescent="0.3">
      <c r="A3942" t="s">
        <v>3957</v>
      </c>
      <c r="B3942" t="s">
        <v>10</v>
      </c>
      <c r="C3942" t="s">
        <v>11</v>
      </c>
      <c r="D3942">
        <v>33</v>
      </c>
      <c r="E3942" s="1">
        <v>43915</v>
      </c>
      <c r="F3942">
        <v>1.53</v>
      </c>
      <c r="G3942">
        <v>7</v>
      </c>
      <c r="H3942">
        <v>7256.29</v>
      </c>
      <c r="I3942">
        <v>5.6</v>
      </c>
    </row>
    <row r="3943" spans="1:9" x14ac:dyDescent="0.3">
      <c r="A3943" t="s">
        <v>3958</v>
      </c>
      <c r="B3943" t="s">
        <v>24</v>
      </c>
      <c r="C3943" t="s">
        <v>14</v>
      </c>
      <c r="D3943">
        <v>33</v>
      </c>
      <c r="E3943" s="1">
        <v>40505</v>
      </c>
      <c r="F3943">
        <v>3.89</v>
      </c>
      <c r="G3943">
        <v>7</v>
      </c>
      <c r="H3943">
        <v>14110.15</v>
      </c>
      <c r="I3943">
        <v>15</v>
      </c>
    </row>
    <row r="3944" spans="1:9" x14ac:dyDescent="0.3">
      <c r="A3944" t="s">
        <v>3959</v>
      </c>
      <c r="B3944" t="s">
        <v>24</v>
      </c>
      <c r="C3944" t="s">
        <v>11</v>
      </c>
      <c r="D3944">
        <v>32</v>
      </c>
      <c r="E3944" s="1">
        <v>42154</v>
      </c>
      <c r="F3944">
        <v>3.48</v>
      </c>
      <c r="G3944">
        <v>6</v>
      </c>
      <c r="H3944">
        <v>14356</v>
      </c>
      <c r="I3944">
        <v>10.4</v>
      </c>
    </row>
    <row r="3945" spans="1:9" x14ac:dyDescent="0.3">
      <c r="A3945" t="s">
        <v>3960</v>
      </c>
      <c r="B3945" t="s">
        <v>10</v>
      </c>
      <c r="C3945" t="s">
        <v>11</v>
      </c>
      <c r="D3945">
        <v>35</v>
      </c>
      <c r="E3945" s="1">
        <v>41080</v>
      </c>
      <c r="F3945">
        <v>4.29</v>
      </c>
      <c r="G3945">
        <v>13</v>
      </c>
      <c r="H3945">
        <v>9407.89</v>
      </c>
      <c r="I3945">
        <v>13.4</v>
      </c>
    </row>
    <row r="3946" spans="1:9" x14ac:dyDescent="0.3">
      <c r="A3946" t="s">
        <v>3961</v>
      </c>
      <c r="B3946" t="s">
        <v>16</v>
      </c>
      <c r="C3946" t="s">
        <v>11</v>
      </c>
      <c r="D3946">
        <v>51</v>
      </c>
      <c r="E3946" s="1">
        <v>44493</v>
      </c>
      <c r="F3946">
        <v>2.11</v>
      </c>
      <c r="G3946">
        <v>12</v>
      </c>
      <c r="H3946">
        <v>6061.45</v>
      </c>
      <c r="I3946">
        <v>4</v>
      </c>
    </row>
    <row r="3947" spans="1:9" x14ac:dyDescent="0.3">
      <c r="A3947" t="s">
        <v>3962</v>
      </c>
      <c r="B3947" t="s">
        <v>24</v>
      </c>
      <c r="C3947" t="s">
        <v>14</v>
      </c>
      <c r="D3947">
        <v>49</v>
      </c>
      <c r="E3947" s="1">
        <v>41135</v>
      </c>
      <c r="F3947">
        <v>3.47</v>
      </c>
      <c r="G3947">
        <v>15</v>
      </c>
      <c r="H3947">
        <v>4413.58</v>
      </c>
      <c r="I3947">
        <v>13.2</v>
      </c>
    </row>
    <row r="3948" spans="1:9" x14ac:dyDescent="0.3">
      <c r="A3948" t="s">
        <v>3963</v>
      </c>
      <c r="B3948" t="s">
        <v>24</v>
      </c>
      <c r="C3948" t="s">
        <v>14</v>
      </c>
      <c r="D3948">
        <v>58</v>
      </c>
      <c r="E3948" s="1">
        <v>42023</v>
      </c>
      <c r="F3948">
        <v>4.01</v>
      </c>
      <c r="G3948">
        <v>1</v>
      </c>
      <c r="H3948">
        <v>13084.45</v>
      </c>
      <c r="I3948">
        <v>10.8</v>
      </c>
    </row>
    <row r="3949" spans="1:9" x14ac:dyDescent="0.3">
      <c r="A3949" t="s">
        <v>3964</v>
      </c>
      <c r="B3949" t="s">
        <v>16</v>
      </c>
      <c r="C3949" t="s">
        <v>14</v>
      </c>
      <c r="D3949">
        <v>59</v>
      </c>
      <c r="E3949" s="1">
        <v>43899</v>
      </c>
      <c r="F3949">
        <v>4.57</v>
      </c>
      <c r="G3949">
        <v>12</v>
      </c>
      <c r="H3949">
        <v>11020.4</v>
      </c>
      <c r="I3949">
        <v>5.7</v>
      </c>
    </row>
    <row r="3950" spans="1:9" x14ac:dyDescent="0.3">
      <c r="A3950" t="s">
        <v>3965</v>
      </c>
      <c r="B3950" t="s">
        <v>16</v>
      </c>
      <c r="C3950" t="s">
        <v>11</v>
      </c>
      <c r="D3950">
        <v>49</v>
      </c>
      <c r="E3950" s="1">
        <v>45579</v>
      </c>
      <c r="F3950">
        <v>2.73</v>
      </c>
      <c r="G3950">
        <v>13</v>
      </c>
      <c r="H3950">
        <v>7405.58</v>
      </c>
      <c r="I3950">
        <v>1</v>
      </c>
    </row>
    <row r="3951" spans="1:9" x14ac:dyDescent="0.3">
      <c r="A3951" t="s">
        <v>3966</v>
      </c>
      <c r="B3951" t="s">
        <v>24</v>
      </c>
      <c r="C3951" t="s">
        <v>11</v>
      </c>
      <c r="D3951">
        <v>43</v>
      </c>
      <c r="E3951" s="1">
        <v>43316</v>
      </c>
      <c r="F3951">
        <v>4.2</v>
      </c>
      <c r="G3951">
        <v>10</v>
      </c>
      <c r="H3951">
        <v>11444.87</v>
      </c>
      <c r="I3951">
        <v>7.2</v>
      </c>
    </row>
    <row r="3952" spans="1:9" x14ac:dyDescent="0.3">
      <c r="A3952" t="s">
        <v>3967</v>
      </c>
      <c r="B3952" t="s">
        <v>18</v>
      </c>
      <c r="C3952" t="s">
        <v>11</v>
      </c>
      <c r="D3952">
        <v>24</v>
      </c>
      <c r="E3952" s="1">
        <v>42840</v>
      </c>
      <c r="F3952">
        <v>2.95</v>
      </c>
      <c r="G3952">
        <v>14</v>
      </c>
      <c r="H3952">
        <v>7103.25</v>
      </c>
      <c r="I3952">
        <v>8.6</v>
      </c>
    </row>
    <row r="3953" spans="1:9" x14ac:dyDescent="0.3">
      <c r="A3953" t="s">
        <v>3968</v>
      </c>
      <c r="B3953" t="s">
        <v>13</v>
      </c>
      <c r="C3953" t="s">
        <v>14</v>
      </c>
      <c r="D3953">
        <v>44</v>
      </c>
      <c r="E3953" s="1">
        <v>42528</v>
      </c>
      <c r="F3953">
        <v>2.86</v>
      </c>
      <c r="G3953">
        <v>7</v>
      </c>
      <c r="H3953">
        <v>10618.74</v>
      </c>
      <c r="I3953">
        <v>9.4</v>
      </c>
    </row>
    <row r="3954" spans="1:9" x14ac:dyDescent="0.3">
      <c r="A3954" t="s">
        <v>3969</v>
      </c>
      <c r="B3954" t="s">
        <v>10</v>
      </c>
      <c r="C3954" t="s">
        <v>14</v>
      </c>
      <c r="D3954">
        <v>45</v>
      </c>
      <c r="E3954" s="1">
        <v>45941</v>
      </c>
      <c r="F3954">
        <v>1.84</v>
      </c>
      <c r="G3954">
        <v>9</v>
      </c>
      <c r="H3954">
        <v>3868.86</v>
      </c>
      <c r="I3954">
        <v>0.1</v>
      </c>
    </row>
    <row r="3955" spans="1:9" x14ac:dyDescent="0.3">
      <c r="A3955" t="s">
        <v>3970</v>
      </c>
      <c r="B3955" t="s">
        <v>16</v>
      </c>
      <c r="C3955" t="s">
        <v>14</v>
      </c>
      <c r="D3955">
        <v>32</v>
      </c>
      <c r="E3955" s="1">
        <v>40592</v>
      </c>
      <c r="F3955">
        <v>3.39</v>
      </c>
      <c r="G3955">
        <v>12</v>
      </c>
      <c r="H3955">
        <v>11064.07</v>
      </c>
      <c r="I3955">
        <v>14.7</v>
      </c>
    </row>
    <row r="3956" spans="1:9" x14ac:dyDescent="0.3">
      <c r="A3956" t="s">
        <v>3971</v>
      </c>
      <c r="B3956" t="s">
        <v>13</v>
      </c>
      <c r="C3956" t="s">
        <v>11</v>
      </c>
      <c r="D3956">
        <v>55</v>
      </c>
      <c r="E3956" s="1">
        <v>41559</v>
      </c>
      <c r="F3956">
        <v>4.1500000000000004</v>
      </c>
      <c r="G3956">
        <v>14</v>
      </c>
      <c r="H3956">
        <v>9659.69</v>
      </c>
      <c r="I3956">
        <v>12.1</v>
      </c>
    </row>
    <row r="3957" spans="1:9" x14ac:dyDescent="0.3">
      <c r="A3957" t="s">
        <v>3972</v>
      </c>
      <c r="B3957" t="s">
        <v>13</v>
      </c>
      <c r="C3957" t="s">
        <v>11</v>
      </c>
      <c r="D3957">
        <v>45</v>
      </c>
      <c r="E3957" s="1">
        <v>43278</v>
      </c>
      <c r="F3957">
        <v>3.35</v>
      </c>
      <c r="G3957">
        <v>0</v>
      </c>
      <c r="H3957">
        <v>5587.43</v>
      </c>
      <c r="I3957">
        <v>7.4</v>
      </c>
    </row>
    <row r="3958" spans="1:9" x14ac:dyDescent="0.3">
      <c r="A3958" t="s">
        <v>3973</v>
      </c>
      <c r="B3958" t="s">
        <v>18</v>
      </c>
      <c r="C3958" t="s">
        <v>11</v>
      </c>
      <c r="D3958">
        <v>27</v>
      </c>
      <c r="E3958" s="1">
        <v>41053</v>
      </c>
      <c r="F3958">
        <v>4.9800000000000004</v>
      </c>
      <c r="G3958">
        <v>5</v>
      </c>
      <c r="H3958">
        <v>12200.62</v>
      </c>
      <c r="I3958">
        <v>13.4</v>
      </c>
    </row>
    <row r="3959" spans="1:9" x14ac:dyDescent="0.3">
      <c r="A3959" t="s">
        <v>3974</v>
      </c>
      <c r="B3959" t="s">
        <v>24</v>
      </c>
      <c r="C3959" t="s">
        <v>14</v>
      </c>
      <c r="D3959">
        <v>38</v>
      </c>
      <c r="E3959" s="1">
        <v>42408</v>
      </c>
      <c r="F3959">
        <v>4.8600000000000003</v>
      </c>
      <c r="G3959">
        <v>0</v>
      </c>
      <c r="H3959">
        <v>3532.34</v>
      </c>
      <c r="I3959">
        <v>9.6999999999999993</v>
      </c>
    </row>
    <row r="3960" spans="1:9" x14ac:dyDescent="0.3">
      <c r="A3960" t="s">
        <v>3975</v>
      </c>
      <c r="B3960" t="s">
        <v>10</v>
      </c>
      <c r="C3960" t="s">
        <v>14</v>
      </c>
      <c r="D3960">
        <v>43</v>
      </c>
      <c r="E3960" s="1">
        <v>45221</v>
      </c>
      <c r="F3960">
        <v>4.12</v>
      </c>
      <c r="G3960">
        <v>15</v>
      </c>
      <c r="H3960">
        <v>13149.12</v>
      </c>
      <c r="I3960">
        <v>2</v>
      </c>
    </row>
    <row r="3961" spans="1:9" x14ac:dyDescent="0.3">
      <c r="A3961" t="s">
        <v>3976</v>
      </c>
      <c r="B3961" t="s">
        <v>34</v>
      </c>
      <c r="C3961" t="s">
        <v>14</v>
      </c>
      <c r="D3961">
        <v>50</v>
      </c>
      <c r="E3961" s="1">
        <v>43683</v>
      </c>
      <c r="F3961">
        <v>3.59</v>
      </c>
      <c r="G3961">
        <v>15</v>
      </c>
      <c r="H3961">
        <v>9316.5499999999993</v>
      </c>
      <c r="I3961">
        <v>6.2</v>
      </c>
    </row>
    <row r="3962" spans="1:9" x14ac:dyDescent="0.3">
      <c r="A3962" t="s">
        <v>3977</v>
      </c>
      <c r="B3962" t="s">
        <v>10</v>
      </c>
      <c r="C3962" t="s">
        <v>14</v>
      </c>
      <c r="D3962">
        <v>37</v>
      </c>
      <c r="E3962" s="1">
        <v>40922</v>
      </c>
      <c r="F3962">
        <v>2.56</v>
      </c>
      <c r="G3962">
        <v>10</v>
      </c>
      <c r="H3962">
        <v>5160.78</v>
      </c>
      <c r="I3962">
        <v>13.8</v>
      </c>
    </row>
    <row r="3963" spans="1:9" x14ac:dyDescent="0.3">
      <c r="A3963" t="s">
        <v>3978</v>
      </c>
      <c r="B3963" t="s">
        <v>13</v>
      </c>
      <c r="C3963" t="s">
        <v>14</v>
      </c>
      <c r="D3963">
        <v>24</v>
      </c>
      <c r="E3963" s="1">
        <v>41386</v>
      </c>
      <c r="F3963">
        <v>3.25</v>
      </c>
      <c r="G3963">
        <v>1</v>
      </c>
      <c r="H3963">
        <v>10626.26</v>
      </c>
      <c r="I3963">
        <v>12.5</v>
      </c>
    </row>
    <row r="3964" spans="1:9" x14ac:dyDescent="0.3">
      <c r="A3964" t="s">
        <v>3979</v>
      </c>
      <c r="B3964" t="s">
        <v>16</v>
      </c>
      <c r="C3964" t="s">
        <v>14</v>
      </c>
      <c r="D3964">
        <v>43</v>
      </c>
      <c r="E3964" s="1">
        <v>45772</v>
      </c>
      <c r="F3964">
        <v>4.28</v>
      </c>
      <c r="G3964">
        <v>7</v>
      </c>
      <c r="H3964">
        <v>10787.76</v>
      </c>
      <c r="I3964">
        <v>0.5</v>
      </c>
    </row>
    <row r="3965" spans="1:9" x14ac:dyDescent="0.3">
      <c r="A3965" t="s">
        <v>3980</v>
      </c>
      <c r="B3965" t="s">
        <v>24</v>
      </c>
      <c r="C3965" t="s">
        <v>11</v>
      </c>
      <c r="D3965">
        <v>50</v>
      </c>
      <c r="E3965" s="1">
        <v>44492</v>
      </c>
      <c r="F3965">
        <v>3.16</v>
      </c>
      <c r="G3965">
        <v>11</v>
      </c>
      <c r="H3965">
        <v>6223.5</v>
      </c>
      <c r="I3965">
        <v>4</v>
      </c>
    </row>
    <row r="3966" spans="1:9" x14ac:dyDescent="0.3">
      <c r="A3966" t="s">
        <v>3981</v>
      </c>
      <c r="B3966" t="s">
        <v>34</v>
      </c>
      <c r="C3966" t="s">
        <v>14</v>
      </c>
      <c r="D3966">
        <v>39</v>
      </c>
      <c r="E3966" s="1">
        <v>42909</v>
      </c>
      <c r="F3966">
        <v>4.6399999999999997</v>
      </c>
      <c r="G3966">
        <v>14</v>
      </c>
      <c r="H3966">
        <v>6812.8</v>
      </c>
      <c r="I3966">
        <v>8.4</v>
      </c>
    </row>
    <row r="3967" spans="1:9" x14ac:dyDescent="0.3">
      <c r="A3967" t="s">
        <v>3982</v>
      </c>
      <c r="B3967" t="s">
        <v>34</v>
      </c>
      <c r="C3967" t="s">
        <v>14</v>
      </c>
      <c r="D3967">
        <v>53</v>
      </c>
      <c r="E3967" s="1">
        <v>41008</v>
      </c>
      <c r="F3967">
        <v>3.1</v>
      </c>
      <c r="G3967">
        <v>6</v>
      </c>
      <c r="H3967">
        <v>6949.43</v>
      </c>
      <c r="I3967">
        <v>13.6</v>
      </c>
    </row>
    <row r="3968" spans="1:9" x14ac:dyDescent="0.3">
      <c r="A3968" t="s">
        <v>3983</v>
      </c>
      <c r="B3968" t="s">
        <v>10</v>
      </c>
      <c r="C3968" t="s">
        <v>14</v>
      </c>
      <c r="D3968">
        <v>43</v>
      </c>
      <c r="E3968" s="1">
        <v>43829</v>
      </c>
      <c r="F3968">
        <v>4.3099999999999996</v>
      </c>
      <c r="G3968">
        <v>11</v>
      </c>
      <c r="H3968">
        <v>7958.18</v>
      </c>
      <c r="I3968">
        <v>5.8</v>
      </c>
    </row>
    <row r="3969" spans="1:9" x14ac:dyDescent="0.3">
      <c r="A3969" t="s">
        <v>3984</v>
      </c>
      <c r="B3969" t="s">
        <v>18</v>
      </c>
      <c r="C3969" t="s">
        <v>14</v>
      </c>
      <c r="D3969">
        <v>58</v>
      </c>
      <c r="E3969" s="1">
        <v>42291</v>
      </c>
      <c r="F3969">
        <v>4.8099999999999996</v>
      </c>
      <c r="G3969">
        <v>8</v>
      </c>
      <c r="H3969">
        <v>13160.63</v>
      </c>
      <c r="I3969">
        <v>10.1</v>
      </c>
    </row>
    <row r="3970" spans="1:9" x14ac:dyDescent="0.3">
      <c r="A3970" t="s">
        <v>3985</v>
      </c>
      <c r="B3970" t="s">
        <v>10</v>
      </c>
      <c r="C3970" t="s">
        <v>14</v>
      </c>
      <c r="D3970">
        <v>40</v>
      </c>
      <c r="E3970" s="1">
        <v>44228</v>
      </c>
      <c r="F3970">
        <v>3.58</v>
      </c>
      <c r="G3970">
        <v>6</v>
      </c>
      <c r="H3970">
        <v>12950.13</v>
      </c>
      <c r="I3970">
        <v>4.8</v>
      </c>
    </row>
    <row r="3971" spans="1:9" x14ac:dyDescent="0.3">
      <c r="A3971" t="s">
        <v>3986</v>
      </c>
      <c r="B3971" t="s">
        <v>13</v>
      </c>
      <c r="C3971" t="s">
        <v>14</v>
      </c>
      <c r="D3971">
        <v>29</v>
      </c>
      <c r="E3971" s="1">
        <v>42419</v>
      </c>
      <c r="F3971">
        <v>3.48</v>
      </c>
      <c r="G3971">
        <v>12</v>
      </c>
      <c r="H3971">
        <v>13898.67</v>
      </c>
      <c r="I3971">
        <v>9.6999999999999993</v>
      </c>
    </row>
    <row r="3972" spans="1:9" x14ac:dyDescent="0.3">
      <c r="A3972" t="s">
        <v>3987</v>
      </c>
      <c r="B3972" t="s">
        <v>34</v>
      </c>
      <c r="C3972" t="s">
        <v>14</v>
      </c>
      <c r="D3972">
        <v>27</v>
      </c>
      <c r="E3972" s="1">
        <v>41256</v>
      </c>
      <c r="F3972">
        <v>3.79</v>
      </c>
      <c r="G3972">
        <v>1</v>
      </c>
      <c r="H3972">
        <v>5410.18</v>
      </c>
      <c r="I3972">
        <v>12.9</v>
      </c>
    </row>
    <row r="3973" spans="1:9" x14ac:dyDescent="0.3">
      <c r="A3973" t="s">
        <v>3988</v>
      </c>
      <c r="B3973" t="s">
        <v>24</v>
      </c>
      <c r="C3973" t="s">
        <v>11</v>
      </c>
      <c r="D3973">
        <v>40</v>
      </c>
      <c r="E3973" s="1">
        <v>44799</v>
      </c>
      <c r="F3973">
        <v>4.3899999999999997</v>
      </c>
      <c r="G3973">
        <v>4</v>
      </c>
      <c r="H3973">
        <v>7320.91</v>
      </c>
      <c r="I3973">
        <v>3.2</v>
      </c>
    </row>
    <row r="3974" spans="1:9" x14ac:dyDescent="0.3">
      <c r="A3974" t="s">
        <v>3989</v>
      </c>
      <c r="B3974" t="s">
        <v>16</v>
      </c>
      <c r="C3974" t="s">
        <v>14</v>
      </c>
      <c r="D3974">
        <v>48</v>
      </c>
      <c r="E3974" s="1">
        <v>42459</v>
      </c>
      <c r="F3974">
        <v>3.59</v>
      </c>
      <c r="G3974">
        <v>11</v>
      </c>
      <c r="H3974">
        <v>5147.1099999999997</v>
      </c>
      <c r="I3974">
        <v>9.6</v>
      </c>
    </row>
    <row r="3975" spans="1:9" x14ac:dyDescent="0.3">
      <c r="A3975" t="s">
        <v>3990</v>
      </c>
      <c r="B3975" t="s">
        <v>13</v>
      </c>
      <c r="C3975" t="s">
        <v>11</v>
      </c>
      <c r="D3975">
        <v>24</v>
      </c>
      <c r="E3975" s="1">
        <v>41347</v>
      </c>
      <c r="F3975">
        <v>4.08</v>
      </c>
      <c r="G3975">
        <v>5</v>
      </c>
      <c r="H3975">
        <v>14547.31</v>
      </c>
      <c r="I3975">
        <v>12.6</v>
      </c>
    </row>
    <row r="3976" spans="1:9" x14ac:dyDescent="0.3">
      <c r="A3976" t="s">
        <v>3991</v>
      </c>
      <c r="B3976" t="s">
        <v>10</v>
      </c>
      <c r="C3976" t="s">
        <v>14</v>
      </c>
      <c r="D3976">
        <v>55</v>
      </c>
      <c r="E3976" s="1">
        <v>44601</v>
      </c>
      <c r="F3976">
        <v>3.98</v>
      </c>
      <c r="G3976">
        <v>7</v>
      </c>
      <c r="H3976">
        <v>9651.7999999999993</v>
      </c>
      <c r="I3976">
        <v>3.7</v>
      </c>
    </row>
    <row r="3977" spans="1:9" x14ac:dyDescent="0.3">
      <c r="A3977" t="s">
        <v>3992</v>
      </c>
      <c r="B3977" t="s">
        <v>24</v>
      </c>
      <c r="C3977" t="s">
        <v>14</v>
      </c>
      <c r="D3977">
        <v>25</v>
      </c>
      <c r="E3977" s="1">
        <v>45397</v>
      </c>
      <c r="F3977">
        <v>4.49</v>
      </c>
      <c r="G3977">
        <v>2</v>
      </c>
      <c r="H3977">
        <v>6163.07</v>
      </c>
      <c r="I3977">
        <v>1.5</v>
      </c>
    </row>
    <row r="3978" spans="1:9" x14ac:dyDescent="0.3">
      <c r="A3978" t="s">
        <v>3993</v>
      </c>
      <c r="B3978" t="s">
        <v>10</v>
      </c>
      <c r="C3978" t="s">
        <v>14</v>
      </c>
      <c r="D3978">
        <v>51</v>
      </c>
      <c r="E3978" s="1">
        <v>40543</v>
      </c>
      <c r="F3978">
        <v>4.2699999999999996</v>
      </c>
      <c r="G3978">
        <v>4</v>
      </c>
      <c r="H3978">
        <v>14632.68</v>
      </c>
      <c r="I3978">
        <v>14.8</v>
      </c>
    </row>
    <row r="3979" spans="1:9" x14ac:dyDescent="0.3">
      <c r="A3979" t="s">
        <v>3994</v>
      </c>
      <c r="B3979" t="s">
        <v>18</v>
      </c>
      <c r="C3979" t="s">
        <v>14</v>
      </c>
      <c r="D3979">
        <v>44</v>
      </c>
      <c r="E3979" s="1">
        <v>42533</v>
      </c>
      <c r="F3979">
        <v>4.0199999999999996</v>
      </c>
      <c r="G3979">
        <v>3</v>
      </c>
      <c r="H3979">
        <v>7728.99</v>
      </c>
      <c r="I3979">
        <v>9.4</v>
      </c>
    </row>
    <row r="3980" spans="1:9" x14ac:dyDescent="0.3">
      <c r="A3980" t="s">
        <v>3995</v>
      </c>
      <c r="B3980" t="s">
        <v>16</v>
      </c>
      <c r="C3980" t="s">
        <v>11</v>
      </c>
      <c r="D3980">
        <v>32</v>
      </c>
      <c r="E3980" s="1">
        <v>45828</v>
      </c>
      <c r="F3980">
        <v>4.54</v>
      </c>
      <c r="G3980">
        <v>4</v>
      </c>
      <c r="H3980">
        <v>12661.79</v>
      </c>
      <c r="I3980">
        <v>0.4</v>
      </c>
    </row>
    <row r="3981" spans="1:9" x14ac:dyDescent="0.3">
      <c r="A3981" t="s">
        <v>3996</v>
      </c>
      <c r="B3981" t="s">
        <v>16</v>
      </c>
      <c r="C3981" t="s">
        <v>14</v>
      </c>
      <c r="D3981">
        <v>26</v>
      </c>
      <c r="E3981" s="1">
        <v>43230</v>
      </c>
      <c r="F3981">
        <v>4.5199999999999996</v>
      </c>
      <c r="G3981">
        <v>10</v>
      </c>
      <c r="H3981">
        <v>5635.14</v>
      </c>
      <c r="I3981">
        <v>7.5</v>
      </c>
    </row>
    <row r="3982" spans="1:9" x14ac:dyDescent="0.3">
      <c r="A3982" t="s">
        <v>3997</v>
      </c>
      <c r="B3982" t="s">
        <v>18</v>
      </c>
      <c r="C3982" t="s">
        <v>14</v>
      </c>
      <c r="D3982">
        <v>53</v>
      </c>
      <c r="E3982" s="1">
        <v>43696</v>
      </c>
      <c r="F3982">
        <v>3.85</v>
      </c>
      <c r="G3982">
        <v>10</v>
      </c>
      <c r="H3982">
        <v>12543.73</v>
      </c>
      <c r="I3982">
        <v>6.2</v>
      </c>
    </row>
    <row r="3983" spans="1:9" x14ac:dyDescent="0.3">
      <c r="A3983" t="s">
        <v>3998</v>
      </c>
      <c r="B3983" t="s">
        <v>16</v>
      </c>
      <c r="C3983" t="s">
        <v>11</v>
      </c>
      <c r="D3983">
        <v>52</v>
      </c>
      <c r="E3983" s="1">
        <v>44589</v>
      </c>
      <c r="F3983">
        <v>3.67</v>
      </c>
      <c r="G3983">
        <v>12</v>
      </c>
      <c r="H3983">
        <v>5380.11</v>
      </c>
      <c r="I3983">
        <v>3.8</v>
      </c>
    </row>
    <row r="3984" spans="1:9" x14ac:dyDescent="0.3">
      <c r="A3984" t="s">
        <v>3999</v>
      </c>
      <c r="B3984" t="s">
        <v>34</v>
      </c>
      <c r="C3984" t="s">
        <v>14</v>
      </c>
      <c r="D3984">
        <v>49</v>
      </c>
      <c r="E3984" s="1">
        <v>41987</v>
      </c>
      <c r="F3984">
        <v>3.32</v>
      </c>
      <c r="G3984">
        <v>2</v>
      </c>
      <c r="H3984">
        <v>8002.42</v>
      </c>
      <c r="I3984">
        <v>10.9</v>
      </c>
    </row>
    <row r="3985" spans="1:9" x14ac:dyDescent="0.3">
      <c r="A3985" t="s">
        <v>4000</v>
      </c>
      <c r="B3985" t="s">
        <v>16</v>
      </c>
      <c r="C3985" t="s">
        <v>14</v>
      </c>
      <c r="D3985">
        <v>33</v>
      </c>
      <c r="E3985" s="1">
        <v>43646</v>
      </c>
      <c r="F3985">
        <v>2.98</v>
      </c>
      <c r="G3985">
        <v>3</v>
      </c>
      <c r="H3985">
        <v>6084.69</v>
      </c>
      <c r="I3985">
        <v>6.3</v>
      </c>
    </row>
    <row r="3986" spans="1:9" x14ac:dyDescent="0.3">
      <c r="A3986" t="s">
        <v>4001</v>
      </c>
      <c r="B3986" t="s">
        <v>13</v>
      </c>
      <c r="C3986" t="s">
        <v>11</v>
      </c>
      <c r="D3986">
        <v>33</v>
      </c>
      <c r="E3986" s="1">
        <v>41685</v>
      </c>
      <c r="F3986">
        <v>3.19</v>
      </c>
      <c r="G3986">
        <v>5</v>
      </c>
      <c r="H3986">
        <v>6795.53</v>
      </c>
      <c r="I3986">
        <v>11.7</v>
      </c>
    </row>
    <row r="3987" spans="1:9" x14ac:dyDescent="0.3">
      <c r="A3987" t="s">
        <v>4002</v>
      </c>
      <c r="B3987" t="s">
        <v>10</v>
      </c>
      <c r="C3987" t="s">
        <v>14</v>
      </c>
      <c r="D3987">
        <v>32</v>
      </c>
      <c r="E3987" s="1">
        <v>43640</v>
      </c>
      <c r="F3987">
        <v>4.7699999999999996</v>
      </c>
      <c r="G3987">
        <v>6</v>
      </c>
      <c r="H3987">
        <v>10026.870000000001</v>
      </c>
      <c r="I3987">
        <v>6.4</v>
      </c>
    </row>
    <row r="3988" spans="1:9" x14ac:dyDescent="0.3">
      <c r="A3988" t="s">
        <v>4003</v>
      </c>
      <c r="B3988" t="s">
        <v>24</v>
      </c>
      <c r="C3988" t="s">
        <v>14</v>
      </c>
      <c r="D3988">
        <v>54</v>
      </c>
      <c r="E3988" s="1">
        <v>45619</v>
      </c>
      <c r="F3988">
        <v>2.39</v>
      </c>
      <c r="G3988">
        <v>5</v>
      </c>
      <c r="H3988">
        <v>3160.47</v>
      </c>
      <c r="I3988">
        <v>0.9</v>
      </c>
    </row>
    <row r="3989" spans="1:9" x14ac:dyDescent="0.3">
      <c r="A3989" t="s">
        <v>4004</v>
      </c>
      <c r="B3989" t="s">
        <v>13</v>
      </c>
      <c r="C3989" t="s">
        <v>11</v>
      </c>
      <c r="D3989">
        <v>33</v>
      </c>
      <c r="E3989" s="1">
        <v>40344</v>
      </c>
      <c r="F3989">
        <v>4.2</v>
      </c>
      <c r="G3989">
        <v>2</v>
      </c>
      <c r="H3989">
        <v>11179.88</v>
      </c>
      <c r="I3989">
        <v>15.4</v>
      </c>
    </row>
    <row r="3990" spans="1:9" x14ac:dyDescent="0.3">
      <c r="A3990" t="s">
        <v>4005</v>
      </c>
      <c r="B3990" t="s">
        <v>24</v>
      </c>
      <c r="C3990" t="s">
        <v>11</v>
      </c>
      <c r="D3990">
        <v>37</v>
      </c>
      <c r="E3990" s="1">
        <v>41136</v>
      </c>
      <c r="F3990">
        <v>4.78</v>
      </c>
      <c r="G3990">
        <v>2</v>
      </c>
      <c r="H3990">
        <v>9724.27</v>
      </c>
      <c r="I3990">
        <v>13.2</v>
      </c>
    </row>
    <row r="3991" spans="1:9" x14ac:dyDescent="0.3">
      <c r="A3991" t="s">
        <v>4006</v>
      </c>
      <c r="B3991" t="s">
        <v>16</v>
      </c>
      <c r="C3991" t="s">
        <v>11</v>
      </c>
      <c r="D3991">
        <v>52</v>
      </c>
      <c r="E3991" s="1">
        <v>42393</v>
      </c>
      <c r="F3991">
        <v>1.95</v>
      </c>
      <c r="G3991">
        <v>9</v>
      </c>
      <c r="H3991">
        <v>3281.97</v>
      </c>
      <c r="I3991">
        <v>9.8000000000000007</v>
      </c>
    </row>
    <row r="3992" spans="1:9" x14ac:dyDescent="0.3">
      <c r="A3992" t="s">
        <v>4007</v>
      </c>
      <c r="B3992" t="s">
        <v>24</v>
      </c>
      <c r="C3992" t="s">
        <v>11</v>
      </c>
      <c r="D3992">
        <v>48</v>
      </c>
      <c r="E3992" s="1">
        <v>42675</v>
      </c>
      <c r="F3992">
        <v>3.94</v>
      </c>
      <c r="G3992">
        <v>11</v>
      </c>
      <c r="H3992">
        <v>6199.19</v>
      </c>
      <c r="I3992">
        <v>9</v>
      </c>
    </row>
    <row r="3993" spans="1:9" x14ac:dyDescent="0.3">
      <c r="A3993" t="s">
        <v>4008</v>
      </c>
      <c r="B3993" t="s">
        <v>16</v>
      </c>
      <c r="C3993" t="s">
        <v>11</v>
      </c>
      <c r="D3993">
        <v>36</v>
      </c>
      <c r="E3993" s="1">
        <v>44741</v>
      </c>
      <c r="F3993">
        <v>1.59</v>
      </c>
      <c r="G3993">
        <v>13</v>
      </c>
      <c r="H3993">
        <v>3024.17</v>
      </c>
      <c r="I3993">
        <v>3.3</v>
      </c>
    </row>
    <row r="3994" spans="1:9" x14ac:dyDescent="0.3">
      <c r="A3994" t="s">
        <v>4009</v>
      </c>
      <c r="B3994" t="s">
        <v>10</v>
      </c>
      <c r="C3994" t="s">
        <v>14</v>
      </c>
      <c r="D3994">
        <v>56</v>
      </c>
      <c r="E3994" s="1">
        <v>40382</v>
      </c>
      <c r="F3994">
        <v>2.1</v>
      </c>
      <c r="G3994">
        <v>3</v>
      </c>
      <c r="H3994">
        <v>8894.92</v>
      </c>
      <c r="I3994">
        <v>15.3</v>
      </c>
    </row>
    <row r="3995" spans="1:9" x14ac:dyDescent="0.3">
      <c r="A3995" t="s">
        <v>4010</v>
      </c>
      <c r="B3995" t="s">
        <v>13</v>
      </c>
      <c r="C3995" t="s">
        <v>11</v>
      </c>
      <c r="D3995">
        <v>25</v>
      </c>
      <c r="E3995" s="1">
        <v>45378</v>
      </c>
      <c r="F3995">
        <v>4.1100000000000003</v>
      </c>
      <c r="G3995">
        <v>10</v>
      </c>
      <c r="H3995">
        <v>11735.16</v>
      </c>
      <c r="I3995">
        <v>1.6</v>
      </c>
    </row>
    <row r="3996" spans="1:9" x14ac:dyDescent="0.3">
      <c r="A3996" t="s">
        <v>4011</v>
      </c>
      <c r="B3996" t="s">
        <v>13</v>
      </c>
      <c r="C3996" t="s">
        <v>14</v>
      </c>
      <c r="D3996">
        <v>31</v>
      </c>
      <c r="E3996" s="1">
        <v>41085</v>
      </c>
      <c r="F3996">
        <v>4.76</v>
      </c>
      <c r="G3996">
        <v>13</v>
      </c>
      <c r="H3996">
        <v>9246.36</v>
      </c>
      <c r="I3996">
        <v>13.4</v>
      </c>
    </row>
    <row r="3997" spans="1:9" x14ac:dyDescent="0.3">
      <c r="A3997" t="s">
        <v>4012</v>
      </c>
      <c r="B3997" t="s">
        <v>13</v>
      </c>
      <c r="C3997" t="s">
        <v>14</v>
      </c>
      <c r="D3997">
        <v>44</v>
      </c>
      <c r="E3997" s="1">
        <v>42063</v>
      </c>
      <c r="F3997">
        <v>2.59</v>
      </c>
      <c r="G3997">
        <v>10</v>
      </c>
      <c r="H3997">
        <v>3633.46</v>
      </c>
      <c r="I3997">
        <v>10.7</v>
      </c>
    </row>
    <row r="3998" spans="1:9" x14ac:dyDescent="0.3">
      <c r="A3998" t="s">
        <v>4013</v>
      </c>
      <c r="B3998" t="s">
        <v>34</v>
      </c>
      <c r="C3998" t="s">
        <v>14</v>
      </c>
      <c r="D3998">
        <v>29</v>
      </c>
      <c r="E3998" s="1">
        <v>45357</v>
      </c>
      <c r="F3998">
        <v>3.52</v>
      </c>
      <c r="G3998">
        <v>12</v>
      </c>
      <c r="H3998">
        <v>4415.41</v>
      </c>
      <c r="I3998">
        <v>1.7</v>
      </c>
    </row>
    <row r="3999" spans="1:9" x14ac:dyDescent="0.3">
      <c r="A3999" t="s">
        <v>4014</v>
      </c>
      <c r="B3999" t="s">
        <v>10</v>
      </c>
      <c r="C3999" t="s">
        <v>14</v>
      </c>
      <c r="D3999">
        <v>53</v>
      </c>
      <c r="E3999" s="1">
        <v>43391</v>
      </c>
      <c r="F3999">
        <v>1.76</v>
      </c>
      <c r="G3999">
        <v>15</v>
      </c>
      <c r="H3999">
        <v>6098.42</v>
      </c>
      <c r="I3999">
        <v>7</v>
      </c>
    </row>
    <row r="4000" spans="1:9" x14ac:dyDescent="0.3">
      <c r="A4000" t="s">
        <v>4015</v>
      </c>
      <c r="B4000" t="s">
        <v>18</v>
      </c>
      <c r="C4000" t="s">
        <v>11</v>
      </c>
      <c r="D4000">
        <v>51</v>
      </c>
      <c r="E4000" s="1">
        <v>42802</v>
      </c>
      <c r="F4000">
        <v>4.2</v>
      </c>
      <c r="G4000">
        <v>8</v>
      </c>
      <c r="H4000">
        <v>5781.76</v>
      </c>
      <c r="I4000">
        <v>8.6999999999999993</v>
      </c>
    </row>
    <row r="4001" spans="1:9" x14ac:dyDescent="0.3">
      <c r="A4001" t="s">
        <v>4016</v>
      </c>
      <c r="B4001" t="s">
        <v>10</v>
      </c>
      <c r="C4001" t="s">
        <v>14</v>
      </c>
      <c r="D4001">
        <v>25</v>
      </c>
      <c r="E4001" s="1">
        <v>44962</v>
      </c>
      <c r="F4001">
        <v>1.53</v>
      </c>
      <c r="G4001">
        <v>4</v>
      </c>
      <c r="H4001">
        <v>7617.97</v>
      </c>
      <c r="I4001">
        <v>2.7</v>
      </c>
    </row>
    <row r="4002" spans="1:9" x14ac:dyDescent="0.3">
      <c r="A4002" t="s">
        <v>4017</v>
      </c>
      <c r="B4002" t="s">
        <v>13</v>
      </c>
      <c r="C4002" t="s">
        <v>11</v>
      </c>
      <c r="D4002">
        <v>48</v>
      </c>
      <c r="E4002" s="1">
        <v>40541</v>
      </c>
      <c r="F4002">
        <v>2.65</v>
      </c>
      <c r="G4002">
        <v>1</v>
      </c>
      <c r="H4002">
        <v>11474.89</v>
      </c>
      <c r="I4002">
        <v>14.9</v>
      </c>
    </row>
    <row r="4003" spans="1:9" x14ac:dyDescent="0.3">
      <c r="A4003" t="s">
        <v>4018</v>
      </c>
      <c r="B4003" t="s">
        <v>24</v>
      </c>
      <c r="C4003" t="s">
        <v>11</v>
      </c>
      <c r="D4003">
        <v>36</v>
      </c>
      <c r="E4003" s="1">
        <v>43345</v>
      </c>
      <c r="F4003">
        <v>4.8499999999999996</v>
      </c>
      <c r="G4003">
        <v>11</v>
      </c>
      <c r="H4003">
        <v>13225.82</v>
      </c>
      <c r="I4003">
        <v>7.2</v>
      </c>
    </row>
    <row r="4004" spans="1:9" x14ac:dyDescent="0.3">
      <c r="A4004" t="s">
        <v>4019</v>
      </c>
      <c r="B4004" t="s">
        <v>10</v>
      </c>
      <c r="C4004" t="s">
        <v>14</v>
      </c>
      <c r="D4004">
        <v>25</v>
      </c>
      <c r="E4004" s="1">
        <v>45691</v>
      </c>
      <c r="F4004">
        <v>2.2799999999999998</v>
      </c>
      <c r="G4004">
        <v>13</v>
      </c>
      <c r="H4004">
        <v>4058.29</v>
      </c>
      <c r="I4004">
        <v>0.7</v>
      </c>
    </row>
    <row r="4005" spans="1:9" x14ac:dyDescent="0.3">
      <c r="A4005" t="s">
        <v>4020</v>
      </c>
      <c r="B4005" t="s">
        <v>24</v>
      </c>
      <c r="C4005" t="s">
        <v>11</v>
      </c>
      <c r="D4005">
        <v>27</v>
      </c>
      <c r="E4005" s="1">
        <v>43677</v>
      </c>
      <c r="F4005">
        <v>4.25</v>
      </c>
      <c r="G4005">
        <v>13</v>
      </c>
      <c r="H4005">
        <v>6973</v>
      </c>
      <c r="I4005">
        <v>6.3</v>
      </c>
    </row>
    <row r="4006" spans="1:9" x14ac:dyDescent="0.3">
      <c r="A4006" t="s">
        <v>4021</v>
      </c>
      <c r="B4006" t="s">
        <v>13</v>
      </c>
      <c r="C4006" t="s">
        <v>14</v>
      </c>
      <c r="D4006">
        <v>35</v>
      </c>
      <c r="E4006" s="1">
        <v>45282</v>
      </c>
      <c r="F4006">
        <v>2.5299999999999998</v>
      </c>
      <c r="G4006">
        <v>0</v>
      </c>
      <c r="H4006">
        <v>5008.82</v>
      </c>
      <c r="I4006">
        <v>1.9</v>
      </c>
    </row>
    <row r="4007" spans="1:9" x14ac:dyDescent="0.3">
      <c r="A4007" t="s">
        <v>4022</v>
      </c>
      <c r="B4007" t="s">
        <v>10</v>
      </c>
      <c r="C4007" t="s">
        <v>11</v>
      </c>
      <c r="D4007">
        <v>50</v>
      </c>
      <c r="E4007" s="1">
        <v>43227</v>
      </c>
      <c r="F4007">
        <v>3.19</v>
      </c>
      <c r="G4007">
        <v>2</v>
      </c>
      <c r="H4007">
        <v>13933.79</v>
      </c>
      <c r="I4007">
        <v>7.5</v>
      </c>
    </row>
    <row r="4008" spans="1:9" x14ac:dyDescent="0.3">
      <c r="A4008" t="s">
        <v>4023</v>
      </c>
      <c r="B4008" t="s">
        <v>13</v>
      </c>
      <c r="C4008" t="s">
        <v>11</v>
      </c>
      <c r="D4008">
        <v>38</v>
      </c>
      <c r="E4008" s="1">
        <v>40425</v>
      </c>
      <c r="F4008">
        <v>2.1</v>
      </c>
      <c r="G4008">
        <v>6</v>
      </c>
      <c r="H4008">
        <v>6710.65</v>
      </c>
      <c r="I4008">
        <v>15.2</v>
      </c>
    </row>
    <row r="4009" spans="1:9" x14ac:dyDescent="0.3">
      <c r="A4009" t="s">
        <v>4024</v>
      </c>
      <c r="B4009" t="s">
        <v>10</v>
      </c>
      <c r="C4009" t="s">
        <v>11</v>
      </c>
      <c r="D4009">
        <v>40</v>
      </c>
      <c r="E4009" s="1">
        <v>43221</v>
      </c>
      <c r="F4009">
        <v>4.8099999999999996</v>
      </c>
      <c r="G4009">
        <v>10</v>
      </c>
      <c r="H4009">
        <v>4621.34</v>
      </c>
      <c r="I4009">
        <v>7.5</v>
      </c>
    </row>
    <row r="4010" spans="1:9" x14ac:dyDescent="0.3">
      <c r="A4010" t="s">
        <v>4025</v>
      </c>
      <c r="B4010" t="s">
        <v>24</v>
      </c>
      <c r="C4010" t="s">
        <v>14</v>
      </c>
      <c r="D4010">
        <v>59</v>
      </c>
      <c r="E4010" s="1">
        <v>44839</v>
      </c>
      <c r="F4010">
        <v>4.46</v>
      </c>
      <c r="G4010">
        <v>15</v>
      </c>
      <c r="H4010">
        <v>5946.73</v>
      </c>
      <c r="I4010">
        <v>3.1</v>
      </c>
    </row>
    <row r="4011" spans="1:9" x14ac:dyDescent="0.3">
      <c r="A4011" t="s">
        <v>4026</v>
      </c>
      <c r="B4011" t="s">
        <v>16</v>
      </c>
      <c r="C4011" t="s">
        <v>14</v>
      </c>
      <c r="D4011">
        <v>30</v>
      </c>
      <c r="E4011" s="1">
        <v>44205</v>
      </c>
      <c r="F4011">
        <v>5</v>
      </c>
      <c r="G4011">
        <v>7</v>
      </c>
      <c r="H4011">
        <v>9431.18</v>
      </c>
      <c r="I4011">
        <v>4.8</v>
      </c>
    </row>
    <row r="4012" spans="1:9" x14ac:dyDescent="0.3">
      <c r="A4012" t="s">
        <v>4027</v>
      </c>
      <c r="B4012" t="s">
        <v>24</v>
      </c>
      <c r="C4012" t="s">
        <v>11</v>
      </c>
      <c r="D4012">
        <v>22</v>
      </c>
      <c r="E4012" s="1">
        <v>42136</v>
      </c>
      <c r="F4012">
        <v>2.04</v>
      </c>
      <c r="G4012">
        <v>7</v>
      </c>
      <c r="H4012">
        <v>12076.16</v>
      </c>
      <c r="I4012">
        <v>10.5</v>
      </c>
    </row>
    <row r="4013" spans="1:9" x14ac:dyDescent="0.3">
      <c r="A4013" t="s">
        <v>4028</v>
      </c>
      <c r="B4013" t="s">
        <v>34</v>
      </c>
      <c r="C4013" t="s">
        <v>11</v>
      </c>
      <c r="D4013">
        <v>57</v>
      </c>
      <c r="E4013" s="1">
        <v>45551</v>
      </c>
      <c r="F4013">
        <v>4.22</v>
      </c>
      <c r="G4013">
        <v>14</v>
      </c>
      <c r="H4013">
        <v>5958.86</v>
      </c>
      <c r="I4013">
        <v>1.1000000000000001</v>
      </c>
    </row>
    <row r="4014" spans="1:9" x14ac:dyDescent="0.3">
      <c r="A4014" t="s">
        <v>4029</v>
      </c>
      <c r="B4014" t="s">
        <v>13</v>
      </c>
      <c r="C4014" t="s">
        <v>11</v>
      </c>
      <c r="D4014">
        <v>60</v>
      </c>
      <c r="E4014" s="1">
        <v>42252</v>
      </c>
      <c r="F4014">
        <v>2.1</v>
      </c>
      <c r="G4014">
        <v>1</v>
      </c>
      <c r="H4014">
        <v>14498.18</v>
      </c>
      <c r="I4014">
        <v>10.199999999999999</v>
      </c>
    </row>
    <row r="4015" spans="1:9" x14ac:dyDescent="0.3">
      <c r="A4015" t="s">
        <v>4030</v>
      </c>
      <c r="B4015" t="s">
        <v>18</v>
      </c>
      <c r="C4015" t="s">
        <v>11</v>
      </c>
      <c r="D4015">
        <v>55</v>
      </c>
      <c r="E4015" s="1">
        <v>43337</v>
      </c>
      <c r="F4015">
        <v>3.24</v>
      </c>
      <c r="G4015">
        <v>8</v>
      </c>
      <c r="H4015">
        <v>10882.1</v>
      </c>
      <c r="I4015">
        <v>7.2</v>
      </c>
    </row>
    <row r="4016" spans="1:9" x14ac:dyDescent="0.3">
      <c r="A4016" t="s">
        <v>4031</v>
      </c>
      <c r="B4016" t="s">
        <v>34</v>
      </c>
      <c r="C4016" t="s">
        <v>14</v>
      </c>
      <c r="D4016">
        <v>27</v>
      </c>
      <c r="E4016" s="1">
        <v>43174</v>
      </c>
      <c r="F4016">
        <v>3.78</v>
      </c>
      <c r="G4016">
        <v>0</v>
      </c>
      <c r="H4016">
        <v>11531.67</v>
      </c>
      <c r="I4016">
        <v>7.6</v>
      </c>
    </row>
    <row r="4017" spans="1:9" x14ac:dyDescent="0.3">
      <c r="A4017" t="s">
        <v>4032</v>
      </c>
      <c r="B4017" t="s">
        <v>24</v>
      </c>
      <c r="C4017" t="s">
        <v>11</v>
      </c>
      <c r="D4017">
        <v>51</v>
      </c>
      <c r="E4017" s="1">
        <v>45151</v>
      </c>
      <c r="F4017">
        <v>4.8</v>
      </c>
      <c r="G4017">
        <v>10</v>
      </c>
      <c r="H4017">
        <v>4657.8999999999996</v>
      </c>
      <c r="I4017">
        <v>2.2000000000000002</v>
      </c>
    </row>
    <row r="4018" spans="1:9" x14ac:dyDescent="0.3">
      <c r="A4018" t="s">
        <v>4033</v>
      </c>
      <c r="B4018" t="s">
        <v>24</v>
      </c>
      <c r="C4018" t="s">
        <v>14</v>
      </c>
      <c r="D4018">
        <v>25</v>
      </c>
      <c r="E4018" s="1">
        <v>43413</v>
      </c>
      <c r="F4018">
        <v>3.98</v>
      </c>
      <c r="G4018">
        <v>15</v>
      </c>
      <c r="H4018">
        <v>4664.99</v>
      </c>
      <c r="I4018">
        <v>7</v>
      </c>
    </row>
    <row r="4019" spans="1:9" x14ac:dyDescent="0.3">
      <c r="A4019" t="s">
        <v>4034</v>
      </c>
      <c r="B4019" t="s">
        <v>18</v>
      </c>
      <c r="C4019" t="s">
        <v>14</v>
      </c>
      <c r="D4019">
        <v>28</v>
      </c>
      <c r="E4019" s="1">
        <v>40662</v>
      </c>
      <c r="F4019">
        <v>3.61</v>
      </c>
      <c r="G4019">
        <v>15</v>
      </c>
      <c r="H4019">
        <v>14959.09</v>
      </c>
      <c r="I4019">
        <v>14.5</v>
      </c>
    </row>
    <row r="4020" spans="1:9" x14ac:dyDescent="0.3">
      <c r="A4020" t="s">
        <v>4035</v>
      </c>
      <c r="B4020" t="s">
        <v>18</v>
      </c>
      <c r="C4020" t="s">
        <v>11</v>
      </c>
      <c r="D4020">
        <v>37</v>
      </c>
      <c r="E4020" s="1">
        <v>45151</v>
      </c>
      <c r="F4020">
        <v>3.47</v>
      </c>
      <c r="G4020">
        <v>12</v>
      </c>
      <c r="H4020">
        <v>10124.89</v>
      </c>
      <c r="I4020">
        <v>2.2000000000000002</v>
      </c>
    </row>
    <row r="4021" spans="1:9" x14ac:dyDescent="0.3">
      <c r="A4021" t="s">
        <v>4036</v>
      </c>
      <c r="B4021" t="s">
        <v>18</v>
      </c>
      <c r="C4021" t="s">
        <v>11</v>
      </c>
      <c r="D4021">
        <v>31</v>
      </c>
      <c r="E4021" s="1">
        <v>41582</v>
      </c>
      <c r="F4021">
        <v>1.97</v>
      </c>
      <c r="G4021">
        <v>9</v>
      </c>
      <c r="H4021">
        <v>6363.43</v>
      </c>
      <c r="I4021">
        <v>12</v>
      </c>
    </row>
    <row r="4022" spans="1:9" x14ac:dyDescent="0.3">
      <c r="A4022" t="s">
        <v>4037</v>
      </c>
      <c r="B4022" t="s">
        <v>16</v>
      </c>
      <c r="C4022" t="s">
        <v>11</v>
      </c>
      <c r="D4022">
        <v>37</v>
      </c>
      <c r="E4022" s="1">
        <v>43371</v>
      </c>
      <c r="F4022">
        <v>2.8</v>
      </c>
      <c r="G4022">
        <v>14</v>
      </c>
      <c r="H4022">
        <v>10604.13</v>
      </c>
      <c r="I4022">
        <v>7.1</v>
      </c>
    </row>
    <row r="4023" spans="1:9" x14ac:dyDescent="0.3">
      <c r="A4023" t="s">
        <v>4038</v>
      </c>
      <c r="B4023" t="s">
        <v>13</v>
      </c>
      <c r="C4023" t="s">
        <v>11</v>
      </c>
      <c r="D4023">
        <v>40</v>
      </c>
      <c r="E4023" s="1">
        <v>42592</v>
      </c>
      <c r="F4023">
        <v>3.32</v>
      </c>
      <c r="G4023">
        <v>10</v>
      </c>
      <c r="H4023">
        <v>8142.39</v>
      </c>
      <c r="I4023">
        <v>9.1999999999999993</v>
      </c>
    </row>
    <row r="4024" spans="1:9" x14ac:dyDescent="0.3">
      <c r="A4024" t="s">
        <v>4039</v>
      </c>
      <c r="B4024" t="s">
        <v>13</v>
      </c>
      <c r="C4024" t="s">
        <v>11</v>
      </c>
      <c r="D4024">
        <v>30</v>
      </c>
      <c r="E4024" s="1">
        <v>44960</v>
      </c>
      <c r="F4024">
        <v>4.54</v>
      </c>
      <c r="G4024">
        <v>9</v>
      </c>
      <c r="H4024">
        <v>6680.46</v>
      </c>
      <c r="I4024">
        <v>2.7</v>
      </c>
    </row>
    <row r="4025" spans="1:9" x14ac:dyDescent="0.3">
      <c r="A4025" t="s">
        <v>4040</v>
      </c>
      <c r="B4025" t="s">
        <v>13</v>
      </c>
      <c r="C4025" t="s">
        <v>11</v>
      </c>
      <c r="D4025">
        <v>51</v>
      </c>
      <c r="E4025" s="1">
        <v>40378</v>
      </c>
      <c r="F4025">
        <v>3.35</v>
      </c>
      <c r="G4025">
        <v>12</v>
      </c>
      <c r="H4025">
        <v>4632.43</v>
      </c>
      <c r="I4025">
        <v>15.3</v>
      </c>
    </row>
    <row r="4026" spans="1:9" x14ac:dyDescent="0.3">
      <c r="A4026" t="s">
        <v>4041</v>
      </c>
      <c r="B4026" t="s">
        <v>16</v>
      </c>
      <c r="C4026" t="s">
        <v>14</v>
      </c>
      <c r="D4026">
        <v>29</v>
      </c>
      <c r="E4026" s="1">
        <v>41513</v>
      </c>
      <c r="F4026">
        <v>3.06</v>
      </c>
      <c r="G4026">
        <v>11</v>
      </c>
      <c r="H4026">
        <v>8697.15</v>
      </c>
      <c r="I4026">
        <v>12.2</v>
      </c>
    </row>
    <row r="4027" spans="1:9" x14ac:dyDescent="0.3">
      <c r="A4027" t="s">
        <v>4042</v>
      </c>
      <c r="B4027" t="s">
        <v>13</v>
      </c>
      <c r="C4027" t="s">
        <v>11</v>
      </c>
      <c r="D4027">
        <v>34</v>
      </c>
      <c r="E4027" s="1">
        <v>42174</v>
      </c>
      <c r="F4027">
        <v>3.24</v>
      </c>
      <c r="G4027">
        <v>12</v>
      </c>
      <c r="H4027">
        <v>7094.45</v>
      </c>
      <c r="I4027">
        <v>10.4</v>
      </c>
    </row>
    <row r="4028" spans="1:9" x14ac:dyDescent="0.3">
      <c r="A4028" t="s">
        <v>4043</v>
      </c>
      <c r="B4028" t="s">
        <v>18</v>
      </c>
      <c r="C4028" t="s">
        <v>11</v>
      </c>
      <c r="D4028">
        <v>42</v>
      </c>
      <c r="E4028" s="1">
        <v>41429</v>
      </c>
      <c r="F4028">
        <v>3.62</v>
      </c>
      <c r="G4028">
        <v>1</v>
      </c>
      <c r="H4028">
        <v>3104.67</v>
      </c>
      <c r="I4028">
        <v>12.4</v>
      </c>
    </row>
    <row r="4029" spans="1:9" x14ac:dyDescent="0.3">
      <c r="A4029" t="s">
        <v>4044</v>
      </c>
      <c r="B4029" t="s">
        <v>18</v>
      </c>
      <c r="C4029" t="s">
        <v>14</v>
      </c>
      <c r="D4029">
        <v>58</v>
      </c>
      <c r="E4029" s="1">
        <v>44234</v>
      </c>
      <c r="F4029">
        <v>4.12</v>
      </c>
      <c r="G4029">
        <v>5</v>
      </c>
      <c r="H4029">
        <v>5823.65</v>
      </c>
      <c r="I4029">
        <v>4.7</v>
      </c>
    </row>
    <row r="4030" spans="1:9" x14ac:dyDescent="0.3">
      <c r="A4030" t="s">
        <v>4045</v>
      </c>
      <c r="B4030" t="s">
        <v>16</v>
      </c>
      <c r="C4030" t="s">
        <v>14</v>
      </c>
      <c r="D4030">
        <v>36</v>
      </c>
      <c r="E4030" s="1">
        <v>41236</v>
      </c>
      <c r="F4030">
        <v>1.61</v>
      </c>
      <c r="G4030">
        <v>7</v>
      </c>
      <c r="H4030">
        <v>10949.35</v>
      </c>
      <c r="I4030">
        <v>12.9</v>
      </c>
    </row>
    <row r="4031" spans="1:9" x14ac:dyDescent="0.3">
      <c r="A4031" t="s">
        <v>4046</v>
      </c>
      <c r="B4031" t="s">
        <v>24</v>
      </c>
      <c r="C4031" t="s">
        <v>14</v>
      </c>
      <c r="D4031">
        <v>48</v>
      </c>
      <c r="E4031" s="1">
        <v>44227</v>
      </c>
      <c r="F4031">
        <v>2.5499999999999998</v>
      </c>
      <c r="G4031">
        <v>12</v>
      </c>
      <c r="H4031">
        <v>6481.64</v>
      </c>
      <c r="I4031">
        <v>4.8</v>
      </c>
    </row>
    <row r="4032" spans="1:9" x14ac:dyDescent="0.3">
      <c r="A4032" t="s">
        <v>4047</v>
      </c>
      <c r="B4032" t="s">
        <v>10</v>
      </c>
      <c r="C4032" t="s">
        <v>11</v>
      </c>
      <c r="D4032">
        <v>36</v>
      </c>
      <c r="E4032" s="1">
        <v>41193</v>
      </c>
      <c r="F4032">
        <v>2.23</v>
      </c>
      <c r="G4032">
        <v>15</v>
      </c>
      <c r="H4032">
        <v>5576.64</v>
      </c>
      <c r="I4032">
        <v>13.1</v>
      </c>
    </row>
    <row r="4033" spans="1:9" x14ac:dyDescent="0.3">
      <c r="A4033" t="s">
        <v>4048</v>
      </c>
      <c r="B4033" t="s">
        <v>13</v>
      </c>
      <c r="C4033" t="s">
        <v>14</v>
      </c>
      <c r="D4033">
        <v>25</v>
      </c>
      <c r="E4033" s="1">
        <v>40410</v>
      </c>
      <c r="F4033">
        <v>3.97</v>
      </c>
      <c r="G4033">
        <v>10</v>
      </c>
      <c r="H4033">
        <v>10452.36</v>
      </c>
      <c r="I4033">
        <v>15.2</v>
      </c>
    </row>
    <row r="4034" spans="1:9" x14ac:dyDescent="0.3">
      <c r="A4034" t="s">
        <v>4049</v>
      </c>
      <c r="B4034" t="s">
        <v>24</v>
      </c>
      <c r="C4034" t="s">
        <v>11</v>
      </c>
      <c r="D4034">
        <v>51</v>
      </c>
      <c r="E4034" s="1">
        <v>43424</v>
      </c>
      <c r="F4034">
        <v>3.83</v>
      </c>
      <c r="G4034">
        <v>4</v>
      </c>
      <c r="H4034">
        <v>11717.32</v>
      </c>
      <c r="I4034">
        <v>7</v>
      </c>
    </row>
    <row r="4035" spans="1:9" x14ac:dyDescent="0.3">
      <c r="A4035" t="s">
        <v>4050</v>
      </c>
      <c r="B4035" t="s">
        <v>16</v>
      </c>
      <c r="C4035" t="s">
        <v>14</v>
      </c>
      <c r="D4035">
        <v>52</v>
      </c>
      <c r="E4035" s="1">
        <v>42526</v>
      </c>
      <c r="F4035">
        <v>2.2799999999999998</v>
      </c>
      <c r="G4035">
        <v>11</v>
      </c>
      <c r="H4035">
        <v>12366.13</v>
      </c>
      <c r="I4035">
        <v>9.4</v>
      </c>
    </row>
    <row r="4036" spans="1:9" x14ac:dyDescent="0.3">
      <c r="A4036" t="s">
        <v>4051</v>
      </c>
      <c r="B4036" t="s">
        <v>13</v>
      </c>
      <c r="C4036" t="s">
        <v>14</v>
      </c>
      <c r="D4036">
        <v>45</v>
      </c>
      <c r="E4036" s="1">
        <v>42013</v>
      </c>
      <c r="F4036">
        <v>4.83</v>
      </c>
      <c r="G4036">
        <v>1</v>
      </c>
      <c r="H4036">
        <v>4023.85</v>
      </c>
      <c r="I4036">
        <v>10.8</v>
      </c>
    </row>
    <row r="4037" spans="1:9" x14ac:dyDescent="0.3">
      <c r="A4037" t="s">
        <v>4052</v>
      </c>
      <c r="B4037" t="s">
        <v>18</v>
      </c>
      <c r="C4037" t="s">
        <v>11</v>
      </c>
      <c r="D4037">
        <v>28</v>
      </c>
      <c r="E4037" s="1">
        <v>43562</v>
      </c>
      <c r="F4037">
        <v>3.32</v>
      </c>
      <c r="G4037">
        <v>10</v>
      </c>
      <c r="H4037">
        <v>5867.1</v>
      </c>
      <c r="I4037">
        <v>6.6</v>
      </c>
    </row>
    <row r="4038" spans="1:9" x14ac:dyDescent="0.3">
      <c r="A4038" t="s">
        <v>4053</v>
      </c>
      <c r="B4038" t="s">
        <v>16</v>
      </c>
      <c r="C4038" t="s">
        <v>14</v>
      </c>
      <c r="D4038">
        <v>29</v>
      </c>
      <c r="E4038" s="1">
        <v>42854</v>
      </c>
      <c r="F4038">
        <v>4</v>
      </c>
      <c r="G4038">
        <v>4</v>
      </c>
      <c r="H4038">
        <v>7786.43</v>
      </c>
      <c r="I4038">
        <v>8.5</v>
      </c>
    </row>
    <row r="4039" spans="1:9" x14ac:dyDescent="0.3">
      <c r="A4039" t="s">
        <v>4054</v>
      </c>
      <c r="B4039" t="s">
        <v>13</v>
      </c>
      <c r="C4039" t="s">
        <v>14</v>
      </c>
      <c r="D4039">
        <v>42</v>
      </c>
      <c r="E4039" s="1">
        <v>40269</v>
      </c>
      <c r="F4039">
        <v>3.73</v>
      </c>
      <c r="G4039">
        <v>4</v>
      </c>
      <c r="H4039">
        <v>10045.049999999999</v>
      </c>
      <c r="I4039">
        <v>15.6</v>
      </c>
    </row>
    <row r="4040" spans="1:9" x14ac:dyDescent="0.3">
      <c r="A4040" t="s">
        <v>4055</v>
      </c>
      <c r="B4040" t="s">
        <v>24</v>
      </c>
      <c r="C4040" t="s">
        <v>14</v>
      </c>
      <c r="D4040">
        <v>39</v>
      </c>
      <c r="E4040" s="1">
        <v>42391</v>
      </c>
      <c r="F4040">
        <v>4.1900000000000004</v>
      </c>
      <c r="G4040">
        <v>7</v>
      </c>
      <c r="H4040">
        <v>4943.6899999999996</v>
      </c>
      <c r="I4040">
        <v>9.8000000000000007</v>
      </c>
    </row>
    <row r="4041" spans="1:9" x14ac:dyDescent="0.3">
      <c r="A4041" t="s">
        <v>4056</v>
      </c>
      <c r="B4041" t="s">
        <v>16</v>
      </c>
      <c r="C4041" t="s">
        <v>11</v>
      </c>
      <c r="D4041">
        <v>22</v>
      </c>
      <c r="E4041" s="1">
        <v>43866</v>
      </c>
      <c r="F4041">
        <v>3.24</v>
      </c>
      <c r="G4041">
        <v>12</v>
      </c>
      <c r="H4041">
        <v>7356.23</v>
      </c>
      <c r="I4041">
        <v>5.7</v>
      </c>
    </row>
    <row r="4042" spans="1:9" x14ac:dyDescent="0.3">
      <c r="A4042" t="s">
        <v>4057</v>
      </c>
      <c r="B4042" t="s">
        <v>16</v>
      </c>
      <c r="C4042" t="s">
        <v>14</v>
      </c>
      <c r="D4042">
        <v>35</v>
      </c>
      <c r="E4042" s="1">
        <v>44274</v>
      </c>
      <c r="F4042">
        <v>4.93</v>
      </c>
      <c r="G4042">
        <v>4</v>
      </c>
      <c r="H4042">
        <v>13667.28</v>
      </c>
      <c r="I4042">
        <v>4.5999999999999996</v>
      </c>
    </row>
    <row r="4043" spans="1:9" x14ac:dyDescent="0.3">
      <c r="A4043" t="s">
        <v>4058</v>
      </c>
      <c r="B4043" t="s">
        <v>34</v>
      </c>
      <c r="C4043" t="s">
        <v>14</v>
      </c>
      <c r="D4043">
        <v>30</v>
      </c>
      <c r="E4043" s="1">
        <v>41164</v>
      </c>
      <c r="F4043">
        <v>2.2999999999999998</v>
      </c>
      <c r="G4043">
        <v>8</v>
      </c>
      <c r="H4043">
        <v>13225.38</v>
      </c>
      <c r="I4043">
        <v>13.1</v>
      </c>
    </row>
    <row r="4044" spans="1:9" x14ac:dyDescent="0.3">
      <c r="A4044" t="s">
        <v>4059</v>
      </c>
      <c r="B4044" t="s">
        <v>13</v>
      </c>
      <c r="C4044" t="s">
        <v>11</v>
      </c>
      <c r="D4044">
        <v>24</v>
      </c>
      <c r="E4044" s="1">
        <v>41198</v>
      </c>
      <c r="F4044">
        <v>3.97</v>
      </c>
      <c r="G4044">
        <v>8</v>
      </c>
      <c r="H4044">
        <v>14961.76</v>
      </c>
      <c r="I4044">
        <v>13.1</v>
      </c>
    </row>
    <row r="4045" spans="1:9" x14ac:dyDescent="0.3">
      <c r="A4045" t="s">
        <v>4060</v>
      </c>
      <c r="B4045" t="s">
        <v>34</v>
      </c>
      <c r="C4045" t="s">
        <v>14</v>
      </c>
      <c r="D4045">
        <v>40</v>
      </c>
      <c r="E4045" s="1">
        <v>42658</v>
      </c>
      <c r="F4045">
        <v>2.14</v>
      </c>
      <c r="G4045">
        <v>9</v>
      </c>
      <c r="H4045">
        <v>3458.96</v>
      </c>
      <c r="I4045">
        <v>9.1</v>
      </c>
    </row>
    <row r="4046" spans="1:9" x14ac:dyDescent="0.3">
      <c r="A4046" t="s">
        <v>4061</v>
      </c>
      <c r="B4046" t="s">
        <v>10</v>
      </c>
      <c r="C4046" t="s">
        <v>11</v>
      </c>
      <c r="D4046">
        <v>36</v>
      </c>
      <c r="E4046" s="1">
        <v>41276</v>
      </c>
      <c r="F4046">
        <v>2.52</v>
      </c>
      <c r="G4046">
        <v>3</v>
      </c>
      <c r="H4046">
        <v>7873.05</v>
      </c>
      <c r="I4046">
        <v>12.8</v>
      </c>
    </row>
    <row r="4047" spans="1:9" x14ac:dyDescent="0.3">
      <c r="A4047" t="s">
        <v>4062</v>
      </c>
      <c r="B4047" t="s">
        <v>10</v>
      </c>
      <c r="C4047" t="s">
        <v>14</v>
      </c>
      <c r="D4047">
        <v>51</v>
      </c>
      <c r="E4047" s="1">
        <v>44022</v>
      </c>
      <c r="F4047">
        <v>4.49</v>
      </c>
      <c r="G4047">
        <v>2</v>
      </c>
      <c r="H4047">
        <v>10457.629999999999</v>
      </c>
      <c r="I4047">
        <v>5.3</v>
      </c>
    </row>
    <row r="4048" spans="1:9" x14ac:dyDescent="0.3">
      <c r="A4048" t="s">
        <v>4063</v>
      </c>
      <c r="B4048" t="s">
        <v>16</v>
      </c>
      <c r="C4048" t="s">
        <v>14</v>
      </c>
      <c r="D4048">
        <v>56</v>
      </c>
      <c r="E4048" s="1">
        <v>42839</v>
      </c>
      <c r="F4048">
        <v>4.05</v>
      </c>
      <c r="G4048">
        <v>3</v>
      </c>
      <c r="H4048">
        <v>13832.45</v>
      </c>
      <c r="I4048">
        <v>8.6</v>
      </c>
    </row>
    <row r="4049" spans="1:9" x14ac:dyDescent="0.3">
      <c r="A4049" t="s">
        <v>4064</v>
      </c>
      <c r="B4049" t="s">
        <v>34</v>
      </c>
      <c r="C4049" t="s">
        <v>11</v>
      </c>
      <c r="D4049">
        <v>39</v>
      </c>
      <c r="E4049" s="1">
        <v>41446</v>
      </c>
      <c r="F4049">
        <v>3.61</v>
      </c>
      <c r="G4049">
        <v>2</v>
      </c>
      <c r="H4049">
        <v>11570.38</v>
      </c>
      <c r="I4049">
        <v>12.4</v>
      </c>
    </row>
    <row r="4050" spans="1:9" x14ac:dyDescent="0.3">
      <c r="A4050" t="s">
        <v>4065</v>
      </c>
      <c r="B4050" t="s">
        <v>24</v>
      </c>
      <c r="C4050" t="s">
        <v>11</v>
      </c>
      <c r="D4050">
        <v>27</v>
      </c>
      <c r="E4050" s="1">
        <v>44767</v>
      </c>
      <c r="F4050">
        <v>2.89</v>
      </c>
      <c r="G4050">
        <v>1</v>
      </c>
      <c r="H4050">
        <v>12024.37</v>
      </c>
      <c r="I4050">
        <v>3.3</v>
      </c>
    </row>
    <row r="4051" spans="1:9" x14ac:dyDescent="0.3">
      <c r="A4051" t="s">
        <v>4066</v>
      </c>
      <c r="B4051" t="s">
        <v>18</v>
      </c>
      <c r="C4051" t="s">
        <v>14</v>
      </c>
      <c r="D4051">
        <v>36</v>
      </c>
      <c r="E4051" s="1">
        <v>40220</v>
      </c>
      <c r="F4051">
        <v>1.81</v>
      </c>
      <c r="G4051">
        <v>7</v>
      </c>
      <c r="H4051">
        <v>12311.83</v>
      </c>
      <c r="I4051">
        <v>15.7</v>
      </c>
    </row>
    <row r="4052" spans="1:9" x14ac:dyDescent="0.3">
      <c r="A4052" t="s">
        <v>4067</v>
      </c>
      <c r="B4052" t="s">
        <v>18</v>
      </c>
      <c r="C4052" t="s">
        <v>14</v>
      </c>
      <c r="D4052">
        <v>51</v>
      </c>
      <c r="E4052" s="1">
        <v>41660</v>
      </c>
      <c r="F4052">
        <v>1.7</v>
      </c>
      <c r="G4052">
        <v>4</v>
      </c>
      <c r="H4052">
        <v>8351.81</v>
      </c>
      <c r="I4052">
        <v>11.8</v>
      </c>
    </row>
    <row r="4053" spans="1:9" x14ac:dyDescent="0.3">
      <c r="A4053" t="s">
        <v>4068</v>
      </c>
      <c r="B4053" t="s">
        <v>16</v>
      </c>
      <c r="C4053" t="s">
        <v>11</v>
      </c>
      <c r="D4053">
        <v>22</v>
      </c>
      <c r="E4053" s="1">
        <v>45249</v>
      </c>
      <c r="F4053">
        <v>1.97</v>
      </c>
      <c r="G4053">
        <v>12</v>
      </c>
      <c r="H4053">
        <v>13066.78</v>
      </c>
      <c r="I4053">
        <v>2</v>
      </c>
    </row>
    <row r="4054" spans="1:9" x14ac:dyDescent="0.3">
      <c r="A4054" t="s">
        <v>4069</v>
      </c>
      <c r="B4054" t="s">
        <v>24</v>
      </c>
      <c r="C4054" t="s">
        <v>11</v>
      </c>
      <c r="D4054">
        <v>40</v>
      </c>
      <c r="E4054" s="1">
        <v>40575</v>
      </c>
      <c r="F4054">
        <v>2.27</v>
      </c>
      <c r="G4054">
        <v>8</v>
      </c>
      <c r="H4054">
        <v>10572.72</v>
      </c>
      <c r="I4054">
        <v>14.8</v>
      </c>
    </row>
    <row r="4055" spans="1:9" x14ac:dyDescent="0.3">
      <c r="A4055" t="s">
        <v>4070</v>
      </c>
      <c r="B4055" t="s">
        <v>34</v>
      </c>
      <c r="C4055" t="s">
        <v>11</v>
      </c>
      <c r="D4055">
        <v>60</v>
      </c>
      <c r="E4055" s="1">
        <v>45755</v>
      </c>
      <c r="F4055">
        <v>4.8499999999999996</v>
      </c>
      <c r="G4055">
        <v>13</v>
      </c>
      <c r="H4055">
        <v>6806.06</v>
      </c>
      <c r="I4055">
        <v>0.6</v>
      </c>
    </row>
    <row r="4056" spans="1:9" x14ac:dyDescent="0.3">
      <c r="A4056" t="s">
        <v>4071</v>
      </c>
      <c r="B4056" t="s">
        <v>24</v>
      </c>
      <c r="C4056" t="s">
        <v>14</v>
      </c>
      <c r="D4056">
        <v>48</v>
      </c>
      <c r="E4056" s="1">
        <v>42972</v>
      </c>
      <c r="F4056">
        <v>4.6399999999999997</v>
      </c>
      <c r="G4056">
        <v>9</v>
      </c>
      <c r="H4056">
        <v>11457.57</v>
      </c>
      <c r="I4056">
        <v>8.1999999999999993</v>
      </c>
    </row>
    <row r="4057" spans="1:9" x14ac:dyDescent="0.3">
      <c r="A4057" t="s">
        <v>4072</v>
      </c>
      <c r="B4057" t="s">
        <v>24</v>
      </c>
      <c r="C4057" t="s">
        <v>14</v>
      </c>
      <c r="D4057">
        <v>25</v>
      </c>
      <c r="E4057" s="1">
        <v>42779</v>
      </c>
      <c r="F4057">
        <v>2.7</v>
      </c>
      <c r="G4057">
        <v>2</v>
      </c>
      <c r="H4057">
        <v>6357.5</v>
      </c>
      <c r="I4057">
        <v>8.6999999999999993</v>
      </c>
    </row>
    <row r="4058" spans="1:9" x14ac:dyDescent="0.3">
      <c r="A4058" t="s">
        <v>4073</v>
      </c>
      <c r="B4058" t="s">
        <v>34</v>
      </c>
      <c r="C4058" t="s">
        <v>11</v>
      </c>
      <c r="D4058">
        <v>48</v>
      </c>
      <c r="E4058" s="1">
        <v>45033</v>
      </c>
      <c r="F4058">
        <v>2.16</v>
      </c>
      <c r="G4058">
        <v>3</v>
      </c>
      <c r="H4058">
        <v>14835.98</v>
      </c>
      <c r="I4058">
        <v>2.5</v>
      </c>
    </row>
    <row r="4059" spans="1:9" x14ac:dyDescent="0.3">
      <c r="A4059" t="s">
        <v>4074</v>
      </c>
      <c r="B4059" t="s">
        <v>13</v>
      </c>
      <c r="C4059" t="s">
        <v>11</v>
      </c>
      <c r="D4059">
        <v>27</v>
      </c>
      <c r="E4059" s="1">
        <v>43944</v>
      </c>
      <c r="F4059">
        <v>4.3499999999999996</v>
      </c>
      <c r="G4059">
        <v>6</v>
      </c>
      <c r="H4059">
        <v>12473.94</v>
      </c>
      <c r="I4059">
        <v>5.5</v>
      </c>
    </row>
    <row r="4060" spans="1:9" x14ac:dyDescent="0.3">
      <c r="A4060" t="s">
        <v>4075</v>
      </c>
      <c r="B4060" t="s">
        <v>10</v>
      </c>
      <c r="C4060" t="s">
        <v>14</v>
      </c>
      <c r="D4060">
        <v>60</v>
      </c>
      <c r="E4060" s="1">
        <v>41332</v>
      </c>
      <c r="F4060">
        <v>2.17</v>
      </c>
      <c r="G4060">
        <v>6</v>
      </c>
      <c r="H4060">
        <v>5403.21</v>
      </c>
      <c r="I4060">
        <v>12.7</v>
      </c>
    </row>
    <row r="4061" spans="1:9" x14ac:dyDescent="0.3">
      <c r="A4061" t="s">
        <v>4076</v>
      </c>
      <c r="B4061" t="s">
        <v>18</v>
      </c>
      <c r="C4061" t="s">
        <v>11</v>
      </c>
      <c r="D4061">
        <v>28</v>
      </c>
      <c r="E4061" s="1">
        <v>44006</v>
      </c>
      <c r="F4061">
        <v>4.93</v>
      </c>
      <c r="G4061">
        <v>15</v>
      </c>
      <c r="H4061">
        <v>8939.07</v>
      </c>
      <c r="I4061">
        <v>5.4</v>
      </c>
    </row>
    <row r="4062" spans="1:9" x14ac:dyDescent="0.3">
      <c r="A4062" t="s">
        <v>4077</v>
      </c>
      <c r="B4062" t="s">
        <v>13</v>
      </c>
      <c r="C4062" t="s">
        <v>11</v>
      </c>
      <c r="D4062">
        <v>47</v>
      </c>
      <c r="E4062" s="1">
        <v>43925</v>
      </c>
      <c r="F4062">
        <v>2.4900000000000002</v>
      </c>
      <c r="G4062">
        <v>11</v>
      </c>
      <c r="H4062">
        <v>11543.11</v>
      </c>
      <c r="I4062">
        <v>5.6</v>
      </c>
    </row>
    <row r="4063" spans="1:9" x14ac:dyDescent="0.3">
      <c r="A4063" t="s">
        <v>4078</v>
      </c>
      <c r="B4063" t="s">
        <v>10</v>
      </c>
      <c r="C4063" t="s">
        <v>11</v>
      </c>
      <c r="D4063">
        <v>30</v>
      </c>
      <c r="E4063" s="1">
        <v>42695</v>
      </c>
      <c r="F4063">
        <v>2.4900000000000002</v>
      </c>
      <c r="G4063">
        <v>9</v>
      </c>
      <c r="H4063">
        <v>9438.5499999999993</v>
      </c>
      <c r="I4063">
        <v>9</v>
      </c>
    </row>
    <row r="4064" spans="1:9" x14ac:dyDescent="0.3">
      <c r="A4064" t="s">
        <v>4079</v>
      </c>
      <c r="B4064" t="s">
        <v>34</v>
      </c>
      <c r="C4064" t="s">
        <v>11</v>
      </c>
      <c r="D4064">
        <v>41</v>
      </c>
      <c r="E4064" s="1">
        <v>43974</v>
      </c>
      <c r="F4064">
        <v>3.45</v>
      </c>
      <c r="G4064">
        <v>2</v>
      </c>
      <c r="H4064">
        <v>6115.54</v>
      </c>
      <c r="I4064">
        <v>5.4</v>
      </c>
    </row>
    <row r="4065" spans="1:9" x14ac:dyDescent="0.3">
      <c r="A4065" t="s">
        <v>4080</v>
      </c>
      <c r="B4065" t="s">
        <v>34</v>
      </c>
      <c r="C4065" t="s">
        <v>14</v>
      </c>
      <c r="D4065">
        <v>27</v>
      </c>
      <c r="E4065" s="1">
        <v>44624</v>
      </c>
      <c r="F4065">
        <v>4.16</v>
      </c>
      <c r="G4065">
        <v>8</v>
      </c>
      <c r="H4065">
        <v>9038.41</v>
      </c>
      <c r="I4065">
        <v>3.7</v>
      </c>
    </row>
    <row r="4066" spans="1:9" x14ac:dyDescent="0.3">
      <c r="A4066" t="s">
        <v>4081</v>
      </c>
      <c r="B4066" t="s">
        <v>24</v>
      </c>
      <c r="C4066" t="s">
        <v>11</v>
      </c>
      <c r="D4066">
        <v>25</v>
      </c>
      <c r="E4066" s="1">
        <v>41074</v>
      </c>
      <c r="F4066">
        <v>4.43</v>
      </c>
      <c r="G4066">
        <v>8</v>
      </c>
      <c r="H4066">
        <v>14609.02</v>
      </c>
      <c r="I4066">
        <v>13.4</v>
      </c>
    </row>
    <row r="4067" spans="1:9" x14ac:dyDescent="0.3">
      <c r="A4067" t="s">
        <v>4082</v>
      </c>
      <c r="B4067" t="s">
        <v>34</v>
      </c>
      <c r="C4067" t="s">
        <v>11</v>
      </c>
      <c r="D4067">
        <v>36</v>
      </c>
      <c r="E4067" s="1">
        <v>43132</v>
      </c>
      <c r="F4067">
        <v>2.79</v>
      </c>
      <c r="G4067">
        <v>13</v>
      </c>
      <c r="H4067">
        <v>3940.42</v>
      </c>
      <c r="I4067">
        <v>7.8</v>
      </c>
    </row>
    <row r="4068" spans="1:9" x14ac:dyDescent="0.3">
      <c r="A4068" t="s">
        <v>4083</v>
      </c>
      <c r="B4068" t="s">
        <v>24</v>
      </c>
      <c r="C4068" t="s">
        <v>11</v>
      </c>
      <c r="D4068">
        <v>44</v>
      </c>
      <c r="E4068" s="1">
        <v>42046</v>
      </c>
      <c r="F4068">
        <v>2.0099999999999998</v>
      </c>
      <c r="G4068">
        <v>14</v>
      </c>
      <c r="H4068">
        <v>7450.1</v>
      </c>
      <c r="I4068">
        <v>10.7</v>
      </c>
    </row>
    <row r="4069" spans="1:9" x14ac:dyDescent="0.3">
      <c r="A4069" t="s">
        <v>4084</v>
      </c>
      <c r="B4069" t="s">
        <v>10</v>
      </c>
      <c r="C4069" t="s">
        <v>14</v>
      </c>
      <c r="D4069">
        <v>49</v>
      </c>
      <c r="E4069" s="1">
        <v>44898</v>
      </c>
      <c r="F4069">
        <v>3.44</v>
      </c>
      <c r="G4069">
        <v>12</v>
      </c>
      <c r="H4069">
        <v>6855.28</v>
      </c>
      <c r="I4069">
        <v>2.9</v>
      </c>
    </row>
    <row r="4070" spans="1:9" x14ac:dyDescent="0.3">
      <c r="A4070" t="s">
        <v>4085</v>
      </c>
      <c r="B4070" t="s">
        <v>13</v>
      </c>
      <c r="C4070" t="s">
        <v>11</v>
      </c>
      <c r="D4070">
        <v>49</v>
      </c>
      <c r="E4070" s="1">
        <v>44016</v>
      </c>
      <c r="F4070">
        <v>3.97</v>
      </c>
      <c r="G4070">
        <v>6</v>
      </c>
      <c r="H4070">
        <v>12028.22</v>
      </c>
      <c r="I4070">
        <v>5.3</v>
      </c>
    </row>
    <row r="4071" spans="1:9" x14ac:dyDescent="0.3">
      <c r="A4071" t="s">
        <v>4086</v>
      </c>
      <c r="B4071" t="s">
        <v>34</v>
      </c>
      <c r="C4071" t="s">
        <v>11</v>
      </c>
      <c r="D4071">
        <v>31</v>
      </c>
      <c r="E4071" s="1">
        <v>45946</v>
      </c>
      <c r="F4071">
        <v>4.8</v>
      </c>
      <c r="G4071">
        <v>3</v>
      </c>
      <c r="H4071">
        <v>11984.64</v>
      </c>
      <c r="I4071">
        <v>0</v>
      </c>
    </row>
    <row r="4072" spans="1:9" x14ac:dyDescent="0.3">
      <c r="A4072" t="s">
        <v>4087</v>
      </c>
      <c r="B4072" t="s">
        <v>18</v>
      </c>
      <c r="C4072" t="s">
        <v>14</v>
      </c>
      <c r="D4072">
        <v>58</v>
      </c>
      <c r="E4072" s="1">
        <v>40237</v>
      </c>
      <c r="F4072">
        <v>2.74</v>
      </c>
      <c r="G4072">
        <v>0</v>
      </c>
      <c r="H4072">
        <v>3881.23</v>
      </c>
      <c r="I4072">
        <v>15.7</v>
      </c>
    </row>
    <row r="4073" spans="1:9" x14ac:dyDescent="0.3">
      <c r="A4073" t="s">
        <v>4088</v>
      </c>
      <c r="B4073" t="s">
        <v>34</v>
      </c>
      <c r="C4073" t="s">
        <v>14</v>
      </c>
      <c r="D4073">
        <v>23</v>
      </c>
      <c r="E4073" s="1">
        <v>43185</v>
      </c>
      <c r="F4073">
        <v>5</v>
      </c>
      <c r="G4073">
        <v>9</v>
      </c>
      <c r="H4073">
        <v>6561.59</v>
      </c>
      <c r="I4073">
        <v>7.6</v>
      </c>
    </row>
    <row r="4074" spans="1:9" x14ac:dyDescent="0.3">
      <c r="A4074" t="s">
        <v>4089</v>
      </c>
      <c r="B4074" t="s">
        <v>24</v>
      </c>
      <c r="C4074" t="s">
        <v>11</v>
      </c>
      <c r="D4074">
        <v>56</v>
      </c>
      <c r="E4074" s="1">
        <v>43887</v>
      </c>
      <c r="F4074">
        <v>3.88</v>
      </c>
      <c r="G4074">
        <v>2</v>
      </c>
      <c r="H4074">
        <v>4909.58</v>
      </c>
      <c r="I4074">
        <v>5.7</v>
      </c>
    </row>
    <row r="4075" spans="1:9" x14ac:dyDescent="0.3">
      <c r="A4075" t="s">
        <v>4090</v>
      </c>
      <c r="B4075" t="s">
        <v>24</v>
      </c>
      <c r="C4075" t="s">
        <v>14</v>
      </c>
      <c r="D4075">
        <v>27</v>
      </c>
      <c r="E4075" s="1">
        <v>41468</v>
      </c>
      <c r="F4075">
        <v>2.25</v>
      </c>
      <c r="G4075">
        <v>7</v>
      </c>
      <c r="H4075">
        <v>3845.27</v>
      </c>
      <c r="I4075">
        <v>12.3</v>
      </c>
    </row>
    <row r="4076" spans="1:9" x14ac:dyDescent="0.3">
      <c r="A4076" t="s">
        <v>4091</v>
      </c>
      <c r="B4076" t="s">
        <v>10</v>
      </c>
      <c r="C4076" t="s">
        <v>14</v>
      </c>
      <c r="D4076">
        <v>44</v>
      </c>
      <c r="E4076" s="1">
        <v>41943</v>
      </c>
      <c r="F4076">
        <v>4.96</v>
      </c>
      <c r="G4076">
        <v>14</v>
      </c>
      <c r="H4076">
        <v>4997.3599999999997</v>
      </c>
      <c r="I4076">
        <v>11</v>
      </c>
    </row>
    <row r="4077" spans="1:9" x14ac:dyDescent="0.3">
      <c r="A4077" t="s">
        <v>4092</v>
      </c>
      <c r="B4077" t="s">
        <v>24</v>
      </c>
      <c r="C4077" t="s">
        <v>14</v>
      </c>
      <c r="D4077">
        <v>24</v>
      </c>
      <c r="E4077" s="1">
        <v>42319</v>
      </c>
      <c r="F4077">
        <v>4.6100000000000003</v>
      </c>
      <c r="G4077">
        <v>10</v>
      </c>
      <c r="H4077">
        <v>12248.08</v>
      </c>
      <c r="I4077">
        <v>10</v>
      </c>
    </row>
    <row r="4078" spans="1:9" x14ac:dyDescent="0.3">
      <c r="A4078" t="s">
        <v>4093</v>
      </c>
      <c r="B4078" t="s">
        <v>16</v>
      </c>
      <c r="C4078" t="s">
        <v>14</v>
      </c>
      <c r="D4078">
        <v>22</v>
      </c>
      <c r="E4078" s="1">
        <v>42907</v>
      </c>
      <c r="F4078">
        <v>2.02</v>
      </c>
      <c r="G4078">
        <v>15</v>
      </c>
      <c r="H4078">
        <v>10462.23</v>
      </c>
      <c r="I4078">
        <v>8.4</v>
      </c>
    </row>
    <row r="4079" spans="1:9" x14ac:dyDescent="0.3">
      <c r="A4079" t="s">
        <v>4094</v>
      </c>
      <c r="B4079" t="s">
        <v>24</v>
      </c>
      <c r="C4079" t="s">
        <v>11</v>
      </c>
      <c r="D4079">
        <v>29</v>
      </c>
      <c r="E4079" s="1">
        <v>43562</v>
      </c>
      <c r="F4079">
        <v>3.96</v>
      </c>
      <c r="G4079">
        <v>13</v>
      </c>
      <c r="H4079">
        <v>7086.69</v>
      </c>
      <c r="I4079">
        <v>6.6</v>
      </c>
    </row>
    <row r="4080" spans="1:9" x14ac:dyDescent="0.3">
      <c r="A4080" t="s">
        <v>4095</v>
      </c>
      <c r="B4080" t="s">
        <v>18</v>
      </c>
      <c r="C4080" t="s">
        <v>11</v>
      </c>
      <c r="D4080">
        <v>52</v>
      </c>
      <c r="E4080" s="1">
        <v>44865</v>
      </c>
      <c r="F4080">
        <v>4.57</v>
      </c>
      <c r="G4080">
        <v>1</v>
      </c>
      <c r="H4080">
        <v>12486.15</v>
      </c>
      <c r="I4080">
        <v>3</v>
      </c>
    </row>
    <row r="4081" spans="1:9" x14ac:dyDescent="0.3">
      <c r="A4081" t="s">
        <v>4096</v>
      </c>
      <c r="B4081" t="s">
        <v>13</v>
      </c>
      <c r="C4081" t="s">
        <v>14</v>
      </c>
      <c r="D4081">
        <v>32</v>
      </c>
      <c r="E4081" s="1">
        <v>43720</v>
      </c>
      <c r="F4081">
        <v>4.01</v>
      </c>
      <c r="G4081">
        <v>1</v>
      </c>
      <c r="H4081">
        <v>13204.79</v>
      </c>
      <c r="I4081">
        <v>6.1</v>
      </c>
    </row>
    <row r="4082" spans="1:9" x14ac:dyDescent="0.3">
      <c r="A4082" t="s">
        <v>4097</v>
      </c>
      <c r="B4082" t="s">
        <v>18</v>
      </c>
      <c r="C4082" t="s">
        <v>11</v>
      </c>
      <c r="D4082">
        <v>35</v>
      </c>
      <c r="E4082" s="1">
        <v>44085</v>
      </c>
      <c r="F4082">
        <v>4.2699999999999996</v>
      </c>
      <c r="G4082">
        <v>6</v>
      </c>
      <c r="H4082">
        <v>10154.69</v>
      </c>
      <c r="I4082">
        <v>5.0999999999999996</v>
      </c>
    </row>
    <row r="4083" spans="1:9" x14ac:dyDescent="0.3">
      <c r="A4083" t="s">
        <v>4098</v>
      </c>
      <c r="B4083" t="s">
        <v>10</v>
      </c>
      <c r="C4083" t="s">
        <v>11</v>
      </c>
      <c r="D4083">
        <v>47</v>
      </c>
      <c r="E4083" s="1">
        <v>41025</v>
      </c>
      <c r="F4083">
        <v>4.91</v>
      </c>
      <c r="G4083">
        <v>0</v>
      </c>
      <c r="H4083">
        <v>10787.89</v>
      </c>
      <c r="I4083">
        <v>13.5</v>
      </c>
    </row>
    <row r="4084" spans="1:9" x14ac:dyDescent="0.3">
      <c r="A4084" t="s">
        <v>4099</v>
      </c>
      <c r="B4084" t="s">
        <v>24</v>
      </c>
      <c r="C4084" t="s">
        <v>14</v>
      </c>
      <c r="D4084">
        <v>29</v>
      </c>
      <c r="E4084" s="1">
        <v>43328</v>
      </c>
      <c r="F4084">
        <v>2.52</v>
      </c>
      <c r="G4084">
        <v>5</v>
      </c>
      <c r="H4084">
        <v>12777.1</v>
      </c>
      <c r="I4084">
        <v>7.2</v>
      </c>
    </row>
    <row r="4085" spans="1:9" x14ac:dyDescent="0.3">
      <c r="A4085" t="s">
        <v>4100</v>
      </c>
      <c r="B4085" t="s">
        <v>34</v>
      </c>
      <c r="C4085" t="s">
        <v>14</v>
      </c>
      <c r="D4085">
        <v>55</v>
      </c>
      <c r="E4085" s="1">
        <v>43764</v>
      </c>
      <c r="F4085">
        <v>3.42</v>
      </c>
      <c r="G4085">
        <v>14</v>
      </c>
      <c r="H4085">
        <v>13950.99</v>
      </c>
      <c r="I4085">
        <v>6</v>
      </c>
    </row>
    <row r="4086" spans="1:9" x14ac:dyDescent="0.3">
      <c r="A4086" t="s">
        <v>4101</v>
      </c>
      <c r="B4086" t="s">
        <v>24</v>
      </c>
      <c r="C4086" t="s">
        <v>14</v>
      </c>
      <c r="D4086">
        <v>38</v>
      </c>
      <c r="E4086" s="1">
        <v>45826</v>
      </c>
      <c r="F4086">
        <v>3.99</v>
      </c>
      <c r="G4086">
        <v>6</v>
      </c>
      <c r="H4086">
        <v>11653.84</v>
      </c>
      <c r="I4086">
        <v>0.4</v>
      </c>
    </row>
    <row r="4087" spans="1:9" x14ac:dyDescent="0.3">
      <c r="A4087" t="s">
        <v>4102</v>
      </c>
      <c r="B4087" t="s">
        <v>18</v>
      </c>
      <c r="C4087" t="s">
        <v>11</v>
      </c>
      <c r="D4087">
        <v>55</v>
      </c>
      <c r="E4087" s="1">
        <v>42751</v>
      </c>
      <c r="F4087">
        <v>4.6100000000000003</v>
      </c>
      <c r="G4087">
        <v>7</v>
      </c>
      <c r="H4087">
        <v>13072.03</v>
      </c>
      <c r="I4087">
        <v>8.8000000000000007</v>
      </c>
    </row>
    <row r="4088" spans="1:9" x14ac:dyDescent="0.3">
      <c r="A4088" t="s">
        <v>4103</v>
      </c>
      <c r="B4088" t="s">
        <v>24</v>
      </c>
      <c r="C4088" t="s">
        <v>14</v>
      </c>
      <c r="D4088">
        <v>49</v>
      </c>
      <c r="E4088" s="1">
        <v>42528</v>
      </c>
      <c r="F4088">
        <v>4.9000000000000004</v>
      </c>
      <c r="G4088">
        <v>8</v>
      </c>
      <c r="H4088">
        <v>10924.83</v>
      </c>
      <c r="I4088">
        <v>9.4</v>
      </c>
    </row>
    <row r="4089" spans="1:9" x14ac:dyDescent="0.3">
      <c r="A4089" t="s">
        <v>4104</v>
      </c>
      <c r="B4089" t="s">
        <v>18</v>
      </c>
      <c r="C4089" t="s">
        <v>11</v>
      </c>
      <c r="D4089">
        <v>41</v>
      </c>
      <c r="E4089" s="1">
        <v>42807</v>
      </c>
      <c r="F4089">
        <v>3.34</v>
      </c>
      <c r="G4089">
        <v>6</v>
      </c>
      <c r="H4089">
        <v>5460.79</v>
      </c>
      <c r="I4089">
        <v>8.6</v>
      </c>
    </row>
    <row r="4090" spans="1:9" x14ac:dyDescent="0.3">
      <c r="A4090" t="s">
        <v>4105</v>
      </c>
      <c r="B4090" t="s">
        <v>34</v>
      </c>
      <c r="C4090" t="s">
        <v>11</v>
      </c>
      <c r="D4090">
        <v>54</v>
      </c>
      <c r="E4090" s="1">
        <v>45160</v>
      </c>
      <c r="F4090">
        <v>3.58</v>
      </c>
      <c r="G4090">
        <v>3</v>
      </c>
      <c r="H4090">
        <v>8986.64</v>
      </c>
      <c r="I4090">
        <v>2.2000000000000002</v>
      </c>
    </row>
    <row r="4091" spans="1:9" x14ac:dyDescent="0.3">
      <c r="A4091" t="s">
        <v>4106</v>
      </c>
      <c r="B4091" t="s">
        <v>18</v>
      </c>
      <c r="C4091" t="s">
        <v>11</v>
      </c>
      <c r="D4091">
        <v>23</v>
      </c>
      <c r="E4091" s="1">
        <v>43902</v>
      </c>
      <c r="F4091">
        <v>3.34</v>
      </c>
      <c r="G4091">
        <v>10</v>
      </c>
      <c r="H4091">
        <v>11858.69</v>
      </c>
      <c r="I4091">
        <v>5.6</v>
      </c>
    </row>
    <row r="4092" spans="1:9" x14ac:dyDescent="0.3">
      <c r="A4092" t="s">
        <v>4107</v>
      </c>
      <c r="B4092" t="s">
        <v>10</v>
      </c>
      <c r="C4092" t="s">
        <v>11</v>
      </c>
      <c r="D4092">
        <v>47</v>
      </c>
      <c r="E4092" s="1">
        <v>42715</v>
      </c>
      <c r="F4092">
        <v>4.24</v>
      </c>
      <c r="G4092">
        <v>0</v>
      </c>
      <c r="H4092">
        <v>7491.92</v>
      </c>
      <c r="I4092">
        <v>8.9</v>
      </c>
    </row>
    <row r="4093" spans="1:9" x14ac:dyDescent="0.3">
      <c r="A4093" t="s">
        <v>4108</v>
      </c>
      <c r="B4093" t="s">
        <v>34</v>
      </c>
      <c r="C4093" t="s">
        <v>14</v>
      </c>
      <c r="D4093">
        <v>48</v>
      </c>
      <c r="E4093" s="1">
        <v>40618</v>
      </c>
      <c r="F4093">
        <v>4.4000000000000004</v>
      </c>
      <c r="G4093">
        <v>9</v>
      </c>
      <c r="H4093">
        <v>11108.58</v>
      </c>
      <c r="I4093">
        <v>14.6</v>
      </c>
    </row>
    <row r="4094" spans="1:9" x14ac:dyDescent="0.3">
      <c r="A4094" t="s">
        <v>4109</v>
      </c>
      <c r="B4094" t="s">
        <v>18</v>
      </c>
      <c r="C4094" t="s">
        <v>11</v>
      </c>
      <c r="D4094">
        <v>28</v>
      </c>
      <c r="E4094" s="1">
        <v>40668</v>
      </c>
      <c r="F4094">
        <v>4.8600000000000003</v>
      </c>
      <c r="G4094">
        <v>6</v>
      </c>
      <c r="H4094">
        <v>10242.280000000001</v>
      </c>
      <c r="I4094">
        <v>14.5</v>
      </c>
    </row>
    <row r="4095" spans="1:9" x14ac:dyDescent="0.3">
      <c r="A4095" t="s">
        <v>4110</v>
      </c>
      <c r="B4095" t="s">
        <v>34</v>
      </c>
      <c r="C4095" t="s">
        <v>11</v>
      </c>
      <c r="D4095">
        <v>47</v>
      </c>
      <c r="E4095" s="1">
        <v>40325</v>
      </c>
      <c r="F4095">
        <v>4.33</v>
      </c>
      <c r="G4095">
        <v>13</v>
      </c>
      <c r="H4095">
        <v>7526.68</v>
      </c>
      <c r="I4095">
        <v>15.4</v>
      </c>
    </row>
    <row r="4096" spans="1:9" x14ac:dyDescent="0.3">
      <c r="A4096" t="s">
        <v>4111</v>
      </c>
      <c r="B4096" t="s">
        <v>16</v>
      </c>
      <c r="C4096" t="s">
        <v>14</v>
      </c>
      <c r="D4096">
        <v>39</v>
      </c>
      <c r="E4096" s="1">
        <v>45250</v>
      </c>
      <c r="F4096">
        <v>4.8</v>
      </c>
      <c r="G4096">
        <v>1</v>
      </c>
      <c r="H4096">
        <v>14576.38</v>
      </c>
      <c r="I4096">
        <v>2</v>
      </c>
    </row>
    <row r="4097" spans="1:9" x14ac:dyDescent="0.3">
      <c r="A4097" t="s">
        <v>4112</v>
      </c>
      <c r="B4097" t="s">
        <v>10</v>
      </c>
      <c r="C4097" t="s">
        <v>14</v>
      </c>
      <c r="D4097">
        <v>36</v>
      </c>
      <c r="E4097" s="1">
        <v>41353</v>
      </c>
      <c r="F4097">
        <v>2.4300000000000002</v>
      </c>
      <c r="G4097">
        <v>0</v>
      </c>
      <c r="H4097">
        <v>4156.92</v>
      </c>
      <c r="I4097">
        <v>12.6</v>
      </c>
    </row>
    <row r="4098" spans="1:9" x14ac:dyDescent="0.3">
      <c r="A4098" t="s">
        <v>4113</v>
      </c>
      <c r="B4098" t="s">
        <v>10</v>
      </c>
      <c r="C4098" t="s">
        <v>14</v>
      </c>
      <c r="D4098">
        <v>56</v>
      </c>
      <c r="E4098" s="1">
        <v>43028</v>
      </c>
      <c r="F4098">
        <v>3.02</v>
      </c>
      <c r="G4098">
        <v>9</v>
      </c>
      <c r="H4098">
        <v>3076.87</v>
      </c>
      <c r="I4098">
        <v>8</v>
      </c>
    </row>
    <row r="4099" spans="1:9" x14ac:dyDescent="0.3">
      <c r="A4099" t="s">
        <v>4114</v>
      </c>
      <c r="B4099" t="s">
        <v>18</v>
      </c>
      <c r="C4099" t="s">
        <v>14</v>
      </c>
      <c r="D4099">
        <v>38</v>
      </c>
      <c r="E4099" s="1">
        <v>42842</v>
      </c>
      <c r="F4099">
        <v>4.29</v>
      </c>
      <c r="G4099">
        <v>6</v>
      </c>
      <c r="H4099">
        <v>9336.8700000000008</v>
      </c>
      <c r="I4099">
        <v>8.5</v>
      </c>
    </row>
    <row r="4100" spans="1:9" x14ac:dyDescent="0.3">
      <c r="A4100" t="s">
        <v>4115</v>
      </c>
      <c r="B4100" t="s">
        <v>16</v>
      </c>
      <c r="C4100" t="s">
        <v>14</v>
      </c>
      <c r="D4100">
        <v>35</v>
      </c>
      <c r="E4100" s="1">
        <v>42339</v>
      </c>
      <c r="F4100">
        <v>2.5299999999999998</v>
      </c>
      <c r="G4100">
        <v>14</v>
      </c>
      <c r="H4100">
        <v>6742.39</v>
      </c>
      <c r="I4100">
        <v>9.9</v>
      </c>
    </row>
    <row r="4101" spans="1:9" x14ac:dyDescent="0.3">
      <c r="A4101" t="s">
        <v>4116</v>
      </c>
      <c r="B4101" t="s">
        <v>16</v>
      </c>
      <c r="C4101" t="s">
        <v>11</v>
      </c>
      <c r="D4101">
        <v>51</v>
      </c>
      <c r="E4101" s="1">
        <v>44962</v>
      </c>
      <c r="F4101">
        <v>4.67</v>
      </c>
      <c r="G4101">
        <v>11</v>
      </c>
      <c r="H4101">
        <v>13147.4</v>
      </c>
      <c r="I4101">
        <v>2.7</v>
      </c>
    </row>
    <row r="4102" spans="1:9" x14ac:dyDescent="0.3">
      <c r="A4102" t="s">
        <v>4117</v>
      </c>
      <c r="B4102" t="s">
        <v>10</v>
      </c>
      <c r="C4102" t="s">
        <v>14</v>
      </c>
      <c r="D4102">
        <v>45</v>
      </c>
      <c r="E4102" s="1">
        <v>41474</v>
      </c>
      <c r="F4102">
        <v>3.42</v>
      </c>
      <c r="G4102">
        <v>11</v>
      </c>
      <c r="H4102">
        <v>12341.17</v>
      </c>
      <c r="I4102">
        <v>12.3</v>
      </c>
    </row>
    <row r="4103" spans="1:9" x14ac:dyDescent="0.3">
      <c r="A4103" t="s">
        <v>4118</v>
      </c>
      <c r="B4103" t="s">
        <v>16</v>
      </c>
      <c r="C4103" t="s">
        <v>14</v>
      </c>
      <c r="D4103">
        <v>28</v>
      </c>
      <c r="E4103" s="1">
        <v>40504</v>
      </c>
      <c r="F4103">
        <v>2.48</v>
      </c>
      <c r="G4103">
        <v>6</v>
      </c>
      <c r="H4103">
        <v>9445.93</v>
      </c>
      <c r="I4103">
        <v>15</v>
      </c>
    </row>
    <row r="4104" spans="1:9" x14ac:dyDescent="0.3">
      <c r="A4104" t="s">
        <v>4119</v>
      </c>
      <c r="B4104" t="s">
        <v>13</v>
      </c>
      <c r="C4104" t="s">
        <v>14</v>
      </c>
      <c r="D4104">
        <v>50</v>
      </c>
      <c r="E4104" s="1">
        <v>44098</v>
      </c>
      <c r="F4104">
        <v>3.73</v>
      </c>
      <c r="G4104">
        <v>14</v>
      </c>
      <c r="H4104">
        <v>4982.25</v>
      </c>
      <c r="I4104">
        <v>5.0999999999999996</v>
      </c>
    </row>
    <row r="4105" spans="1:9" x14ac:dyDescent="0.3">
      <c r="A4105" t="s">
        <v>4120</v>
      </c>
      <c r="B4105" t="s">
        <v>24</v>
      </c>
      <c r="C4105" t="s">
        <v>11</v>
      </c>
      <c r="D4105">
        <v>43</v>
      </c>
      <c r="E4105" s="1">
        <v>44592</v>
      </c>
      <c r="F4105">
        <v>4.97</v>
      </c>
      <c r="G4105">
        <v>11</v>
      </c>
      <c r="H4105">
        <v>8894.18</v>
      </c>
      <c r="I4105">
        <v>3.8</v>
      </c>
    </row>
    <row r="4106" spans="1:9" x14ac:dyDescent="0.3">
      <c r="A4106" t="s">
        <v>4121</v>
      </c>
      <c r="B4106" t="s">
        <v>34</v>
      </c>
      <c r="C4106" t="s">
        <v>14</v>
      </c>
      <c r="D4106">
        <v>25</v>
      </c>
      <c r="E4106" s="1">
        <v>44097</v>
      </c>
      <c r="F4106">
        <v>3.7</v>
      </c>
      <c r="G4106">
        <v>3</v>
      </c>
      <c r="H4106">
        <v>7238.36</v>
      </c>
      <c r="I4106">
        <v>5.0999999999999996</v>
      </c>
    </row>
    <row r="4107" spans="1:9" x14ac:dyDescent="0.3">
      <c r="A4107" t="s">
        <v>4122</v>
      </c>
      <c r="B4107" t="s">
        <v>10</v>
      </c>
      <c r="C4107" t="s">
        <v>14</v>
      </c>
      <c r="D4107">
        <v>48</v>
      </c>
      <c r="E4107" s="1">
        <v>43243</v>
      </c>
      <c r="F4107">
        <v>2.2200000000000002</v>
      </c>
      <c r="G4107">
        <v>0</v>
      </c>
      <c r="H4107">
        <v>13219.88</v>
      </c>
      <c r="I4107">
        <v>7.4</v>
      </c>
    </row>
    <row r="4108" spans="1:9" x14ac:dyDescent="0.3">
      <c r="A4108" t="s">
        <v>4123</v>
      </c>
      <c r="B4108" t="s">
        <v>10</v>
      </c>
      <c r="C4108" t="s">
        <v>14</v>
      </c>
      <c r="D4108">
        <v>47</v>
      </c>
      <c r="E4108" s="1">
        <v>40617</v>
      </c>
      <c r="F4108">
        <v>1.58</v>
      </c>
      <c r="G4108">
        <v>1</v>
      </c>
      <c r="H4108">
        <v>11406.24</v>
      </c>
      <c r="I4108">
        <v>14.6</v>
      </c>
    </row>
    <row r="4109" spans="1:9" x14ac:dyDescent="0.3">
      <c r="A4109" t="s">
        <v>4124</v>
      </c>
      <c r="B4109" t="s">
        <v>16</v>
      </c>
      <c r="C4109" t="s">
        <v>11</v>
      </c>
      <c r="D4109">
        <v>45</v>
      </c>
      <c r="E4109" s="1">
        <v>43315</v>
      </c>
      <c r="F4109">
        <v>4.13</v>
      </c>
      <c r="G4109">
        <v>12</v>
      </c>
      <c r="H4109">
        <v>10735.18</v>
      </c>
      <c r="I4109">
        <v>7.3</v>
      </c>
    </row>
    <row r="4110" spans="1:9" x14ac:dyDescent="0.3">
      <c r="A4110" t="s">
        <v>4125</v>
      </c>
      <c r="B4110" t="s">
        <v>18</v>
      </c>
      <c r="C4110" t="s">
        <v>11</v>
      </c>
      <c r="D4110">
        <v>55</v>
      </c>
      <c r="E4110" s="1">
        <v>43587</v>
      </c>
      <c r="F4110">
        <v>3.17</v>
      </c>
      <c r="G4110">
        <v>6</v>
      </c>
      <c r="H4110">
        <v>11242.69</v>
      </c>
      <c r="I4110">
        <v>6.5</v>
      </c>
    </row>
    <row r="4111" spans="1:9" x14ac:dyDescent="0.3">
      <c r="A4111" t="s">
        <v>4126</v>
      </c>
      <c r="B4111" t="s">
        <v>10</v>
      </c>
      <c r="C4111" t="s">
        <v>11</v>
      </c>
      <c r="D4111">
        <v>29</v>
      </c>
      <c r="E4111" s="1">
        <v>44449</v>
      </c>
      <c r="F4111">
        <v>4.29</v>
      </c>
      <c r="G4111">
        <v>14</v>
      </c>
      <c r="H4111">
        <v>10999.81</v>
      </c>
      <c r="I4111">
        <v>4.0999999999999996</v>
      </c>
    </row>
    <row r="4112" spans="1:9" x14ac:dyDescent="0.3">
      <c r="A4112" t="s">
        <v>4127</v>
      </c>
      <c r="B4112" t="s">
        <v>24</v>
      </c>
      <c r="C4112" t="s">
        <v>11</v>
      </c>
      <c r="D4112">
        <v>43</v>
      </c>
      <c r="E4112" s="1">
        <v>41546</v>
      </c>
      <c r="F4112">
        <v>2.04</v>
      </c>
      <c r="G4112">
        <v>10</v>
      </c>
      <c r="H4112">
        <v>7266.97</v>
      </c>
      <c r="I4112">
        <v>12.1</v>
      </c>
    </row>
    <row r="4113" spans="1:9" x14ac:dyDescent="0.3">
      <c r="A4113" t="s">
        <v>4128</v>
      </c>
      <c r="B4113" t="s">
        <v>10</v>
      </c>
      <c r="C4113" t="s">
        <v>11</v>
      </c>
      <c r="D4113">
        <v>38</v>
      </c>
      <c r="E4113" s="1">
        <v>40665</v>
      </c>
      <c r="F4113">
        <v>4.6100000000000003</v>
      </c>
      <c r="G4113">
        <v>1</v>
      </c>
      <c r="H4113">
        <v>13942.63</v>
      </c>
      <c r="I4113">
        <v>14.5</v>
      </c>
    </row>
    <row r="4114" spans="1:9" x14ac:dyDescent="0.3">
      <c r="A4114" t="s">
        <v>4129</v>
      </c>
      <c r="B4114" t="s">
        <v>34</v>
      </c>
      <c r="C4114" t="s">
        <v>14</v>
      </c>
      <c r="D4114">
        <v>34</v>
      </c>
      <c r="E4114" s="1">
        <v>44285</v>
      </c>
      <c r="F4114">
        <v>2.48</v>
      </c>
      <c r="G4114">
        <v>11</v>
      </c>
      <c r="H4114">
        <v>8075.09</v>
      </c>
      <c r="I4114">
        <v>4.5999999999999996</v>
      </c>
    </row>
    <row r="4115" spans="1:9" x14ac:dyDescent="0.3">
      <c r="A4115" t="s">
        <v>4130</v>
      </c>
      <c r="B4115" t="s">
        <v>24</v>
      </c>
      <c r="C4115" t="s">
        <v>14</v>
      </c>
      <c r="D4115">
        <v>36</v>
      </c>
      <c r="E4115" s="1">
        <v>44062</v>
      </c>
      <c r="F4115">
        <v>2.35</v>
      </c>
      <c r="G4115">
        <v>10</v>
      </c>
      <c r="H4115">
        <v>12575.15</v>
      </c>
      <c r="I4115">
        <v>5.2</v>
      </c>
    </row>
    <row r="4116" spans="1:9" x14ac:dyDescent="0.3">
      <c r="A4116" t="s">
        <v>4131</v>
      </c>
      <c r="B4116" t="s">
        <v>13</v>
      </c>
      <c r="C4116" t="s">
        <v>11</v>
      </c>
      <c r="D4116">
        <v>49</v>
      </c>
      <c r="E4116" s="1">
        <v>40961</v>
      </c>
      <c r="F4116">
        <v>3.53</v>
      </c>
      <c r="G4116">
        <v>1</v>
      </c>
      <c r="H4116">
        <v>3373.55</v>
      </c>
      <c r="I4116">
        <v>13.7</v>
      </c>
    </row>
    <row r="4117" spans="1:9" x14ac:dyDescent="0.3">
      <c r="A4117" t="s">
        <v>4132</v>
      </c>
      <c r="B4117" t="s">
        <v>34</v>
      </c>
      <c r="C4117" t="s">
        <v>11</v>
      </c>
      <c r="D4117">
        <v>56</v>
      </c>
      <c r="E4117" s="1">
        <v>42019</v>
      </c>
      <c r="F4117">
        <v>3.37</v>
      </c>
      <c r="G4117">
        <v>14</v>
      </c>
      <c r="H4117">
        <v>9443.09</v>
      </c>
      <c r="I4117">
        <v>10.8</v>
      </c>
    </row>
    <row r="4118" spans="1:9" x14ac:dyDescent="0.3">
      <c r="A4118" t="s">
        <v>4133</v>
      </c>
      <c r="B4118" t="s">
        <v>18</v>
      </c>
      <c r="C4118" t="s">
        <v>11</v>
      </c>
      <c r="D4118">
        <v>25</v>
      </c>
      <c r="E4118" s="1">
        <v>45049</v>
      </c>
      <c r="F4118">
        <v>4.3099999999999996</v>
      </c>
      <c r="G4118">
        <v>15</v>
      </c>
      <c r="H4118">
        <v>5640.09</v>
      </c>
      <c r="I4118">
        <v>2.5</v>
      </c>
    </row>
    <row r="4119" spans="1:9" x14ac:dyDescent="0.3">
      <c r="A4119" t="s">
        <v>4134</v>
      </c>
      <c r="B4119" t="s">
        <v>18</v>
      </c>
      <c r="C4119" t="s">
        <v>11</v>
      </c>
      <c r="D4119">
        <v>58</v>
      </c>
      <c r="E4119" s="1">
        <v>43102</v>
      </c>
      <c r="F4119">
        <v>3.14</v>
      </c>
      <c r="G4119">
        <v>12</v>
      </c>
      <c r="H4119">
        <v>5098.6899999999996</v>
      </c>
      <c r="I4119">
        <v>7.8</v>
      </c>
    </row>
    <row r="4120" spans="1:9" x14ac:dyDescent="0.3">
      <c r="A4120" t="s">
        <v>4135</v>
      </c>
      <c r="B4120" t="s">
        <v>18</v>
      </c>
      <c r="C4120" t="s">
        <v>11</v>
      </c>
      <c r="D4120">
        <v>47</v>
      </c>
      <c r="E4120" s="1">
        <v>41198</v>
      </c>
      <c r="F4120">
        <v>3.48</v>
      </c>
      <c r="G4120">
        <v>6</v>
      </c>
      <c r="H4120">
        <v>6927.65</v>
      </c>
      <c r="I4120">
        <v>13.1</v>
      </c>
    </row>
    <row r="4121" spans="1:9" x14ac:dyDescent="0.3">
      <c r="A4121" t="s">
        <v>4136</v>
      </c>
      <c r="B4121" t="s">
        <v>18</v>
      </c>
      <c r="C4121" t="s">
        <v>11</v>
      </c>
      <c r="D4121">
        <v>56</v>
      </c>
      <c r="E4121" s="1">
        <v>42688</v>
      </c>
      <c r="F4121">
        <v>4.3499999999999996</v>
      </c>
      <c r="G4121">
        <v>4</v>
      </c>
      <c r="H4121">
        <v>8143.13</v>
      </c>
      <c r="I4121">
        <v>9</v>
      </c>
    </row>
    <row r="4122" spans="1:9" x14ac:dyDescent="0.3">
      <c r="A4122" t="s">
        <v>4137</v>
      </c>
      <c r="B4122" t="s">
        <v>13</v>
      </c>
      <c r="C4122" t="s">
        <v>14</v>
      </c>
      <c r="D4122">
        <v>50</v>
      </c>
      <c r="E4122" s="1">
        <v>44036</v>
      </c>
      <c r="F4122">
        <v>1.94</v>
      </c>
      <c r="G4122">
        <v>3</v>
      </c>
      <c r="H4122">
        <v>10995.09</v>
      </c>
      <c r="I4122">
        <v>5.3</v>
      </c>
    </row>
    <row r="4123" spans="1:9" x14ac:dyDescent="0.3">
      <c r="A4123" t="s">
        <v>4138</v>
      </c>
      <c r="B4123" t="s">
        <v>24</v>
      </c>
      <c r="C4123" t="s">
        <v>11</v>
      </c>
      <c r="D4123">
        <v>59</v>
      </c>
      <c r="E4123" s="1">
        <v>41311</v>
      </c>
      <c r="F4123">
        <v>5</v>
      </c>
      <c r="G4123">
        <v>0</v>
      </c>
      <c r="H4123">
        <v>11071.46</v>
      </c>
      <c r="I4123">
        <v>12.7</v>
      </c>
    </row>
    <row r="4124" spans="1:9" x14ac:dyDescent="0.3">
      <c r="A4124" t="s">
        <v>4139</v>
      </c>
      <c r="B4124" t="s">
        <v>10</v>
      </c>
      <c r="C4124" t="s">
        <v>14</v>
      </c>
      <c r="D4124">
        <v>35</v>
      </c>
      <c r="E4124" s="1">
        <v>42319</v>
      </c>
      <c r="F4124">
        <v>2.98</v>
      </c>
      <c r="G4124">
        <v>15</v>
      </c>
      <c r="H4124">
        <v>5752.74</v>
      </c>
      <c r="I4124">
        <v>10</v>
      </c>
    </row>
    <row r="4125" spans="1:9" x14ac:dyDescent="0.3">
      <c r="A4125" t="s">
        <v>4140</v>
      </c>
      <c r="B4125" t="s">
        <v>18</v>
      </c>
      <c r="C4125" t="s">
        <v>14</v>
      </c>
      <c r="D4125">
        <v>53</v>
      </c>
      <c r="E4125" s="1">
        <v>45202</v>
      </c>
      <c r="F4125">
        <v>3.32</v>
      </c>
      <c r="G4125">
        <v>1</v>
      </c>
      <c r="H4125">
        <v>10139.91</v>
      </c>
      <c r="I4125">
        <v>2.1</v>
      </c>
    </row>
    <row r="4126" spans="1:9" x14ac:dyDescent="0.3">
      <c r="A4126" t="s">
        <v>4141</v>
      </c>
      <c r="B4126" t="s">
        <v>13</v>
      </c>
      <c r="C4126" t="s">
        <v>11</v>
      </c>
      <c r="D4126">
        <v>34</v>
      </c>
      <c r="E4126" s="1">
        <v>41011</v>
      </c>
      <c r="F4126">
        <v>3.49</v>
      </c>
      <c r="G4126">
        <v>13</v>
      </c>
      <c r="H4126">
        <v>8711.0400000000009</v>
      </c>
      <c r="I4126">
        <v>13.6</v>
      </c>
    </row>
    <row r="4127" spans="1:9" x14ac:dyDescent="0.3">
      <c r="A4127" t="s">
        <v>4142</v>
      </c>
      <c r="B4127" t="s">
        <v>24</v>
      </c>
      <c r="C4127" t="s">
        <v>14</v>
      </c>
      <c r="D4127">
        <v>51</v>
      </c>
      <c r="E4127" s="1">
        <v>41244</v>
      </c>
      <c r="F4127">
        <v>1.51</v>
      </c>
      <c r="G4127">
        <v>5</v>
      </c>
      <c r="H4127">
        <v>6851.59</v>
      </c>
      <c r="I4127">
        <v>12.9</v>
      </c>
    </row>
    <row r="4128" spans="1:9" x14ac:dyDescent="0.3">
      <c r="A4128" t="s">
        <v>4143</v>
      </c>
      <c r="B4128" t="s">
        <v>18</v>
      </c>
      <c r="C4128" t="s">
        <v>11</v>
      </c>
      <c r="D4128">
        <v>25</v>
      </c>
      <c r="E4128" s="1">
        <v>42455</v>
      </c>
      <c r="F4128">
        <v>2.74</v>
      </c>
      <c r="G4128">
        <v>10</v>
      </c>
      <c r="H4128">
        <v>9265.34</v>
      </c>
      <c r="I4128">
        <v>9.6</v>
      </c>
    </row>
    <row r="4129" spans="1:9" x14ac:dyDescent="0.3">
      <c r="A4129" t="s">
        <v>4144</v>
      </c>
      <c r="B4129" t="s">
        <v>18</v>
      </c>
      <c r="C4129" t="s">
        <v>14</v>
      </c>
      <c r="D4129">
        <v>59</v>
      </c>
      <c r="E4129" s="1">
        <v>45185</v>
      </c>
      <c r="F4129">
        <v>2.21</v>
      </c>
      <c r="G4129">
        <v>13</v>
      </c>
      <c r="H4129">
        <v>10211.67</v>
      </c>
      <c r="I4129">
        <v>2.1</v>
      </c>
    </row>
    <row r="4130" spans="1:9" x14ac:dyDescent="0.3">
      <c r="A4130" t="s">
        <v>4145</v>
      </c>
      <c r="B4130" t="s">
        <v>24</v>
      </c>
      <c r="C4130" t="s">
        <v>11</v>
      </c>
      <c r="D4130">
        <v>40</v>
      </c>
      <c r="E4130" s="1">
        <v>41262</v>
      </c>
      <c r="F4130">
        <v>1.79</v>
      </c>
      <c r="G4130">
        <v>15</v>
      </c>
      <c r="H4130">
        <v>9276.9</v>
      </c>
      <c r="I4130">
        <v>12.9</v>
      </c>
    </row>
    <row r="4131" spans="1:9" x14ac:dyDescent="0.3">
      <c r="A4131" t="s">
        <v>4146</v>
      </c>
      <c r="B4131" t="s">
        <v>10</v>
      </c>
      <c r="C4131" t="s">
        <v>11</v>
      </c>
      <c r="D4131">
        <v>58</v>
      </c>
      <c r="E4131" s="1">
        <v>43232</v>
      </c>
      <c r="F4131">
        <v>3.06</v>
      </c>
      <c r="G4131">
        <v>4</v>
      </c>
      <c r="H4131">
        <v>4398.6400000000003</v>
      </c>
      <c r="I4131">
        <v>7.5</v>
      </c>
    </row>
    <row r="4132" spans="1:9" x14ac:dyDescent="0.3">
      <c r="A4132" t="s">
        <v>4147</v>
      </c>
      <c r="B4132" t="s">
        <v>16</v>
      </c>
      <c r="C4132" t="s">
        <v>14</v>
      </c>
      <c r="D4132">
        <v>52</v>
      </c>
      <c r="E4132" s="1">
        <v>43289</v>
      </c>
      <c r="F4132">
        <v>3.3</v>
      </c>
      <c r="G4132">
        <v>1</v>
      </c>
      <c r="H4132">
        <v>4952.2700000000004</v>
      </c>
      <c r="I4132">
        <v>7.3</v>
      </c>
    </row>
    <row r="4133" spans="1:9" x14ac:dyDescent="0.3">
      <c r="A4133" t="s">
        <v>4148</v>
      </c>
      <c r="B4133" t="s">
        <v>24</v>
      </c>
      <c r="C4133" t="s">
        <v>14</v>
      </c>
      <c r="D4133">
        <v>24</v>
      </c>
      <c r="E4133" s="1">
        <v>42325</v>
      </c>
      <c r="F4133">
        <v>1.76</v>
      </c>
      <c r="G4133">
        <v>5</v>
      </c>
      <c r="H4133">
        <v>9522.59</v>
      </c>
      <c r="I4133">
        <v>10</v>
      </c>
    </row>
    <row r="4134" spans="1:9" x14ac:dyDescent="0.3">
      <c r="A4134" t="s">
        <v>4149</v>
      </c>
      <c r="B4134" t="s">
        <v>18</v>
      </c>
      <c r="C4134" t="s">
        <v>11</v>
      </c>
      <c r="D4134">
        <v>25</v>
      </c>
      <c r="E4134" s="1">
        <v>43679</v>
      </c>
      <c r="F4134">
        <v>2</v>
      </c>
      <c r="G4134">
        <v>6</v>
      </c>
      <c r="H4134">
        <v>4416.63</v>
      </c>
      <c r="I4134">
        <v>6.3</v>
      </c>
    </row>
    <row r="4135" spans="1:9" x14ac:dyDescent="0.3">
      <c r="A4135" t="s">
        <v>4150</v>
      </c>
      <c r="B4135" t="s">
        <v>13</v>
      </c>
      <c r="C4135" t="s">
        <v>14</v>
      </c>
      <c r="D4135">
        <v>56</v>
      </c>
      <c r="E4135" s="1">
        <v>44076</v>
      </c>
      <c r="F4135">
        <v>3.09</v>
      </c>
      <c r="G4135">
        <v>1</v>
      </c>
      <c r="H4135">
        <v>7242.26</v>
      </c>
      <c r="I4135">
        <v>5.2</v>
      </c>
    </row>
    <row r="4136" spans="1:9" x14ac:dyDescent="0.3">
      <c r="A4136" t="s">
        <v>4151</v>
      </c>
      <c r="B4136" t="s">
        <v>10</v>
      </c>
      <c r="C4136" t="s">
        <v>14</v>
      </c>
      <c r="D4136">
        <v>33</v>
      </c>
      <c r="E4136" s="1">
        <v>42345</v>
      </c>
      <c r="F4136">
        <v>4.5999999999999996</v>
      </c>
      <c r="G4136">
        <v>6</v>
      </c>
      <c r="H4136">
        <v>12248.01</v>
      </c>
      <c r="I4136">
        <v>9.9</v>
      </c>
    </row>
    <row r="4137" spans="1:9" x14ac:dyDescent="0.3">
      <c r="A4137" t="s">
        <v>4152</v>
      </c>
      <c r="B4137" t="s">
        <v>10</v>
      </c>
      <c r="C4137" t="s">
        <v>11</v>
      </c>
      <c r="D4137">
        <v>55</v>
      </c>
      <c r="E4137" s="1">
        <v>44274</v>
      </c>
      <c r="F4137">
        <v>4.16</v>
      </c>
      <c r="G4137">
        <v>1</v>
      </c>
      <c r="H4137">
        <v>10270.26</v>
      </c>
      <c r="I4137">
        <v>4.5999999999999996</v>
      </c>
    </row>
    <row r="4138" spans="1:9" x14ac:dyDescent="0.3">
      <c r="A4138" t="s">
        <v>4153</v>
      </c>
      <c r="B4138" t="s">
        <v>10</v>
      </c>
      <c r="C4138" t="s">
        <v>14</v>
      </c>
      <c r="D4138">
        <v>53</v>
      </c>
      <c r="E4138" s="1">
        <v>43620</v>
      </c>
      <c r="F4138">
        <v>4.96</v>
      </c>
      <c r="G4138">
        <v>5</v>
      </c>
      <c r="H4138">
        <v>12686.85</v>
      </c>
      <c r="I4138">
        <v>6.4</v>
      </c>
    </row>
    <row r="4139" spans="1:9" x14ac:dyDescent="0.3">
      <c r="A4139" t="s">
        <v>4154</v>
      </c>
      <c r="B4139" t="s">
        <v>13</v>
      </c>
      <c r="C4139" t="s">
        <v>11</v>
      </c>
      <c r="D4139">
        <v>49</v>
      </c>
      <c r="E4139" s="1">
        <v>45110</v>
      </c>
      <c r="F4139">
        <v>4.25</v>
      </c>
      <c r="G4139">
        <v>9</v>
      </c>
      <c r="H4139">
        <v>9566.8799999999992</v>
      </c>
      <c r="I4139">
        <v>2.2999999999999998</v>
      </c>
    </row>
    <row r="4140" spans="1:9" x14ac:dyDescent="0.3">
      <c r="A4140" t="s">
        <v>4155</v>
      </c>
      <c r="B4140" t="s">
        <v>18</v>
      </c>
      <c r="C4140" t="s">
        <v>14</v>
      </c>
      <c r="D4140">
        <v>37</v>
      </c>
      <c r="E4140" s="1">
        <v>40532</v>
      </c>
      <c r="F4140">
        <v>3.79</v>
      </c>
      <c r="G4140">
        <v>12</v>
      </c>
      <c r="H4140">
        <v>13761.24</v>
      </c>
      <c r="I4140">
        <v>14.9</v>
      </c>
    </row>
    <row r="4141" spans="1:9" x14ac:dyDescent="0.3">
      <c r="A4141" t="s">
        <v>4156</v>
      </c>
      <c r="B4141" t="s">
        <v>16</v>
      </c>
      <c r="C4141" t="s">
        <v>11</v>
      </c>
      <c r="D4141">
        <v>55</v>
      </c>
      <c r="E4141" s="1">
        <v>44129</v>
      </c>
      <c r="F4141">
        <v>2.69</v>
      </c>
      <c r="G4141">
        <v>11</v>
      </c>
      <c r="H4141">
        <v>12992.79</v>
      </c>
      <c r="I4141">
        <v>5</v>
      </c>
    </row>
    <row r="4142" spans="1:9" x14ac:dyDescent="0.3">
      <c r="A4142" t="s">
        <v>4157</v>
      </c>
      <c r="B4142" t="s">
        <v>24</v>
      </c>
      <c r="C4142" t="s">
        <v>14</v>
      </c>
      <c r="D4142">
        <v>58</v>
      </c>
      <c r="E4142" s="1">
        <v>42687</v>
      </c>
      <c r="F4142">
        <v>4.96</v>
      </c>
      <c r="G4142">
        <v>8</v>
      </c>
      <c r="H4142">
        <v>10054.73</v>
      </c>
      <c r="I4142">
        <v>9</v>
      </c>
    </row>
    <row r="4143" spans="1:9" x14ac:dyDescent="0.3">
      <c r="A4143" t="s">
        <v>4158</v>
      </c>
      <c r="B4143" t="s">
        <v>24</v>
      </c>
      <c r="C4143" t="s">
        <v>14</v>
      </c>
      <c r="D4143">
        <v>41</v>
      </c>
      <c r="E4143" s="1">
        <v>44401</v>
      </c>
      <c r="F4143">
        <v>3.91</v>
      </c>
      <c r="G4143">
        <v>9</v>
      </c>
      <c r="H4143">
        <v>9761.2800000000007</v>
      </c>
      <c r="I4143">
        <v>4.3</v>
      </c>
    </row>
    <row r="4144" spans="1:9" x14ac:dyDescent="0.3">
      <c r="A4144" t="s">
        <v>4159</v>
      </c>
      <c r="B4144" t="s">
        <v>34</v>
      </c>
      <c r="C4144" t="s">
        <v>11</v>
      </c>
      <c r="D4144">
        <v>40</v>
      </c>
      <c r="E4144" s="1">
        <v>45373</v>
      </c>
      <c r="F4144">
        <v>2.2200000000000002</v>
      </c>
      <c r="G4144">
        <v>10</v>
      </c>
      <c r="H4144">
        <v>3567.32</v>
      </c>
      <c r="I4144">
        <v>1.6</v>
      </c>
    </row>
    <row r="4145" spans="1:9" x14ac:dyDescent="0.3">
      <c r="A4145" t="s">
        <v>4160</v>
      </c>
      <c r="B4145" t="s">
        <v>13</v>
      </c>
      <c r="C4145" t="s">
        <v>14</v>
      </c>
      <c r="D4145">
        <v>57</v>
      </c>
      <c r="E4145" s="1">
        <v>44864</v>
      </c>
      <c r="F4145">
        <v>3.32</v>
      </c>
      <c r="G4145">
        <v>11</v>
      </c>
      <c r="H4145">
        <v>12197.71</v>
      </c>
      <c r="I4145">
        <v>3</v>
      </c>
    </row>
    <row r="4146" spans="1:9" x14ac:dyDescent="0.3">
      <c r="A4146" t="s">
        <v>4161</v>
      </c>
      <c r="B4146" t="s">
        <v>13</v>
      </c>
      <c r="C4146" t="s">
        <v>11</v>
      </c>
      <c r="D4146">
        <v>25</v>
      </c>
      <c r="E4146" s="1">
        <v>44447</v>
      </c>
      <c r="F4146">
        <v>1.57</v>
      </c>
      <c r="G4146">
        <v>1</v>
      </c>
      <c r="H4146">
        <v>11784.71</v>
      </c>
      <c r="I4146">
        <v>4.2</v>
      </c>
    </row>
    <row r="4147" spans="1:9" x14ac:dyDescent="0.3">
      <c r="A4147" t="s">
        <v>4162</v>
      </c>
      <c r="B4147" t="s">
        <v>10</v>
      </c>
      <c r="C4147" t="s">
        <v>11</v>
      </c>
      <c r="D4147">
        <v>34</v>
      </c>
      <c r="E4147" s="1">
        <v>42556</v>
      </c>
      <c r="F4147">
        <v>1.86</v>
      </c>
      <c r="G4147">
        <v>10</v>
      </c>
      <c r="H4147">
        <v>5682.32</v>
      </c>
      <c r="I4147">
        <v>9.3000000000000007</v>
      </c>
    </row>
    <row r="4148" spans="1:9" x14ac:dyDescent="0.3">
      <c r="A4148" t="s">
        <v>4163</v>
      </c>
      <c r="B4148" t="s">
        <v>16</v>
      </c>
      <c r="C4148" t="s">
        <v>11</v>
      </c>
      <c r="D4148">
        <v>37</v>
      </c>
      <c r="E4148" s="1">
        <v>43102</v>
      </c>
      <c r="F4148">
        <v>2.4900000000000002</v>
      </c>
      <c r="G4148">
        <v>4</v>
      </c>
      <c r="H4148">
        <v>14479.18</v>
      </c>
      <c r="I4148">
        <v>7.8</v>
      </c>
    </row>
    <row r="4149" spans="1:9" x14ac:dyDescent="0.3">
      <c r="A4149" t="s">
        <v>4164</v>
      </c>
      <c r="B4149" t="s">
        <v>24</v>
      </c>
      <c r="C4149" t="s">
        <v>11</v>
      </c>
      <c r="D4149">
        <v>33</v>
      </c>
      <c r="E4149" s="1">
        <v>42007</v>
      </c>
      <c r="F4149">
        <v>4.75</v>
      </c>
      <c r="G4149">
        <v>14</v>
      </c>
      <c r="H4149">
        <v>8071.7</v>
      </c>
      <c r="I4149">
        <v>10.8</v>
      </c>
    </row>
    <row r="4150" spans="1:9" x14ac:dyDescent="0.3">
      <c r="A4150" t="s">
        <v>4165</v>
      </c>
      <c r="B4150" t="s">
        <v>16</v>
      </c>
      <c r="C4150" t="s">
        <v>14</v>
      </c>
      <c r="D4150">
        <v>43</v>
      </c>
      <c r="E4150" s="1">
        <v>41963</v>
      </c>
      <c r="F4150">
        <v>4.1900000000000004</v>
      </c>
      <c r="G4150">
        <v>7</v>
      </c>
      <c r="H4150">
        <v>6744.35</v>
      </c>
      <c r="I4150">
        <v>11</v>
      </c>
    </row>
    <row r="4151" spans="1:9" x14ac:dyDescent="0.3">
      <c r="A4151" t="s">
        <v>4166</v>
      </c>
      <c r="B4151" t="s">
        <v>10</v>
      </c>
      <c r="C4151" t="s">
        <v>11</v>
      </c>
      <c r="D4151">
        <v>28</v>
      </c>
      <c r="E4151" s="1">
        <v>43723</v>
      </c>
      <c r="F4151">
        <v>3.66</v>
      </c>
      <c r="G4151">
        <v>14</v>
      </c>
      <c r="H4151">
        <v>13289.99</v>
      </c>
      <c r="I4151">
        <v>6.1</v>
      </c>
    </row>
    <row r="4152" spans="1:9" x14ac:dyDescent="0.3">
      <c r="A4152" t="s">
        <v>4167</v>
      </c>
      <c r="B4152" t="s">
        <v>18</v>
      </c>
      <c r="C4152" t="s">
        <v>14</v>
      </c>
      <c r="D4152">
        <v>56</v>
      </c>
      <c r="E4152" s="1">
        <v>45028</v>
      </c>
      <c r="F4152">
        <v>2.9</v>
      </c>
      <c r="G4152">
        <v>9</v>
      </c>
      <c r="H4152">
        <v>4393.2299999999996</v>
      </c>
      <c r="I4152">
        <v>2.6</v>
      </c>
    </row>
    <row r="4153" spans="1:9" x14ac:dyDescent="0.3">
      <c r="A4153" t="s">
        <v>4168</v>
      </c>
      <c r="B4153" t="s">
        <v>24</v>
      </c>
      <c r="C4153" t="s">
        <v>14</v>
      </c>
      <c r="D4153">
        <v>53</v>
      </c>
      <c r="E4153" s="1">
        <v>45630</v>
      </c>
      <c r="F4153">
        <v>4.8099999999999996</v>
      </c>
      <c r="G4153">
        <v>9</v>
      </c>
      <c r="H4153">
        <v>3208.95</v>
      </c>
      <c r="I4153">
        <v>0.9</v>
      </c>
    </row>
    <row r="4154" spans="1:9" x14ac:dyDescent="0.3">
      <c r="A4154" t="s">
        <v>4169</v>
      </c>
      <c r="B4154" t="s">
        <v>10</v>
      </c>
      <c r="C4154" t="s">
        <v>14</v>
      </c>
      <c r="D4154">
        <v>23</v>
      </c>
      <c r="E4154" s="1">
        <v>43815</v>
      </c>
      <c r="F4154">
        <v>3.51</v>
      </c>
      <c r="G4154">
        <v>10</v>
      </c>
      <c r="H4154">
        <v>12342.42</v>
      </c>
      <c r="I4154">
        <v>5.9</v>
      </c>
    </row>
    <row r="4155" spans="1:9" x14ac:dyDescent="0.3">
      <c r="A4155" t="s">
        <v>4170</v>
      </c>
      <c r="B4155" t="s">
        <v>16</v>
      </c>
      <c r="C4155" t="s">
        <v>14</v>
      </c>
      <c r="D4155">
        <v>34</v>
      </c>
      <c r="E4155" s="1">
        <v>42858</v>
      </c>
      <c r="F4155">
        <v>4.91</v>
      </c>
      <c r="G4155">
        <v>4</v>
      </c>
      <c r="H4155">
        <v>4832.97</v>
      </c>
      <c r="I4155">
        <v>8.5</v>
      </c>
    </row>
    <row r="4156" spans="1:9" x14ac:dyDescent="0.3">
      <c r="A4156" t="s">
        <v>4171</v>
      </c>
      <c r="B4156" t="s">
        <v>10</v>
      </c>
      <c r="C4156" t="s">
        <v>11</v>
      </c>
      <c r="D4156">
        <v>28</v>
      </c>
      <c r="E4156" s="1">
        <v>41002</v>
      </c>
      <c r="F4156">
        <v>1.52</v>
      </c>
      <c r="G4156">
        <v>11</v>
      </c>
      <c r="H4156">
        <v>6203.06</v>
      </c>
      <c r="I4156">
        <v>13.6</v>
      </c>
    </row>
    <row r="4157" spans="1:9" x14ac:dyDescent="0.3">
      <c r="A4157" t="s">
        <v>4172</v>
      </c>
      <c r="B4157" t="s">
        <v>10</v>
      </c>
      <c r="C4157" t="s">
        <v>14</v>
      </c>
      <c r="D4157">
        <v>38</v>
      </c>
      <c r="E4157" s="1">
        <v>42768</v>
      </c>
      <c r="F4157">
        <v>2.69</v>
      </c>
      <c r="G4157">
        <v>0</v>
      </c>
      <c r="H4157">
        <v>11280.75</v>
      </c>
      <c r="I4157">
        <v>8.8000000000000007</v>
      </c>
    </row>
    <row r="4158" spans="1:9" x14ac:dyDescent="0.3">
      <c r="A4158" t="s">
        <v>4173</v>
      </c>
      <c r="B4158" t="s">
        <v>13</v>
      </c>
      <c r="C4158" t="s">
        <v>11</v>
      </c>
      <c r="D4158">
        <v>33</v>
      </c>
      <c r="E4158" s="1">
        <v>45334</v>
      </c>
      <c r="F4158">
        <v>3.55</v>
      </c>
      <c r="G4158">
        <v>15</v>
      </c>
      <c r="H4158">
        <v>9093.9699999999993</v>
      </c>
      <c r="I4158">
        <v>1.7</v>
      </c>
    </row>
    <row r="4159" spans="1:9" x14ac:dyDescent="0.3">
      <c r="A4159" t="s">
        <v>4174</v>
      </c>
      <c r="B4159" t="s">
        <v>24</v>
      </c>
      <c r="C4159" t="s">
        <v>11</v>
      </c>
      <c r="D4159">
        <v>40</v>
      </c>
      <c r="E4159" s="1">
        <v>45455</v>
      </c>
      <c r="F4159">
        <v>2.57</v>
      </c>
      <c r="G4159">
        <v>0</v>
      </c>
      <c r="H4159">
        <v>13826.51</v>
      </c>
      <c r="I4159">
        <v>1.4</v>
      </c>
    </row>
    <row r="4160" spans="1:9" x14ac:dyDescent="0.3">
      <c r="A4160" t="s">
        <v>4175</v>
      </c>
      <c r="B4160" t="s">
        <v>16</v>
      </c>
      <c r="C4160" t="s">
        <v>11</v>
      </c>
      <c r="D4160">
        <v>55</v>
      </c>
      <c r="E4160" s="1">
        <v>44487</v>
      </c>
      <c r="F4160">
        <v>4.88</v>
      </c>
      <c r="G4160">
        <v>9</v>
      </c>
      <c r="H4160">
        <v>6257.85</v>
      </c>
      <c r="I4160">
        <v>4</v>
      </c>
    </row>
    <row r="4161" spans="1:9" x14ac:dyDescent="0.3">
      <c r="A4161" t="s">
        <v>4176</v>
      </c>
      <c r="B4161" t="s">
        <v>16</v>
      </c>
      <c r="C4161" t="s">
        <v>11</v>
      </c>
      <c r="D4161">
        <v>47</v>
      </c>
      <c r="E4161" s="1">
        <v>44991</v>
      </c>
      <c r="F4161">
        <v>4.91</v>
      </c>
      <c r="G4161">
        <v>0</v>
      </c>
      <c r="H4161">
        <v>7864.94</v>
      </c>
      <c r="I4161">
        <v>2.7</v>
      </c>
    </row>
    <row r="4162" spans="1:9" x14ac:dyDescent="0.3">
      <c r="A4162" t="s">
        <v>4177</v>
      </c>
      <c r="B4162" t="s">
        <v>18</v>
      </c>
      <c r="C4162" t="s">
        <v>11</v>
      </c>
      <c r="D4162">
        <v>45</v>
      </c>
      <c r="E4162" s="1">
        <v>42813</v>
      </c>
      <c r="F4162">
        <v>1.79</v>
      </c>
      <c r="G4162">
        <v>9</v>
      </c>
      <c r="H4162">
        <v>9963.7199999999993</v>
      </c>
      <c r="I4162">
        <v>8.6</v>
      </c>
    </row>
    <row r="4163" spans="1:9" x14ac:dyDescent="0.3">
      <c r="A4163" t="s">
        <v>4178</v>
      </c>
      <c r="B4163" t="s">
        <v>18</v>
      </c>
      <c r="C4163" t="s">
        <v>14</v>
      </c>
      <c r="D4163">
        <v>60</v>
      </c>
      <c r="E4163" s="1">
        <v>42592</v>
      </c>
      <c r="F4163">
        <v>4.3099999999999996</v>
      </c>
      <c r="G4163">
        <v>1</v>
      </c>
      <c r="H4163">
        <v>6779.92</v>
      </c>
      <c r="I4163">
        <v>9.1999999999999993</v>
      </c>
    </row>
    <row r="4164" spans="1:9" x14ac:dyDescent="0.3">
      <c r="A4164" t="s">
        <v>4179</v>
      </c>
      <c r="B4164" t="s">
        <v>18</v>
      </c>
      <c r="C4164" t="s">
        <v>14</v>
      </c>
      <c r="D4164">
        <v>23</v>
      </c>
      <c r="E4164" s="1">
        <v>41325</v>
      </c>
      <c r="F4164">
        <v>1.71</v>
      </c>
      <c r="G4164">
        <v>1</v>
      </c>
      <c r="H4164">
        <v>3982.21</v>
      </c>
      <c r="I4164">
        <v>12.7</v>
      </c>
    </row>
    <row r="4165" spans="1:9" x14ac:dyDescent="0.3">
      <c r="A4165" t="s">
        <v>4180</v>
      </c>
      <c r="B4165" t="s">
        <v>24</v>
      </c>
      <c r="C4165" t="s">
        <v>14</v>
      </c>
      <c r="D4165">
        <v>28</v>
      </c>
      <c r="E4165" s="1">
        <v>42928</v>
      </c>
      <c r="F4165">
        <v>1.69</v>
      </c>
      <c r="G4165">
        <v>15</v>
      </c>
      <c r="H4165">
        <v>4428.47</v>
      </c>
      <c r="I4165">
        <v>8.3000000000000007</v>
      </c>
    </row>
    <row r="4166" spans="1:9" x14ac:dyDescent="0.3">
      <c r="A4166" t="s">
        <v>4181</v>
      </c>
      <c r="B4166" t="s">
        <v>10</v>
      </c>
      <c r="C4166" t="s">
        <v>14</v>
      </c>
      <c r="D4166">
        <v>53</v>
      </c>
      <c r="E4166" s="1">
        <v>43043</v>
      </c>
      <c r="F4166">
        <v>1.97</v>
      </c>
      <c r="G4166">
        <v>10</v>
      </c>
      <c r="H4166">
        <v>5482.86</v>
      </c>
      <c r="I4166">
        <v>8</v>
      </c>
    </row>
    <row r="4167" spans="1:9" x14ac:dyDescent="0.3">
      <c r="A4167" t="s">
        <v>4182</v>
      </c>
      <c r="B4167" t="s">
        <v>16</v>
      </c>
      <c r="C4167" t="s">
        <v>11</v>
      </c>
      <c r="D4167">
        <v>40</v>
      </c>
      <c r="E4167" s="1">
        <v>43045</v>
      </c>
      <c r="F4167">
        <v>3.04</v>
      </c>
      <c r="G4167">
        <v>6</v>
      </c>
      <c r="H4167">
        <v>7650.18</v>
      </c>
      <c r="I4167">
        <v>8</v>
      </c>
    </row>
    <row r="4168" spans="1:9" x14ac:dyDescent="0.3">
      <c r="A4168" t="s">
        <v>4183</v>
      </c>
      <c r="B4168" t="s">
        <v>18</v>
      </c>
      <c r="C4168" t="s">
        <v>14</v>
      </c>
      <c r="D4168">
        <v>27</v>
      </c>
      <c r="E4168" s="1">
        <v>43192</v>
      </c>
      <c r="F4168">
        <v>4.7</v>
      </c>
      <c r="G4168">
        <v>0</v>
      </c>
      <c r="H4168">
        <v>9261.74</v>
      </c>
      <c r="I4168">
        <v>7.6</v>
      </c>
    </row>
    <row r="4169" spans="1:9" x14ac:dyDescent="0.3">
      <c r="A4169" t="s">
        <v>4184</v>
      </c>
      <c r="B4169" t="s">
        <v>10</v>
      </c>
      <c r="C4169" t="s">
        <v>14</v>
      </c>
      <c r="D4169">
        <v>49</v>
      </c>
      <c r="E4169" s="1">
        <v>42963</v>
      </c>
      <c r="F4169">
        <v>2.37</v>
      </c>
      <c r="G4169">
        <v>4</v>
      </c>
      <c r="H4169">
        <v>13163.49</v>
      </c>
      <c r="I4169">
        <v>8.1999999999999993</v>
      </c>
    </row>
    <row r="4170" spans="1:9" x14ac:dyDescent="0.3">
      <c r="A4170" t="s">
        <v>4185</v>
      </c>
      <c r="B4170" t="s">
        <v>34</v>
      </c>
      <c r="C4170" t="s">
        <v>14</v>
      </c>
      <c r="D4170">
        <v>46</v>
      </c>
      <c r="E4170" s="1">
        <v>40345</v>
      </c>
      <c r="F4170">
        <v>3.86</v>
      </c>
      <c r="G4170">
        <v>4</v>
      </c>
      <c r="H4170">
        <v>3951.61</v>
      </c>
      <c r="I4170">
        <v>15.4</v>
      </c>
    </row>
    <row r="4171" spans="1:9" x14ac:dyDescent="0.3">
      <c r="A4171" t="s">
        <v>4186</v>
      </c>
      <c r="B4171" t="s">
        <v>24</v>
      </c>
      <c r="C4171" t="s">
        <v>11</v>
      </c>
      <c r="D4171">
        <v>32</v>
      </c>
      <c r="E4171" s="1">
        <v>41551</v>
      </c>
      <c r="F4171">
        <v>2.92</v>
      </c>
      <c r="G4171">
        <v>4</v>
      </c>
      <c r="H4171">
        <v>11012.9</v>
      </c>
      <c r="I4171">
        <v>12.1</v>
      </c>
    </row>
    <row r="4172" spans="1:9" x14ac:dyDescent="0.3">
      <c r="A4172" t="s">
        <v>4187</v>
      </c>
      <c r="B4172" t="s">
        <v>34</v>
      </c>
      <c r="C4172" t="s">
        <v>11</v>
      </c>
      <c r="D4172">
        <v>46</v>
      </c>
      <c r="E4172" s="1">
        <v>44582</v>
      </c>
      <c r="F4172">
        <v>4.54</v>
      </c>
      <c r="G4172">
        <v>5</v>
      </c>
      <c r="H4172">
        <v>7542.81</v>
      </c>
      <c r="I4172">
        <v>3.8</v>
      </c>
    </row>
    <row r="4173" spans="1:9" x14ac:dyDescent="0.3">
      <c r="A4173" t="s">
        <v>4188</v>
      </c>
      <c r="B4173" t="s">
        <v>18</v>
      </c>
      <c r="C4173" t="s">
        <v>14</v>
      </c>
      <c r="D4173">
        <v>37</v>
      </c>
      <c r="E4173" s="1">
        <v>43779</v>
      </c>
      <c r="F4173">
        <v>3.72</v>
      </c>
      <c r="G4173">
        <v>9</v>
      </c>
      <c r="H4173">
        <v>6640.37</v>
      </c>
      <c r="I4173">
        <v>6</v>
      </c>
    </row>
    <row r="4174" spans="1:9" x14ac:dyDescent="0.3">
      <c r="A4174" t="s">
        <v>4189</v>
      </c>
      <c r="B4174" t="s">
        <v>10</v>
      </c>
      <c r="C4174" t="s">
        <v>14</v>
      </c>
      <c r="D4174">
        <v>49</v>
      </c>
      <c r="E4174" s="1">
        <v>43174</v>
      </c>
      <c r="F4174">
        <v>1.88</v>
      </c>
      <c r="G4174">
        <v>1</v>
      </c>
      <c r="H4174">
        <v>9808.17</v>
      </c>
      <c r="I4174">
        <v>7.6</v>
      </c>
    </row>
    <row r="4175" spans="1:9" x14ac:dyDescent="0.3">
      <c r="A4175" t="s">
        <v>4190</v>
      </c>
      <c r="B4175" t="s">
        <v>10</v>
      </c>
      <c r="C4175" t="s">
        <v>14</v>
      </c>
      <c r="D4175">
        <v>43</v>
      </c>
      <c r="E4175" s="1">
        <v>42312</v>
      </c>
      <c r="F4175">
        <v>3.71</v>
      </c>
      <c r="G4175">
        <v>4</v>
      </c>
      <c r="H4175">
        <v>5255.94</v>
      </c>
      <c r="I4175">
        <v>10</v>
      </c>
    </row>
    <row r="4176" spans="1:9" x14ac:dyDescent="0.3">
      <c r="A4176" t="s">
        <v>4191</v>
      </c>
      <c r="B4176" t="s">
        <v>34</v>
      </c>
      <c r="C4176" t="s">
        <v>11</v>
      </c>
      <c r="D4176">
        <v>32</v>
      </c>
      <c r="E4176" s="1">
        <v>42364</v>
      </c>
      <c r="F4176">
        <v>1.69</v>
      </c>
      <c r="G4176">
        <v>1</v>
      </c>
      <c r="H4176">
        <v>7060.13</v>
      </c>
      <c r="I4176">
        <v>9.9</v>
      </c>
    </row>
    <row r="4177" spans="1:9" x14ac:dyDescent="0.3">
      <c r="A4177" t="s">
        <v>4192</v>
      </c>
      <c r="B4177" t="s">
        <v>16</v>
      </c>
      <c r="C4177" t="s">
        <v>14</v>
      </c>
      <c r="D4177">
        <v>48</v>
      </c>
      <c r="E4177" s="1">
        <v>41607</v>
      </c>
      <c r="F4177">
        <v>1.75</v>
      </c>
      <c r="G4177">
        <v>10</v>
      </c>
      <c r="H4177">
        <v>6410.46</v>
      </c>
      <c r="I4177">
        <v>11.9</v>
      </c>
    </row>
    <row r="4178" spans="1:9" x14ac:dyDescent="0.3">
      <c r="A4178" t="s">
        <v>4193</v>
      </c>
      <c r="B4178" t="s">
        <v>24</v>
      </c>
      <c r="C4178" t="s">
        <v>11</v>
      </c>
      <c r="D4178">
        <v>27</v>
      </c>
      <c r="E4178" s="1">
        <v>45661</v>
      </c>
      <c r="F4178">
        <v>3.1</v>
      </c>
      <c r="G4178">
        <v>8</v>
      </c>
      <c r="H4178">
        <v>3072.73</v>
      </c>
      <c r="I4178">
        <v>0.8</v>
      </c>
    </row>
    <row r="4179" spans="1:9" x14ac:dyDescent="0.3">
      <c r="A4179" t="s">
        <v>4194</v>
      </c>
      <c r="B4179" t="s">
        <v>34</v>
      </c>
      <c r="C4179" t="s">
        <v>14</v>
      </c>
      <c r="D4179">
        <v>54</v>
      </c>
      <c r="E4179" s="1">
        <v>42369</v>
      </c>
      <c r="F4179">
        <v>4.1900000000000004</v>
      </c>
      <c r="G4179">
        <v>12</v>
      </c>
      <c r="H4179">
        <v>7353.29</v>
      </c>
      <c r="I4179">
        <v>9.8000000000000007</v>
      </c>
    </row>
    <row r="4180" spans="1:9" x14ac:dyDescent="0.3">
      <c r="A4180" t="s">
        <v>4195</v>
      </c>
      <c r="B4180" t="s">
        <v>24</v>
      </c>
      <c r="C4180" t="s">
        <v>14</v>
      </c>
      <c r="D4180">
        <v>42</v>
      </c>
      <c r="E4180" s="1">
        <v>44664</v>
      </c>
      <c r="F4180">
        <v>4.45</v>
      </c>
      <c r="G4180">
        <v>7</v>
      </c>
      <c r="H4180">
        <v>5193.9799999999996</v>
      </c>
      <c r="I4180">
        <v>3.6</v>
      </c>
    </row>
    <row r="4181" spans="1:9" x14ac:dyDescent="0.3">
      <c r="A4181" t="s">
        <v>4196</v>
      </c>
      <c r="B4181" t="s">
        <v>24</v>
      </c>
      <c r="C4181" t="s">
        <v>14</v>
      </c>
      <c r="D4181">
        <v>25</v>
      </c>
      <c r="E4181" s="1">
        <v>41027</v>
      </c>
      <c r="F4181">
        <v>2.99</v>
      </c>
      <c r="G4181">
        <v>15</v>
      </c>
      <c r="H4181">
        <v>13773.48</v>
      </c>
      <c r="I4181">
        <v>13.5</v>
      </c>
    </row>
    <row r="4182" spans="1:9" x14ac:dyDescent="0.3">
      <c r="A4182" t="s">
        <v>4197</v>
      </c>
      <c r="B4182" t="s">
        <v>16</v>
      </c>
      <c r="C4182" t="s">
        <v>11</v>
      </c>
      <c r="D4182">
        <v>58</v>
      </c>
      <c r="E4182" s="1">
        <v>44460</v>
      </c>
      <c r="F4182">
        <v>4.99</v>
      </c>
      <c r="G4182">
        <v>7</v>
      </c>
      <c r="H4182">
        <v>11584.42</v>
      </c>
      <c r="I4182">
        <v>4.0999999999999996</v>
      </c>
    </row>
    <row r="4183" spans="1:9" x14ac:dyDescent="0.3">
      <c r="A4183" t="s">
        <v>4198</v>
      </c>
      <c r="B4183" t="s">
        <v>34</v>
      </c>
      <c r="C4183" t="s">
        <v>14</v>
      </c>
      <c r="D4183">
        <v>32</v>
      </c>
      <c r="E4183" s="1">
        <v>42033</v>
      </c>
      <c r="F4183">
        <v>3.68</v>
      </c>
      <c r="G4183">
        <v>3</v>
      </c>
      <c r="H4183">
        <v>3280.77</v>
      </c>
      <c r="I4183">
        <v>10.8</v>
      </c>
    </row>
    <row r="4184" spans="1:9" x14ac:dyDescent="0.3">
      <c r="A4184" t="s">
        <v>4199</v>
      </c>
      <c r="B4184" t="s">
        <v>16</v>
      </c>
      <c r="C4184" t="s">
        <v>14</v>
      </c>
      <c r="D4184">
        <v>41</v>
      </c>
      <c r="E4184" s="1">
        <v>45936</v>
      </c>
      <c r="F4184">
        <v>2.2000000000000002</v>
      </c>
      <c r="G4184">
        <v>8</v>
      </c>
      <c r="H4184">
        <v>3180.42</v>
      </c>
      <c r="I4184">
        <v>0.1</v>
      </c>
    </row>
    <row r="4185" spans="1:9" x14ac:dyDescent="0.3">
      <c r="A4185" t="s">
        <v>4200</v>
      </c>
      <c r="B4185" t="s">
        <v>18</v>
      </c>
      <c r="C4185" t="s">
        <v>11</v>
      </c>
      <c r="D4185">
        <v>39</v>
      </c>
      <c r="E4185" s="1">
        <v>43779</v>
      </c>
      <c r="F4185">
        <v>1.77</v>
      </c>
      <c r="G4185">
        <v>6</v>
      </c>
      <c r="H4185">
        <v>7248.06</v>
      </c>
      <c r="I4185">
        <v>6</v>
      </c>
    </row>
    <row r="4186" spans="1:9" x14ac:dyDescent="0.3">
      <c r="A4186" t="s">
        <v>4201</v>
      </c>
      <c r="B4186" t="s">
        <v>16</v>
      </c>
      <c r="C4186" t="s">
        <v>14</v>
      </c>
      <c r="D4186">
        <v>45</v>
      </c>
      <c r="E4186" s="1">
        <v>45102</v>
      </c>
      <c r="F4186">
        <v>3.89</v>
      </c>
      <c r="G4186">
        <v>3</v>
      </c>
      <c r="H4186">
        <v>9048.31</v>
      </c>
      <c r="I4186">
        <v>2.4</v>
      </c>
    </row>
    <row r="4187" spans="1:9" x14ac:dyDescent="0.3">
      <c r="A4187" t="s">
        <v>4202</v>
      </c>
      <c r="B4187" t="s">
        <v>18</v>
      </c>
      <c r="C4187" t="s">
        <v>11</v>
      </c>
      <c r="D4187">
        <v>51</v>
      </c>
      <c r="E4187" s="1">
        <v>41634</v>
      </c>
      <c r="F4187">
        <v>1.89</v>
      </c>
      <c r="G4187">
        <v>14</v>
      </c>
      <c r="H4187">
        <v>10844.7</v>
      </c>
      <c r="I4187">
        <v>11.9</v>
      </c>
    </row>
    <row r="4188" spans="1:9" x14ac:dyDescent="0.3">
      <c r="A4188" t="s">
        <v>4203</v>
      </c>
      <c r="B4188" t="s">
        <v>16</v>
      </c>
      <c r="C4188" t="s">
        <v>14</v>
      </c>
      <c r="D4188">
        <v>60</v>
      </c>
      <c r="E4188" s="1">
        <v>42845</v>
      </c>
      <c r="F4188">
        <v>3.31</v>
      </c>
      <c r="G4188">
        <v>12</v>
      </c>
      <c r="H4188">
        <v>9551.51</v>
      </c>
      <c r="I4188">
        <v>8.5</v>
      </c>
    </row>
    <row r="4189" spans="1:9" x14ac:dyDescent="0.3">
      <c r="A4189" t="s">
        <v>4204</v>
      </c>
      <c r="B4189" t="s">
        <v>18</v>
      </c>
      <c r="C4189" t="s">
        <v>14</v>
      </c>
      <c r="D4189">
        <v>53</v>
      </c>
      <c r="E4189" s="1">
        <v>40250</v>
      </c>
      <c r="F4189">
        <v>3.56</v>
      </c>
      <c r="G4189">
        <v>6</v>
      </c>
      <c r="H4189">
        <v>9014.07</v>
      </c>
      <c r="I4189">
        <v>15.6</v>
      </c>
    </row>
    <row r="4190" spans="1:9" x14ac:dyDescent="0.3">
      <c r="A4190" t="s">
        <v>4205</v>
      </c>
      <c r="B4190" t="s">
        <v>18</v>
      </c>
      <c r="C4190" t="s">
        <v>14</v>
      </c>
      <c r="D4190">
        <v>48</v>
      </c>
      <c r="E4190" s="1">
        <v>45961</v>
      </c>
      <c r="F4190">
        <v>4.8899999999999997</v>
      </c>
      <c r="G4190">
        <v>8</v>
      </c>
      <c r="H4190">
        <v>3682.82</v>
      </c>
      <c r="I4190">
        <v>0</v>
      </c>
    </row>
    <row r="4191" spans="1:9" x14ac:dyDescent="0.3">
      <c r="A4191" t="s">
        <v>4206</v>
      </c>
      <c r="B4191" t="s">
        <v>24</v>
      </c>
      <c r="C4191" t="s">
        <v>14</v>
      </c>
      <c r="D4191">
        <v>31</v>
      </c>
      <c r="E4191" s="1">
        <v>41825</v>
      </c>
      <c r="F4191">
        <v>3.89</v>
      </c>
      <c r="G4191">
        <v>10</v>
      </c>
      <c r="H4191">
        <v>10868.39</v>
      </c>
      <c r="I4191">
        <v>11.3</v>
      </c>
    </row>
    <row r="4192" spans="1:9" x14ac:dyDescent="0.3">
      <c r="A4192" t="s">
        <v>4207</v>
      </c>
      <c r="B4192" t="s">
        <v>34</v>
      </c>
      <c r="C4192" t="s">
        <v>11</v>
      </c>
      <c r="D4192">
        <v>57</v>
      </c>
      <c r="E4192" s="1">
        <v>44337</v>
      </c>
      <c r="F4192">
        <v>3.34</v>
      </c>
      <c r="G4192">
        <v>15</v>
      </c>
      <c r="H4192">
        <v>10487.39</v>
      </c>
      <c r="I4192">
        <v>4.5</v>
      </c>
    </row>
    <row r="4193" spans="1:9" x14ac:dyDescent="0.3">
      <c r="A4193" t="s">
        <v>4208</v>
      </c>
      <c r="B4193" t="s">
        <v>18</v>
      </c>
      <c r="C4193" t="s">
        <v>14</v>
      </c>
      <c r="D4193">
        <v>40</v>
      </c>
      <c r="E4193" s="1">
        <v>40298</v>
      </c>
      <c r="F4193">
        <v>2.4900000000000002</v>
      </c>
      <c r="G4193">
        <v>14</v>
      </c>
      <c r="H4193">
        <v>4196.82</v>
      </c>
      <c r="I4193">
        <v>15.5</v>
      </c>
    </row>
    <row r="4194" spans="1:9" x14ac:dyDescent="0.3">
      <c r="A4194" t="s">
        <v>4209</v>
      </c>
      <c r="B4194" t="s">
        <v>16</v>
      </c>
      <c r="C4194" t="s">
        <v>11</v>
      </c>
      <c r="D4194">
        <v>45</v>
      </c>
      <c r="E4194" s="1">
        <v>44068</v>
      </c>
      <c r="F4194">
        <v>3.8</v>
      </c>
      <c r="G4194">
        <v>5</v>
      </c>
      <c r="H4194">
        <v>13957.28</v>
      </c>
      <c r="I4194">
        <v>5.2</v>
      </c>
    </row>
    <row r="4195" spans="1:9" x14ac:dyDescent="0.3">
      <c r="A4195" t="s">
        <v>4210</v>
      </c>
      <c r="B4195" t="s">
        <v>10</v>
      </c>
      <c r="C4195" t="s">
        <v>14</v>
      </c>
      <c r="D4195">
        <v>52</v>
      </c>
      <c r="E4195" s="1">
        <v>43551</v>
      </c>
      <c r="F4195">
        <v>4.08</v>
      </c>
      <c r="G4195">
        <v>10</v>
      </c>
      <c r="H4195">
        <v>6569.18</v>
      </c>
      <c r="I4195">
        <v>6.6</v>
      </c>
    </row>
    <row r="4196" spans="1:9" x14ac:dyDescent="0.3">
      <c r="A4196" t="s">
        <v>4211</v>
      </c>
      <c r="B4196" t="s">
        <v>13</v>
      </c>
      <c r="C4196" t="s">
        <v>11</v>
      </c>
      <c r="D4196">
        <v>33</v>
      </c>
      <c r="E4196" s="1">
        <v>45380</v>
      </c>
      <c r="F4196">
        <v>1.69</v>
      </c>
      <c r="G4196">
        <v>5</v>
      </c>
      <c r="H4196">
        <v>14949.26</v>
      </c>
      <c r="I4196">
        <v>1.6</v>
      </c>
    </row>
    <row r="4197" spans="1:9" x14ac:dyDescent="0.3">
      <c r="A4197" t="s">
        <v>4212</v>
      </c>
      <c r="B4197" t="s">
        <v>10</v>
      </c>
      <c r="C4197" t="s">
        <v>11</v>
      </c>
      <c r="D4197">
        <v>41</v>
      </c>
      <c r="E4197" s="1">
        <v>43870</v>
      </c>
      <c r="F4197">
        <v>2.93</v>
      </c>
      <c r="G4197">
        <v>2</v>
      </c>
      <c r="H4197">
        <v>9510.65</v>
      </c>
      <c r="I4197">
        <v>5.7</v>
      </c>
    </row>
    <row r="4198" spans="1:9" x14ac:dyDescent="0.3">
      <c r="A4198" t="s">
        <v>4213</v>
      </c>
      <c r="B4198" t="s">
        <v>10</v>
      </c>
      <c r="C4198" t="s">
        <v>11</v>
      </c>
      <c r="D4198">
        <v>42</v>
      </c>
      <c r="E4198" s="1">
        <v>41544</v>
      </c>
      <c r="F4198">
        <v>3.42</v>
      </c>
      <c r="G4198">
        <v>11</v>
      </c>
      <c r="H4198">
        <v>13125.65</v>
      </c>
      <c r="I4198">
        <v>12.1</v>
      </c>
    </row>
    <row r="4199" spans="1:9" x14ac:dyDescent="0.3">
      <c r="A4199" t="s">
        <v>4214</v>
      </c>
      <c r="B4199" t="s">
        <v>18</v>
      </c>
      <c r="C4199" t="s">
        <v>11</v>
      </c>
      <c r="D4199">
        <v>50</v>
      </c>
      <c r="E4199" s="1">
        <v>44815</v>
      </c>
      <c r="F4199">
        <v>3.23</v>
      </c>
      <c r="G4199">
        <v>13</v>
      </c>
      <c r="H4199">
        <v>14324.22</v>
      </c>
      <c r="I4199">
        <v>3.1</v>
      </c>
    </row>
    <row r="4200" spans="1:9" x14ac:dyDescent="0.3">
      <c r="A4200" t="s">
        <v>4215</v>
      </c>
      <c r="B4200" t="s">
        <v>18</v>
      </c>
      <c r="C4200" t="s">
        <v>11</v>
      </c>
      <c r="D4200">
        <v>32</v>
      </c>
      <c r="E4200" s="1">
        <v>41411</v>
      </c>
      <c r="F4200">
        <v>4.38</v>
      </c>
      <c r="G4200">
        <v>14</v>
      </c>
      <c r="H4200">
        <v>6658.58</v>
      </c>
      <c r="I4200">
        <v>12.5</v>
      </c>
    </row>
    <row r="4201" spans="1:9" x14ac:dyDescent="0.3">
      <c r="A4201" t="s">
        <v>4216</v>
      </c>
      <c r="B4201" t="s">
        <v>10</v>
      </c>
      <c r="C4201" t="s">
        <v>14</v>
      </c>
      <c r="D4201">
        <v>41</v>
      </c>
      <c r="E4201" s="1">
        <v>44333</v>
      </c>
      <c r="F4201">
        <v>1.82</v>
      </c>
      <c r="G4201">
        <v>8</v>
      </c>
      <c r="H4201">
        <v>13395.42</v>
      </c>
      <c r="I4201">
        <v>4.5</v>
      </c>
    </row>
    <row r="4202" spans="1:9" x14ac:dyDescent="0.3">
      <c r="A4202" t="s">
        <v>4217</v>
      </c>
      <c r="B4202" t="s">
        <v>10</v>
      </c>
      <c r="C4202" t="s">
        <v>11</v>
      </c>
      <c r="D4202">
        <v>60</v>
      </c>
      <c r="E4202" s="1">
        <v>41672</v>
      </c>
      <c r="F4202">
        <v>3.34</v>
      </c>
      <c r="G4202">
        <v>14</v>
      </c>
      <c r="H4202">
        <v>3350.2</v>
      </c>
      <c r="I4202">
        <v>11.8</v>
      </c>
    </row>
    <row r="4203" spans="1:9" x14ac:dyDescent="0.3">
      <c r="A4203" t="s">
        <v>4218</v>
      </c>
      <c r="B4203" t="s">
        <v>13</v>
      </c>
      <c r="C4203" t="s">
        <v>14</v>
      </c>
      <c r="D4203">
        <v>25</v>
      </c>
      <c r="E4203" s="1">
        <v>44457</v>
      </c>
      <c r="F4203">
        <v>2.56</v>
      </c>
      <c r="G4203">
        <v>7</v>
      </c>
      <c r="H4203">
        <v>3525.11</v>
      </c>
      <c r="I4203">
        <v>4.0999999999999996</v>
      </c>
    </row>
    <row r="4204" spans="1:9" x14ac:dyDescent="0.3">
      <c r="A4204" t="s">
        <v>4219</v>
      </c>
      <c r="B4204" t="s">
        <v>24</v>
      </c>
      <c r="C4204" t="s">
        <v>11</v>
      </c>
      <c r="D4204">
        <v>28</v>
      </c>
      <c r="E4204" s="1">
        <v>42438</v>
      </c>
      <c r="F4204">
        <v>1.92</v>
      </c>
      <c r="G4204">
        <v>14</v>
      </c>
      <c r="H4204">
        <v>5368.53</v>
      </c>
      <c r="I4204">
        <v>9.6999999999999993</v>
      </c>
    </row>
    <row r="4205" spans="1:9" x14ac:dyDescent="0.3">
      <c r="A4205" t="s">
        <v>4220</v>
      </c>
      <c r="B4205" t="s">
        <v>34</v>
      </c>
      <c r="C4205" t="s">
        <v>11</v>
      </c>
      <c r="D4205">
        <v>30</v>
      </c>
      <c r="E4205" s="1">
        <v>44380</v>
      </c>
      <c r="F4205">
        <v>3.98</v>
      </c>
      <c r="G4205">
        <v>2</v>
      </c>
      <c r="H4205">
        <v>10918.36</v>
      </c>
      <c r="I4205">
        <v>4.3</v>
      </c>
    </row>
    <row r="4206" spans="1:9" x14ac:dyDescent="0.3">
      <c r="A4206" t="s">
        <v>4221</v>
      </c>
      <c r="B4206" t="s">
        <v>13</v>
      </c>
      <c r="C4206" t="s">
        <v>11</v>
      </c>
      <c r="D4206">
        <v>43</v>
      </c>
      <c r="E4206" s="1">
        <v>41502</v>
      </c>
      <c r="F4206">
        <v>4.66</v>
      </c>
      <c r="G4206">
        <v>11</v>
      </c>
      <c r="H4206">
        <v>14626.23</v>
      </c>
      <c r="I4206">
        <v>12.2</v>
      </c>
    </row>
    <row r="4207" spans="1:9" x14ac:dyDescent="0.3">
      <c r="A4207" t="s">
        <v>4222</v>
      </c>
      <c r="B4207" t="s">
        <v>13</v>
      </c>
      <c r="C4207" t="s">
        <v>11</v>
      </c>
      <c r="D4207">
        <v>32</v>
      </c>
      <c r="E4207" s="1">
        <v>43261</v>
      </c>
      <c r="F4207">
        <v>2.65</v>
      </c>
      <c r="G4207">
        <v>11</v>
      </c>
      <c r="H4207">
        <v>10363.799999999999</v>
      </c>
      <c r="I4207">
        <v>7.4</v>
      </c>
    </row>
    <row r="4208" spans="1:9" x14ac:dyDescent="0.3">
      <c r="A4208" t="s">
        <v>4223</v>
      </c>
      <c r="B4208" t="s">
        <v>13</v>
      </c>
      <c r="C4208" t="s">
        <v>11</v>
      </c>
      <c r="D4208">
        <v>51</v>
      </c>
      <c r="E4208" s="1">
        <v>45954</v>
      </c>
      <c r="F4208">
        <v>4.32</v>
      </c>
      <c r="G4208">
        <v>1</v>
      </c>
      <c r="H4208">
        <v>8077.85</v>
      </c>
      <c r="I4208">
        <v>0</v>
      </c>
    </row>
    <row r="4209" spans="1:9" x14ac:dyDescent="0.3">
      <c r="A4209" t="s">
        <v>4224</v>
      </c>
      <c r="B4209" t="s">
        <v>13</v>
      </c>
      <c r="C4209" t="s">
        <v>14</v>
      </c>
      <c r="D4209">
        <v>52</v>
      </c>
      <c r="E4209" s="1">
        <v>40189</v>
      </c>
      <c r="F4209">
        <v>2.06</v>
      </c>
      <c r="G4209">
        <v>0</v>
      </c>
      <c r="H4209">
        <v>4554.9799999999996</v>
      </c>
      <c r="I4209">
        <v>15.8</v>
      </c>
    </row>
    <row r="4210" spans="1:9" x14ac:dyDescent="0.3">
      <c r="A4210" t="s">
        <v>4225</v>
      </c>
      <c r="B4210" t="s">
        <v>13</v>
      </c>
      <c r="C4210" t="s">
        <v>11</v>
      </c>
      <c r="D4210">
        <v>41</v>
      </c>
      <c r="E4210" s="1">
        <v>42160</v>
      </c>
      <c r="F4210">
        <v>3.21</v>
      </c>
      <c r="G4210">
        <v>4</v>
      </c>
      <c r="H4210">
        <v>9803.56</v>
      </c>
      <c r="I4210">
        <v>10.4</v>
      </c>
    </row>
    <row r="4211" spans="1:9" x14ac:dyDescent="0.3">
      <c r="A4211" t="s">
        <v>4226</v>
      </c>
      <c r="B4211" t="s">
        <v>16</v>
      </c>
      <c r="C4211" t="s">
        <v>14</v>
      </c>
      <c r="D4211">
        <v>43</v>
      </c>
      <c r="E4211" s="1">
        <v>44891</v>
      </c>
      <c r="F4211">
        <v>2.14</v>
      </c>
      <c r="G4211">
        <v>12</v>
      </c>
      <c r="H4211">
        <v>8019.04</v>
      </c>
      <c r="I4211">
        <v>2.9</v>
      </c>
    </row>
    <row r="4212" spans="1:9" x14ac:dyDescent="0.3">
      <c r="A4212" t="s">
        <v>4227</v>
      </c>
      <c r="B4212" t="s">
        <v>34</v>
      </c>
      <c r="C4212" t="s">
        <v>11</v>
      </c>
      <c r="D4212">
        <v>49</v>
      </c>
      <c r="E4212" s="1">
        <v>45070</v>
      </c>
      <c r="F4212">
        <v>4.1500000000000004</v>
      </c>
      <c r="G4212">
        <v>13</v>
      </c>
      <c r="H4212">
        <v>5212.24</v>
      </c>
      <c r="I4212">
        <v>2.4</v>
      </c>
    </row>
    <row r="4213" spans="1:9" x14ac:dyDescent="0.3">
      <c r="A4213" t="s">
        <v>4228</v>
      </c>
      <c r="B4213" t="s">
        <v>24</v>
      </c>
      <c r="C4213" t="s">
        <v>11</v>
      </c>
      <c r="D4213">
        <v>37</v>
      </c>
      <c r="E4213" s="1">
        <v>45573</v>
      </c>
      <c r="F4213">
        <v>3.54</v>
      </c>
      <c r="G4213">
        <v>7</v>
      </c>
      <c r="H4213">
        <v>8019.88</v>
      </c>
      <c r="I4213">
        <v>1.1000000000000001</v>
      </c>
    </row>
    <row r="4214" spans="1:9" x14ac:dyDescent="0.3">
      <c r="A4214" t="s">
        <v>4229</v>
      </c>
      <c r="B4214" t="s">
        <v>13</v>
      </c>
      <c r="C4214" t="s">
        <v>14</v>
      </c>
      <c r="D4214">
        <v>59</v>
      </c>
      <c r="E4214" s="1">
        <v>41757</v>
      </c>
      <c r="F4214">
        <v>2.65</v>
      </c>
      <c r="G4214">
        <v>11</v>
      </c>
      <c r="H4214">
        <v>9179.4599999999991</v>
      </c>
      <c r="I4214">
        <v>11.5</v>
      </c>
    </row>
    <row r="4215" spans="1:9" x14ac:dyDescent="0.3">
      <c r="A4215" t="s">
        <v>4230</v>
      </c>
      <c r="B4215" t="s">
        <v>34</v>
      </c>
      <c r="C4215" t="s">
        <v>14</v>
      </c>
      <c r="D4215">
        <v>49</v>
      </c>
      <c r="E4215" s="1">
        <v>45665</v>
      </c>
      <c r="F4215">
        <v>2.8</v>
      </c>
      <c r="G4215">
        <v>12</v>
      </c>
      <c r="H4215">
        <v>14250.55</v>
      </c>
      <c r="I4215">
        <v>0.8</v>
      </c>
    </row>
    <row r="4216" spans="1:9" x14ac:dyDescent="0.3">
      <c r="A4216" t="s">
        <v>4231</v>
      </c>
      <c r="B4216" t="s">
        <v>34</v>
      </c>
      <c r="C4216" t="s">
        <v>14</v>
      </c>
      <c r="D4216">
        <v>55</v>
      </c>
      <c r="E4216" s="1">
        <v>43799</v>
      </c>
      <c r="F4216">
        <v>3.31</v>
      </c>
      <c r="G4216">
        <v>10</v>
      </c>
      <c r="H4216">
        <v>13907.3</v>
      </c>
      <c r="I4216">
        <v>5.9</v>
      </c>
    </row>
    <row r="4217" spans="1:9" x14ac:dyDescent="0.3">
      <c r="A4217" t="s">
        <v>4232</v>
      </c>
      <c r="B4217" t="s">
        <v>18</v>
      </c>
      <c r="C4217" t="s">
        <v>14</v>
      </c>
      <c r="D4217">
        <v>43</v>
      </c>
      <c r="E4217" s="1">
        <v>45695</v>
      </c>
      <c r="F4217">
        <v>3.18</v>
      </c>
      <c r="G4217">
        <v>6</v>
      </c>
      <c r="H4217">
        <v>6295.22</v>
      </c>
      <c r="I4217">
        <v>0.7</v>
      </c>
    </row>
    <row r="4218" spans="1:9" x14ac:dyDescent="0.3">
      <c r="A4218" t="s">
        <v>4233</v>
      </c>
      <c r="B4218" t="s">
        <v>10</v>
      </c>
      <c r="C4218" t="s">
        <v>14</v>
      </c>
      <c r="D4218">
        <v>23</v>
      </c>
      <c r="E4218" s="1">
        <v>42428</v>
      </c>
      <c r="F4218">
        <v>3.01</v>
      </c>
      <c r="G4218">
        <v>13</v>
      </c>
      <c r="H4218">
        <v>4274.2299999999996</v>
      </c>
      <c r="I4218">
        <v>9.6999999999999993</v>
      </c>
    </row>
    <row r="4219" spans="1:9" x14ac:dyDescent="0.3">
      <c r="A4219" t="s">
        <v>4234</v>
      </c>
      <c r="B4219" t="s">
        <v>24</v>
      </c>
      <c r="C4219" t="s">
        <v>14</v>
      </c>
      <c r="D4219">
        <v>55</v>
      </c>
      <c r="E4219" s="1">
        <v>43512</v>
      </c>
      <c r="F4219">
        <v>4.6399999999999997</v>
      </c>
      <c r="G4219">
        <v>0</v>
      </c>
      <c r="H4219">
        <v>13704.6</v>
      </c>
      <c r="I4219">
        <v>6.7</v>
      </c>
    </row>
    <row r="4220" spans="1:9" x14ac:dyDescent="0.3">
      <c r="A4220" t="s">
        <v>4235</v>
      </c>
      <c r="B4220" t="s">
        <v>24</v>
      </c>
      <c r="C4220" t="s">
        <v>11</v>
      </c>
      <c r="D4220">
        <v>44</v>
      </c>
      <c r="E4220" s="1">
        <v>40707</v>
      </c>
      <c r="F4220">
        <v>1.75</v>
      </c>
      <c r="G4220">
        <v>13</v>
      </c>
      <c r="H4220">
        <v>6165.67</v>
      </c>
      <c r="I4220">
        <v>14.4</v>
      </c>
    </row>
    <row r="4221" spans="1:9" x14ac:dyDescent="0.3">
      <c r="A4221" t="s">
        <v>4236</v>
      </c>
      <c r="B4221" t="s">
        <v>13</v>
      </c>
      <c r="C4221" t="s">
        <v>14</v>
      </c>
      <c r="D4221">
        <v>26</v>
      </c>
      <c r="E4221" s="1">
        <v>45860</v>
      </c>
      <c r="F4221">
        <v>2.82</v>
      </c>
      <c r="G4221">
        <v>11</v>
      </c>
      <c r="H4221">
        <v>5712.68</v>
      </c>
      <c r="I4221">
        <v>0.3</v>
      </c>
    </row>
    <row r="4222" spans="1:9" x14ac:dyDescent="0.3">
      <c r="A4222" t="s">
        <v>4237</v>
      </c>
      <c r="B4222" t="s">
        <v>10</v>
      </c>
      <c r="C4222" t="s">
        <v>11</v>
      </c>
      <c r="D4222">
        <v>51</v>
      </c>
      <c r="E4222" s="1">
        <v>44386</v>
      </c>
      <c r="F4222">
        <v>4.79</v>
      </c>
      <c r="G4222">
        <v>2</v>
      </c>
      <c r="H4222">
        <v>5135.63</v>
      </c>
      <c r="I4222">
        <v>4.3</v>
      </c>
    </row>
    <row r="4223" spans="1:9" x14ac:dyDescent="0.3">
      <c r="A4223" t="s">
        <v>4238</v>
      </c>
      <c r="B4223" t="s">
        <v>34</v>
      </c>
      <c r="C4223" t="s">
        <v>14</v>
      </c>
      <c r="D4223">
        <v>50</v>
      </c>
      <c r="E4223" s="1">
        <v>45671</v>
      </c>
      <c r="F4223">
        <v>3.73</v>
      </c>
      <c r="G4223">
        <v>12</v>
      </c>
      <c r="H4223">
        <v>11545.24</v>
      </c>
      <c r="I4223">
        <v>0.8</v>
      </c>
    </row>
    <row r="4224" spans="1:9" x14ac:dyDescent="0.3">
      <c r="A4224" t="s">
        <v>4239</v>
      </c>
      <c r="B4224" t="s">
        <v>34</v>
      </c>
      <c r="C4224" t="s">
        <v>14</v>
      </c>
      <c r="D4224">
        <v>60</v>
      </c>
      <c r="E4224" s="1">
        <v>43119</v>
      </c>
      <c r="F4224">
        <v>4.53</v>
      </c>
      <c r="G4224">
        <v>3</v>
      </c>
      <c r="H4224">
        <v>14888.04</v>
      </c>
      <c r="I4224">
        <v>7.8</v>
      </c>
    </row>
    <row r="4225" spans="1:9" x14ac:dyDescent="0.3">
      <c r="A4225" t="s">
        <v>4240</v>
      </c>
      <c r="B4225" t="s">
        <v>34</v>
      </c>
      <c r="C4225" t="s">
        <v>11</v>
      </c>
      <c r="D4225">
        <v>46</v>
      </c>
      <c r="E4225" s="1">
        <v>42098</v>
      </c>
      <c r="F4225">
        <v>3.65</v>
      </c>
      <c r="G4225">
        <v>2</v>
      </c>
      <c r="H4225">
        <v>3584.14</v>
      </c>
      <c r="I4225">
        <v>10.6</v>
      </c>
    </row>
    <row r="4226" spans="1:9" x14ac:dyDescent="0.3">
      <c r="A4226" t="s">
        <v>4241</v>
      </c>
      <c r="B4226" t="s">
        <v>13</v>
      </c>
      <c r="C4226" t="s">
        <v>11</v>
      </c>
      <c r="D4226">
        <v>57</v>
      </c>
      <c r="E4226" s="1">
        <v>42010</v>
      </c>
      <c r="F4226">
        <v>3.95</v>
      </c>
      <c r="G4226">
        <v>4</v>
      </c>
      <c r="H4226">
        <v>3350.6</v>
      </c>
      <c r="I4226">
        <v>10.8</v>
      </c>
    </row>
    <row r="4227" spans="1:9" x14ac:dyDescent="0.3">
      <c r="A4227" t="s">
        <v>4242</v>
      </c>
      <c r="B4227" t="s">
        <v>10</v>
      </c>
      <c r="C4227" t="s">
        <v>14</v>
      </c>
      <c r="D4227">
        <v>36</v>
      </c>
      <c r="E4227" s="1">
        <v>45121</v>
      </c>
      <c r="F4227">
        <v>4.2699999999999996</v>
      </c>
      <c r="G4227">
        <v>3</v>
      </c>
      <c r="H4227">
        <v>6745.89</v>
      </c>
      <c r="I4227">
        <v>2.2999999999999998</v>
      </c>
    </row>
    <row r="4228" spans="1:9" x14ac:dyDescent="0.3">
      <c r="A4228" t="s">
        <v>4243</v>
      </c>
      <c r="B4228" t="s">
        <v>24</v>
      </c>
      <c r="C4228" t="s">
        <v>14</v>
      </c>
      <c r="D4228">
        <v>29</v>
      </c>
      <c r="E4228" s="1">
        <v>42985</v>
      </c>
      <c r="F4228">
        <v>2.76</v>
      </c>
      <c r="G4228">
        <v>5</v>
      </c>
      <c r="H4228">
        <v>11257.55</v>
      </c>
      <c r="I4228">
        <v>8.1999999999999993</v>
      </c>
    </row>
    <row r="4229" spans="1:9" x14ac:dyDescent="0.3">
      <c r="A4229" t="s">
        <v>4244</v>
      </c>
      <c r="B4229" t="s">
        <v>16</v>
      </c>
      <c r="C4229" t="s">
        <v>11</v>
      </c>
      <c r="D4229">
        <v>51</v>
      </c>
      <c r="E4229" s="1">
        <v>41142</v>
      </c>
      <c r="F4229">
        <v>1.7</v>
      </c>
      <c r="G4229">
        <v>7</v>
      </c>
      <c r="H4229">
        <v>8016.23</v>
      </c>
      <c r="I4229">
        <v>13.2</v>
      </c>
    </row>
    <row r="4230" spans="1:9" x14ac:dyDescent="0.3">
      <c r="A4230" t="s">
        <v>4245</v>
      </c>
      <c r="B4230" t="s">
        <v>16</v>
      </c>
      <c r="C4230" t="s">
        <v>14</v>
      </c>
      <c r="D4230">
        <v>37</v>
      </c>
      <c r="E4230" s="1">
        <v>45944</v>
      </c>
      <c r="F4230">
        <v>4.6900000000000004</v>
      </c>
      <c r="G4230">
        <v>11</v>
      </c>
      <c r="H4230">
        <v>7673.05</v>
      </c>
      <c r="I4230">
        <v>0</v>
      </c>
    </row>
    <row r="4231" spans="1:9" x14ac:dyDescent="0.3">
      <c r="A4231" t="s">
        <v>4246</v>
      </c>
      <c r="B4231" t="s">
        <v>18</v>
      </c>
      <c r="C4231" t="s">
        <v>14</v>
      </c>
      <c r="D4231">
        <v>37</v>
      </c>
      <c r="E4231" s="1">
        <v>44718</v>
      </c>
      <c r="F4231">
        <v>3.39</v>
      </c>
      <c r="G4231">
        <v>12</v>
      </c>
      <c r="H4231">
        <v>14519.66</v>
      </c>
      <c r="I4231">
        <v>3.4</v>
      </c>
    </row>
    <row r="4232" spans="1:9" x14ac:dyDescent="0.3">
      <c r="A4232" t="s">
        <v>4247</v>
      </c>
      <c r="B4232" t="s">
        <v>13</v>
      </c>
      <c r="C4232" t="s">
        <v>14</v>
      </c>
      <c r="D4232">
        <v>47</v>
      </c>
      <c r="E4232" s="1">
        <v>41630</v>
      </c>
      <c r="F4232">
        <v>3.91</v>
      </c>
      <c r="G4232">
        <v>0</v>
      </c>
      <c r="H4232">
        <v>5372.5</v>
      </c>
      <c r="I4232">
        <v>11.9</v>
      </c>
    </row>
    <row r="4233" spans="1:9" x14ac:dyDescent="0.3">
      <c r="A4233" t="s">
        <v>4248</v>
      </c>
      <c r="B4233" t="s">
        <v>34</v>
      </c>
      <c r="C4233" t="s">
        <v>14</v>
      </c>
      <c r="D4233">
        <v>47</v>
      </c>
      <c r="E4233" s="1">
        <v>45713</v>
      </c>
      <c r="F4233">
        <v>3.64</v>
      </c>
      <c r="G4233">
        <v>7</v>
      </c>
      <c r="H4233">
        <v>10192.209999999999</v>
      </c>
      <c r="I4233">
        <v>0.7</v>
      </c>
    </row>
    <row r="4234" spans="1:9" x14ac:dyDescent="0.3">
      <c r="A4234" t="s">
        <v>4249</v>
      </c>
      <c r="B4234" t="s">
        <v>34</v>
      </c>
      <c r="C4234" t="s">
        <v>11</v>
      </c>
      <c r="D4234">
        <v>41</v>
      </c>
      <c r="E4234" s="1">
        <v>44064</v>
      </c>
      <c r="F4234">
        <v>2.04</v>
      </c>
      <c r="G4234">
        <v>11</v>
      </c>
      <c r="H4234">
        <v>11284.08</v>
      </c>
      <c r="I4234">
        <v>5.2</v>
      </c>
    </row>
    <row r="4235" spans="1:9" x14ac:dyDescent="0.3">
      <c r="A4235" t="s">
        <v>4250</v>
      </c>
      <c r="B4235" t="s">
        <v>18</v>
      </c>
      <c r="C4235" t="s">
        <v>14</v>
      </c>
      <c r="D4235">
        <v>53</v>
      </c>
      <c r="E4235" s="1">
        <v>40298</v>
      </c>
      <c r="F4235">
        <v>3</v>
      </c>
      <c r="G4235">
        <v>1</v>
      </c>
      <c r="H4235">
        <v>8158.37</v>
      </c>
      <c r="I4235">
        <v>15.5</v>
      </c>
    </row>
    <row r="4236" spans="1:9" x14ac:dyDescent="0.3">
      <c r="A4236" t="s">
        <v>4251</v>
      </c>
      <c r="B4236" t="s">
        <v>16</v>
      </c>
      <c r="C4236" t="s">
        <v>14</v>
      </c>
      <c r="D4236">
        <v>27</v>
      </c>
      <c r="E4236" s="1">
        <v>43725</v>
      </c>
      <c r="F4236">
        <v>1.68</v>
      </c>
      <c r="G4236">
        <v>15</v>
      </c>
      <c r="H4236">
        <v>11864.01</v>
      </c>
      <c r="I4236">
        <v>6.1</v>
      </c>
    </row>
    <row r="4237" spans="1:9" x14ac:dyDescent="0.3">
      <c r="A4237" t="s">
        <v>4252</v>
      </c>
      <c r="B4237" t="s">
        <v>18</v>
      </c>
      <c r="C4237" t="s">
        <v>11</v>
      </c>
      <c r="D4237">
        <v>40</v>
      </c>
      <c r="E4237" s="1">
        <v>43604</v>
      </c>
      <c r="F4237">
        <v>2.62</v>
      </c>
      <c r="G4237">
        <v>12</v>
      </c>
      <c r="H4237">
        <v>10472.48</v>
      </c>
      <c r="I4237">
        <v>6.5</v>
      </c>
    </row>
    <row r="4238" spans="1:9" x14ac:dyDescent="0.3">
      <c r="A4238" t="s">
        <v>4253</v>
      </c>
      <c r="B4238" t="s">
        <v>24</v>
      </c>
      <c r="C4238" t="s">
        <v>14</v>
      </c>
      <c r="D4238">
        <v>47</v>
      </c>
      <c r="E4238" s="1">
        <v>43245</v>
      </c>
      <c r="F4238">
        <v>3.3</v>
      </c>
      <c r="G4238">
        <v>11</v>
      </c>
      <c r="H4238">
        <v>5003.43</v>
      </c>
      <c r="I4238">
        <v>7.4</v>
      </c>
    </row>
    <row r="4239" spans="1:9" x14ac:dyDescent="0.3">
      <c r="A4239" t="s">
        <v>4254</v>
      </c>
      <c r="B4239" t="s">
        <v>18</v>
      </c>
      <c r="C4239" t="s">
        <v>11</v>
      </c>
      <c r="D4239">
        <v>48</v>
      </c>
      <c r="E4239" s="1">
        <v>43798</v>
      </c>
      <c r="F4239">
        <v>1.86</v>
      </c>
      <c r="G4239">
        <v>12</v>
      </c>
      <c r="H4239">
        <v>4666.6000000000004</v>
      </c>
      <c r="I4239">
        <v>5.9</v>
      </c>
    </row>
    <row r="4240" spans="1:9" x14ac:dyDescent="0.3">
      <c r="A4240" t="s">
        <v>4255</v>
      </c>
      <c r="B4240" t="s">
        <v>16</v>
      </c>
      <c r="C4240" t="s">
        <v>14</v>
      </c>
      <c r="D4240">
        <v>55</v>
      </c>
      <c r="E4240" s="1">
        <v>42400</v>
      </c>
      <c r="F4240">
        <v>2.09</v>
      </c>
      <c r="G4240">
        <v>12</v>
      </c>
      <c r="H4240">
        <v>14538.37</v>
      </c>
      <c r="I4240">
        <v>9.8000000000000007</v>
      </c>
    </row>
    <row r="4241" spans="1:9" x14ac:dyDescent="0.3">
      <c r="A4241" t="s">
        <v>4256</v>
      </c>
      <c r="B4241" t="s">
        <v>18</v>
      </c>
      <c r="C4241" t="s">
        <v>11</v>
      </c>
      <c r="D4241">
        <v>26</v>
      </c>
      <c r="E4241" s="1">
        <v>42288</v>
      </c>
      <c r="F4241">
        <v>3.44</v>
      </c>
      <c r="G4241">
        <v>14</v>
      </c>
      <c r="H4241">
        <v>6574.12</v>
      </c>
      <c r="I4241">
        <v>10.1</v>
      </c>
    </row>
    <row r="4242" spans="1:9" x14ac:dyDescent="0.3">
      <c r="A4242" t="s">
        <v>4257</v>
      </c>
      <c r="B4242" t="s">
        <v>34</v>
      </c>
      <c r="C4242" t="s">
        <v>14</v>
      </c>
      <c r="D4242">
        <v>23</v>
      </c>
      <c r="E4242" s="1">
        <v>40207</v>
      </c>
      <c r="F4242">
        <v>3.19</v>
      </c>
      <c r="G4242">
        <v>6</v>
      </c>
      <c r="H4242">
        <v>4401.9799999999996</v>
      </c>
      <c r="I4242">
        <v>15.8</v>
      </c>
    </row>
    <row r="4243" spans="1:9" x14ac:dyDescent="0.3">
      <c r="A4243" t="s">
        <v>4258</v>
      </c>
      <c r="B4243" t="s">
        <v>16</v>
      </c>
      <c r="C4243" t="s">
        <v>11</v>
      </c>
      <c r="D4243">
        <v>22</v>
      </c>
      <c r="E4243" s="1">
        <v>41700</v>
      </c>
      <c r="F4243">
        <v>2.63</v>
      </c>
      <c r="G4243">
        <v>8</v>
      </c>
      <c r="H4243">
        <v>12350.3</v>
      </c>
      <c r="I4243">
        <v>11.7</v>
      </c>
    </row>
    <row r="4244" spans="1:9" x14ac:dyDescent="0.3">
      <c r="A4244" t="s">
        <v>4259</v>
      </c>
      <c r="B4244" t="s">
        <v>10</v>
      </c>
      <c r="C4244" t="s">
        <v>14</v>
      </c>
      <c r="D4244">
        <v>27</v>
      </c>
      <c r="E4244" s="1">
        <v>42448</v>
      </c>
      <c r="F4244">
        <v>2.44</v>
      </c>
      <c r="G4244">
        <v>2</v>
      </c>
      <c r="H4244">
        <v>12441.1</v>
      </c>
      <c r="I4244">
        <v>9.6</v>
      </c>
    </row>
    <row r="4245" spans="1:9" x14ac:dyDescent="0.3">
      <c r="A4245" t="s">
        <v>4260</v>
      </c>
      <c r="B4245" t="s">
        <v>16</v>
      </c>
      <c r="C4245" t="s">
        <v>14</v>
      </c>
      <c r="D4245">
        <v>59</v>
      </c>
      <c r="E4245" s="1">
        <v>42038</v>
      </c>
      <c r="F4245">
        <v>3.23</v>
      </c>
      <c r="G4245">
        <v>15</v>
      </c>
      <c r="H4245">
        <v>4829.1899999999996</v>
      </c>
      <c r="I4245">
        <v>10.8</v>
      </c>
    </row>
    <row r="4246" spans="1:9" x14ac:dyDescent="0.3">
      <c r="A4246" t="s">
        <v>4261</v>
      </c>
      <c r="B4246" t="s">
        <v>16</v>
      </c>
      <c r="C4246" t="s">
        <v>11</v>
      </c>
      <c r="D4246">
        <v>46</v>
      </c>
      <c r="E4246" s="1">
        <v>44936</v>
      </c>
      <c r="F4246">
        <v>1.72</v>
      </c>
      <c r="G4246">
        <v>15</v>
      </c>
      <c r="H4246">
        <v>8087.42</v>
      </c>
      <c r="I4246">
        <v>2.8</v>
      </c>
    </row>
    <row r="4247" spans="1:9" x14ac:dyDescent="0.3">
      <c r="A4247" t="s">
        <v>4262</v>
      </c>
      <c r="B4247" t="s">
        <v>13</v>
      </c>
      <c r="C4247" t="s">
        <v>14</v>
      </c>
      <c r="D4247">
        <v>51</v>
      </c>
      <c r="E4247" s="1">
        <v>45532</v>
      </c>
      <c r="F4247">
        <v>2.5499999999999998</v>
      </c>
      <c r="G4247">
        <v>8</v>
      </c>
      <c r="H4247">
        <v>13135.84</v>
      </c>
      <c r="I4247">
        <v>1.2</v>
      </c>
    </row>
    <row r="4248" spans="1:9" x14ac:dyDescent="0.3">
      <c r="A4248" t="s">
        <v>4263</v>
      </c>
      <c r="B4248" t="s">
        <v>34</v>
      </c>
      <c r="C4248" t="s">
        <v>14</v>
      </c>
      <c r="D4248">
        <v>27</v>
      </c>
      <c r="E4248" s="1">
        <v>40229</v>
      </c>
      <c r="F4248">
        <v>2.12</v>
      </c>
      <c r="G4248">
        <v>15</v>
      </c>
      <c r="H4248">
        <v>3938.84</v>
      </c>
      <c r="I4248">
        <v>15.7</v>
      </c>
    </row>
    <row r="4249" spans="1:9" x14ac:dyDescent="0.3">
      <c r="A4249" t="s">
        <v>4264</v>
      </c>
      <c r="B4249" t="s">
        <v>24</v>
      </c>
      <c r="C4249" t="s">
        <v>14</v>
      </c>
      <c r="D4249">
        <v>30</v>
      </c>
      <c r="E4249" s="1">
        <v>41508</v>
      </c>
      <c r="F4249">
        <v>3.9</v>
      </c>
      <c r="G4249">
        <v>0</v>
      </c>
      <c r="H4249">
        <v>11896.47</v>
      </c>
      <c r="I4249">
        <v>12.2</v>
      </c>
    </row>
    <row r="4250" spans="1:9" x14ac:dyDescent="0.3">
      <c r="A4250" t="s">
        <v>4265</v>
      </c>
      <c r="B4250" t="s">
        <v>18</v>
      </c>
      <c r="C4250" t="s">
        <v>11</v>
      </c>
      <c r="D4250">
        <v>59</v>
      </c>
      <c r="E4250" s="1">
        <v>40711</v>
      </c>
      <c r="F4250">
        <v>1.73</v>
      </c>
      <c r="G4250">
        <v>3</v>
      </c>
      <c r="H4250">
        <v>6947.41</v>
      </c>
      <c r="I4250">
        <v>14.4</v>
      </c>
    </row>
    <row r="4251" spans="1:9" x14ac:dyDescent="0.3">
      <c r="A4251" t="s">
        <v>4266</v>
      </c>
      <c r="B4251" t="s">
        <v>13</v>
      </c>
      <c r="C4251" t="s">
        <v>14</v>
      </c>
      <c r="D4251">
        <v>44</v>
      </c>
      <c r="E4251" s="1">
        <v>41438</v>
      </c>
      <c r="F4251">
        <v>2.94</v>
      </c>
      <c r="G4251">
        <v>13</v>
      </c>
      <c r="H4251">
        <v>11445.59</v>
      </c>
      <c r="I4251">
        <v>12.4</v>
      </c>
    </row>
    <row r="4252" spans="1:9" x14ac:dyDescent="0.3">
      <c r="A4252" t="s">
        <v>4267</v>
      </c>
      <c r="B4252" t="s">
        <v>10</v>
      </c>
      <c r="C4252" t="s">
        <v>14</v>
      </c>
      <c r="D4252">
        <v>59</v>
      </c>
      <c r="E4252" s="1">
        <v>45806</v>
      </c>
      <c r="F4252">
        <v>2.4700000000000002</v>
      </c>
      <c r="G4252">
        <v>14</v>
      </c>
      <c r="H4252">
        <v>11155.05</v>
      </c>
      <c r="I4252">
        <v>0.4</v>
      </c>
    </row>
    <row r="4253" spans="1:9" x14ac:dyDescent="0.3">
      <c r="A4253" t="s">
        <v>4268</v>
      </c>
      <c r="B4253" t="s">
        <v>10</v>
      </c>
      <c r="C4253" t="s">
        <v>14</v>
      </c>
      <c r="D4253">
        <v>58</v>
      </c>
      <c r="E4253" s="1">
        <v>40946</v>
      </c>
      <c r="F4253">
        <v>2.04</v>
      </c>
      <c r="G4253">
        <v>14</v>
      </c>
      <c r="H4253">
        <v>13798.67</v>
      </c>
      <c r="I4253">
        <v>13.7</v>
      </c>
    </row>
    <row r="4254" spans="1:9" x14ac:dyDescent="0.3">
      <c r="A4254" t="s">
        <v>4269</v>
      </c>
      <c r="B4254" t="s">
        <v>10</v>
      </c>
      <c r="C4254" t="s">
        <v>11</v>
      </c>
      <c r="D4254">
        <v>27</v>
      </c>
      <c r="E4254" s="1">
        <v>43586</v>
      </c>
      <c r="F4254">
        <v>3.63</v>
      </c>
      <c r="G4254">
        <v>7</v>
      </c>
      <c r="H4254">
        <v>6718.42</v>
      </c>
      <c r="I4254">
        <v>6.5</v>
      </c>
    </row>
    <row r="4255" spans="1:9" x14ac:dyDescent="0.3">
      <c r="A4255" t="s">
        <v>4270</v>
      </c>
      <c r="B4255" t="s">
        <v>24</v>
      </c>
      <c r="C4255" t="s">
        <v>11</v>
      </c>
      <c r="D4255">
        <v>51</v>
      </c>
      <c r="E4255" s="1">
        <v>44901</v>
      </c>
      <c r="F4255">
        <v>4.46</v>
      </c>
      <c r="G4255">
        <v>2</v>
      </c>
      <c r="H4255">
        <v>13753.49</v>
      </c>
      <c r="I4255">
        <v>2.9</v>
      </c>
    </row>
    <row r="4256" spans="1:9" x14ac:dyDescent="0.3">
      <c r="A4256" t="s">
        <v>4271</v>
      </c>
      <c r="B4256" t="s">
        <v>18</v>
      </c>
      <c r="C4256" t="s">
        <v>11</v>
      </c>
      <c r="D4256">
        <v>31</v>
      </c>
      <c r="E4256" s="1">
        <v>43061</v>
      </c>
      <c r="F4256">
        <v>3.36</v>
      </c>
      <c r="G4256">
        <v>7</v>
      </c>
      <c r="H4256">
        <v>4037.65</v>
      </c>
      <c r="I4256">
        <v>7.9</v>
      </c>
    </row>
    <row r="4257" spans="1:9" x14ac:dyDescent="0.3">
      <c r="A4257" t="s">
        <v>4272</v>
      </c>
      <c r="B4257" t="s">
        <v>13</v>
      </c>
      <c r="C4257" t="s">
        <v>11</v>
      </c>
      <c r="D4257">
        <v>53</v>
      </c>
      <c r="E4257" s="1">
        <v>41594</v>
      </c>
      <c r="F4257">
        <v>3.92</v>
      </c>
      <c r="G4257">
        <v>13</v>
      </c>
      <c r="H4257">
        <v>11418.46</v>
      </c>
      <c r="I4257">
        <v>12</v>
      </c>
    </row>
    <row r="4258" spans="1:9" x14ac:dyDescent="0.3">
      <c r="A4258" t="s">
        <v>4273</v>
      </c>
      <c r="B4258" t="s">
        <v>18</v>
      </c>
      <c r="C4258" t="s">
        <v>14</v>
      </c>
      <c r="D4258">
        <v>48</v>
      </c>
      <c r="E4258" s="1">
        <v>40236</v>
      </c>
      <c r="F4258">
        <v>4.79</v>
      </c>
      <c r="G4258">
        <v>10</v>
      </c>
      <c r="H4258">
        <v>5692.97</v>
      </c>
      <c r="I4258">
        <v>15.7</v>
      </c>
    </row>
    <row r="4259" spans="1:9" x14ac:dyDescent="0.3">
      <c r="A4259" t="s">
        <v>4274</v>
      </c>
      <c r="B4259" t="s">
        <v>34</v>
      </c>
      <c r="C4259" t="s">
        <v>11</v>
      </c>
      <c r="D4259">
        <v>36</v>
      </c>
      <c r="E4259" s="1">
        <v>43519</v>
      </c>
      <c r="F4259">
        <v>4.43</v>
      </c>
      <c r="G4259">
        <v>4</v>
      </c>
      <c r="H4259">
        <v>12501.7</v>
      </c>
      <c r="I4259">
        <v>6.7</v>
      </c>
    </row>
    <row r="4260" spans="1:9" x14ac:dyDescent="0.3">
      <c r="A4260" t="s">
        <v>4275</v>
      </c>
      <c r="B4260" t="s">
        <v>10</v>
      </c>
      <c r="C4260" t="s">
        <v>14</v>
      </c>
      <c r="D4260">
        <v>25</v>
      </c>
      <c r="E4260" s="1">
        <v>44142</v>
      </c>
      <c r="F4260">
        <v>1.71</v>
      </c>
      <c r="G4260">
        <v>15</v>
      </c>
      <c r="H4260">
        <v>13269.3</v>
      </c>
      <c r="I4260">
        <v>5</v>
      </c>
    </row>
    <row r="4261" spans="1:9" x14ac:dyDescent="0.3">
      <c r="A4261" t="s">
        <v>4276</v>
      </c>
      <c r="B4261" t="s">
        <v>18</v>
      </c>
      <c r="C4261" t="s">
        <v>11</v>
      </c>
      <c r="D4261">
        <v>58</v>
      </c>
      <c r="E4261" s="1">
        <v>42776</v>
      </c>
      <c r="F4261">
        <v>3.37</v>
      </c>
      <c r="G4261">
        <v>1</v>
      </c>
      <c r="H4261">
        <v>9234.65</v>
      </c>
      <c r="I4261">
        <v>8.6999999999999993</v>
      </c>
    </row>
    <row r="4262" spans="1:9" x14ac:dyDescent="0.3">
      <c r="A4262" t="s">
        <v>4277</v>
      </c>
      <c r="B4262" t="s">
        <v>34</v>
      </c>
      <c r="C4262" t="s">
        <v>14</v>
      </c>
      <c r="D4262">
        <v>57</v>
      </c>
      <c r="E4262" s="1">
        <v>43463</v>
      </c>
      <c r="F4262">
        <v>2.09</v>
      </c>
      <c r="G4262">
        <v>5</v>
      </c>
      <c r="H4262">
        <v>9883.07</v>
      </c>
      <c r="I4262">
        <v>6.8</v>
      </c>
    </row>
    <row r="4263" spans="1:9" x14ac:dyDescent="0.3">
      <c r="A4263" t="s">
        <v>4278</v>
      </c>
      <c r="B4263" t="s">
        <v>18</v>
      </c>
      <c r="C4263" t="s">
        <v>14</v>
      </c>
      <c r="D4263">
        <v>46</v>
      </c>
      <c r="E4263" s="1">
        <v>42306</v>
      </c>
      <c r="F4263">
        <v>4.13</v>
      </c>
      <c r="G4263">
        <v>2</v>
      </c>
      <c r="H4263">
        <v>3153.99</v>
      </c>
      <c r="I4263">
        <v>10</v>
      </c>
    </row>
    <row r="4264" spans="1:9" x14ac:dyDescent="0.3">
      <c r="A4264" t="s">
        <v>4279</v>
      </c>
      <c r="B4264" t="s">
        <v>10</v>
      </c>
      <c r="C4264" t="s">
        <v>11</v>
      </c>
      <c r="D4264">
        <v>33</v>
      </c>
      <c r="E4264" s="1">
        <v>41510</v>
      </c>
      <c r="F4264">
        <v>3.48</v>
      </c>
      <c r="G4264">
        <v>6</v>
      </c>
      <c r="H4264">
        <v>5642.1</v>
      </c>
      <c r="I4264">
        <v>12.2</v>
      </c>
    </row>
    <row r="4265" spans="1:9" x14ac:dyDescent="0.3">
      <c r="A4265" t="s">
        <v>4280</v>
      </c>
      <c r="B4265" t="s">
        <v>10</v>
      </c>
      <c r="C4265" t="s">
        <v>14</v>
      </c>
      <c r="D4265">
        <v>25</v>
      </c>
      <c r="E4265" s="1">
        <v>45779</v>
      </c>
      <c r="F4265">
        <v>4.1100000000000003</v>
      </c>
      <c r="G4265">
        <v>10</v>
      </c>
      <c r="H4265">
        <v>10979.59</v>
      </c>
      <c r="I4265">
        <v>0.5</v>
      </c>
    </row>
    <row r="4266" spans="1:9" x14ac:dyDescent="0.3">
      <c r="A4266" t="s">
        <v>4281</v>
      </c>
      <c r="B4266" t="s">
        <v>18</v>
      </c>
      <c r="C4266" t="s">
        <v>14</v>
      </c>
      <c r="D4266">
        <v>52</v>
      </c>
      <c r="E4266" s="1">
        <v>40585</v>
      </c>
      <c r="F4266">
        <v>4.97</v>
      </c>
      <c r="G4266">
        <v>0</v>
      </c>
      <c r="H4266">
        <v>3176.38</v>
      </c>
      <c r="I4266">
        <v>14.7</v>
      </c>
    </row>
    <row r="4267" spans="1:9" x14ac:dyDescent="0.3">
      <c r="A4267" t="s">
        <v>4282</v>
      </c>
      <c r="B4267" t="s">
        <v>16</v>
      </c>
      <c r="C4267" t="s">
        <v>11</v>
      </c>
      <c r="D4267">
        <v>25</v>
      </c>
      <c r="E4267" s="1">
        <v>42025</v>
      </c>
      <c r="F4267">
        <v>3.29</v>
      </c>
      <c r="G4267">
        <v>4</v>
      </c>
      <c r="H4267">
        <v>3835.33</v>
      </c>
      <c r="I4267">
        <v>10.8</v>
      </c>
    </row>
    <row r="4268" spans="1:9" x14ac:dyDescent="0.3">
      <c r="A4268" t="s">
        <v>4283</v>
      </c>
      <c r="B4268" t="s">
        <v>10</v>
      </c>
      <c r="C4268" t="s">
        <v>14</v>
      </c>
      <c r="D4268">
        <v>48</v>
      </c>
      <c r="E4268" s="1">
        <v>41816</v>
      </c>
      <c r="F4268">
        <v>3.36</v>
      </c>
      <c r="G4268">
        <v>14</v>
      </c>
      <c r="H4268">
        <v>11058.29</v>
      </c>
      <c r="I4268">
        <v>11.4</v>
      </c>
    </row>
    <row r="4269" spans="1:9" x14ac:dyDescent="0.3">
      <c r="A4269" t="s">
        <v>4284</v>
      </c>
      <c r="B4269" t="s">
        <v>16</v>
      </c>
      <c r="C4269" t="s">
        <v>11</v>
      </c>
      <c r="D4269">
        <v>56</v>
      </c>
      <c r="E4269" s="1">
        <v>41776</v>
      </c>
      <c r="F4269">
        <v>3.23</v>
      </c>
      <c r="G4269">
        <v>12</v>
      </c>
      <c r="H4269">
        <v>4485.3100000000004</v>
      </c>
      <c r="I4269">
        <v>11.5</v>
      </c>
    </row>
    <row r="4270" spans="1:9" x14ac:dyDescent="0.3">
      <c r="A4270" t="s">
        <v>4285</v>
      </c>
      <c r="B4270" t="s">
        <v>24</v>
      </c>
      <c r="C4270" t="s">
        <v>11</v>
      </c>
      <c r="D4270">
        <v>55</v>
      </c>
      <c r="E4270" s="1">
        <v>44326</v>
      </c>
      <c r="F4270">
        <v>2.46</v>
      </c>
      <c r="G4270">
        <v>0</v>
      </c>
      <c r="H4270">
        <v>14168.85</v>
      </c>
      <c r="I4270">
        <v>4.5</v>
      </c>
    </row>
    <row r="4271" spans="1:9" x14ac:dyDescent="0.3">
      <c r="A4271" t="s">
        <v>4286</v>
      </c>
      <c r="B4271" t="s">
        <v>24</v>
      </c>
      <c r="C4271" t="s">
        <v>14</v>
      </c>
      <c r="D4271">
        <v>30</v>
      </c>
      <c r="E4271" s="1">
        <v>40659</v>
      </c>
      <c r="F4271">
        <v>2.73</v>
      </c>
      <c r="G4271">
        <v>0</v>
      </c>
      <c r="H4271">
        <v>5597.97</v>
      </c>
      <c r="I4271">
        <v>14.5</v>
      </c>
    </row>
    <row r="4272" spans="1:9" x14ac:dyDescent="0.3">
      <c r="A4272" t="s">
        <v>4287</v>
      </c>
      <c r="B4272" t="s">
        <v>13</v>
      </c>
      <c r="C4272" t="s">
        <v>11</v>
      </c>
      <c r="D4272">
        <v>41</v>
      </c>
      <c r="E4272" s="1">
        <v>40666</v>
      </c>
      <c r="F4272">
        <v>1.6</v>
      </c>
      <c r="G4272">
        <v>7</v>
      </c>
      <c r="H4272">
        <v>9793.82</v>
      </c>
      <c r="I4272">
        <v>14.5</v>
      </c>
    </row>
    <row r="4273" spans="1:9" x14ac:dyDescent="0.3">
      <c r="A4273" t="s">
        <v>4288</v>
      </c>
      <c r="B4273" t="s">
        <v>34</v>
      </c>
      <c r="C4273" t="s">
        <v>11</v>
      </c>
      <c r="D4273">
        <v>34</v>
      </c>
      <c r="E4273" s="1">
        <v>41673</v>
      </c>
      <c r="F4273">
        <v>3.94</v>
      </c>
      <c r="G4273">
        <v>5</v>
      </c>
      <c r="H4273">
        <v>13999.59</v>
      </c>
      <c r="I4273">
        <v>11.8</v>
      </c>
    </row>
    <row r="4274" spans="1:9" x14ac:dyDescent="0.3">
      <c r="A4274" t="s">
        <v>4289</v>
      </c>
      <c r="B4274" t="s">
        <v>24</v>
      </c>
      <c r="C4274" t="s">
        <v>11</v>
      </c>
      <c r="D4274">
        <v>32</v>
      </c>
      <c r="E4274" s="1">
        <v>41936</v>
      </c>
      <c r="F4274">
        <v>3.39</v>
      </c>
      <c r="G4274">
        <v>3</v>
      </c>
      <c r="H4274">
        <v>14415.92</v>
      </c>
      <c r="I4274">
        <v>11</v>
      </c>
    </row>
    <row r="4275" spans="1:9" x14ac:dyDescent="0.3">
      <c r="A4275" t="s">
        <v>4290</v>
      </c>
      <c r="B4275" t="s">
        <v>34</v>
      </c>
      <c r="C4275" t="s">
        <v>11</v>
      </c>
      <c r="D4275">
        <v>27</v>
      </c>
      <c r="E4275" s="1">
        <v>41231</v>
      </c>
      <c r="F4275">
        <v>3.18</v>
      </c>
      <c r="G4275">
        <v>11</v>
      </c>
      <c r="H4275">
        <v>11104.04</v>
      </c>
      <c r="I4275">
        <v>13</v>
      </c>
    </row>
    <row r="4276" spans="1:9" x14ac:dyDescent="0.3">
      <c r="A4276" t="s">
        <v>4291</v>
      </c>
      <c r="B4276" t="s">
        <v>13</v>
      </c>
      <c r="C4276" t="s">
        <v>11</v>
      </c>
      <c r="D4276">
        <v>40</v>
      </c>
      <c r="E4276" s="1">
        <v>45953</v>
      </c>
      <c r="F4276">
        <v>3.46</v>
      </c>
      <c r="G4276">
        <v>6</v>
      </c>
      <c r="H4276">
        <v>7723.82</v>
      </c>
      <c r="I4276">
        <v>0</v>
      </c>
    </row>
    <row r="4277" spans="1:9" x14ac:dyDescent="0.3">
      <c r="A4277" t="s">
        <v>4292</v>
      </c>
      <c r="B4277" t="s">
        <v>16</v>
      </c>
      <c r="C4277" t="s">
        <v>14</v>
      </c>
      <c r="D4277">
        <v>40</v>
      </c>
      <c r="E4277" s="1">
        <v>41633</v>
      </c>
      <c r="F4277">
        <v>2.08</v>
      </c>
      <c r="G4277">
        <v>15</v>
      </c>
      <c r="H4277">
        <v>5515.77</v>
      </c>
      <c r="I4277">
        <v>11.9</v>
      </c>
    </row>
    <row r="4278" spans="1:9" x14ac:dyDescent="0.3">
      <c r="A4278" t="s">
        <v>4293</v>
      </c>
      <c r="B4278" t="s">
        <v>18</v>
      </c>
      <c r="C4278" t="s">
        <v>11</v>
      </c>
      <c r="D4278">
        <v>56</v>
      </c>
      <c r="E4278" s="1">
        <v>43205</v>
      </c>
      <c r="F4278">
        <v>2.36</v>
      </c>
      <c r="G4278">
        <v>13</v>
      </c>
      <c r="H4278">
        <v>6819.75</v>
      </c>
      <c r="I4278">
        <v>7.6</v>
      </c>
    </row>
    <row r="4279" spans="1:9" x14ac:dyDescent="0.3">
      <c r="A4279" t="s">
        <v>4294</v>
      </c>
      <c r="B4279" t="s">
        <v>18</v>
      </c>
      <c r="C4279" t="s">
        <v>11</v>
      </c>
      <c r="D4279">
        <v>48</v>
      </c>
      <c r="E4279" s="1">
        <v>43633</v>
      </c>
      <c r="F4279">
        <v>1.77</v>
      </c>
      <c r="G4279">
        <v>14</v>
      </c>
      <c r="H4279">
        <v>10583.3</v>
      </c>
      <c r="I4279">
        <v>6.4</v>
      </c>
    </row>
    <row r="4280" spans="1:9" x14ac:dyDescent="0.3">
      <c r="A4280" t="s">
        <v>4295</v>
      </c>
      <c r="B4280" t="s">
        <v>16</v>
      </c>
      <c r="C4280" t="s">
        <v>14</v>
      </c>
      <c r="D4280">
        <v>46</v>
      </c>
      <c r="E4280" s="1">
        <v>43438</v>
      </c>
      <c r="F4280">
        <v>4.1500000000000004</v>
      </c>
      <c r="G4280">
        <v>3</v>
      </c>
      <c r="H4280">
        <v>5450.06</v>
      </c>
      <c r="I4280">
        <v>6.9</v>
      </c>
    </row>
    <row r="4281" spans="1:9" x14ac:dyDescent="0.3">
      <c r="A4281" t="s">
        <v>4296</v>
      </c>
      <c r="B4281" t="s">
        <v>10</v>
      </c>
      <c r="C4281" t="s">
        <v>11</v>
      </c>
      <c r="D4281">
        <v>36</v>
      </c>
      <c r="E4281" s="1">
        <v>42699</v>
      </c>
      <c r="F4281">
        <v>3.06</v>
      </c>
      <c r="G4281">
        <v>2</v>
      </c>
      <c r="H4281">
        <v>7554.71</v>
      </c>
      <c r="I4281">
        <v>8.9</v>
      </c>
    </row>
    <row r="4282" spans="1:9" x14ac:dyDescent="0.3">
      <c r="A4282" t="s">
        <v>4297</v>
      </c>
      <c r="B4282" t="s">
        <v>18</v>
      </c>
      <c r="C4282" t="s">
        <v>11</v>
      </c>
      <c r="D4282">
        <v>47</v>
      </c>
      <c r="E4282" s="1">
        <v>41556</v>
      </c>
      <c r="F4282">
        <v>2.2000000000000002</v>
      </c>
      <c r="G4282">
        <v>12</v>
      </c>
      <c r="H4282">
        <v>7553.26</v>
      </c>
      <c r="I4282">
        <v>12.1</v>
      </c>
    </row>
    <row r="4283" spans="1:9" x14ac:dyDescent="0.3">
      <c r="A4283" t="s">
        <v>4298</v>
      </c>
      <c r="B4283" t="s">
        <v>34</v>
      </c>
      <c r="C4283" t="s">
        <v>11</v>
      </c>
      <c r="D4283">
        <v>42</v>
      </c>
      <c r="E4283" s="1">
        <v>40287</v>
      </c>
      <c r="F4283">
        <v>3.11</v>
      </c>
      <c r="G4283">
        <v>15</v>
      </c>
      <c r="H4283">
        <v>11484.68</v>
      </c>
      <c r="I4283">
        <v>15.5</v>
      </c>
    </row>
    <row r="4284" spans="1:9" x14ac:dyDescent="0.3">
      <c r="A4284" t="s">
        <v>4299</v>
      </c>
      <c r="B4284" t="s">
        <v>13</v>
      </c>
      <c r="C4284" t="s">
        <v>11</v>
      </c>
      <c r="D4284">
        <v>55</v>
      </c>
      <c r="E4284" s="1">
        <v>41239</v>
      </c>
      <c r="F4284">
        <v>3.33</v>
      </c>
      <c r="G4284">
        <v>1</v>
      </c>
      <c r="H4284">
        <v>12928.2</v>
      </c>
      <c r="I4284">
        <v>12.9</v>
      </c>
    </row>
    <row r="4285" spans="1:9" x14ac:dyDescent="0.3">
      <c r="A4285" t="s">
        <v>4300</v>
      </c>
      <c r="B4285" t="s">
        <v>10</v>
      </c>
      <c r="C4285" t="s">
        <v>14</v>
      </c>
      <c r="D4285">
        <v>60</v>
      </c>
      <c r="E4285" s="1">
        <v>40566</v>
      </c>
      <c r="F4285">
        <v>2.59</v>
      </c>
      <c r="G4285">
        <v>10</v>
      </c>
      <c r="H4285">
        <v>8055.81</v>
      </c>
      <c r="I4285">
        <v>14.8</v>
      </c>
    </row>
    <row r="4286" spans="1:9" x14ac:dyDescent="0.3">
      <c r="A4286" t="s">
        <v>4301</v>
      </c>
      <c r="B4286" t="s">
        <v>24</v>
      </c>
      <c r="C4286" t="s">
        <v>11</v>
      </c>
      <c r="D4286">
        <v>32</v>
      </c>
      <c r="E4286" s="1">
        <v>41320</v>
      </c>
      <c r="F4286">
        <v>4.7</v>
      </c>
      <c r="G4286">
        <v>9</v>
      </c>
      <c r="H4286">
        <v>7173.7</v>
      </c>
      <c r="I4286">
        <v>12.7</v>
      </c>
    </row>
    <row r="4287" spans="1:9" x14ac:dyDescent="0.3">
      <c r="A4287" t="s">
        <v>4302</v>
      </c>
      <c r="B4287" t="s">
        <v>18</v>
      </c>
      <c r="C4287" t="s">
        <v>11</v>
      </c>
      <c r="D4287">
        <v>51</v>
      </c>
      <c r="E4287" s="1">
        <v>40403</v>
      </c>
      <c r="F4287">
        <v>4.7</v>
      </c>
      <c r="G4287">
        <v>14</v>
      </c>
      <c r="H4287">
        <v>13164.84</v>
      </c>
      <c r="I4287">
        <v>15.2</v>
      </c>
    </row>
    <row r="4288" spans="1:9" x14ac:dyDescent="0.3">
      <c r="A4288" t="s">
        <v>4303</v>
      </c>
      <c r="B4288" t="s">
        <v>18</v>
      </c>
      <c r="C4288" t="s">
        <v>14</v>
      </c>
      <c r="D4288">
        <v>41</v>
      </c>
      <c r="E4288" s="1">
        <v>43494</v>
      </c>
      <c r="F4288">
        <v>4.5999999999999996</v>
      </c>
      <c r="G4288">
        <v>3</v>
      </c>
      <c r="H4288">
        <v>4123.54</v>
      </c>
      <c r="I4288">
        <v>6.8</v>
      </c>
    </row>
    <row r="4289" spans="1:9" x14ac:dyDescent="0.3">
      <c r="A4289" t="s">
        <v>4304</v>
      </c>
      <c r="B4289" t="s">
        <v>16</v>
      </c>
      <c r="C4289" t="s">
        <v>11</v>
      </c>
      <c r="D4289">
        <v>43</v>
      </c>
      <c r="E4289" s="1">
        <v>43230</v>
      </c>
      <c r="F4289">
        <v>2.5299999999999998</v>
      </c>
      <c r="G4289">
        <v>0</v>
      </c>
      <c r="H4289">
        <v>12377.03</v>
      </c>
      <c r="I4289">
        <v>7.5</v>
      </c>
    </row>
    <row r="4290" spans="1:9" x14ac:dyDescent="0.3">
      <c r="A4290" t="s">
        <v>4305</v>
      </c>
      <c r="B4290" t="s">
        <v>16</v>
      </c>
      <c r="C4290" t="s">
        <v>14</v>
      </c>
      <c r="D4290">
        <v>22</v>
      </c>
      <c r="E4290" s="1">
        <v>44288</v>
      </c>
      <c r="F4290">
        <v>4.2</v>
      </c>
      <c r="G4290">
        <v>0</v>
      </c>
      <c r="H4290">
        <v>3591.31</v>
      </c>
      <c r="I4290">
        <v>4.5999999999999996</v>
      </c>
    </row>
    <row r="4291" spans="1:9" x14ac:dyDescent="0.3">
      <c r="A4291" t="s">
        <v>4306</v>
      </c>
      <c r="B4291" t="s">
        <v>24</v>
      </c>
      <c r="C4291" t="s">
        <v>11</v>
      </c>
      <c r="D4291">
        <v>44</v>
      </c>
      <c r="E4291" s="1">
        <v>41171</v>
      </c>
      <c r="F4291">
        <v>3.57</v>
      </c>
      <c r="G4291">
        <v>0</v>
      </c>
      <c r="H4291">
        <v>8479.64</v>
      </c>
      <c r="I4291">
        <v>13.1</v>
      </c>
    </row>
    <row r="4292" spans="1:9" x14ac:dyDescent="0.3">
      <c r="A4292" t="s">
        <v>4307</v>
      </c>
      <c r="B4292" t="s">
        <v>16</v>
      </c>
      <c r="C4292" t="s">
        <v>11</v>
      </c>
      <c r="D4292">
        <v>47</v>
      </c>
      <c r="E4292" s="1">
        <v>45418</v>
      </c>
      <c r="F4292">
        <v>2.46</v>
      </c>
      <c r="G4292">
        <v>3</v>
      </c>
      <c r="H4292">
        <v>9018.6200000000008</v>
      </c>
      <c r="I4292">
        <v>1.5</v>
      </c>
    </row>
    <row r="4293" spans="1:9" x14ac:dyDescent="0.3">
      <c r="A4293" t="s">
        <v>4308</v>
      </c>
      <c r="B4293" t="s">
        <v>18</v>
      </c>
      <c r="C4293" t="s">
        <v>11</v>
      </c>
      <c r="D4293">
        <v>56</v>
      </c>
      <c r="E4293" s="1">
        <v>44569</v>
      </c>
      <c r="F4293">
        <v>1.5</v>
      </c>
      <c r="G4293">
        <v>11</v>
      </c>
      <c r="H4293">
        <v>11854.21</v>
      </c>
      <c r="I4293">
        <v>3.8</v>
      </c>
    </row>
    <row r="4294" spans="1:9" x14ac:dyDescent="0.3">
      <c r="A4294" t="s">
        <v>4309</v>
      </c>
      <c r="B4294" t="s">
        <v>34</v>
      </c>
      <c r="C4294" t="s">
        <v>11</v>
      </c>
      <c r="D4294">
        <v>27</v>
      </c>
      <c r="E4294" s="1">
        <v>43785</v>
      </c>
      <c r="F4294">
        <v>3.3</v>
      </c>
      <c r="G4294">
        <v>15</v>
      </c>
      <c r="H4294">
        <v>9499.64</v>
      </c>
      <c r="I4294">
        <v>6</v>
      </c>
    </row>
    <row r="4295" spans="1:9" x14ac:dyDescent="0.3">
      <c r="A4295" t="s">
        <v>4310</v>
      </c>
      <c r="B4295" t="s">
        <v>10</v>
      </c>
      <c r="C4295" t="s">
        <v>11</v>
      </c>
      <c r="D4295">
        <v>48</v>
      </c>
      <c r="E4295" s="1">
        <v>44623</v>
      </c>
      <c r="F4295">
        <v>3.98</v>
      </c>
      <c r="G4295">
        <v>8</v>
      </c>
      <c r="H4295">
        <v>7483.04</v>
      </c>
      <c r="I4295">
        <v>3.7</v>
      </c>
    </row>
    <row r="4296" spans="1:9" x14ac:dyDescent="0.3">
      <c r="A4296" t="s">
        <v>4311</v>
      </c>
      <c r="B4296" t="s">
        <v>13</v>
      </c>
      <c r="C4296" t="s">
        <v>14</v>
      </c>
      <c r="D4296">
        <v>32</v>
      </c>
      <c r="E4296" s="1">
        <v>44921</v>
      </c>
      <c r="F4296">
        <v>2.12</v>
      </c>
      <c r="G4296">
        <v>15</v>
      </c>
      <c r="H4296">
        <v>8538.31</v>
      </c>
      <c r="I4296">
        <v>2.9</v>
      </c>
    </row>
    <row r="4297" spans="1:9" x14ac:dyDescent="0.3">
      <c r="A4297" t="s">
        <v>4312</v>
      </c>
      <c r="B4297" t="s">
        <v>24</v>
      </c>
      <c r="C4297" t="s">
        <v>14</v>
      </c>
      <c r="D4297">
        <v>33</v>
      </c>
      <c r="E4297" s="1">
        <v>44416</v>
      </c>
      <c r="F4297">
        <v>1.52</v>
      </c>
      <c r="G4297">
        <v>5</v>
      </c>
      <c r="H4297">
        <v>14603.51</v>
      </c>
      <c r="I4297">
        <v>4.2</v>
      </c>
    </row>
    <row r="4298" spans="1:9" x14ac:dyDescent="0.3">
      <c r="A4298" t="s">
        <v>4313</v>
      </c>
      <c r="B4298" t="s">
        <v>24</v>
      </c>
      <c r="C4298" t="s">
        <v>11</v>
      </c>
      <c r="D4298">
        <v>22</v>
      </c>
      <c r="E4298" s="1">
        <v>40234</v>
      </c>
      <c r="F4298">
        <v>3.24</v>
      </c>
      <c r="G4298">
        <v>3</v>
      </c>
      <c r="H4298">
        <v>10297.280000000001</v>
      </c>
      <c r="I4298">
        <v>15.7</v>
      </c>
    </row>
    <row r="4299" spans="1:9" x14ac:dyDescent="0.3">
      <c r="A4299" t="s">
        <v>4314</v>
      </c>
      <c r="B4299" t="s">
        <v>13</v>
      </c>
      <c r="C4299" t="s">
        <v>11</v>
      </c>
      <c r="D4299">
        <v>39</v>
      </c>
      <c r="E4299" s="1">
        <v>42818</v>
      </c>
      <c r="F4299">
        <v>2.4700000000000002</v>
      </c>
      <c r="G4299">
        <v>13</v>
      </c>
      <c r="H4299">
        <v>9001.25</v>
      </c>
      <c r="I4299">
        <v>8.6</v>
      </c>
    </row>
    <row r="4300" spans="1:9" x14ac:dyDescent="0.3">
      <c r="A4300" t="s">
        <v>4315</v>
      </c>
      <c r="B4300" t="s">
        <v>24</v>
      </c>
      <c r="C4300" t="s">
        <v>14</v>
      </c>
      <c r="D4300">
        <v>26</v>
      </c>
      <c r="E4300" s="1">
        <v>44106</v>
      </c>
      <c r="F4300">
        <v>2.8</v>
      </c>
      <c r="G4300">
        <v>11</v>
      </c>
      <c r="H4300">
        <v>6032.77</v>
      </c>
      <c r="I4300">
        <v>5.0999999999999996</v>
      </c>
    </row>
    <row r="4301" spans="1:9" x14ac:dyDescent="0.3">
      <c r="A4301" t="s">
        <v>4316</v>
      </c>
      <c r="B4301" t="s">
        <v>24</v>
      </c>
      <c r="C4301" t="s">
        <v>14</v>
      </c>
      <c r="D4301">
        <v>54</v>
      </c>
      <c r="E4301" s="1">
        <v>45896</v>
      </c>
      <c r="F4301">
        <v>1.5</v>
      </c>
      <c r="G4301">
        <v>14</v>
      </c>
      <c r="H4301">
        <v>10864.25</v>
      </c>
      <c r="I4301">
        <v>0.2</v>
      </c>
    </row>
    <row r="4302" spans="1:9" x14ac:dyDescent="0.3">
      <c r="A4302" t="s">
        <v>4317</v>
      </c>
      <c r="B4302" t="s">
        <v>34</v>
      </c>
      <c r="C4302" t="s">
        <v>14</v>
      </c>
      <c r="D4302">
        <v>58</v>
      </c>
      <c r="E4302" s="1">
        <v>41829</v>
      </c>
      <c r="F4302">
        <v>3.45</v>
      </c>
      <c r="G4302">
        <v>13</v>
      </c>
      <c r="H4302">
        <v>11781.24</v>
      </c>
      <c r="I4302">
        <v>11.3</v>
      </c>
    </row>
    <row r="4303" spans="1:9" x14ac:dyDescent="0.3">
      <c r="A4303" t="s">
        <v>4318</v>
      </c>
      <c r="B4303" t="s">
        <v>16</v>
      </c>
      <c r="C4303" t="s">
        <v>11</v>
      </c>
      <c r="D4303">
        <v>44</v>
      </c>
      <c r="E4303" s="1">
        <v>45864</v>
      </c>
      <c r="F4303">
        <v>2.57</v>
      </c>
      <c r="G4303">
        <v>0</v>
      </c>
      <c r="H4303">
        <v>7052.11</v>
      </c>
      <c r="I4303">
        <v>0.3</v>
      </c>
    </row>
    <row r="4304" spans="1:9" x14ac:dyDescent="0.3">
      <c r="A4304" t="s">
        <v>4319</v>
      </c>
      <c r="B4304" t="s">
        <v>34</v>
      </c>
      <c r="C4304" t="s">
        <v>14</v>
      </c>
      <c r="D4304">
        <v>44</v>
      </c>
      <c r="E4304" s="1">
        <v>40817</v>
      </c>
      <c r="F4304">
        <v>4.95</v>
      </c>
      <c r="G4304">
        <v>7</v>
      </c>
      <c r="H4304">
        <v>10318.83</v>
      </c>
      <c r="I4304">
        <v>14.1</v>
      </c>
    </row>
    <row r="4305" spans="1:9" x14ac:dyDescent="0.3">
      <c r="A4305" t="s">
        <v>4320</v>
      </c>
      <c r="B4305" t="s">
        <v>18</v>
      </c>
      <c r="C4305" t="s">
        <v>11</v>
      </c>
      <c r="D4305">
        <v>57</v>
      </c>
      <c r="E4305" s="1">
        <v>42325</v>
      </c>
      <c r="F4305">
        <v>1.69</v>
      </c>
      <c r="G4305">
        <v>6</v>
      </c>
      <c r="H4305">
        <v>3723.44</v>
      </c>
      <c r="I4305">
        <v>10</v>
      </c>
    </row>
    <row r="4306" spans="1:9" x14ac:dyDescent="0.3">
      <c r="A4306" t="s">
        <v>4321</v>
      </c>
      <c r="B4306" t="s">
        <v>34</v>
      </c>
      <c r="C4306" t="s">
        <v>14</v>
      </c>
      <c r="D4306">
        <v>28</v>
      </c>
      <c r="E4306" s="1">
        <v>40403</v>
      </c>
      <c r="F4306">
        <v>3.12</v>
      </c>
      <c r="G4306">
        <v>11</v>
      </c>
      <c r="H4306">
        <v>3369.92</v>
      </c>
      <c r="I4306">
        <v>15.2</v>
      </c>
    </row>
    <row r="4307" spans="1:9" x14ac:dyDescent="0.3">
      <c r="A4307" t="s">
        <v>4322</v>
      </c>
      <c r="B4307" t="s">
        <v>16</v>
      </c>
      <c r="C4307" t="s">
        <v>11</v>
      </c>
      <c r="D4307">
        <v>30</v>
      </c>
      <c r="E4307" s="1">
        <v>42584</v>
      </c>
      <c r="F4307">
        <v>3.46</v>
      </c>
      <c r="G4307">
        <v>14</v>
      </c>
      <c r="H4307">
        <v>14162.53</v>
      </c>
      <c r="I4307">
        <v>9.3000000000000007</v>
      </c>
    </row>
    <row r="4308" spans="1:9" x14ac:dyDescent="0.3">
      <c r="A4308" t="s">
        <v>4323</v>
      </c>
      <c r="B4308" t="s">
        <v>13</v>
      </c>
      <c r="C4308" t="s">
        <v>11</v>
      </c>
      <c r="D4308">
        <v>48</v>
      </c>
      <c r="E4308" s="1">
        <v>45162</v>
      </c>
      <c r="F4308">
        <v>3.47</v>
      </c>
      <c r="G4308">
        <v>6</v>
      </c>
      <c r="H4308">
        <v>9870.99</v>
      </c>
      <c r="I4308">
        <v>2.2000000000000002</v>
      </c>
    </row>
    <row r="4309" spans="1:9" x14ac:dyDescent="0.3">
      <c r="A4309" t="s">
        <v>4324</v>
      </c>
      <c r="B4309" t="s">
        <v>24</v>
      </c>
      <c r="C4309" t="s">
        <v>11</v>
      </c>
      <c r="D4309">
        <v>33</v>
      </c>
      <c r="E4309" s="1">
        <v>43080</v>
      </c>
      <c r="F4309">
        <v>2</v>
      </c>
      <c r="G4309">
        <v>13</v>
      </c>
      <c r="H4309">
        <v>13192.96</v>
      </c>
      <c r="I4309">
        <v>7.9</v>
      </c>
    </row>
    <row r="4310" spans="1:9" x14ac:dyDescent="0.3">
      <c r="A4310" t="s">
        <v>4325</v>
      </c>
      <c r="B4310" t="s">
        <v>34</v>
      </c>
      <c r="C4310" t="s">
        <v>14</v>
      </c>
      <c r="D4310">
        <v>28</v>
      </c>
      <c r="E4310" s="1">
        <v>41492</v>
      </c>
      <c r="F4310">
        <v>3.21</v>
      </c>
      <c r="G4310">
        <v>2</v>
      </c>
      <c r="H4310">
        <v>14673.4</v>
      </c>
      <c r="I4310">
        <v>12.2</v>
      </c>
    </row>
    <row r="4311" spans="1:9" x14ac:dyDescent="0.3">
      <c r="A4311" t="s">
        <v>4326</v>
      </c>
      <c r="B4311" t="s">
        <v>24</v>
      </c>
      <c r="C4311" t="s">
        <v>14</v>
      </c>
      <c r="D4311">
        <v>49</v>
      </c>
      <c r="E4311" s="1">
        <v>45152</v>
      </c>
      <c r="F4311">
        <v>4.5599999999999996</v>
      </c>
      <c r="G4311">
        <v>9</v>
      </c>
      <c r="H4311">
        <v>8519.07</v>
      </c>
      <c r="I4311">
        <v>2.2000000000000002</v>
      </c>
    </row>
    <row r="4312" spans="1:9" x14ac:dyDescent="0.3">
      <c r="A4312" t="s">
        <v>4327</v>
      </c>
      <c r="B4312" t="s">
        <v>16</v>
      </c>
      <c r="C4312" t="s">
        <v>11</v>
      </c>
      <c r="D4312">
        <v>50</v>
      </c>
      <c r="E4312" s="1">
        <v>45832</v>
      </c>
      <c r="F4312">
        <v>3.89</v>
      </c>
      <c r="G4312">
        <v>1</v>
      </c>
      <c r="H4312">
        <v>6504.02</v>
      </c>
      <c r="I4312">
        <v>0.4</v>
      </c>
    </row>
    <row r="4313" spans="1:9" x14ac:dyDescent="0.3">
      <c r="A4313" t="s">
        <v>4328</v>
      </c>
      <c r="B4313" t="s">
        <v>13</v>
      </c>
      <c r="C4313" t="s">
        <v>14</v>
      </c>
      <c r="D4313">
        <v>34</v>
      </c>
      <c r="E4313" s="1">
        <v>40685</v>
      </c>
      <c r="F4313">
        <v>4.97</v>
      </c>
      <c r="G4313">
        <v>6</v>
      </c>
      <c r="H4313">
        <v>6542.74</v>
      </c>
      <c r="I4313">
        <v>14.5</v>
      </c>
    </row>
    <row r="4314" spans="1:9" x14ac:dyDescent="0.3">
      <c r="A4314" t="s">
        <v>4329</v>
      </c>
      <c r="B4314" t="s">
        <v>16</v>
      </c>
      <c r="C4314" t="s">
        <v>11</v>
      </c>
      <c r="D4314">
        <v>57</v>
      </c>
      <c r="E4314" s="1">
        <v>40766</v>
      </c>
      <c r="F4314">
        <v>1.81</v>
      </c>
      <c r="G4314">
        <v>11</v>
      </c>
      <c r="H4314">
        <v>3162.41</v>
      </c>
      <c r="I4314">
        <v>14.2</v>
      </c>
    </row>
    <row r="4315" spans="1:9" x14ac:dyDescent="0.3">
      <c r="A4315" t="s">
        <v>4330</v>
      </c>
      <c r="B4315" t="s">
        <v>16</v>
      </c>
      <c r="C4315" t="s">
        <v>14</v>
      </c>
      <c r="D4315">
        <v>44</v>
      </c>
      <c r="E4315" s="1">
        <v>41041</v>
      </c>
      <c r="F4315">
        <v>1.75</v>
      </c>
      <c r="G4315">
        <v>10</v>
      </c>
      <c r="H4315">
        <v>11868.13</v>
      </c>
      <c r="I4315">
        <v>13.5</v>
      </c>
    </row>
    <row r="4316" spans="1:9" x14ac:dyDescent="0.3">
      <c r="A4316" t="s">
        <v>4331</v>
      </c>
      <c r="B4316" t="s">
        <v>13</v>
      </c>
      <c r="C4316" t="s">
        <v>14</v>
      </c>
      <c r="D4316">
        <v>60</v>
      </c>
      <c r="E4316" s="1">
        <v>41830</v>
      </c>
      <c r="F4316">
        <v>4.74</v>
      </c>
      <c r="G4316">
        <v>4</v>
      </c>
      <c r="H4316">
        <v>11254.58</v>
      </c>
      <c r="I4316">
        <v>11.3</v>
      </c>
    </row>
    <row r="4317" spans="1:9" x14ac:dyDescent="0.3">
      <c r="A4317" t="s">
        <v>4332</v>
      </c>
      <c r="B4317" t="s">
        <v>24</v>
      </c>
      <c r="C4317" t="s">
        <v>11</v>
      </c>
      <c r="D4317">
        <v>40</v>
      </c>
      <c r="E4317" s="1">
        <v>44284</v>
      </c>
      <c r="F4317">
        <v>1.81</v>
      </c>
      <c r="G4317">
        <v>14</v>
      </c>
      <c r="H4317">
        <v>14347.46</v>
      </c>
      <c r="I4317">
        <v>4.5999999999999996</v>
      </c>
    </row>
    <row r="4318" spans="1:9" x14ac:dyDescent="0.3">
      <c r="A4318" t="s">
        <v>4333</v>
      </c>
      <c r="B4318" t="s">
        <v>18</v>
      </c>
      <c r="C4318" t="s">
        <v>11</v>
      </c>
      <c r="D4318">
        <v>57</v>
      </c>
      <c r="E4318" s="1">
        <v>41960</v>
      </c>
      <c r="F4318">
        <v>3.38</v>
      </c>
      <c r="G4318">
        <v>9</v>
      </c>
      <c r="H4318">
        <v>3655.45</v>
      </c>
      <c r="I4318">
        <v>11</v>
      </c>
    </row>
    <row r="4319" spans="1:9" x14ac:dyDescent="0.3">
      <c r="A4319" t="s">
        <v>4334</v>
      </c>
      <c r="B4319" t="s">
        <v>10</v>
      </c>
      <c r="C4319" t="s">
        <v>11</v>
      </c>
      <c r="D4319">
        <v>57</v>
      </c>
      <c r="E4319" s="1">
        <v>40336</v>
      </c>
      <c r="F4319">
        <v>2.6</v>
      </c>
      <c r="G4319">
        <v>3</v>
      </c>
      <c r="H4319">
        <v>4392.5200000000004</v>
      </c>
      <c r="I4319">
        <v>15.4</v>
      </c>
    </row>
    <row r="4320" spans="1:9" x14ac:dyDescent="0.3">
      <c r="A4320" t="s">
        <v>4335</v>
      </c>
      <c r="B4320" t="s">
        <v>18</v>
      </c>
      <c r="C4320" t="s">
        <v>11</v>
      </c>
      <c r="D4320">
        <v>49</v>
      </c>
      <c r="E4320" s="1">
        <v>42276</v>
      </c>
      <c r="F4320">
        <v>4.0999999999999996</v>
      </c>
      <c r="G4320">
        <v>7</v>
      </c>
      <c r="H4320">
        <v>4022.67</v>
      </c>
      <c r="I4320">
        <v>10.1</v>
      </c>
    </row>
    <row r="4321" spans="1:9" x14ac:dyDescent="0.3">
      <c r="A4321" t="s">
        <v>4336</v>
      </c>
      <c r="B4321" t="s">
        <v>24</v>
      </c>
      <c r="C4321" t="s">
        <v>11</v>
      </c>
      <c r="D4321">
        <v>60</v>
      </c>
      <c r="E4321" s="1">
        <v>45352</v>
      </c>
      <c r="F4321">
        <v>1.95</v>
      </c>
      <c r="G4321">
        <v>3</v>
      </c>
      <c r="H4321">
        <v>11555.76</v>
      </c>
      <c r="I4321">
        <v>1.7</v>
      </c>
    </row>
    <row r="4322" spans="1:9" x14ac:dyDescent="0.3">
      <c r="A4322" t="s">
        <v>4337</v>
      </c>
      <c r="B4322" t="s">
        <v>18</v>
      </c>
      <c r="C4322" t="s">
        <v>11</v>
      </c>
      <c r="D4322">
        <v>32</v>
      </c>
      <c r="E4322" s="1">
        <v>44416</v>
      </c>
      <c r="F4322">
        <v>2.4700000000000002</v>
      </c>
      <c r="G4322">
        <v>7</v>
      </c>
      <c r="H4322">
        <v>4901.99</v>
      </c>
      <c r="I4322">
        <v>4.2</v>
      </c>
    </row>
    <row r="4323" spans="1:9" x14ac:dyDescent="0.3">
      <c r="A4323" t="s">
        <v>4338</v>
      </c>
      <c r="B4323" t="s">
        <v>34</v>
      </c>
      <c r="C4323" t="s">
        <v>11</v>
      </c>
      <c r="D4323">
        <v>34</v>
      </c>
      <c r="E4323" s="1">
        <v>41113</v>
      </c>
      <c r="F4323">
        <v>2.62</v>
      </c>
      <c r="G4323">
        <v>11</v>
      </c>
      <c r="H4323">
        <v>7092.61</v>
      </c>
      <c r="I4323">
        <v>13.3</v>
      </c>
    </row>
    <row r="4324" spans="1:9" x14ac:dyDescent="0.3">
      <c r="A4324" t="s">
        <v>4339</v>
      </c>
      <c r="B4324" t="s">
        <v>18</v>
      </c>
      <c r="C4324" t="s">
        <v>11</v>
      </c>
      <c r="D4324">
        <v>38</v>
      </c>
      <c r="E4324" s="1">
        <v>40515</v>
      </c>
      <c r="F4324">
        <v>4.8899999999999997</v>
      </c>
      <c r="G4324">
        <v>5</v>
      </c>
      <c r="H4324">
        <v>13652.47</v>
      </c>
      <c r="I4324">
        <v>14.9</v>
      </c>
    </row>
    <row r="4325" spans="1:9" x14ac:dyDescent="0.3">
      <c r="A4325" t="s">
        <v>4340</v>
      </c>
      <c r="B4325" t="s">
        <v>16</v>
      </c>
      <c r="C4325" t="s">
        <v>14</v>
      </c>
      <c r="D4325">
        <v>25</v>
      </c>
      <c r="E4325" s="1">
        <v>41342</v>
      </c>
      <c r="F4325">
        <v>4.22</v>
      </c>
      <c r="G4325">
        <v>12</v>
      </c>
      <c r="H4325">
        <v>11056.51</v>
      </c>
      <c r="I4325">
        <v>12.7</v>
      </c>
    </row>
    <row r="4326" spans="1:9" x14ac:dyDescent="0.3">
      <c r="A4326" t="s">
        <v>4341</v>
      </c>
      <c r="B4326" t="s">
        <v>13</v>
      </c>
      <c r="C4326" t="s">
        <v>14</v>
      </c>
      <c r="D4326">
        <v>41</v>
      </c>
      <c r="E4326" s="1">
        <v>42320</v>
      </c>
      <c r="F4326">
        <v>5</v>
      </c>
      <c r="G4326">
        <v>7</v>
      </c>
      <c r="H4326">
        <v>7317.36</v>
      </c>
      <c r="I4326">
        <v>10</v>
      </c>
    </row>
    <row r="4327" spans="1:9" x14ac:dyDescent="0.3">
      <c r="A4327" t="s">
        <v>4342</v>
      </c>
      <c r="B4327" t="s">
        <v>18</v>
      </c>
      <c r="C4327" t="s">
        <v>14</v>
      </c>
      <c r="D4327">
        <v>51</v>
      </c>
      <c r="E4327" s="1">
        <v>41753</v>
      </c>
      <c r="F4327">
        <v>4.01</v>
      </c>
      <c r="G4327">
        <v>3</v>
      </c>
      <c r="H4327">
        <v>13927.78</v>
      </c>
      <c r="I4327">
        <v>11.5</v>
      </c>
    </row>
    <row r="4328" spans="1:9" x14ac:dyDescent="0.3">
      <c r="A4328" t="s">
        <v>4343</v>
      </c>
      <c r="B4328" t="s">
        <v>18</v>
      </c>
      <c r="C4328" t="s">
        <v>11</v>
      </c>
      <c r="D4328">
        <v>55</v>
      </c>
      <c r="E4328" s="1">
        <v>43309</v>
      </c>
      <c r="F4328">
        <v>2.68</v>
      </c>
      <c r="G4328">
        <v>3</v>
      </c>
      <c r="H4328">
        <v>13369.64</v>
      </c>
      <c r="I4328">
        <v>7.3</v>
      </c>
    </row>
    <row r="4329" spans="1:9" x14ac:dyDescent="0.3">
      <c r="A4329" t="s">
        <v>4344</v>
      </c>
      <c r="B4329" t="s">
        <v>13</v>
      </c>
      <c r="C4329" t="s">
        <v>11</v>
      </c>
      <c r="D4329">
        <v>44</v>
      </c>
      <c r="E4329" s="1">
        <v>40919</v>
      </c>
      <c r="F4329">
        <v>3.21</v>
      </c>
      <c r="G4329">
        <v>7</v>
      </c>
      <c r="H4329">
        <v>9581.99</v>
      </c>
      <c r="I4329">
        <v>13.8</v>
      </c>
    </row>
    <row r="4330" spans="1:9" x14ac:dyDescent="0.3">
      <c r="A4330" t="s">
        <v>4345</v>
      </c>
      <c r="B4330" t="s">
        <v>34</v>
      </c>
      <c r="C4330" t="s">
        <v>11</v>
      </c>
      <c r="D4330">
        <v>56</v>
      </c>
      <c r="E4330" s="1">
        <v>44777</v>
      </c>
      <c r="F4330">
        <v>3.99</v>
      </c>
      <c r="G4330">
        <v>4</v>
      </c>
      <c r="H4330">
        <v>4712.83</v>
      </c>
      <c r="I4330">
        <v>3.2</v>
      </c>
    </row>
    <row r="4331" spans="1:9" x14ac:dyDescent="0.3">
      <c r="A4331" t="s">
        <v>4346</v>
      </c>
      <c r="B4331" t="s">
        <v>13</v>
      </c>
      <c r="C4331" t="s">
        <v>11</v>
      </c>
      <c r="D4331">
        <v>24</v>
      </c>
      <c r="E4331" s="1">
        <v>43490</v>
      </c>
      <c r="F4331">
        <v>4.01</v>
      </c>
      <c r="G4331">
        <v>12</v>
      </c>
      <c r="H4331">
        <v>14652.37</v>
      </c>
      <c r="I4331">
        <v>6.8</v>
      </c>
    </row>
    <row r="4332" spans="1:9" x14ac:dyDescent="0.3">
      <c r="A4332" t="s">
        <v>4347</v>
      </c>
      <c r="B4332" t="s">
        <v>18</v>
      </c>
      <c r="C4332" t="s">
        <v>11</v>
      </c>
      <c r="D4332">
        <v>42</v>
      </c>
      <c r="E4332" s="1">
        <v>44338</v>
      </c>
      <c r="F4332">
        <v>2.15</v>
      </c>
      <c r="G4332">
        <v>6</v>
      </c>
      <c r="H4332">
        <v>7189.74</v>
      </c>
      <c r="I4332">
        <v>4.4000000000000004</v>
      </c>
    </row>
    <row r="4333" spans="1:9" x14ac:dyDescent="0.3">
      <c r="A4333" t="s">
        <v>4348</v>
      </c>
      <c r="B4333" t="s">
        <v>13</v>
      </c>
      <c r="C4333" t="s">
        <v>11</v>
      </c>
      <c r="D4333">
        <v>50</v>
      </c>
      <c r="E4333" s="1">
        <v>45868</v>
      </c>
      <c r="F4333">
        <v>3</v>
      </c>
      <c r="G4333">
        <v>14</v>
      </c>
      <c r="H4333">
        <v>9026.41</v>
      </c>
      <c r="I4333">
        <v>0.3</v>
      </c>
    </row>
    <row r="4334" spans="1:9" x14ac:dyDescent="0.3">
      <c r="A4334" t="s">
        <v>4349</v>
      </c>
      <c r="B4334" t="s">
        <v>10</v>
      </c>
      <c r="C4334" t="s">
        <v>11</v>
      </c>
      <c r="D4334">
        <v>53</v>
      </c>
      <c r="E4334" s="1">
        <v>40741</v>
      </c>
      <c r="F4334">
        <v>2.2799999999999998</v>
      </c>
      <c r="G4334">
        <v>15</v>
      </c>
      <c r="H4334">
        <v>4168.58</v>
      </c>
      <c r="I4334">
        <v>14.3</v>
      </c>
    </row>
    <row r="4335" spans="1:9" x14ac:dyDescent="0.3">
      <c r="A4335" t="s">
        <v>4350</v>
      </c>
      <c r="B4335" t="s">
        <v>18</v>
      </c>
      <c r="C4335" t="s">
        <v>14</v>
      </c>
      <c r="D4335">
        <v>45</v>
      </c>
      <c r="E4335" s="1">
        <v>44052</v>
      </c>
      <c r="F4335">
        <v>4.83</v>
      </c>
      <c r="G4335">
        <v>3</v>
      </c>
      <c r="H4335">
        <v>5157.1400000000003</v>
      </c>
      <c r="I4335">
        <v>5.2</v>
      </c>
    </row>
    <row r="4336" spans="1:9" x14ac:dyDescent="0.3">
      <c r="A4336" t="s">
        <v>4351</v>
      </c>
      <c r="B4336" t="s">
        <v>34</v>
      </c>
      <c r="C4336" t="s">
        <v>14</v>
      </c>
      <c r="D4336">
        <v>50</v>
      </c>
      <c r="E4336" s="1">
        <v>45754</v>
      </c>
      <c r="F4336">
        <v>2.59</v>
      </c>
      <c r="G4336">
        <v>4</v>
      </c>
      <c r="H4336">
        <v>11950.94</v>
      </c>
      <c r="I4336">
        <v>0.6</v>
      </c>
    </row>
    <row r="4337" spans="1:9" x14ac:dyDescent="0.3">
      <c r="A4337" t="s">
        <v>4352</v>
      </c>
      <c r="B4337" t="s">
        <v>34</v>
      </c>
      <c r="C4337" t="s">
        <v>14</v>
      </c>
      <c r="D4337">
        <v>29</v>
      </c>
      <c r="E4337" s="1">
        <v>40330</v>
      </c>
      <c r="F4337">
        <v>4.3099999999999996</v>
      </c>
      <c r="G4337">
        <v>4</v>
      </c>
      <c r="H4337">
        <v>4206.49</v>
      </c>
      <c r="I4337">
        <v>15.4</v>
      </c>
    </row>
    <row r="4338" spans="1:9" x14ac:dyDescent="0.3">
      <c r="A4338" t="s">
        <v>4353</v>
      </c>
      <c r="B4338" t="s">
        <v>10</v>
      </c>
      <c r="C4338" t="s">
        <v>11</v>
      </c>
      <c r="D4338">
        <v>41</v>
      </c>
      <c r="E4338" s="1">
        <v>40567</v>
      </c>
      <c r="F4338">
        <v>2.8</v>
      </c>
      <c r="G4338">
        <v>2</v>
      </c>
      <c r="H4338">
        <v>13116.23</v>
      </c>
      <c r="I4338">
        <v>14.8</v>
      </c>
    </row>
    <row r="4339" spans="1:9" x14ac:dyDescent="0.3">
      <c r="A4339" t="s">
        <v>4354</v>
      </c>
      <c r="B4339" t="s">
        <v>10</v>
      </c>
      <c r="C4339" t="s">
        <v>11</v>
      </c>
      <c r="D4339">
        <v>36</v>
      </c>
      <c r="E4339" s="1">
        <v>42314</v>
      </c>
      <c r="F4339">
        <v>4.78</v>
      </c>
      <c r="G4339">
        <v>12</v>
      </c>
      <c r="H4339">
        <v>9562.67</v>
      </c>
      <c r="I4339">
        <v>10</v>
      </c>
    </row>
    <row r="4340" spans="1:9" x14ac:dyDescent="0.3">
      <c r="A4340" t="s">
        <v>4355</v>
      </c>
      <c r="B4340" t="s">
        <v>34</v>
      </c>
      <c r="C4340" t="s">
        <v>11</v>
      </c>
      <c r="D4340">
        <v>34</v>
      </c>
      <c r="E4340" s="1">
        <v>44638</v>
      </c>
      <c r="F4340">
        <v>3.98</v>
      </c>
      <c r="G4340">
        <v>10</v>
      </c>
      <c r="H4340">
        <v>11706.87</v>
      </c>
      <c r="I4340">
        <v>3.6</v>
      </c>
    </row>
    <row r="4341" spans="1:9" x14ac:dyDescent="0.3">
      <c r="A4341" t="s">
        <v>4356</v>
      </c>
      <c r="B4341" t="s">
        <v>24</v>
      </c>
      <c r="C4341" t="s">
        <v>14</v>
      </c>
      <c r="D4341">
        <v>56</v>
      </c>
      <c r="E4341" s="1">
        <v>45741</v>
      </c>
      <c r="F4341">
        <v>2.96</v>
      </c>
      <c r="G4341">
        <v>7</v>
      </c>
      <c r="H4341">
        <v>9057.91</v>
      </c>
      <c r="I4341">
        <v>0.6</v>
      </c>
    </row>
    <row r="4342" spans="1:9" x14ac:dyDescent="0.3">
      <c r="A4342" t="s">
        <v>4357</v>
      </c>
      <c r="B4342" t="s">
        <v>10</v>
      </c>
      <c r="C4342" t="s">
        <v>11</v>
      </c>
      <c r="D4342">
        <v>57</v>
      </c>
      <c r="E4342" s="1">
        <v>40705</v>
      </c>
      <c r="F4342">
        <v>2.54</v>
      </c>
      <c r="G4342">
        <v>8</v>
      </c>
      <c r="H4342">
        <v>14491.39</v>
      </c>
      <c r="I4342">
        <v>14.4</v>
      </c>
    </row>
    <row r="4343" spans="1:9" x14ac:dyDescent="0.3">
      <c r="A4343" t="s">
        <v>4358</v>
      </c>
      <c r="B4343" t="s">
        <v>16</v>
      </c>
      <c r="C4343" t="s">
        <v>11</v>
      </c>
      <c r="D4343">
        <v>41</v>
      </c>
      <c r="E4343" s="1">
        <v>45039</v>
      </c>
      <c r="F4343">
        <v>3.82</v>
      </c>
      <c r="G4343">
        <v>12</v>
      </c>
      <c r="H4343">
        <v>9745.08</v>
      </c>
      <c r="I4343">
        <v>2.5</v>
      </c>
    </row>
    <row r="4344" spans="1:9" x14ac:dyDescent="0.3">
      <c r="A4344" t="s">
        <v>4359</v>
      </c>
      <c r="B4344" t="s">
        <v>24</v>
      </c>
      <c r="C4344" t="s">
        <v>11</v>
      </c>
      <c r="D4344">
        <v>31</v>
      </c>
      <c r="E4344" s="1">
        <v>42411</v>
      </c>
      <c r="F4344">
        <v>3.58</v>
      </c>
      <c r="G4344">
        <v>0</v>
      </c>
      <c r="H4344">
        <v>5292.21</v>
      </c>
      <c r="I4344">
        <v>9.6999999999999993</v>
      </c>
    </row>
    <row r="4345" spans="1:9" x14ac:dyDescent="0.3">
      <c r="A4345" t="s">
        <v>4360</v>
      </c>
      <c r="B4345" t="s">
        <v>16</v>
      </c>
      <c r="C4345" t="s">
        <v>14</v>
      </c>
      <c r="D4345">
        <v>38</v>
      </c>
      <c r="E4345" s="1">
        <v>41039</v>
      </c>
      <c r="F4345">
        <v>3.72</v>
      </c>
      <c r="G4345">
        <v>3</v>
      </c>
      <c r="H4345">
        <v>10626.03</v>
      </c>
      <c r="I4345">
        <v>13.5</v>
      </c>
    </row>
    <row r="4346" spans="1:9" x14ac:dyDescent="0.3">
      <c r="A4346" t="s">
        <v>4361</v>
      </c>
      <c r="B4346" t="s">
        <v>34</v>
      </c>
      <c r="C4346" t="s">
        <v>11</v>
      </c>
      <c r="D4346">
        <v>35</v>
      </c>
      <c r="E4346" s="1">
        <v>43466</v>
      </c>
      <c r="F4346">
        <v>3.68</v>
      </c>
      <c r="G4346">
        <v>4</v>
      </c>
      <c r="H4346">
        <v>8100.21</v>
      </c>
      <c r="I4346">
        <v>6.8</v>
      </c>
    </row>
    <row r="4347" spans="1:9" x14ac:dyDescent="0.3">
      <c r="A4347" t="s">
        <v>4362</v>
      </c>
      <c r="B4347" t="s">
        <v>16</v>
      </c>
      <c r="C4347" t="s">
        <v>14</v>
      </c>
      <c r="D4347">
        <v>56</v>
      </c>
      <c r="E4347" s="1">
        <v>42802</v>
      </c>
      <c r="F4347">
        <v>1.58</v>
      </c>
      <c r="G4347">
        <v>3</v>
      </c>
      <c r="H4347">
        <v>10325.07</v>
      </c>
      <c r="I4347">
        <v>8.6999999999999993</v>
      </c>
    </row>
    <row r="4348" spans="1:9" x14ac:dyDescent="0.3">
      <c r="A4348" t="s">
        <v>4363</v>
      </c>
      <c r="B4348" t="s">
        <v>16</v>
      </c>
      <c r="C4348" t="s">
        <v>11</v>
      </c>
      <c r="D4348">
        <v>57</v>
      </c>
      <c r="E4348" s="1">
        <v>43028</v>
      </c>
      <c r="F4348">
        <v>4.3</v>
      </c>
      <c r="G4348">
        <v>2</v>
      </c>
      <c r="H4348">
        <v>12386.67</v>
      </c>
      <c r="I4348">
        <v>8</v>
      </c>
    </row>
    <row r="4349" spans="1:9" x14ac:dyDescent="0.3">
      <c r="A4349" t="s">
        <v>4364</v>
      </c>
      <c r="B4349" t="s">
        <v>13</v>
      </c>
      <c r="C4349" t="s">
        <v>14</v>
      </c>
      <c r="D4349">
        <v>29</v>
      </c>
      <c r="E4349" s="1">
        <v>43293</v>
      </c>
      <c r="F4349">
        <v>3.94</v>
      </c>
      <c r="G4349">
        <v>3</v>
      </c>
      <c r="H4349">
        <v>13061.92</v>
      </c>
      <c r="I4349">
        <v>7.3</v>
      </c>
    </row>
    <row r="4350" spans="1:9" x14ac:dyDescent="0.3">
      <c r="A4350" t="s">
        <v>4365</v>
      </c>
      <c r="B4350" t="s">
        <v>10</v>
      </c>
      <c r="C4350" t="s">
        <v>14</v>
      </c>
      <c r="D4350">
        <v>56</v>
      </c>
      <c r="E4350" s="1">
        <v>41554</v>
      </c>
      <c r="F4350">
        <v>3.6</v>
      </c>
      <c r="G4350">
        <v>4</v>
      </c>
      <c r="H4350">
        <v>3275.81</v>
      </c>
      <c r="I4350">
        <v>12.1</v>
      </c>
    </row>
    <row r="4351" spans="1:9" x14ac:dyDescent="0.3">
      <c r="A4351" t="s">
        <v>4366</v>
      </c>
      <c r="B4351" t="s">
        <v>10</v>
      </c>
      <c r="C4351" t="s">
        <v>14</v>
      </c>
      <c r="D4351">
        <v>59</v>
      </c>
      <c r="E4351" s="1">
        <v>43008</v>
      </c>
      <c r="F4351">
        <v>4.51</v>
      </c>
      <c r="G4351">
        <v>13</v>
      </c>
      <c r="H4351">
        <v>14566.64</v>
      </c>
      <c r="I4351">
        <v>8.1</v>
      </c>
    </row>
    <row r="4352" spans="1:9" x14ac:dyDescent="0.3">
      <c r="A4352" t="s">
        <v>4367</v>
      </c>
      <c r="B4352" t="s">
        <v>13</v>
      </c>
      <c r="C4352" t="s">
        <v>14</v>
      </c>
      <c r="D4352">
        <v>41</v>
      </c>
      <c r="E4352" s="1">
        <v>44625</v>
      </c>
      <c r="F4352">
        <v>2.37</v>
      </c>
      <c r="G4352">
        <v>9</v>
      </c>
      <c r="H4352">
        <v>12477.75</v>
      </c>
      <c r="I4352">
        <v>3.7</v>
      </c>
    </row>
    <row r="4353" spans="1:9" x14ac:dyDescent="0.3">
      <c r="A4353" t="s">
        <v>4368</v>
      </c>
      <c r="B4353" t="s">
        <v>24</v>
      </c>
      <c r="C4353" t="s">
        <v>14</v>
      </c>
      <c r="D4353">
        <v>33</v>
      </c>
      <c r="E4353" s="1">
        <v>40520</v>
      </c>
      <c r="F4353">
        <v>4.74</v>
      </c>
      <c r="G4353">
        <v>3</v>
      </c>
      <c r="H4353">
        <v>7991.79</v>
      </c>
      <c r="I4353">
        <v>14.9</v>
      </c>
    </row>
    <row r="4354" spans="1:9" x14ac:dyDescent="0.3">
      <c r="A4354" t="s">
        <v>4369</v>
      </c>
      <c r="B4354" t="s">
        <v>16</v>
      </c>
      <c r="C4354" t="s">
        <v>14</v>
      </c>
      <c r="D4354">
        <v>53</v>
      </c>
      <c r="E4354" s="1">
        <v>43410</v>
      </c>
      <c r="F4354">
        <v>3.59</v>
      </c>
      <c r="G4354">
        <v>6</v>
      </c>
      <c r="H4354">
        <v>6258.95</v>
      </c>
      <c r="I4354">
        <v>7</v>
      </c>
    </row>
    <row r="4355" spans="1:9" x14ac:dyDescent="0.3">
      <c r="A4355" t="s">
        <v>4370</v>
      </c>
      <c r="B4355" t="s">
        <v>24</v>
      </c>
      <c r="C4355" t="s">
        <v>14</v>
      </c>
      <c r="D4355">
        <v>35</v>
      </c>
      <c r="E4355" s="1">
        <v>44354</v>
      </c>
      <c r="F4355">
        <v>3.58</v>
      </c>
      <c r="G4355">
        <v>11</v>
      </c>
      <c r="H4355">
        <v>13252.17</v>
      </c>
      <c r="I4355">
        <v>4.4000000000000004</v>
      </c>
    </row>
    <row r="4356" spans="1:9" x14ac:dyDescent="0.3">
      <c r="A4356" t="s">
        <v>4371</v>
      </c>
      <c r="B4356" t="s">
        <v>16</v>
      </c>
      <c r="C4356" t="s">
        <v>14</v>
      </c>
      <c r="D4356">
        <v>30</v>
      </c>
      <c r="E4356" s="1">
        <v>42003</v>
      </c>
      <c r="F4356">
        <v>4.74</v>
      </c>
      <c r="G4356">
        <v>7</v>
      </c>
      <c r="H4356">
        <v>5462.98</v>
      </c>
      <c r="I4356">
        <v>10.8</v>
      </c>
    </row>
    <row r="4357" spans="1:9" x14ac:dyDescent="0.3">
      <c r="A4357" t="s">
        <v>4372</v>
      </c>
      <c r="B4357" t="s">
        <v>34</v>
      </c>
      <c r="C4357" t="s">
        <v>14</v>
      </c>
      <c r="D4357">
        <v>46</v>
      </c>
      <c r="E4357" s="1">
        <v>40638</v>
      </c>
      <c r="F4357">
        <v>3.38</v>
      </c>
      <c r="G4357">
        <v>9</v>
      </c>
      <c r="H4357">
        <v>10541.85</v>
      </c>
      <c r="I4357">
        <v>14.6</v>
      </c>
    </row>
    <row r="4358" spans="1:9" x14ac:dyDescent="0.3">
      <c r="A4358" t="s">
        <v>4373</v>
      </c>
      <c r="B4358" t="s">
        <v>24</v>
      </c>
      <c r="C4358" t="s">
        <v>11</v>
      </c>
      <c r="D4358">
        <v>58</v>
      </c>
      <c r="E4358" s="1">
        <v>43445</v>
      </c>
      <c r="F4358">
        <v>4.59</v>
      </c>
      <c r="G4358">
        <v>15</v>
      </c>
      <c r="H4358">
        <v>5160.57</v>
      </c>
      <c r="I4358">
        <v>6.9</v>
      </c>
    </row>
    <row r="4359" spans="1:9" x14ac:dyDescent="0.3">
      <c r="A4359" t="s">
        <v>4374</v>
      </c>
      <c r="B4359" t="s">
        <v>18</v>
      </c>
      <c r="C4359" t="s">
        <v>11</v>
      </c>
      <c r="D4359">
        <v>59</v>
      </c>
      <c r="E4359" s="1">
        <v>44910</v>
      </c>
      <c r="F4359">
        <v>4.8499999999999996</v>
      </c>
      <c r="G4359">
        <v>3</v>
      </c>
      <c r="H4359">
        <v>10632.92</v>
      </c>
      <c r="I4359">
        <v>2.9</v>
      </c>
    </row>
    <row r="4360" spans="1:9" x14ac:dyDescent="0.3">
      <c r="A4360" t="s">
        <v>4375</v>
      </c>
      <c r="B4360" t="s">
        <v>13</v>
      </c>
      <c r="C4360" t="s">
        <v>11</v>
      </c>
      <c r="D4360">
        <v>48</v>
      </c>
      <c r="E4360" s="1">
        <v>40905</v>
      </c>
      <c r="F4360">
        <v>4.63</v>
      </c>
      <c r="G4360">
        <v>12</v>
      </c>
      <c r="H4360">
        <v>11183.57</v>
      </c>
      <c r="I4360">
        <v>13.9</v>
      </c>
    </row>
    <row r="4361" spans="1:9" x14ac:dyDescent="0.3">
      <c r="A4361" t="s">
        <v>4376</v>
      </c>
      <c r="B4361" t="s">
        <v>16</v>
      </c>
      <c r="C4361" t="s">
        <v>11</v>
      </c>
      <c r="D4361">
        <v>45</v>
      </c>
      <c r="E4361" s="1">
        <v>41754</v>
      </c>
      <c r="F4361">
        <v>4.6100000000000003</v>
      </c>
      <c r="G4361">
        <v>12</v>
      </c>
      <c r="H4361">
        <v>8794.6299999999992</v>
      </c>
      <c r="I4361">
        <v>11.5</v>
      </c>
    </row>
    <row r="4362" spans="1:9" x14ac:dyDescent="0.3">
      <c r="A4362" t="s">
        <v>4377</v>
      </c>
      <c r="B4362" t="s">
        <v>13</v>
      </c>
      <c r="C4362" t="s">
        <v>14</v>
      </c>
      <c r="D4362">
        <v>60</v>
      </c>
      <c r="E4362" s="1">
        <v>41225</v>
      </c>
      <c r="F4362">
        <v>2.73</v>
      </c>
      <c r="G4362">
        <v>5</v>
      </c>
      <c r="H4362">
        <v>10664.32</v>
      </c>
      <c r="I4362">
        <v>13</v>
      </c>
    </row>
    <row r="4363" spans="1:9" x14ac:dyDescent="0.3">
      <c r="A4363" t="s">
        <v>4378</v>
      </c>
      <c r="B4363" t="s">
        <v>10</v>
      </c>
      <c r="C4363" t="s">
        <v>11</v>
      </c>
      <c r="D4363">
        <v>45</v>
      </c>
      <c r="E4363" s="1">
        <v>44513</v>
      </c>
      <c r="F4363">
        <v>1.98</v>
      </c>
      <c r="G4363">
        <v>10</v>
      </c>
      <c r="H4363">
        <v>8565.36</v>
      </c>
      <c r="I4363">
        <v>4</v>
      </c>
    </row>
    <row r="4364" spans="1:9" x14ac:dyDescent="0.3">
      <c r="A4364" t="s">
        <v>4379</v>
      </c>
      <c r="B4364" t="s">
        <v>13</v>
      </c>
      <c r="C4364" t="s">
        <v>11</v>
      </c>
      <c r="D4364">
        <v>55</v>
      </c>
      <c r="E4364" s="1">
        <v>42201</v>
      </c>
      <c r="F4364">
        <v>2.38</v>
      </c>
      <c r="G4364">
        <v>10</v>
      </c>
      <c r="H4364">
        <v>10151.67</v>
      </c>
      <c r="I4364">
        <v>10.3</v>
      </c>
    </row>
    <row r="4365" spans="1:9" x14ac:dyDescent="0.3">
      <c r="A4365" t="s">
        <v>4380</v>
      </c>
      <c r="B4365" t="s">
        <v>24</v>
      </c>
      <c r="C4365" t="s">
        <v>11</v>
      </c>
      <c r="D4365">
        <v>58</v>
      </c>
      <c r="E4365" s="1">
        <v>43954</v>
      </c>
      <c r="F4365">
        <v>4.46</v>
      </c>
      <c r="G4365">
        <v>12</v>
      </c>
      <c r="H4365">
        <v>3568.3</v>
      </c>
      <c r="I4365">
        <v>5.5</v>
      </c>
    </row>
    <row r="4366" spans="1:9" x14ac:dyDescent="0.3">
      <c r="A4366" t="s">
        <v>4381</v>
      </c>
      <c r="B4366" t="s">
        <v>34</v>
      </c>
      <c r="C4366" t="s">
        <v>14</v>
      </c>
      <c r="D4366">
        <v>57</v>
      </c>
      <c r="E4366" s="1">
        <v>41838</v>
      </c>
      <c r="F4366">
        <v>4.33</v>
      </c>
      <c r="G4366">
        <v>12</v>
      </c>
      <c r="H4366">
        <v>8159.16</v>
      </c>
      <c r="I4366">
        <v>11.3</v>
      </c>
    </row>
    <row r="4367" spans="1:9" x14ac:dyDescent="0.3">
      <c r="A4367" t="s">
        <v>4382</v>
      </c>
      <c r="B4367" t="s">
        <v>16</v>
      </c>
      <c r="C4367" t="s">
        <v>11</v>
      </c>
      <c r="D4367">
        <v>43</v>
      </c>
      <c r="E4367" s="1">
        <v>45823</v>
      </c>
      <c r="F4367">
        <v>2.59</v>
      </c>
      <c r="G4367">
        <v>4</v>
      </c>
      <c r="H4367">
        <v>12685.38</v>
      </c>
      <c r="I4367">
        <v>0.4</v>
      </c>
    </row>
    <row r="4368" spans="1:9" x14ac:dyDescent="0.3">
      <c r="A4368" t="s">
        <v>4383</v>
      </c>
      <c r="B4368" t="s">
        <v>10</v>
      </c>
      <c r="C4368" t="s">
        <v>11</v>
      </c>
      <c r="D4368">
        <v>46</v>
      </c>
      <c r="E4368" s="1">
        <v>44052</v>
      </c>
      <c r="F4368">
        <v>4.49</v>
      </c>
      <c r="G4368">
        <v>9</v>
      </c>
      <c r="H4368">
        <v>13468.93</v>
      </c>
      <c r="I4368">
        <v>5.2</v>
      </c>
    </row>
    <row r="4369" spans="1:9" x14ac:dyDescent="0.3">
      <c r="A4369" t="s">
        <v>4384</v>
      </c>
      <c r="B4369" t="s">
        <v>13</v>
      </c>
      <c r="C4369" t="s">
        <v>11</v>
      </c>
      <c r="D4369">
        <v>49</v>
      </c>
      <c r="E4369" s="1">
        <v>42546</v>
      </c>
      <c r="F4369">
        <v>2.16</v>
      </c>
      <c r="G4369">
        <v>13</v>
      </c>
      <c r="H4369">
        <v>3373.72</v>
      </c>
      <c r="I4369">
        <v>9.4</v>
      </c>
    </row>
    <row r="4370" spans="1:9" x14ac:dyDescent="0.3">
      <c r="A4370" t="s">
        <v>4385</v>
      </c>
      <c r="B4370" t="s">
        <v>18</v>
      </c>
      <c r="C4370" t="s">
        <v>14</v>
      </c>
      <c r="D4370">
        <v>23</v>
      </c>
      <c r="E4370" s="1">
        <v>41037</v>
      </c>
      <c r="F4370">
        <v>4.63</v>
      </c>
      <c r="G4370">
        <v>3</v>
      </c>
      <c r="H4370">
        <v>5268.65</v>
      </c>
      <c r="I4370">
        <v>13.5</v>
      </c>
    </row>
    <row r="4371" spans="1:9" x14ac:dyDescent="0.3">
      <c r="A4371" t="s">
        <v>4386</v>
      </c>
      <c r="B4371" t="s">
        <v>24</v>
      </c>
      <c r="C4371" t="s">
        <v>14</v>
      </c>
      <c r="D4371">
        <v>52</v>
      </c>
      <c r="E4371" s="1">
        <v>41832</v>
      </c>
      <c r="F4371">
        <v>3.38</v>
      </c>
      <c r="G4371">
        <v>9</v>
      </c>
      <c r="H4371">
        <v>7321.8</v>
      </c>
      <c r="I4371">
        <v>11.3</v>
      </c>
    </row>
    <row r="4372" spans="1:9" x14ac:dyDescent="0.3">
      <c r="A4372" t="s">
        <v>4387</v>
      </c>
      <c r="B4372" t="s">
        <v>16</v>
      </c>
      <c r="C4372" t="s">
        <v>14</v>
      </c>
      <c r="D4372">
        <v>27</v>
      </c>
      <c r="E4372" s="1">
        <v>41099</v>
      </c>
      <c r="F4372">
        <v>2.4300000000000002</v>
      </c>
      <c r="G4372">
        <v>13</v>
      </c>
      <c r="H4372">
        <v>7608.7</v>
      </c>
      <c r="I4372">
        <v>13.3</v>
      </c>
    </row>
    <row r="4373" spans="1:9" x14ac:dyDescent="0.3">
      <c r="A4373" t="s">
        <v>4388</v>
      </c>
      <c r="B4373" t="s">
        <v>13</v>
      </c>
      <c r="C4373" t="s">
        <v>11</v>
      </c>
      <c r="D4373">
        <v>32</v>
      </c>
      <c r="E4373" s="1">
        <v>45083</v>
      </c>
      <c r="F4373">
        <v>2.27</v>
      </c>
      <c r="G4373">
        <v>13</v>
      </c>
      <c r="H4373">
        <v>4961.37</v>
      </c>
      <c r="I4373">
        <v>2.4</v>
      </c>
    </row>
    <row r="4374" spans="1:9" x14ac:dyDescent="0.3">
      <c r="A4374" t="s">
        <v>4389</v>
      </c>
      <c r="B4374" t="s">
        <v>18</v>
      </c>
      <c r="C4374" t="s">
        <v>11</v>
      </c>
      <c r="D4374">
        <v>35</v>
      </c>
      <c r="E4374" s="1">
        <v>43906</v>
      </c>
      <c r="F4374">
        <v>4.2</v>
      </c>
      <c r="G4374">
        <v>0</v>
      </c>
      <c r="H4374">
        <v>8312.3700000000008</v>
      </c>
      <c r="I4374">
        <v>5.6</v>
      </c>
    </row>
    <row r="4375" spans="1:9" x14ac:dyDescent="0.3">
      <c r="A4375" t="s">
        <v>4390</v>
      </c>
      <c r="B4375" t="s">
        <v>16</v>
      </c>
      <c r="C4375" t="s">
        <v>11</v>
      </c>
      <c r="D4375">
        <v>26</v>
      </c>
      <c r="E4375" s="1">
        <v>45275</v>
      </c>
      <c r="F4375">
        <v>4.96</v>
      </c>
      <c r="G4375">
        <v>6</v>
      </c>
      <c r="H4375">
        <v>13587.24</v>
      </c>
      <c r="I4375">
        <v>1.9</v>
      </c>
    </row>
    <row r="4376" spans="1:9" x14ac:dyDescent="0.3">
      <c r="A4376" t="s">
        <v>4391</v>
      </c>
      <c r="B4376" t="s">
        <v>16</v>
      </c>
      <c r="C4376" t="s">
        <v>11</v>
      </c>
      <c r="D4376">
        <v>59</v>
      </c>
      <c r="E4376" s="1">
        <v>44490</v>
      </c>
      <c r="F4376">
        <v>4.3099999999999996</v>
      </c>
      <c r="G4376">
        <v>1</v>
      </c>
      <c r="H4376">
        <v>13754.69</v>
      </c>
      <c r="I4376">
        <v>4</v>
      </c>
    </row>
    <row r="4377" spans="1:9" x14ac:dyDescent="0.3">
      <c r="A4377" t="s">
        <v>4392</v>
      </c>
      <c r="B4377" t="s">
        <v>13</v>
      </c>
      <c r="C4377" t="s">
        <v>14</v>
      </c>
      <c r="D4377">
        <v>22</v>
      </c>
      <c r="E4377" s="1">
        <v>43863</v>
      </c>
      <c r="F4377">
        <v>2.5099999999999998</v>
      </c>
      <c r="G4377">
        <v>12</v>
      </c>
      <c r="H4377">
        <v>8003.44</v>
      </c>
      <c r="I4377">
        <v>5.8</v>
      </c>
    </row>
    <row r="4378" spans="1:9" x14ac:dyDescent="0.3">
      <c r="A4378" t="s">
        <v>4393</v>
      </c>
      <c r="B4378" t="s">
        <v>18</v>
      </c>
      <c r="C4378" t="s">
        <v>14</v>
      </c>
      <c r="D4378">
        <v>56</v>
      </c>
      <c r="E4378" s="1">
        <v>43005</v>
      </c>
      <c r="F4378">
        <v>3.25</v>
      </c>
      <c r="G4378">
        <v>6</v>
      </c>
      <c r="H4378">
        <v>13351.27</v>
      </c>
      <c r="I4378">
        <v>8.1</v>
      </c>
    </row>
    <row r="4379" spans="1:9" x14ac:dyDescent="0.3">
      <c r="A4379" t="s">
        <v>4394</v>
      </c>
      <c r="B4379" t="s">
        <v>10</v>
      </c>
      <c r="C4379" t="s">
        <v>11</v>
      </c>
      <c r="D4379">
        <v>57</v>
      </c>
      <c r="E4379" s="1">
        <v>44874</v>
      </c>
      <c r="F4379">
        <v>4.16</v>
      </c>
      <c r="G4379">
        <v>11</v>
      </c>
      <c r="H4379">
        <v>13978.46</v>
      </c>
      <c r="I4379">
        <v>3</v>
      </c>
    </row>
    <row r="4380" spans="1:9" x14ac:dyDescent="0.3">
      <c r="A4380" t="s">
        <v>4395</v>
      </c>
      <c r="B4380" t="s">
        <v>34</v>
      </c>
      <c r="C4380" t="s">
        <v>14</v>
      </c>
      <c r="D4380">
        <v>54</v>
      </c>
      <c r="E4380" s="1">
        <v>41263</v>
      </c>
      <c r="F4380">
        <v>4.4000000000000004</v>
      </c>
      <c r="G4380">
        <v>3</v>
      </c>
      <c r="H4380">
        <v>8192.82</v>
      </c>
      <c r="I4380">
        <v>12.9</v>
      </c>
    </row>
    <row r="4381" spans="1:9" x14ac:dyDescent="0.3">
      <c r="A4381" t="s">
        <v>4396</v>
      </c>
      <c r="B4381" t="s">
        <v>24</v>
      </c>
      <c r="C4381" t="s">
        <v>11</v>
      </c>
      <c r="D4381">
        <v>37</v>
      </c>
      <c r="E4381" s="1">
        <v>41103</v>
      </c>
      <c r="F4381">
        <v>2.59</v>
      </c>
      <c r="G4381">
        <v>7</v>
      </c>
      <c r="H4381">
        <v>8515.4699999999993</v>
      </c>
      <c r="I4381">
        <v>13.3</v>
      </c>
    </row>
    <row r="4382" spans="1:9" x14ac:dyDescent="0.3">
      <c r="A4382" t="s">
        <v>4397</v>
      </c>
      <c r="B4382" t="s">
        <v>18</v>
      </c>
      <c r="C4382" t="s">
        <v>14</v>
      </c>
      <c r="D4382">
        <v>24</v>
      </c>
      <c r="E4382" s="1">
        <v>43519</v>
      </c>
      <c r="F4382">
        <v>3.46</v>
      </c>
      <c r="G4382">
        <v>4</v>
      </c>
      <c r="H4382">
        <v>6243.72</v>
      </c>
      <c r="I4382">
        <v>6.7</v>
      </c>
    </row>
    <row r="4383" spans="1:9" x14ac:dyDescent="0.3">
      <c r="A4383" t="s">
        <v>4398</v>
      </c>
      <c r="B4383" t="s">
        <v>24</v>
      </c>
      <c r="C4383" t="s">
        <v>14</v>
      </c>
      <c r="D4383">
        <v>28</v>
      </c>
      <c r="E4383" s="1">
        <v>43409</v>
      </c>
      <c r="F4383">
        <v>3.33</v>
      </c>
      <c r="G4383">
        <v>2</v>
      </c>
      <c r="H4383">
        <v>6105.48</v>
      </c>
      <c r="I4383">
        <v>7</v>
      </c>
    </row>
    <row r="4384" spans="1:9" x14ac:dyDescent="0.3">
      <c r="A4384" t="s">
        <v>4399</v>
      </c>
      <c r="B4384" t="s">
        <v>16</v>
      </c>
      <c r="C4384" t="s">
        <v>14</v>
      </c>
      <c r="D4384">
        <v>53</v>
      </c>
      <c r="E4384" s="1">
        <v>43841</v>
      </c>
      <c r="F4384">
        <v>4.62</v>
      </c>
      <c r="G4384">
        <v>10</v>
      </c>
      <c r="H4384">
        <v>11834.45</v>
      </c>
      <c r="I4384">
        <v>5.8</v>
      </c>
    </row>
    <row r="4385" spans="1:9" x14ac:dyDescent="0.3">
      <c r="A4385" t="s">
        <v>4400</v>
      </c>
      <c r="B4385" t="s">
        <v>13</v>
      </c>
      <c r="C4385" t="s">
        <v>11</v>
      </c>
      <c r="D4385">
        <v>45</v>
      </c>
      <c r="E4385" s="1">
        <v>43078</v>
      </c>
      <c r="F4385">
        <v>4.01</v>
      </c>
      <c r="G4385">
        <v>3</v>
      </c>
      <c r="H4385">
        <v>13375.74</v>
      </c>
      <c r="I4385">
        <v>7.9</v>
      </c>
    </row>
    <row r="4386" spans="1:9" x14ac:dyDescent="0.3">
      <c r="A4386" t="s">
        <v>4401</v>
      </c>
      <c r="B4386" t="s">
        <v>34</v>
      </c>
      <c r="C4386" t="s">
        <v>14</v>
      </c>
      <c r="D4386">
        <v>32</v>
      </c>
      <c r="E4386" s="1">
        <v>41410</v>
      </c>
      <c r="F4386">
        <v>4.8499999999999996</v>
      </c>
      <c r="G4386">
        <v>9</v>
      </c>
      <c r="H4386">
        <v>12011.12</v>
      </c>
      <c r="I4386">
        <v>12.5</v>
      </c>
    </row>
    <row r="4387" spans="1:9" x14ac:dyDescent="0.3">
      <c r="A4387" t="s">
        <v>4402</v>
      </c>
      <c r="B4387" t="s">
        <v>16</v>
      </c>
      <c r="C4387" t="s">
        <v>14</v>
      </c>
      <c r="D4387">
        <v>27</v>
      </c>
      <c r="E4387" s="1">
        <v>40811</v>
      </c>
      <c r="F4387">
        <v>4.16</v>
      </c>
      <c r="G4387">
        <v>3</v>
      </c>
      <c r="H4387">
        <v>5916.27</v>
      </c>
      <c r="I4387">
        <v>14.1</v>
      </c>
    </row>
    <row r="4388" spans="1:9" x14ac:dyDescent="0.3">
      <c r="A4388" t="s">
        <v>4403</v>
      </c>
      <c r="B4388" t="s">
        <v>24</v>
      </c>
      <c r="C4388" t="s">
        <v>11</v>
      </c>
      <c r="D4388">
        <v>52</v>
      </c>
      <c r="E4388" s="1">
        <v>40209</v>
      </c>
      <c r="F4388">
        <v>2.23</v>
      </c>
      <c r="G4388">
        <v>11</v>
      </c>
      <c r="H4388">
        <v>4453.33</v>
      </c>
      <c r="I4388">
        <v>15.8</v>
      </c>
    </row>
    <row r="4389" spans="1:9" x14ac:dyDescent="0.3">
      <c r="A4389" t="s">
        <v>4404</v>
      </c>
      <c r="B4389" t="s">
        <v>18</v>
      </c>
      <c r="C4389" t="s">
        <v>11</v>
      </c>
      <c r="D4389">
        <v>30</v>
      </c>
      <c r="E4389" s="1">
        <v>45739</v>
      </c>
      <c r="F4389">
        <v>3.41</v>
      </c>
      <c r="G4389">
        <v>4</v>
      </c>
      <c r="H4389">
        <v>11948.25</v>
      </c>
      <c r="I4389">
        <v>0.6</v>
      </c>
    </row>
    <row r="4390" spans="1:9" x14ac:dyDescent="0.3">
      <c r="A4390" t="s">
        <v>4405</v>
      </c>
      <c r="B4390" t="s">
        <v>13</v>
      </c>
      <c r="C4390" t="s">
        <v>14</v>
      </c>
      <c r="D4390">
        <v>47</v>
      </c>
      <c r="E4390" s="1">
        <v>43617</v>
      </c>
      <c r="F4390">
        <v>1.57</v>
      </c>
      <c r="G4390">
        <v>0</v>
      </c>
      <c r="H4390">
        <v>10456.709999999999</v>
      </c>
      <c r="I4390">
        <v>6.4</v>
      </c>
    </row>
    <row r="4391" spans="1:9" x14ac:dyDescent="0.3">
      <c r="A4391" t="s">
        <v>4406</v>
      </c>
      <c r="B4391" t="s">
        <v>34</v>
      </c>
      <c r="C4391" t="s">
        <v>11</v>
      </c>
      <c r="D4391">
        <v>25</v>
      </c>
      <c r="E4391" s="1">
        <v>43440</v>
      </c>
      <c r="F4391">
        <v>1.87</v>
      </c>
      <c r="G4391">
        <v>6</v>
      </c>
      <c r="H4391">
        <v>14177.59</v>
      </c>
      <c r="I4391">
        <v>6.9</v>
      </c>
    </row>
    <row r="4392" spans="1:9" x14ac:dyDescent="0.3">
      <c r="A4392" t="s">
        <v>4407</v>
      </c>
      <c r="B4392" t="s">
        <v>34</v>
      </c>
      <c r="C4392" t="s">
        <v>11</v>
      </c>
      <c r="D4392">
        <v>56</v>
      </c>
      <c r="E4392" s="1">
        <v>44935</v>
      </c>
      <c r="F4392">
        <v>4.57</v>
      </c>
      <c r="G4392">
        <v>1</v>
      </c>
      <c r="H4392">
        <v>3094.25</v>
      </c>
      <c r="I4392">
        <v>2.8</v>
      </c>
    </row>
    <row r="4393" spans="1:9" x14ac:dyDescent="0.3">
      <c r="A4393" t="s">
        <v>4408</v>
      </c>
      <c r="B4393" t="s">
        <v>10</v>
      </c>
      <c r="C4393" t="s">
        <v>11</v>
      </c>
      <c r="D4393">
        <v>35</v>
      </c>
      <c r="E4393" s="1">
        <v>41939</v>
      </c>
      <c r="F4393">
        <v>3.61</v>
      </c>
      <c r="G4393">
        <v>13</v>
      </c>
      <c r="H4393">
        <v>14301.02</v>
      </c>
      <c r="I4393">
        <v>11</v>
      </c>
    </row>
    <row r="4394" spans="1:9" x14ac:dyDescent="0.3">
      <c r="A4394" t="s">
        <v>4409</v>
      </c>
      <c r="B4394" t="s">
        <v>34</v>
      </c>
      <c r="C4394" t="s">
        <v>11</v>
      </c>
      <c r="D4394">
        <v>34</v>
      </c>
      <c r="E4394" s="1">
        <v>40823</v>
      </c>
      <c r="F4394">
        <v>3.53</v>
      </c>
      <c r="G4394">
        <v>6</v>
      </c>
      <c r="H4394">
        <v>11248.48</v>
      </c>
      <c r="I4394">
        <v>14.1</v>
      </c>
    </row>
    <row r="4395" spans="1:9" x14ac:dyDescent="0.3">
      <c r="A4395" t="s">
        <v>4410</v>
      </c>
      <c r="B4395" t="s">
        <v>10</v>
      </c>
      <c r="C4395" t="s">
        <v>14</v>
      </c>
      <c r="D4395">
        <v>30</v>
      </c>
      <c r="E4395" s="1">
        <v>45141</v>
      </c>
      <c r="F4395">
        <v>5</v>
      </c>
      <c r="G4395">
        <v>0</v>
      </c>
      <c r="H4395">
        <v>3830.62</v>
      </c>
      <c r="I4395">
        <v>2.2000000000000002</v>
      </c>
    </row>
    <row r="4396" spans="1:9" x14ac:dyDescent="0.3">
      <c r="A4396" t="s">
        <v>4411</v>
      </c>
      <c r="B4396" t="s">
        <v>16</v>
      </c>
      <c r="C4396" t="s">
        <v>11</v>
      </c>
      <c r="D4396">
        <v>50</v>
      </c>
      <c r="E4396" s="1">
        <v>40942</v>
      </c>
      <c r="F4396">
        <v>3.01</v>
      </c>
      <c r="G4396">
        <v>13</v>
      </c>
      <c r="H4396">
        <v>13659.58</v>
      </c>
      <c r="I4396">
        <v>13.8</v>
      </c>
    </row>
    <row r="4397" spans="1:9" x14ac:dyDescent="0.3">
      <c r="A4397" t="s">
        <v>4412</v>
      </c>
      <c r="B4397" t="s">
        <v>13</v>
      </c>
      <c r="C4397" t="s">
        <v>11</v>
      </c>
      <c r="D4397">
        <v>35</v>
      </c>
      <c r="E4397" s="1">
        <v>42307</v>
      </c>
      <c r="F4397">
        <v>3.2</v>
      </c>
      <c r="G4397">
        <v>9</v>
      </c>
      <c r="H4397">
        <v>11114.27</v>
      </c>
      <c r="I4397">
        <v>10</v>
      </c>
    </row>
    <row r="4398" spans="1:9" x14ac:dyDescent="0.3">
      <c r="A4398" t="s">
        <v>4413</v>
      </c>
      <c r="B4398" t="s">
        <v>34</v>
      </c>
      <c r="C4398" t="s">
        <v>14</v>
      </c>
      <c r="D4398">
        <v>36</v>
      </c>
      <c r="E4398" s="1">
        <v>42737</v>
      </c>
      <c r="F4398">
        <v>4.29</v>
      </c>
      <c r="G4398">
        <v>11</v>
      </c>
      <c r="H4398">
        <v>13609.28</v>
      </c>
      <c r="I4398">
        <v>8.8000000000000007</v>
      </c>
    </row>
    <row r="4399" spans="1:9" x14ac:dyDescent="0.3">
      <c r="A4399" t="s">
        <v>4414</v>
      </c>
      <c r="B4399" t="s">
        <v>34</v>
      </c>
      <c r="C4399" t="s">
        <v>14</v>
      </c>
      <c r="D4399">
        <v>55</v>
      </c>
      <c r="E4399" s="1">
        <v>41753</v>
      </c>
      <c r="F4399">
        <v>4.08</v>
      </c>
      <c r="G4399">
        <v>2</v>
      </c>
      <c r="H4399">
        <v>14886.23</v>
      </c>
      <c r="I4399">
        <v>11.5</v>
      </c>
    </row>
    <row r="4400" spans="1:9" x14ac:dyDescent="0.3">
      <c r="A4400" t="s">
        <v>4415</v>
      </c>
      <c r="B4400" t="s">
        <v>16</v>
      </c>
      <c r="C4400" t="s">
        <v>11</v>
      </c>
      <c r="D4400">
        <v>27</v>
      </c>
      <c r="E4400" s="1">
        <v>42934</v>
      </c>
      <c r="F4400">
        <v>2.95</v>
      </c>
      <c r="G4400">
        <v>9</v>
      </c>
      <c r="H4400">
        <v>13297.33</v>
      </c>
      <c r="I4400">
        <v>8.3000000000000007</v>
      </c>
    </row>
    <row r="4401" spans="1:9" x14ac:dyDescent="0.3">
      <c r="A4401" t="s">
        <v>4416</v>
      </c>
      <c r="B4401" t="s">
        <v>10</v>
      </c>
      <c r="C4401" t="s">
        <v>14</v>
      </c>
      <c r="D4401">
        <v>57</v>
      </c>
      <c r="E4401" s="1">
        <v>40310</v>
      </c>
      <c r="F4401">
        <v>4.57</v>
      </c>
      <c r="G4401">
        <v>6</v>
      </c>
      <c r="H4401">
        <v>6430</v>
      </c>
      <c r="I4401">
        <v>15.5</v>
      </c>
    </row>
    <row r="4402" spans="1:9" x14ac:dyDescent="0.3">
      <c r="A4402" t="s">
        <v>4417</v>
      </c>
      <c r="B4402" t="s">
        <v>16</v>
      </c>
      <c r="C4402" t="s">
        <v>14</v>
      </c>
      <c r="D4402">
        <v>28</v>
      </c>
      <c r="E4402" s="1">
        <v>42660</v>
      </c>
      <c r="F4402">
        <v>4.7</v>
      </c>
      <c r="G4402">
        <v>13</v>
      </c>
      <c r="H4402">
        <v>3574.91</v>
      </c>
      <c r="I4402">
        <v>9</v>
      </c>
    </row>
    <row r="4403" spans="1:9" x14ac:dyDescent="0.3">
      <c r="A4403" t="s">
        <v>4418</v>
      </c>
      <c r="B4403" t="s">
        <v>24</v>
      </c>
      <c r="C4403" t="s">
        <v>14</v>
      </c>
      <c r="D4403">
        <v>51</v>
      </c>
      <c r="E4403" s="1">
        <v>43025</v>
      </c>
      <c r="F4403">
        <v>2.73</v>
      </c>
      <c r="G4403">
        <v>15</v>
      </c>
      <c r="H4403">
        <v>5620.47</v>
      </c>
      <c r="I4403">
        <v>8</v>
      </c>
    </row>
    <row r="4404" spans="1:9" x14ac:dyDescent="0.3">
      <c r="A4404" t="s">
        <v>4419</v>
      </c>
      <c r="B4404" t="s">
        <v>18</v>
      </c>
      <c r="C4404" t="s">
        <v>11</v>
      </c>
      <c r="D4404">
        <v>41</v>
      </c>
      <c r="E4404" s="1">
        <v>43896</v>
      </c>
      <c r="F4404">
        <v>3.76</v>
      </c>
      <c r="G4404">
        <v>6</v>
      </c>
      <c r="H4404">
        <v>8833.42</v>
      </c>
      <c r="I4404">
        <v>5.7</v>
      </c>
    </row>
    <row r="4405" spans="1:9" x14ac:dyDescent="0.3">
      <c r="A4405" t="s">
        <v>4420</v>
      </c>
      <c r="B4405" t="s">
        <v>10</v>
      </c>
      <c r="C4405" t="s">
        <v>14</v>
      </c>
      <c r="D4405">
        <v>54</v>
      </c>
      <c r="E4405" s="1">
        <v>40190</v>
      </c>
      <c r="F4405">
        <v>4.63</v>
      </c>
      <c r="G4405">
        <v>11</v>
      </c>
      <c r="H4405">
        <v>10989.57</v>
      </c>
      <c r="I4405">
        <v>15.8</v>
      </c>
    </row>
    <row r="4406" spans="1:9" x14ac:dyDescent="0.3">
      <c r="A4406" t="s">
        <v>4421</v>
      </c>
      <c r="B4406" t="s">
        <v>24</v>
      </c>
      <c r="C4406" t="s">
        <v>14</v>
      </c>
      <c r="D4406">
        <v>32</v>
      </c>
      <c r="E4406" s="1">
        <v>45916</v>
      </c>
      <c r="F4406">
        <v>3.01</v>
      </c>
      <c r="G4406">
        <v>7</v>
      </c>
      <c r="H4406">
        <v>5804.88</v>
      </c>
      <c r="I4406">
        <v>0.1</v>
      </c>
    </row>
    <row r="4407" spans="1:9" x14ac:dyDescent="0.3">
      <c r="A4407" t="s">
        <v>4422</v>
      </c>
      <c r="B4407" t="s">
        <v>16</v>
      </c>
      <c r="C4407" t="s">
        <v>14</v>
      </c>
      <c r="D4407">
        <v>33</v>
      </c>
      <c r="E4407" s="1">
        <v>43572</v>
      </c>
      <c r="F4407">
        <v>1.78</v>
      </c>
      <c r="G4407">
        <v>5</v>
      </c>
      <c r="H4407">
        <v>5724.11</v>
      </c>
      <c r="I4407">
        <v>6.5</v>
      </c>
    </row>
    <row r="4408" spans="1:9" x14ac:dyDescent="0.3">
      <c r="A4408" t="s">
        <v>4423</v>
      </c>
      <c r="B4408" t="s">
        <v>16</v>
      </c>
      <c r="C4408" t="s">
        <v>14</v>
      </c>
      <c r="D4408">
        <v>25</v>
      </c>
      <c r="E4408" s="1">
        <v>40371</v>
      </c>
      <c r="F4408">
        <v>3.45</v>
      </c>
      <c r="G4408">
        <v>8</v>
      </c>
      <c r="H4408">
        <v>9140.51</v>
      </c>
      <c r="I4408">
        <v>15.3</v>
      </c>
    </row>
    <row r="4409" spans="1:9" x14ac:dyDescent="0.3">
      <c r="A4409" t="s">
        <v>4424</v>
      </c>
      <c r="B4409" t="s">
        <v>24</v>
      </c>
      <c r="C4409" t="s">
        <v>14</v>
      </c>
      <c r="D4409">
        <v>52</v>
      </c>
      <c r="E4409" s="1">
        <v>42640</v>
      </c>
      <c r="F4409">
        <v>4.04</v>
      </c>
      <c r="G4409">
        <v>4</v>
      </c>
      <c r="H4409">
        <v>11034.03</v>
      </c>
      <c r="I4409">
        <v>9.1</v>
      </c>
    </row>
    <row r="4410" spans="1:9" x14ac:dyDescent="0.3">
      <c r="A4410" t="s">
        <v>4425</v>
      </c>
      <c r="B4410" t="s">
        <v>34</v>
      </c>
      <c r="C4410" t="s">
        <v>11</v>
      </c>
      <c r="D4410">
        <v>25</v>
      </c>
      <c r="E4410" s="1">
        <v>45369</v>
      </c>
      <c r="F4410">
        <v>4.05</v>
      </c>
      <c r="G4410">
        <v>12</v>
      </c>
      <c r="H4410">
        <v>7679.99</v>
      </c>
      <c r="I4410">
        <v>1.6</v>
      </c>
    </row>
    <row r="4411" spans="1:9" x14ac:dyDescent="0.3">
      <c r="A4411" t="s">
        <v>4426</v>
      </c>
      <c r="B4411" t="s">
        <v>18</v>
      </c>
      <c r="C4411" t="s">
        <v>14</v>
      </c>
      <c r="D4411">
        <v>48</v>
      </c>
      <c r="E4411" s="1">
        <v>44739</v>
      </c>
      <c r="F4411">
        <v>1.84</v>
      </c>
      <c r="G4411">
        <v>3</v>
      </c>
      <c r="H4411">
        <v>6026.55</v>
      </c>
      <c r="I4411">
        <v>3.4</v>
      </c>
    </row>
    <row r="4412" spans="1:9" x14ac:dyDescent="0.3">
      <c r="A4412" t="s">
        <v>4427</v>
      </c>
      <c r="B4412" t="s">
        <v>13</v>
      </c>
      <c r="C4412" t="s">
        <v>11</v>
      </c>
      <c r="D4412">
        <v>47</v>
      </c>
      <c r="E4412" s="1">
        <v>44059</v>
      </c>
      <c r="F4412">
        <v>3.41</v>
      </c>
      <c r="G4412">
        <v>10</v>
      </c>
      <c r="H4412">
        <v>10738.01</v>
      </c>
      <c r="I4412">
        <v>5.2</v>
      </c>
    </row>
    <row r="4413" spans="1:9" x14ac:dyDescent="0.3">
      <c r="A4413" t="s">
        <v>4428</v>
      </c>
      <c r="B4413" t="s">
        <v>16</v>
      </c>
      <c r="C4413" t="s">
        <v>14</v>
      </c>
      <c r="D4413">
        <v>24</v>
      </c>
      <c r="E4413" s="1">
        <v>42337</v>
      </c>
      <c r="F4413">
        <v>1.85</v>
      </c>
      <c r="G4413">
        <v>15</v>
      </c>
      <c r="H4413">
        <v>9802.14</v>
      </c>
      <c r="I4413">
        <v>9.9</v>
      </c>
    </row>
    <row r="4414" spans="1:9" x14ac:dyDescent="0.3">
      <c r="A4414" t="s">
        <v>4429</v>
      </c>
      <c r="B4414" t="s">
        <v>16</v>
      </c>
      <c r="C4414" t="s">
        <v>14</v>
      </c>
      <c r="D4414">
        <v>28</v>
      </c>
      <c r="E4414" s="1">
        <v>44784</v>
      </c>
      <c r="F4414">
        <v>3.61</v>
      </c>
      <c r="G4414">
        <v>6</v>
      </c>
      <c r="H4414">
        <v>6780.74</v>
      </c>
      <c r="I4414">
        <v>3.2</v>
      </c>
    </row>
    <row r="4415" spans="1:9" x14ac:dyDescent="0.3">
      <c r="A4415" t="s">
        <v>4430</v>
      </c>
      <c r="B4415" t="s">
        <v>24</v>
      </c>
      <c r="C4415" t="s">
        <v>14</v>
      </c>
      <c r="D4415">
        <v>33</v>
      </c>
      <c r="E4415" s="1">
        <v>44149</v>
      </c>
      <c r="F4415">
        <v>2.78</v>
      </c>
      <c r="G4415">
        <v>4</v>
      </c>
      <c r="H4415">
        <v>12984.48</v>
      </c>
      <c r="I4415">
        <v>5</v>
      </c>
    </row>
    <row r="4416" spans="1:9" x14ac:dyDescent="0.3">
      <c r="A4416" t="s">
        <v>4431</v>
      </c>
      <c r="B4416" t="s">
        <v>18</v>
      </c>
      <c r="C4416" t="s">
        <v>11</v>
      </c>
      <c r="D4416">
        <v>57</v>
      </c>
      <c r="E4416" s="1">
        <v>41302</v>
      </c>
      <c r="F4416">
        <v>3.57</v>
      </c>
      <c r="G4416">
        <v>1</v>
      </c>
      <c r="H4416">
        <v>10081.57</v>
      </c>
      <c r="I4416">
        <v>12.8</v>
      </c>
    </row>
    <row r="4417" spans="1:9" x14ac:dyDescent="0.3">
      <c r="A4417" t="s">
        <v>4432</v>
      </c>
      <c r="B4417" t="s">
        <v>24</v>
      </c>
      <c r="C4417" t="s">
        <v>14</v>
      </c>
      <c r="D4417">
        <v>38</v>
      </c>
      <c r="E4417" s="1">
        <v>43271</v>
      </c>
      <c r="F4417">
        <v>4</v>
      </c>
      <c r="G4417">
        <v>15</v>
      </c>
      <c r="H4417">
        <v>10612.08</v>
      </c>
      <c r="I4417">
        <v>7.4</v>
      </c>
    </row>
    <row r="4418" spans="1:9" x14ac:dyDescent="0.3">
      <c r="A4418" t="s">
        <v>4433</v>
      </c>
      <c r="B4418" t="s">
        <v>16</v>
      </c>
      <c r="C4418" t="s">
        <v>14</v>
      </c>
      <c r="D4418">
        <v>25</v>
      </c>
      <c r="E4418" s="1">
        <v>41739</v>
      </c>
      <c r="F4418">
        <v>4.7</v>
      </c>
      <c r="G4418">
        <v>2</v>
      </c>
      <c r="H4418">
        <v>7498.24</v>
      </c>
      <c r="I4418">
        <v>11.6</v>
      </c>
    </row>
    <row r="4419" spans="1:9" x14ac:dyDescent="0.3">
      <c r="A4419" t="s">
        <v>4434</v>
      </c>
      <c r="B4419" t="s">
        <v>13</v>
      </c>
      <c r="C4419" t="s">
        <v>11</v>
      </c>
      <c r="D4419">
        <v>51</v>
      </c>
      <c r="E4419" s="1">
        <v>43475</v>
      </c>
      <c r="F4419">
        <v>3.18</v>
      </c>
      <c r="G4419">
        <v>1</v>
      </c>
      <c r="H4419">
        <v>4116.83</v>
      </c>
      <c r="I4419">
        <v>6.8</v>
      </c>
    </row>
    <row r="4420" spans="1:9" x14ac:dyDescent="0.3">
      <c r="A4420" t="s">
        <v>4435</v>
      </c>
      <c r="B4420" t="s">
        <v>18</v>
      </c>
      <c r="C4420" t="s">
        <v>14</v>
      </c>
      <c r="D4420">
        <v>57</v>
      </c>
      <c r="E4420" s="1">
        <v>40458</v>
      </c>
      <c r="F4420">
        <v>3.96</v>
      </c>
      <c r="G4420">
        <v>13</v>
      </c>
      <c r="H4420">
        <v>8785.0400000000009</v>
      </c>
      <c r="I4420">
        <v>15.1</v>
      </c>
    </row>
    <row r="4421" spans="1:9" x14ac:dyDescent="0.3">
      <c r="A4421" t="s">
        <v>4436</v>
      </c>
      <c r="B4421" t="s">
        <v>34</v>
      </c>
      <c r="C4421" t="s">
        <v>11</v>
      </c>
      <c r="D4421">
        <v>33</v>
      </c>
      <c r="E4421" s="1">
        <v>40251</v>
      </c>
      <c r="F4421">
        <v>4.78</v>
      </c>
      <c r="G4421">
        <v>7</v>
      </c>
      <c r="H4421">
        <v>12964.49</v>
      </c>
      <c r="I4421">
        <v>15.6</v>
      </c>
    </row>
    <row r="4422" spans="1:9" x14ac:dyDescent="0.3">
      <c r="A4422" t="s">
        <v>4437</v>
      </c>
      <c r="B4422" t="s">
        <v>18</v>
      </c>
      <c r="C4422" t="s">
        <v>14</v>
      </c>
      <c r="D4422">
        <v>59</v>
      </c>
      <c r="E4422" s="1">
        <v>41605</v>
      </c>
      <c r="F4422">
        <v>3.82</v>
      </c>
      <c r="G4422">
        <v>1</v>
      </c>
      <c r="H4422">
        <v>6429.73</v>
      </c>
      <c r="I4422">
        <v>11.9</v>
      </c>
    </row>
    <row r="4423" spans="1:9" x14ac:dyDescent="0.3">
      <c r="A4423" t="s">
        <v>4438</v>
      </c>
      <c r="B4423" t="s">
        <v>16</v>
      </c>
      <c r="C4423" t="s">
        <v>14</v>
      </c>
      <c r="D4423">
        <v>23</v>
      </c>
      <c r="E4423" s="1">
        <v>45313</v>
      </c>
      <c r="F4423">
        <v>1.55</v>
      </c>
      <c r="G4423">
        <v>11</v>
      </c>
      <c r="H4423">
        <v>3095.37</v>
      </c>
      <c r="I4423">
        <v>1.8</v>
      </c>
    </row>
    <row r="4424" spans="1:9" x14ac:dyDescent="0.3">
      <c r="A4424" t="s">
        <v>4439</v>
      </c>
      <c r="B4424" t="s">
        <v>10</v>
      </c>
      <c r="C4424" t="s">
        <v>14</v>
      </c>
      <c r="D4424">
        <v>24</v>
      </c>
      <c r="E4424" s="1">
        <v>44375</v>
      </c>
      <c r="F4424">
        <v>1.81</v>
      </c>
      <c r="G4424">
        <v>2</v>
      </c>
      <c r="H4424">
        <v>9758.2000000000007</v>
      </c>
      <c r="I4424">
        <v>4.3</v>
      </c>
    </row>
    <row r="4425" spans="1:9" x14ac:dyDescent="0.3">
      <c r="A4425" t="s">
        <v>4440</v>
      </c>
      <c r="B4425" t="s">
        <v>13</v>
      </c>
      <c r="C4425" t="s">
        <v>14</v>
      </c>
      <c r="D4425">
        <v>25</v>
      </c>
      <c r="E4425" s="1">
        <v>42681</v>
      </c>
      <c r="F4425">
        <v>3.24</v>
      </c>
      <c r="G4425">
        <v>3</v>
      </c>
      <c r="H4425">
        <v>10205.799999999999</v>
      </c>
      <c r="I4425">
        <v>9</v>
      </c>
    </row>
    <row r="4426" spans="1:9" x14ac:dyDescent="0.3">
      <c r="A4426" t="s">
        <v>4441</v>
      </c>
      <c r="B4426" t="s">
        <v>10</v>
      </c>
      <c r="C4426" t="s">
        <v>14</v>
      </c>
      <c r="D4426">
        <v>25</v>
      </c>
      <c r="E4426" s="1">
        <v>42287</v>
      </c>
      <c r="F4426">
        <v>4</v>
      </c>
      <c r="G4426">
        <v>2</v>
      </c>
      <c r="H4426">
        <v>6086.73</v>
      </c>
      <c r="I4426">
        <v>10.1</v>
      </c>
    </row>
    <row r="4427" spans="1:9" x14ac:dyDescent="0.3">
      <c r="A4427" t="s">
        <v>4442</v>
      </c>
      <c r="B4427" t="s">
        <v>16</v>
      </c>
      <c r="C4427" t="s">
        <v>11</v>
      </c>
      <c r="D4427">
        <v>25</v>
      </c>
      <c r="E4427" s="1">
        <v>42750</v>
      </c>
      <c r="F4427">
        <v>2.4700000000000002</v>
      </c>
      <c r="G4427">
        <v>7</v>
      </c>
      <c r="H4427">
        <v>9277.24</v>
      </c>
      <c r="I4427">
        <v>8.8000000000000007</v>
      </c>
    </row>
    <row r="4428" spans="1:9" x14ac:dyDescent="0.3">
      <c r="A4428" t="s">
        <v>4443</v>
      </c>
      <c r="B4428" t="s">
        <v>18</v>
      </c>
      <c r="C4428" t="s">
        <v>11</v>
      </c>
      <c r="D4428">
        <v>45</v>
      </c>
      <c r="E4428" s="1">
        <v>41327</v>
      </c>
      <c r="F4428">
        <v>3.81</v>
      </c>
      <c r="G4428">
        <v>5</v>
      </c>
      <c r="H4428">
        <v>12510.1</v>
      </c>
      <c r="I4428">
        <v>12.7</v>
      </c>
    </row>
    <row r="4429" spans="1:9" x14ac:dyDescent="0.3">
      <c r="A4429" t="s">
        <v>4444</v>
      </c>
      <c r="B4429" t="s">
        <v>34</v>
      </c>
      <c r="C4429" t="s">
        <v>14</v>
      </c>
      <c r="D4429">
        <v>50</v>
      </c>
      <c r="E4429" s="1">
        <v>43731</v>
      </c>
      <c r="F4429">
        <v>4.5</v>
      </c>
      <c r="G4429">
        <v>5</v>
      </c>
      <c r="H4429">
        <v>12973.4</v>
      </c>
      <c r="I4429">
        <v>6.1</v>
      </c>
    </row>
    <row r="4430" spans="1:9" x14ac:dyDescent="0.3">
      <c r="A4430" t="s">
        <v>4445</v>
      </c>
      <c r="B4430" t="s">
        <v>34</v>
      </c>
      <c r="C4430" t="s">
        <v>11</v>
      </c>
      <c r="D4430">
        <v>46</v>
      </c>
      <c r="E4430" s="1">
        <v>40257</v>
      </c>
      <c r="F4430">
        <v>2.61</v>
      </c>
      <c r="G4430">
        <v>10</v>
      </c>
      <c r="H4430">
        <v>13463.33</v>
      </c>
      <c r="I4430">
        <v>15.6</v>
      </c>
    </row>
    <row r="4431" spans="1:9" x14ac:dyDescent="0.3">
      <c r="A4431" t="s">
        <v>4446</v>
      </c>
      <c r="B4431" t="s">
        <v>24</v>
      </c>
      <c r="C4431" t="s">
        <v>11</v>
      </c>
      <c r="D4431">
        <v>35</v>
      </c>
      <c r="E4431" s="1">
        <v>42005</v>
      </c>
      <c r="F4431">
        <v>2.3199999999999998</v>
      </c>
      <c r="G4431">
        <v>14</v>
      </c>
      <c r="H4431">
        <v>4177.2700000000004</v>
      </c>
      <c r="I4431">
        <v>10.8</v>
      </c>
    </row>
    <row r="4432" spans="1:9" x14ac:dyDescent="0.3">
      <c r="A4432" t="s">
        <v>4447</v>
      </c>
      <c r="B4432" t="s">
        <v>10</v>
      </c>
      <c r="C4432" t="s">
        <v>14</v>
      </c>
      <c r="D4432">
        <v>55</v>
      </c>
      <c r="E4432" s="1">
        <v>45535</v>
      </c>
      <c r="F4432">
        <v>1.92</v>
      </c>
      <c r="G4432">
        <v>3</v>
      </c>
      <c r="H4432">
        <v>10524.89</v>
      </c>
      <c r="I4432">
        <v>1.2</v>
      </c>
    </row>
    <row r="4433" spans="1:9" x14ac:dyDescent="0.3">
      <c r="A4433" t="s">
        <v>4448</v>
      </c>
      <c r="B4433" t="s">
        <v>10</v>
      </c>
      <c r="C4433" t="s">
        <v>14</v>
      </c>
      <c r="D4433">
        <v>38</v>
      </c>
      <c r="E4433" s="1">
        <v>42166</v>
      </c>
      <c r="F4433">
        <v>1.59</v>
      </c>
      <c r="G4433">
        <v>0</v>
      </c>
      <c r="H4433">
        <v>13073.87</v>
      </c>
      <c r="I4433">
        <v>10.4</v>
      </c>
    </row>
    <row r="4434" spans="1:9" x14ac:dyDescent="0.3">
      <c r="A4434" t="s">
        <v>4449</v>
      </c>
      <c r="B4434" t="s">
        <v>16</v>
      </c>
      <c r="C4434" t="s">
        <v>14</v>
      </c>
      <c r="D4434">
        <v>36</v>
      </c>
      <c r="E4434" s="1">
        <v>42281</v>
      </c>
      <c r="F4434">
        <v>4.3499999999999996</v>
      </c>
      <c r="G4434">
        <v>15</v>
      </c>
      <c r="H4434">
        <v>3141.83</v>
      </c>
      <c r="I4434">
        <v>10.1</v>
      </c>
    </row>
    <row r="4435" spans="1:9" x14ac:dyDescent="0.3">
      <c r="A4435" t="s">
        <v>4450</v>
      </c>
      <c r="B4435" t="s">
        <v>10</v>
      </c>
      <c r="C4435" t="s">
        <v>14</v>
      </c>
      <c r="D4435">
        <v>59</v>
      </c>
      <c r="E4435" s="1">
        <v>41879</v>
      </c>
      <c r="F4435">
        <v>2.2200000000000002</v>
      </c>
      <c r="G4435">
        <v>8</v>
      </c>
      <c r="H4435">
        <v>4633.22</v>
      </c>
      <c r="I4435">
        <v>11.2</v>
      </c>
    </row>
    <row r="4436" spans="1:9" x14ac:dyDescent="0.3">
      <c r="A4436" t="s">
        <v>4451</v>
      </c>
      <c r="B4436" t="s">
        <v>24</v>
      </c>
      <c r="C4436" t="s">
        <v>11</v>
      </c>
      <c r="D4436">
        <v>54</v>
      </c>
      <c r="E4436" s="1">
        <v>42952</v>
      </c>
      <c r="F4436">
        <v>2.35</v>
      </c>
      <c r="G4436">
        <v>8</v>
      </c>
      <c r="H4436">
        <v>3818.21</v>
      </c>
      <c r="I4436">
        <v>8.1999999999999993</v>
      </c>
    </row>
    <row r="4437" spans="1:9" x14ac:dyDescent="0.3">
      <c r="A4437" t="s">
        <v>4452</v>
      </c>
      <c r="B4437" t="s">
        <v>13</v>
      </c>
      <c r="C4437" t="s">
        <v>14</v>
      </c>
      <c r="D4437">
        <v>42</v>
      </c>
      <c r="E4437" s="1">
        <v>45527</v>
      </c>
      <c r="F4437">
        <v>2.4300000000000002</v>
      </c>
      <c r="G4437">
        <v>7</v>
      </c>
      <c r="H4437">
        <v>13745.88</v>
      </c>
      <c r="I4437">
        <v>1.2</v>
      </c>
    </row>
    <row r="4438" spans="1:9" x14ac:dyDescent="0.3">
      <c r="A4438" t="s">
        <v>4453</v>
      </c>
      <c r="B4438" t="s">
        <v>18</v>
      </c>
      <c r="C4438" t="s">
        <v>14</v>
      </c>
      <c r="D4438">
        <v>46</v>
      </c>
      <c r="E4438" s="1">
        <v>41948</v>
      </c>
      <c r="F4438">
        <v>4.67</v>
      </c>
      <c r="G4438">
        <v>9</v>
      </c>
      <c r="H4438">
        <v>7025.96</v>
      </c>
      <c r="I4438">
        <v>11</v>
      </c>
    </row>
    <row r="4439" spans="1:9" x14ac:dyDescent="0.3">
      <c r="A4439" t="s">
        <v>4454</v>
      </c>
      <c r="B4439" t="s">
        <v>34</v>
      </c>
      <c r="C4439" t="s">
        <v>14</v>
      </c>
      <c r="D4439">
        <v>26</v>
      </c>
      <c r="E4439" s="1">
        <v>42195</v>
      </c>
      <c r="F4439">
        <v>3.98</v>
      </c>
      <c r="G4439">
        <v>4</v>
      </c>
      <c r="H4439">
        <v>8663.64</v>
      </c>
      <c r="I4439">
        <v>10.3</v>
      </c>
    </row>
    <row r="4440" spans="1:9" x14ac:dyDescent="0.3">
      <c r="A4440" t="s">
        <v>4455</v>
      </c>
      <c r="B4440" t="s">
        <v>34</v>
      </c>
      <c r="C4440" t="s">
        <v>11</v>
      </c>
      <c r="D4440">
        <v>37</v>
      </c>
      <c r="E4440" s="1">
        <v>42735</v>
      </c>
      <c r="F4440">
        <v>3.53</v>
      </c>
      <c r="G4440">
        <v>15</v>
      </c>
      <c r="H4440">
        <v>3716.94</v>
      </c>
      <c r="I4440">
        <v>8.8000000000000007</v>
      </c>
    </row>
    <row r="4441" spans="1:9" x14ac:dyDescent="0.3">
      <c r="A4441" t="s">
        <v>4456</v>
      </c>
      <c r="B4441" t="s">
        <v>16</v>
      </c>
      <c r="C4441" t="s">
        <v>11</v>
      </c>
      <c r="D4441">
        <v>55</v>
      </c>
      <c r="E4441" s="1">
        <v>44023</v>
      </c>
      <c r="F4441">
        <v>3.26</v>
      </c>
      <c r="G4441">
        <v>9</v>
      </c>
      <c r="H4441">
        <v>6310.72</v>
      </c>
      <c r="I4441">
        <v>5.3</v>
      </c>
    </row>
    <row r="4442" spans="1:9" x14ac:dyDescent="0.3">
      <c r="A4442" t="s">
        <v>4457</v>
      </c>
      <c r="B4442" t="s">
        <v>34</v>
      </c>
      <c r="C4442" t="s">
        <v>14</v>
      </c>
      <c r="D4442">
        <v>34</v>
      </c>
      <c r="E4442" s="1">
        <v>44977</v>
      </c>
      <c r="F4442">
        <v>2.71</v>
      </c>
      <c r="G4442">
        <v>11</v>
      </c>
      <c r="H4442">
        <v>7539.76</v>
      </c>
      <c r="I4442">
        <v>2.7</v>
      </c>
    </row>
    <row r="4443" spans="1:9" x14ac:dyDescent="0.3">
      <c r="A4443" t="s">
        <v>4458</v>
      </c>
      <c r="B4443" t="s">
        <v>10</v>
      </c>
      <c r="C4443" t="s">
        <v>11</v>
      </c>
      <c r="D4443">
        <v>48</v>
      </c>
      <c r="E4443" s="1">
        <v>40576</v>
      </c>
      <c r="F4443">
        <v>4.4800000000000004</v>
      </c>
      <c r="G4443">
        <v>12</v>
      </c>
      <c r="H4443">
        <v>10828.19</v>
      </c>
      <c r="I4443">
        <v>14.8</v>
      </c>
    </row>
    <row r="4444" spans="1:9" x14ac:dyDescent="0.3">
      <c r="A4444" t="s">
        <v>4459</v>
      </c>
      <c r="B4444" t="s">
        <v>18</v>
      </c>
      <c r="C4444" t="s">
        <v>11</v>
      </c>
      <c r="D4444">
        <v>46</v>
      </c>
      <c r="E4444" s="1">
        <v>43034</v>
      </c>
      <c r="F4444">
        <v>2.89</v>
      </c>
      <c r="G4444">
        <v>11</v>
      </c>
      <c r="H4444">
        <v>14379.61</v>
      </c>
      <c r="I4444">
        <v>8</v>
      </c>
    </row>
    <row r="4445" spans="1:9" x14ac:dyDescent="0.3">
      <c r="A4445" t="s">
        <v>4460</v>
      </c>
      <c r="B4445" t="s">
        <v>13</v>
      </c>
      <c r="C4445" t="s">
        <v>11</v>
      </c>
      <c r="D4445">
        <v>46</v>
      </c>
      <c r="E4445" s="1">
        <v>43198</v>
      </c>
      <c r="F4445">
        <v>1.71</v>
      </c>
      <c r="G4445">
        <v>15</v>
      </c>
      <c r="H4445">
        <v>14020.95</v>
      </c>
      <c r="I4445">
        <v>7.6</v>
      </c>
    </row>
    <row r="4446" spans="1:9" x14ac:dyDescent="0.3">
      <c r="A4446" t="s">
        <v>4461</v>
      </c>
      <c r="B4446" t="s">
        <v>16</v>
      </c>
      <c r="C4446" t="s">
        <v>14</v>
      </c>
      <c r="D4446">
        <v>29</v>
      </c>
      <c r="E4446" s="1">
        <v>40302</v>
      </c>
      <c r="F4446">
        <v>4.7300000000000004</v>
      </c>
      <c r="G4446">
        <v>1</v>
      </c>
      <c r="H4446">
        <v>5201.6499999999996</v>
      </c>
      <c r="I4446">
        <v>15.5</v>
      </c>
    </row>
    <row r="4447" spans="1:9" x14ac:dyDescent="0.3">
      <c r="A4447" t="s">
        <v>4462</v>
      </c>
      <c r="B4447" t="s">
        <v>10</v>
      </c>
      <c r="C4447" t="s">
        <v>11</v>
      </c>
      <c r="D4447">
        <v>32</v>
      </c>
      <c r="E4447" s="1">
        <v>41096</v>
      </c>
      <c r="F4447">
        <v>4.66</v>
      </c>
      <c r="G4447">
        <v>10</v>
      </c>
      <c r="H4447">
        <v>5376.2</v>
      </c>
      <c r="I4447">
        <v>13.3</v>
      </c>
    </row>
    <row r="4448" spans="1:9" x14ac:dyDescent="0.3">
      <c r="A4448" t="s">
        <v>4463</v>
      </c>
      <c r="B4448" t="s">
        <v>10</v>
      </c>
      <c r="C4448" t="s">
        <v>14</v>
      </c>
      <c r="D4448">
        <v>60</v>
      </c>
      <c r="E4448" s="1">
        <v>42093</v>
      </c>
      <c r="F4448">
        <v>3.58</v>
      </c>
      <c r="G4448">
        <v>9</v>
      </c>
      <c r="H4448">
        <v>7478.98</v>
      </c>
      <c r="I4448">
        <v>10.6</v>
      </c>
    </row>
    <row r="4449" spans="1:9" x14ac:dyDescent="0.3">
      <c r="A4449" t="s">
        <v>4464</v>
      </c>
      <c r="B4449" t="s">
        <v>13</v>
      </c>
      <c r="C4449" t="s">
        <v>11</v>
      </c>
      <c r="D4449">
        <v>27</v>
      </c>
      <c r="E4449" s="1">
        <v>40424</v>
      </c>
      <c r="F4449">
        <v>4.82</v>
      </c>
      <c r="G4449">
        <v>5</v>
      </c>
      <c r="H4449">
        <v>8873.2800000000007</v>
      </c>
      <c r="I4449">
        <v>15.2</v>
      </c>
    </row>
    <row r="4450" spans="1:9" x14ac:dyDescent="0.3">
      <c r="A4450" t="s">
        <v>4465</v>
      </c>
      <c r="B4450" t="s">
        <v>13</v>
      </c>
      <c r="C4450" t="s">
        <v>11</v>
      </c>
      <c r="D4450">
        <v>39</v>
      </c>
      <c r="E4450" s="1">
        <v>45189</v>
      </c>
      <c r="F4450">
        <v>4.5599999999999996</v>
      </c>
      <c r="G4450">
        <v>9</v>
      </c>
      <c r="H4450">
        <v>12032.34</v>
      </c>
      <c r="I4450">
        <v>2.1</v>
      </c>
    </row>
    <row r="4451" spans="1:9" x14ac:dyDescent="0.3">
      <c r="A4451" t="s">
        <v>4466</v>
      </c>
      <c r="B4451" t="s">
        <v>18</v>
      </c>
      <c r="C4451" t="s">
        <v>14</v>
      </c>
      <c r="D4451">
        <v>33</v>
      </c>
      <c r="E4451" s="1">
        <v>40668</v>
      </c>
      <c r="F4451">
        <v>4.03</v>
      </c>
      <c r="G4451">
        <v>14</v>
      </c>
      <c r="H4451">
        <v>5501.08</v>
      </c>
      <c r="I4451">
        <v>14.5</v>
      </c>
    </row>
    <row r="4452" spans="1:9" x14ac:dyDescent="0.3">
      <c r="A4452" t="s">
        <v>4467</v>
      </c>
      <c r="B4452" t="s">
        <v>24</v>
      </c>
      <c r="C4452" t="s">
        <v>14</v>
      </c>
      <c r="D4452">
        <v>60</v>
      </c>
      <c r="E4452" s="1">
        <v>42007</v>
      </c>
      <c r="F4452">
        <v>3.81</v>
      </c>
      <c r="G4452">
        <v>8</v>
      </c>
      <c r="H4452">
        <v>9981.76</v>
      </c>
      <c r="I4452">
        <v>10.8</v>
      </c>
    </row>
    <row r="4453" spans="1:9" x14ac:dyDescent="0.3">
      <c r="A4453" t="s">
        <v>4468</v>
      </c>
      <c r="B4453" t="s">
        <v>13</v>
      </c>
      <c r="C4453" t="s">
        <v>14</v>
      </c>
      <c r="D4453">
        <v>58</v>
      </c>
      <c r="E4453" s="1">
        <v>42922</v>
      </c>
      <c r="F4453">
        <v>4.9800000000000004</v>
      </c>
      <c r="G4453">
        <v>2</v>
      </c>
      <c r="H4453">
        <v>11054.33</v>
      </c>
      <c r="I4453">
        <v>8.3000000000000007</v>
      </c>
    </row>
    <row r="4454" spans="1:9" x14ac:dyDescent="0.3">
      <c r="A4454" t="s">
        <v>4469</v>
      </c>
      <c r="B4454" t="s">
        <v>34</v>
      </c>
      <c r="C4454" t="s">
        <v>14</v>
      </c>
      <c r="D4454">
        <v>55</v>
      </c>
      <c r="E4454" s="1">
        <v>40200</v>
      </c>
      <c r="F4454">
        <v>4.17</v>
      </c>
      <c r="G4454">
        <v>8</v>
      </c>
      <c r="H4454">
        <v>5845.37</v>
      </c>
      <c r="I4454">
        <v>15.8</v>
      </c>
    </row>
    <row r="4455" spans="1:9" x14ac:dyDescent="0.3">
      <c r="A4455" t="s">
        <v>4470</v>
      </c>
      <c r="B4455" t="s">
        <v>10</v>
      </c>
      <c r="C4455" t="s">
        <v>14</v>
      </c>
      <c r="D4455">
        <v>52</v>
      </c>
      <c r="E4455" s="1">
        <v>44543</v>
      </c>
      <c r="F4455">
        <v>1.77</v>
      </c>
      <c r="G4455">
        <v>5</v>
      </c>
      <c r="H4455">
        <v>13380.52</v>
      </c>
      <c r="I4455">
        <v>3.9</v>
      </c>
    </row>
    <row r="4456" spans="1:9" x14ac:dyDescent="0.3">
      <c r="A4456" t="s">
        <v>4471</v>
      </c>
      <c r="B4456" t="s">
        <v>34</v>
      </c>
      <c r="C4456" t="s">
        <v>11</v>
      </c>
      <c r="D4456">
        <v>44</v>
      </c>
      <c r="E4456" s="1">
        <v>40955</v>
      </c>
      <c r="F4456">
        <v>3.72</v>
      </c>
      <c r="G4456">
        <v>9</v>
      </c>
      <c r="H4456">
        <v>10394.93</v>
      </c>
      <c r="I4456">
        <v>13.7</v>
      </c>
    </row>
    <row r="4457" spans="1:9" x14ac:dyDescent="0.3">
      <c r="A4457" t="s">
        <v>4472</v>
      </c>
      <c r="B4457" t="s">
        <v>16</v>
      </c>
      <c r="C4457" t="s">
        <v>11</v>
      </c>
      <c r="D4457">
        <v>38</v>
      </c>
      <c r="E4457" s="1">
        <v>42344</v>
      </c>
      <c r="F4457">
        <v>4.63</v>
      </c>
      <c r="G4457">
        <v>2</v>
      </c>
      <c r="H4457">
        <v>7190.41</v>
      </c>
      <c r="I4457">
        <v>9.9</v>
      </c>
    </row>
    <row r="4458" spans="1:9" x14ac:dyDescent="0.3">
      <c r="A4458" t="s">
        <v>4473</v>
      </c>
      <c r="B4458" t="s">
        <v>10</v>
      </c>
      <c r="C4458" t="s">
        <v>14</v>
      </c>
      <c r="D4458">
        <v>36</v>
      </c>
      <c r="E4458" s="1">
        <v>40225</v>
      </c>
      <c r="F4458">
        <v>2.41</v>
      </c>
      <c r="G4458">
        <v>15</v>
      </c>
      <c r="H4458">
        <v>8007.78</v>
      </c>
      <c r="I4458">
        <v>15.7</v>
      </c>
    </row>
    <row r="4459" spans="1:9" x14ac:dyDescent="0.3">
      <c r="A4459" t="s">
        <v>4474</v>
      </c>
      <c r="B4459" t="s">
        <v>34</v>
      </c>
      <c r="C4459" t="s">
        <v>14</v>
      </c>
      <c r="D4459">
        <v>30</v>
      </c>
      <c r="E4459" s="1">
        <v>40814</v>
      </c>
      <c r="F4459">
        <v>4.7699999999999996</v>
      </c>
      <c r="G4459">
        <v>6</v>
      </c>
      <c r="H4459">
        <v>12991.77</v>
      </c>
      <c r="I4459">
        <v>14.1</v>
      </c>
    </row>
    <row r="4460" spans="1:9" x14ac:dyDescent="0.3">
      <c r="A4460" t="s">
        <v>4475</v>
      </c>
      <c r="B4460" t="s">
        <v>24</v>
      </c>
      <c r="C4460" t="s">
        <v>14</v>
      </c>
      <c r="D4460">
        <v>31</v>
      </c>
      <c r="E4460" s="1">
        <v>41196</v>
      </c>
      <c r="F4460">
        <v>4.13</v>
      </c>
      <c r="G4460">
        <v>3</v>
      </c>
      <c r="H4460">
        <v>11627.97</v>
      </c>
      <c r="I4460">
        <v>13.1</v>
      </c>
    </row>
    <row r="4461" spans="1:9" x14ac:dyDescent="0.3">
      <c r="A4461" t="s">
        <v>4476</v>
      </c>
      <c r="B4461" t="s">
        <v>13</v>
      </c>
      <c r="C4461" t="s">
        <v>14</v>
      </c>
      <c r="D4461">
        <v>39</v>
      </c>
      <c r="E4461" s="1">
        <v>43179</v>
      </c>
      <c r="F4461">
        <v>3.75</v>
      </c>
      <c r="G4461">
        <v>3</v>
      </c>
      <c r="H4461">
        <v>12586.3</v>
      </c>
      <c r="I4461">
        <v>7.6</v>
      </c>
    </row>
    <row r="4462" spans="1:9" x14ac:dyDescent="0.3">
      <c r="A4462" t="s">
        <v>4477</v>
      </c>
      <c r="B4462" t="s">
        <v>16</v>
      </c>
      <c r="C4462" t="s">
        <v>14</v>
      </c>
      <c r="D4462">
        <v>32</v>
      </c>
      <c r="E4462" s="1">
        <v>44198</v>
      </c>
      <c r="F4462">
        <v>4.92</v>
      </c>
      <c r="G4462">
        <v>7</v>
      </c>
      <c r="H4462">
        <v>14465.84</v>
      </c>
      <c r="I4462">
        <v>4.8</v>
      </c>
    </row>
    <row r="4463" spans="1:9" x14ac:dyDescent="0.3">
      <c r="A4463" t="s">
        <v>4478</v>
      </c>
      <c r="B4463" t="s">
        <v>18</v>
      </c>
      <c r="C4463" t="s">
        <v>14</v>
      </c>
      <c r="D4463">
        <v>29</v>
      </c>
      <c r="E4463" s="1">
        <v>42009</v>
      </c>
      <c r="F4463">
        <v>2.57</v>
      </c>
      <c r="G4463">
        <v>14</v>
      </c>
      <c r="H4463">
        <v>7183.92</v>
      </c>
      <c r="I4463">
        <v>10.8</v>
      </c>
    </row>
    <row r="4464" spans="1:9" x14ac:dyDescent="0.3">
      <c r="A4464" t="s">
        <v>4479</v>
      </c>
      <c r="B4464" t="s">
        <v>13</v>
      </c>
      <c r="C4464" t="s">
        <v>11</v>
      </c>
      <c r="D4464">
        <v>44</v>
      </c>
      <c r="E4464" s="1">
        <v>44257</v>
      </c>
      <c r="F4464">
        <v>2.08</v>
      </c>
      <c r="G4464">
        <v>1</v>
      </c>
      <c r="H4464">
        <v>8849.08</v>
      </c>
      <c r="I4464">
        <v>4.7</v>
      </c>
    </row>
    <row r="4465" spans="1:9" x14ac:dyDescent="0.3">
      <c r="A4465" t="s">
        <v>4480</v>
      </c>
      <c r="B4465" t="s">
        <v>10</v>
      </c>
      <c r="C4465" t="s">
        <v>14</v>
      </c>
      <c r="D4465">
        <v>43</v>
      </c>
      <c r="E4465" s="1">
        <v>43266</v>
      </c>
      <c r="F4465">
        <v>3.05</v>
      </c>
      <c r="G4465">
        <v>0</v>
      </c>
      <c r="H4465">
        <v>9855.3700000000008</v>
      </c>
      <c r="I4465">
        <v>7.4</v>
      </c>
    </row>
    <row r="4466" spans="1:9" x14ac:dyDescent="0.3">
      <c r="A4466" t="s">
        <v>4481</v>
      </c>
      <c r="B4466" t="s">
        <v>16</v>
      </c>
      <c r="C4466" t="s">
        <v>14</v>
      </c>
      <c r="D4466">
        <v>53</v>
      </c>
      <c r="E4466" s="1">
        <v>41811</v>
      </c>
      <c r="F4466">
        <v>4.53</v>
      </c>
      <c r="G4466">
        <v>1</v>
      </c>
      <c r="H4466">
        <v>9075.81</v>
      </c>
      <c r="I4466">
        <v>11.4</v>
      </c>
    </row>
    <row r="4467" spans="1:9" x14ac:dyDescent="0.3">
      <c r="A4467" t="s">
        <v>4482</v>
      </c>
      <c r="B4467" t="s">
        <v>16</v>
      </c>
      <c r="C4467" t="s">
        <v>14</v>
      </c>
      <c r="D4467">
        <v>41</v>
      </c>
      <c r="E4467" s="1">
        <v>44295</v>
      </c>
      <c r="F4467">
        <v>3.57</v>
      </c>
      <c r="G4467">
        <v>11</v>
      </c>
      <c r="H4467">
        <v>5580.01</v>
      </c>
      <c r="I4467">
        <v>4.5999999999999996</v>
      </c>
    </row>
    <row r="4468" spans="1:9" x14ac:dyDescent="0.3">
      <c r="A4468" t="s">
        <v>4483</v>
      </c>
      <c r="B4468" t="s">
        <v>34</v>
      </c>
      <c r="C4468" t="s">
        <v>11</v>
      </c>
      <c r="D4468">
        <v>35</v>
      </c>
      <c r="E4468" s="1">
        <v>44477</v>
      </c>
      <c r="F4468">
        <v>1.76</v>
      </c>
      <c r="G4468">
        <v>12</v>
      </c>
      <c r="H4468">
        <v>3622.77</v>
      </c>
      <c r="I4468">
        <v>4.0999999999999996</v>
      </c>
    </row>
    <row r="4469" spans="1:9" x14ac:dyDescent="0.3">
      <c r="A4469" t="s">
        <v>4484</v>
      </c>
      <c r="B4469" t="s">
        <v>24</v>
      </c>
      <c r="C4469" t="s">
        <v>11</v>
      </c>
      <c r="D4469">
        <v>29</v>
      </c>
      <c r="E4469" s="1">
        <v>44453</v>
      </c>
      <c r="F4469">
        <v>3.56</v>
      </c>
      <c r="G4469">
        <v>7</v>
      </c>
      <c r="H4469">
        <v>14479.36</v>
      </c>
      <c r="I4469">
        <v>4.0999999999999996</v>
      </c>
    </row>
    <row r="4470" spans="1:9" x14ac:dyDescent="0.3">
      <c r="A4470" t="s">
        <v>4485</v>
      </c>
      <c r="B4470" t="s">
        <v>16</v>
      </c>
      <c r="C4470" t="s">
        <v>11</v>
      </c>
      <c r="D4470">
        <v>45</v>
      </c>
      <c r="E4470" s="1">
        <v>42482</v>
      </c>
      <c r="F4470">
        <v>4.78</v>
      </c>
      <c r="G4470">
        <v>3</v>
      </c>
      <c r="H4470">
        <v>10288.370000000001</v>
      </c>
      <c r="I4470">
        <v>9.5</v>
      </c>
    </row>
    <row r="4471" spans="1:9" x14ac:dyDescent="0.3">
      <c r="A4471" t="s">
        <v>4486</v>
      </c>
      <c r="B4471" t="s">
        <v>18</v>
      </c>
      <c r="C4471" t="s">
        <v>14</v>
      </c>
      <c r="D4471">
        <v>47</v>
      </c>
      <c r="E4471" s="1">
        <v>41088</v>
      </c>
      <c r="F4471">
        <v>4</v>
      </c>
      <c r="G4471">
        <v>9</v>
      </c>
      <c r="H4471">
        <v>11012.06</v>
      </c>
      <c r="I4471">
        <v>13.4</v>
      </c>
    </row>
    <row r="4472" spans="1:9" x14ac:dyDescent="0.3">
      <c r="A4472" t="s">
        <v>4487</v>
      </c>
      <c r="B4472" t="s">
        <v>24</v>
      </c>
      <c r="C4472" t="s">
        <v>11</v>
      </c>
      <c r="D4472">
        <v>47</v>
      </c>
      <c r="E4472" s="1">
        <v>43580</v>
      </c>
      <c r="F4472">
        <v>2.64</v>
      </c>
      <c r="G4472">
        <v>10</v>
      </c>
      <c r="H4472">
        <v>7850.69</v>
      </c>
      <c r="I4472">
        <v>6.5</v>
      </c>
    </row>
    <row r="4473" spans="1:9" x14ac:dyDescent="0.3">
      <c r="A4473" t="s">
        <v>4488</v>
      </c>
      <c r="B4473" t="s">
        <v>18</v>
      </c>
      <c r="C4473" t="s">
        <v>11</v>
      </c>
      <c r="D4473">
        <v>47</v>
      </c>
      <c r="E4473" s="1">
        <v>44749</v>
      </c>
      <c r="F4473">
        <v>3.56</v>
      </c>
      <c r="G4473">
        <v>4</v>
      </c>
      <c r="H4473">
        <v>10583.88</v>
      </c>
      <c r="I4473">
        <v>3.3</v>
      </c>
    </row>
    <row r="4474" spans="1:9" x14ac:dyDescent="0.3">
      <c r="A4474" t="s">
        <v>4489</v>
      </c>
      <c r="B4474" t="s">
        <v>13</v>
      </c>
      <c r="C4474" t="s">
        <v>14</v>
      </c>
      <c r="D4474">
        <v>51</v>
      </c>
      <c r="E4474" s="1">
        <v>45607</v>
      </c>
      <c r="F4474">
        <v>4.3499999999999996</v>
      </c>
      <c r="G4474">
        <v>13</v>
      </c>
      <c r="H4474">
        <v>9270.5400000000009</v>
      </c>
      <c r="I4474">
        <v>1</v>
      </c>
    </row>
    <row r="4475" spans="1:9" x14ac:dyDescent="0.3">
      <c r="A4475" t="s">
        <v>4490</v>
      </c>
      <c r="B4475" t="s">
        <v>16</v>
      </c>
      <c r="C4475" t="s">
        <v>11</v>
      </c>
      <c r="D4475">
        <v>59</v>
      </c>
      <c r="E4475" s="1">
        <v>45254</v>
      </c>
      <c r="F4475">
        <v>4.04</v>
      </c>
      <c r="G4475">
        <v>0</v>
      </c>
      <c r="H4475">
        <v>10068.959999999999</v>
      </c>
      <c r="I4475">
        <v>1.9</v>
      </c>
    </row>
    <row r="4476" spans="1:9" x14ac:dyDescent="0.3">
      <c r="A4476" t="s">
        <v>4491</v>
      </c>
      <c r="B4476" t="s">
        <v>13</v>
      </c>
      <c r="C4476" t="s">
        <v>11</v>
      </c>
      <c r="D4476">
        <v>30</v>
      </c>
      <c r="E4476" s="1">
        <v>45251</v>
      </c>
      <c r="F4476">
        <v>4.5599999999999996</v>
      </c>
      <c r="G4476">
        <v>14</v>
      </c>
      <c r="H4476">
        <v>6367.64</v>
      </c>
      <c r="I4476">
        <v>1.9</v>
      </c>
    </row>
    <row r="4477" spans="1:9" x14ac:dyDescent="0.3">
      <c r="A4477" t="s">
        <v>4492</v>
      </c>
      <c r="B4477" t="s">
        <v>10</v>
      </c>
      <c r="C4477" t="s">
        <v>14</v>
      </c>
      <c r="D4477">
        <v>29</v>
      </c>
      <c r="E4477" s="1">
        <v>44713</v>
      </c>
      <c r="F4477">
        <v>3.22</v>
      </c>
      <c r="G4477">
        <v>15</v>
      </c>
      <c r="H4477">
        <v>8069.98</v>
      </c>
      <c r="I4477">
        <v>3.4</v>
      </c>
    </row>
    <row r="4478" spans="1:9" x14ac:dyDescent="0.3">
      <c r="A4478" t="s">
        <v>4493</v>
      </c>
      <c r="B4478" t="s">
        <v>34</v>
      </c>
      <c r="C4478" t="s">
        <v>14</v>
      </c>
      <c r="D4478">
        <v>34</v>
      </c>
      <c r="E4478" s="1">
        <v>42747</v>
      </c>
      <c r="F4478">
        <v>1.64</v>
      </c>
      <c r="G4478">
        <v>8</v>
      </c>
      <c r="H4478">
        <v>4477.78</v>
      </c>
      <c r="I4478">
        <v>8.8000000000000007</v>
      </c>
    </row>
    <row r="4479" spans="1:9" x14ac:dyDescent="0.3">
      <c r="A4479" t="s">
        <v>4494</v>
      </c>
      <c r="B4479" t="s">
        <v>13</v>
      </c>
      <c r="C4479" t="s">
        <v>11</v>
      </c>
      <c r="D4479">
        <v>60</v>
      </c>
      <c r="E4479" s="1">
        <v>44092</v>
      </c>
      <c r="F4479">
        <v>3.67</v>
      </c>
      <c r="G4479">
        <v>9</v>
      </c>
      <c r="H4479">
        <v>11483.48</v>
      </c>
      <c r="I4479">
        <v>5.0999999999999996</v>
      </c>
    </row>
    <row r="4480" spans="1:9" x14ac:dyDescent="0.3">
      <c r="A4480" t="s">
        <v>4495</v>
      </c>
      <c r="B4480" t="s">
        <v>10</v>
      </c>
      <c r="C4480" t="s">
        <v>11</v>
      </c>
      <c r="D4480">
        <v>47</v>
      </c>
      <c r="E4480" s="1">
        <v>45012</v>
      </c>
      <c r="F4480">
        <v>4.4400000000000004</v>
      </c>
      <c r="G4480">
        <v>5</v>
      </c>
      <c r="H4480">
        <v>13625.19</v>
      </c>
      <c r="I4480">
        <v>2.6</v>
      </c>
    </row>
    <row r="4481" spans="1:9" x14ac:dyDescent="0.3">
      <c r="A4481" t="s">
        <v>4496</v>
      </c>
      <c r="B4481" t="s">
        <v>18</v>
      </c>
      <c r="C4481" t="s">
        <v>11</v>
      </c>
      <c r="D4481">
        <v>56</v>
      </c>
      <c r="E4481" s="1">
        <v>40537</v>
      </c>
      <c r="F4481">
        <v>3.45</v>
      </c>
      <c r="G4481">
        <v>9</v>
      </c>
      <c r="H4481">
        <v>10202.07</v>
      </c>
      <c r="I4481">
        <v>14.9</v>
      </c>
    </row>
    <row r="4482" spans="1:9" x14ac:dyDescent="0.3">
      <c r="A4482" t="s">
        <v>4497</v>
      </c>
      <c r="B4482" t="s">
        <v>34</v>
      </c>
      <c r="C4482" t="s">
        <v>11</v>
      </c>
      <c r="D4482">
        <v>39</v>
      </c>
      <c r="E4482" s="1">
        <v>41039</v>
      </c>
      <c r="F4482">
        <v>4.93</v>
      </c>
      <c r="G4482">
        <v>8</v>
      </c>
      <c r="H4482">
        <v>9405.65</v>
      </c>
      <c r="I4482">
        <v>13.5</v>
      </c>
    </row>
    <row r="4483" spans="1:9" x14ac:dyDescent="0.3">
      <c r="A4483" t="s">
        <v>4498</v>
      </c>
      <c r="B4483" t="s">
        <v>16</v>
      </c>
      <c r="C4483" t="s">
        <v>11</v>
      </c>
      <c r="D4483">
        <v>42</v>
      </c>
      <c r="E4483" s="1">
        <v>41754</v>
      </c>
      <c r="F4483">
        <v>4.49</v>
      </c>
      <c r="G4483">
        <v>6</v>
      </c>
      <c r="H4483">
        <v>10961.32</v>
      </c>
      <c r="I4483">
        <v>11.5</v>
      </c>
    </row>
    <row r="4484" spans="1:9" x14ac:dyDescent="0.3">
      <c r="A4484" t="s">
        <v>4499</v>
      </c>
      <c r="B4484" t="s">
        <v>18</v>
      </c>
      <c r="C4484" t="s">
        <v>14</v>
      </c>
      <c r="D4484">
        <v>46</v>
      </c>
      <c r="E4484" s="1">
        <v>45900</v>
      </c>
      <c r="F4484">
        <v>2.79</v>
      </c>
      <c r="G4484">
        <v>4</v>
      </c>
      <c r="H4484">
        <v>8446.91</v>
      </c>
      <c r="I4484">
        <v>0.2</v>
      </c>
    </row>
    <row r="4485" spans="1:9" x14ac:dyDescent="0.3">
      <c r="A4485" t="s">
        <v>4500</v>
      </c>
      <c r="B4485" t="s">
        <v>13</v>
      </c>
      <c r="C4485" t="s">
        <v>11</v>
      </c>
      <c r="D4485">
        <v>60</v>
      </c>
      <c r="E4485" s="1">
        <v>44061</v>
      </c>
      <c r="F4485">
        <v>4.3499999999999996</v>
      </c>
      <c r="G4485">
        <v>11</v>
      </c>
      <c r="H4485">
        <v>12292.14</v>
      </c>
      <c r="I4485">
        <v>5.2</v>
      </c>
    </row>
    <row r="4486" spans="1:9" x14ac:dyDescent="0.3">
      <c r="A4486" t="s">
        <v>4501</v>
      </c>
      <c r="B4486" t="s">
        <v>24</v>
      </c>
      <c r="C4486" t="s">
        <v>11</v>
      </c>
      <c r="D4486">
        <v>34</v>
      </c>
      <c r="E4486" s="1">
        <v>41817</v>
      </c>
      <c r="F4486">
        <v>3.67</v>
      </c>
      <c r="G4486">
        <v>4</v>
      </c>
      <c r="H4486">
        <v>5010.7700000000004</v>
      </c>
      <c r="I4486">
        <v>11.4</v>
      </c>
    </row>
    <row r="4487" spans="1:9" x14ac:dyDescent="0.3">
      <c r="A4487" t="s">
        <v>4502</v>
      </c>
      <c r="B4487" t="s">
        <v>10</v>
      </c>
      <c r="C4487" t="s">
        <v>11</v>
      </c>
      <c r="D4487">
        <v>24</v>
      </c>
      <c r="E4487" s="1">
        <v>45295</v>
      </c>
      <c r="F4487">
        <v>4.78</v>
      </c>
      <c r="G4487">
        <v>12</v>
      </c>
      <c r="H4487">
        <v>6179.96</v>
      </c>
      <c r="I4487">
        <v>1.8</v>
      </c>
    </row>
    <row r="4488" spans="1:9" x14ac:dyDescent="0.3">
      <c r="A4488" t="s">
        <v>4503</v>
      </c>
      <c r="B4488" t="s">
        <v>24</v>
      </c>
      <c r="C4488" t="s">
        <v>11</v>
      </c>
      <c r="D4488">
        <v>42</v>
      </c>
      <c r="E4488" s="1">
        <v>43888</v>
      </c>
      <c r="F4488">
        <v>3.26</v>
      </c>
      <c r="G4488">
        <v>8</v>
      </c>
      <c r="H4488">
        <v>14932.02</v>
      </c>
      <c r="I4488">
        <v>5.7</v>
      </c>
    </row>
    <row r="4489" spans="1:9" x14ac:dyDescent="0.3">
      <c r="A4489" t="s">
        <v>4504</v>
      </c>
      <c r="B4489" t="s">
        <v>16</v>
      </c>
      <c r="C4489" t="s">
        <v>11</v>
      </c>
      <c r="D4489">
        <v>29</v>
      </c>
      <c r="E4489" s="1">
        <v>44720</v>
      </c>
      <c r="F4489">
        <v>2.76</v>
      </c>
      <c r="G4489">
        <v>4</v>
      </c>
      <c r="H4489">
        <v>7775.24</v>
      </c>
      <c r="I4489">
        <v>3.4</v>
      </c>
    </row>
    <row r="4490" spans="1:9" x14ac:dyDescent="0.3">
      <c r="A4490" t="s">
        <v>4505</v>
      </c>
      <c r="B4490" t="s">
        <v>16</v>
      </c>
      <c r="C4490" t="s">
        <v>14</v>
      </c>
      <c r="D4490">
        <v>55</v>
      </c>
      <c r="E4490" s="1">
        <v>44269</v>
      </c>
      <c r="F4490">
        <v>4.67</v>
      </c>
      <c r="G4490">
        <v>7</v>
      </c>
      <c r="H4490">
        <v>11180.04</v>
      </c>
      <c r="I4490">
        <v>4.5999999999999996</v>
      </c>
    </row>
    <row r="4491" spans="1:9" x14ac:dyDescent="0.3">
      <c r="A4491" t="s">
        <v>4506</v>
      </c>
      <c r="B4491" t="s">
        <v>24</v>
      </c>
      <c r="C4491" t="s">
        <v>14</v>
      </c>
      <c r="D4491">
        <v>60</v>
      </c>
      <c r="E4491" s="1">
        <v>43253</v>
      </c>
      <c r="F4491">
        <v>4.54</v>
      </c>
      <c r="G4491">
        <v>8</v>
      </c>
      <c r="H4491">
        <v>6224.68</v>
      </c>
      <c r="I4491">
        <v>7.4</v>
      </c>
    </row>
    <row r="4492" spans="1:9" x14ac:dyDescent="0.3">
      <c r="A4492" t="s">
        <v>4507</v>
      </c>
      <c r="B4492" t="s">
        <v>16</v>
      </c>
      <c r="C4492" t="s">
        <v>14</v>
      </c>
      <c r="D4492">
        <v>38</v>
      </c>
      <c r="E4492" s="1">
        <v>44233</v>
      </c>
      <c r="F4492">
        <v>4.8099999999999996</v>
      </c>
      <c r="G4492">
        <v>15</v>
      </c>
      <c r="H4492">
        <v>3132.23</v>
      </c>
      <c r="I4492">
        <v>4.7</v>
      </c>
    </row>
    <row r="4493" spans="1:9" x14ac:dyDescent="0.3">
      <c r="A4493" t="s">
        <v>4508</v>
      </c>
      <c r="B4493" t="s">
        <v>10</v>
      </c>
      <c r="C4493" t="s">
        <v>11</v>
      </c>
      <c r="D4493">
        <v>23</v>
      </c>
      <c r="E4493" s="1">
        <v>44408</v>
      </c>
      <c r="F4493">
        <v>2.09</v>
      </c>
      <c r="G4493">
        <v>9</v>
      </c>
      <c r="H4493">
        <v>3007.42</v>
      </c>
      <c r="I4493">
        <v>4.3</v>
      </c>
    </row>
    <row r="4494" spans="1:9" x14ac:dyDescent="0.3">
      <c r="A4494" t="s">
        <v>4509</v>
      </c>
      <c r="B4494" t="s">
        <v>24</v>
      </c>
      <c r="C4494" t="s">
        <v>14</v>
      </c>
      <c r="D4494">
        <v>35</v>
      </c>
      <c r="E4494" s="1">
        <v>42609</v>
      </c>
      <c r="F4494">
        <v>2.15</v>
      </c>
      <c r="G4494">
        <v>6</v>
      </c>
      <c r="H4494">
        <v>10519.67</v>
      </c>
      <c r="I4494">
        <v>9.1999999999999993</v>
      </c>
    </row>
    <row r="4495" spans="1:9" x14ac:dyDescent="0.3">
      <c r="A4495" t="s">
        <v>4510</v>
      </c>
      <c r="B4495" t="s">
        <v>24</v>
      </c>
      <c r="C4495" t="s">
        <v>11</v>
      </c>
      <c r="D4495">
        <v>37</v>
      </c>
      <c r="E4495" s="1">
        <v>45434</v>
      </c>
      <c r="F4495">
        <v>4.9400000000000004</v>
      </c>
      <c r="G4495">
        <v>11</v>
      </c>
      <c r="H4495">
        <v>13172.83</v>
      </c>
      <c r="I4495">
        <v>1.4</v>
      </c>
    </row>
    <row r="4496" spans="1:9" x14ac:dyDescent="0.3">
      <c r="A4496" t="s">
        <v>4511</v>
      </c>
      <c r="B4496" t="s">
        <v>34</v>
      </c>
      <c r="C4496" t="s">
        <v>14</v>
      </c>
      <c r="D4496">
        <v>55</v>
      </c>
      <c r="E4496" s="1">
        <v>40352</v>
      </c>
      <c r="F4496">
        <v>4.2300000000000004</v>
      </c>
      <c r="G4496">
        <v>3</v>
      </c>
      <c r="H4496">
        <v>6875.33</v>
      </c>
      <c r="I4496">
        <v>15.4</v>
      </c>
    </row>
    <row r="4497" spans="1:9" x14ac:dyDescent="0.3">
      <c r="A4497" t="s">
        <v>4512</v>
      </c>
      <c r="B4497" t="s">
        <v>24</v>
      </c>
      <c r="C4497" t="s">
        <v>11</v>
      </c>
      <c r="D4497">
        <v>40</v>
      </c>
      <c r="E4497" s="1">
        <v>42973</v>
      </c>
      <c r="F4497">
        <v>3.61</v>
      </c>
      <c r="G4497">
        <v>11</v>
      </c>
      <c r="H4497">
        <v>14352.64</v>
      </c>
      <c r="I4497">
        <v>8.1999999999999993</v>
      </c>
    </row>
    <row r="4498" spans="1:9" x14ac:dyDescent="0.3">
      <c r="A4498" t="s">
        <v>4513</v>
      </c>
      <c r="B4498" t="s">
        <v>34</v>
      </c>
      <c r="C4498" t="s">
        <v>11</v>
      </c>
      <c r="D4498">
        <v>55</v>
      </c>
      <c r="E4498" s="1">
        <v>40808</v>
      </c>
      <c r="F4498">
        <v>3.03</v>
      </c>
      <c r="G4498">
        <v>7</v>
      </c>
      <c r="H4498">
        <v>9787.06</v>
      </c>
      <c r="I4498">
        <v>14.1</v>
      </c>
    </row>
    <row r="4499" spans="1:9" x14ac:dyDescent="0.3">
      <c r="A4499" t="s">
        <v>4514</v>
      </c>
      <c r="B4499" t="s">
        <v>34</v>
      </c>
      <c r="C4499" t="s">
        <v>14</v>
      </c>
      <c r="D4499">
        <v>39</v>
      </c>
      <c r="E4499" s="1">
        <v>42020</v>
      </c>
      <c r="F4499">
        <v>5</v>
      </c>
      <c r="G4499">
        <v>3</v>
      </c>
      <c r="H4499">
        <v>10439.6</v>
      </c>
      <c r="I4499">
        <v>10.8</v>
      </c>
    </row>
    <row r="4500" spans="1:9" x14ac:dyDescent="0.3">
      <c r="A4500" t="s">
        <v>4515</v>
      </c>
      <c r="B4500" t="s">
        <v>18</v>
      </c>
      <c r="C4500" t="s">
        <v>14</v>
      </c>
      <c r="D4500">
        <v>42</v>
      </c>
      <c r="E4500" s="1">
        <v>43752</v>
      </c>
      <c r="F4500">
        <v>1.8</v>
      </c>
      <c r="G4500">
        <v>4</v>
      </c>
      <c r="H4500">
        <v>7289.97</v>
      </c>
      <c r="I4500">
        <v>6.1</v>
      </c>
    </row>
    <row r="4501" spans="1:9" x14ac:dyDescent="0.3">
      <c r="A4501" t="s">
        <v>4516</v>
      </c>
      <c r="B4501" t="s">
        <v>16</v>
      </c>
      <c r="C4501" t="s">
        <v>14</v>
      </c>
      <c r="D4501">
        <v>36</v>
      </c>
      <c r="E4501" s="1">
        <v>40401</v>
      </c>
      <c r="F4501">
        <v>1.58</v>
      </c>
      <c r="G4501">
        <v>7</v>
      </c>
      <c r="H4501">
        <v>11793.75</v>
      </c>
      <c r="I4501">
        <v>15.2</v>
      </c>
    </row>
    <row r="4502" spans="1:9" x14ac:dyDescent="0.3">
      <c r="A4502" t="s">
        <v>4517</v>
      </c>
      <c r="B4502" t="s">
        <v>34</v>
      </c>
      <c r="C4502" t="s">
        <v>14</v>
      </c>
      <c r="D4502">
        <v>38</v>
      </c>
      <c r="E4502" s="1">
        <v>42344</v>
      </c>
      <c r="F4502">
        <v>3.85</v>
      </c>
      <c r="G4502">
        <v>13</v>
      </c>
      <c r="H4502">
        <v>7392.96</v>
      </c>
      <c r="I4502">
        <v>9.9</v>
      </c>
    </row>
    <row r="4503" spans="1:9" x14ac:dyDescent="0.3">
      <c r="A4503" t="s">
        <v>4518</v>
      </c>
      <c r="B4503" t="s">
        <v>10</v>
      </c>
      <c r="C4503" t="s">
        <v>14</v>
      </c>
      <c r="D4503">
        <v>56</v>
      </c>
      <c r="E4503" s="1">
        <v>42533</v>
      </c>
      <c r="F4503">
        <v>3.88</v>
      </c>
      <c r="G4503">
        <v>6</v>
      </c>
      <c r="H4503">
        <v>7363.86</v>
      </c>
      <c r="I4503">
        <v>9.4</v>
      </c>
    </row>
    <row r="4504" spans="1:9" x14ac:dyDescent="0.3">
      <c r="A4504" t="s">
        <v>4519</v>
      </c>
      <c r="B4504" t="s">
        <v>13</v>
      </c>
      <c r="C4504" t="s">
        <v>14</v>
      </c>
      <c r="D4504">
        <v>36</v>
      </c>
      <c r="E4504" s="1">
        <v>43862</v>
      </c>
      <c r="F4504">
        <v>1.79</v>
      </c>
      <c r="G4504">
        <v>10</v>
      </c>
      <c r="H4504">
        <v>13272.42</v>
      </c>
      <c r="I4504">
        <v>5.8</v>
      </c>
    </row>
    <row r="4505" spans="1:9" x14ac:dyDescent="0.3">
      <c r="A4505" t="s">
        <v>4520</v>
      </c>
      <c r="B4505" t="s">
        <v>34</v>
      </c>
      <c r="C4505" t="s">
        <v>11</v>
      </c>
      <c r="D4505">
        <v>37</v>
      </c>
      <c r="E4505" s="1">
        <v>43740</v>
      </c>
      <c r="F4505">
        <v>2.94</v>
      </c>
      <c r="G4505">
        <v>4</v>
      </c>
      <c r="H4505">
        <v>4850.05</v>
      </c>
      <c r="I4505">
        <v>6.1</v>
      </c>
    </row>
    <row r="4506" spans="1:9" x14ac:dyDescent="0.3">
      <c r="A4506" t="s">
        <v>4521</v>
      </c>
      <c r="B4506" t="s">
        <v>24</v>
      </c>
      <c r="C4506" t="s">
        <v>11</v>
      </c>
      <c r="D4506">
        <v>23</v>
      </c>
      <c r="E4506" s="1">
        <v>42547</v>
      </c>
      <c r="F4506">
        <v>3.8</v>
      </c>
      <c r="G4506">
        <v>0</v>
      </c>
      <c r="H4506">
        <v>8201.56</v>
      </c>
      <c r="I4506">
        <v>9.4</v>
      </c>
    </row>
    <row r="4507" spans="1:9" x14ac:dyDescent="0.3">
      <c r="A4507" t="s">
        <v>4522</v>
      </c>
      <c r="B4507" t="s">
        <v>24</v>
      </c>
      <c r="C4507" t="s">
        <v>14</v>
      </c>
      <c r="D4507">
        <v>51</v>
      </c>
      <c r="E4507" s="1">
        <v>43001</v>
      </c>
      <c r="F4507">
        <v>2.94</v>
      </c>
      <c r="G4507">
        <v>4</v>
      </c>
      <c r="H4507">
        <v>5316.7</v>
      </c>
      <c r="I4507">
        <v>8.1</v>
      </c>
    </row>
    <row r="4508" spans="1:9" x14ac:dyDescent="0.3">
      <c r="A4508" t="s">
        <v>4523</v>
      </c>
      <c r="B4508" t="s">
        <v>34</v>
      </c>
      <c r="C4508" t="s">
        <v>11</v>
      </c>
      <c r="D4508">
        <v>54</v>
      </c>
      <c r="E4508" s="1">
        <v>41281</v>
      </c>
      <c r="F4508">
        <v>1.71</v>
      </c>
      <c r="G4508">
        <v>7</v>
      </c>
      <c r="H4508">
        <v>8311.5</v>
      </c>
      <c r="I4508">
        <v>12.8</v>
      </c>
    </row>
    <row r="4509" spans="1:9" x14ac:dyDescent="0.3">
      <c r="A4509" t="s">
        <v>4524</v>
      </c>
      <c r="B4509" t="s">
        <v>24</v>
      </c>
      <c r="C4509" t="s">
        <v>11</v>
      </c>
      <c r="D4509">
        <v>57</v>
      </c>
      <c r="E4509" s="1">
        <v>44614</v>
      </c>
      <c r="F4509">
        <v>2.71</v>
      </c>
      <c r="G4509">
        <v>14</v>
      </c>
      <c r="H4509">
        <v>10182.1</v>
      </c>
      <c r="I4509">
        <v>3.7</v>
      </c>
    </row>
    <row r="4510" spans="1:9" x14ac:dyDescent="0.3">
      <c r="A4510" t="s">
        <v>4525</v>
      </c>
      <c r="B4510" t="s">
        <v>18</v>
      </c>
      <c r="C4510" t="s">
        <v>11</v>
      </c>
      <c r="D4510">
        <v>27</v>
      </c>
      <c r="E4510" s="1">
        <v>40657</v>
      </c>
      <c r="F4510">
        <v>3</v>
      </c>
      <c r="G4510">
        <v>4</v>
      </c>
      <c r="H4510">
        <v>3950.18</v>
      </c>
      <c r="I4510">
        <v>14.5</v>
      </c>
    </row>
    <row r="4511" spans="1:9" x14ac:dyDescent="0.3">
      <c r="A4511" t="s">
        <v>4526</v>
      </c>
      <c r="B4511" t="s">
        <v>13</v>
      </c>
      <c r="C4511" t="s">
        <v>11</v>
      </c>
      <c r="D4511">
        <v>42</v>
      </c>
      <c r="E4511" s="1">
        <v>40571</v>
      </c>
      <c r="F4511">
        <v>4.5</v>
      </c>
      <c r="G4511">
        <v>14</v>
      </c>
      <c r="H4511">
        <v>14616.83</v>
      </c>
      <c r="I4511">
        <v>14.8</v>
      </c>
    </row>
    <row r="4512" spans="1:9" x14ac:dyDescent="0.3">
      <c r="A4512" t="s">
        <v>4527</v>
      </c>
      <c r="B4512" t="s">
        <v>16</v>
      </c>
      <c r="C4512" t="s">
        <v>11</v>
      </c>
      <c r="D4512">
        <v>26</v>
      </c>
      <c r="E4512" s="1">
        <v>41576</v>
      </c>
      <c r="F4512">
        <v>4.28</v>
      </c>
      <c r="G4512">
        <v>3</v>
      </c>
      <c r="H4512">
        <v>4527.8100000000004</v>
      </c>
      <c r="I4512">
        <v>12</v>
      </c>
    </row>
    <row r="4513" spans="1:9" x14ac:dyDescent="0.3">
      <c r="A4513" t="s">
        <v>4528</v>
      </c>
      <c r="B4513" t="s">
        <v>34</v>
      </c>
      <c r="C4513" t="s">
        <v>14</v>
      </c>
      <c r="D4513">
        <v>24</v>
      </c>
      <c r="E4513" s="1">
        <v>45219</v>
      </c>
      <c r="F4513">
        <v>2.1</v>
      </c>
      <c r="G4513">
        <v>7</v>
      </c>
      <c r="H4513">
        <v>11756.65</v>
      </c>
      <c r="I4513">
        <v>2</v>
      </c>
    </row>
    <row r="4514" spans="1:9" x14ac:dyDescent="0.3">
      <c r="A4514" t="s">
        <v>4529</v>
      </c>
      <c r="B4514" t="s">
        <v>10</v>
      </c>
      <c r="C4514" t="s">
        <v>14</v>
      </c>
      <c r="D4514">
        <v>47</v>
      </c>
      <c r="E4514" s="1">
        <v>41981</v>
      </c>
      <c r="F4514">
        <v>3.11</v>
      </c>
      <c r="G4514">
        <v>9</v>
      </c>
      <c r="H4514">
        <v>9137.09</v>
      </c>
      <c r="I4514">
        <v>10.9</v>
      </c>
    </row>
    <row r="4515" spans="1:9" x14ac:dyDescent="0.3">
      <c r="A4515" t="s">
        <v>4530</v>
      </c>
      <c r="B4515" t="s">
        <v>10</v>
      </c>
      <c r="C4515" t="s">
        <v>11</v>
      </c>
      <c r="D4515">
        <v>37</v>
      </c>
      <c r="E4515" s="1">
        <v>42032</v>
      </c>
      <c r="F4515">
        <v>3.68</v>
      </c>
      <c r="G4515">
        <v>8</v>
      </c>
      <c r="H4515">
        <v>11559.06</v>
      </c>
      <c r="I4515">
        <v>10.8</v>
      </c>
    </row>
    <row r="4516" spans="1:9" x14ac:dyDescent="0.3">
      <c r="A4516" t="s">
        <v>4531</v>
      </c>
      <c r="B4516" t="s">
        <v>34</v>
      </c>
      <c r="C4516" t="s">
        <v>14</v>
      </c>
      <c r="D4516">
        <v>30</v>
      </c>
      <c r="E4516" s="1">
        <v>45481</v>
      </c>
      <c r="F4516">
        <v>4.25</v>
      </c>
      <c r="G4516">
        <v>9</v>
      </c>
      <c r="H4516">
        <v>11889.4</v>
      </c>
      <c r="I4516">
        <v>1.3</v>
      </c>
    </row>
    <row r="4517" spans="1:9" x14ac:dyDescent="0.3">
      <c r="A4517" t="s">
        <v>4532</v>
      </c>
      <c r="B4517" t="s">
        <v>24</v>
      </c>
      <c r="C4517" t="s">
        <v>14</v>
      </c>
      <c r="D4517">
        <v>34</v>
      </c>
      <c r="E4517" s="1">
        <v>43675</v>
      </c>
      <c r="F4517">
        <v>3.53</v>
      </c>
      <c r="G4517">
        <v>3</v>
      </c>
      <c r="H4517">
        <v>6966.73</v>
      </c>
      <c r="I4517">
        <v>6.3</v>
      </c>
    </row>
    <row r="4518" spans="1:9" x14ac:dyDescent="0.3">
      <c r="A4518" t="s">
        <v>4533</v>
      </c>
      <c r="B4518" t="s">
        <v>18</v>
      </c>
      <c r="C4518" t="s">
        <v>11</v>
      </c>
      <c r="D4518">
        <v>24</v>
      </c>
      <c r="E4518" s="1">
        <v>43767</v>
      </c>
      <c r="F4518">
        <v>4.2</v>
      </c>
      <c r="G4518">
        <v>4</v>
      </c>
      <c r="H4518">
        <v>12305.11</v>
      </c>
      <c r="I4518">
        <v>6</v>
      </c>
    </row>
    <row r="4519" spans="1:9" x14ac:dyDescent="0.3">
      <c r="A4519" t="s">
        <v>4534</v>
      </c>
      <c r="B4519" t="s">
        <v>16</v>
      </c>
      <c r="C4519" t="s">
        <v>11</v>
      </c>
      <c r="D4519">
        <v>22</v>
      </c>
      <c r="E4519" s="1">
        <v>43090</v>
      </c>
      <c r="F4519">
        <v>1.9</v>
      </c>
      <c r="G4519">
        <v>10</v>
      </c>
      <c r="H4519">
        <v>12435.13</v>
      </c>
      <c r="I4519">
        <v>7.9</v>
      </c>
    </row>
    <row r="4520" spans="1:9" x14ac:dyDescent="0.3">
      <c r="A4520" t="s">
        <v>4535</v>
      </c>
      <c r="B4520" t="s">
        <v>24</v>
      </c>
      <c r="C4520" t="s">
        <v>11</v>
      </c>
      <c r="D4520">
        <v>58</v>
      </c>
      <c r="E4520" s="1">
        <v>45853</v>
      </c>
      <c r="F4520">
        <v>2.5299999999999998</v>
      </c>
      <c r="G4520">
        <v>9</v>
      </c>
      <c r="H4520">
        <v>9799.14</v>
      </c>
      <c r="I4520">
        <v>0.3</v>
      </c>
    </row>
    <row r="4521" spans="1:9" x14ac:dyDescent="0.3">
      <c r="A4521" t="s">
        <v>4536</v>
      </c>
      <c r="B4521" t="s">
        <v>18</v>
      </c>
      <c r="C4521" t="s">
        <v>11</v>
      </c>
      <c r="D4521">
        <v>53</v>
      </c>
      <c r="E4521" s="1">
        <v>44810</v>
      </c>
      <c r="F4521">
        <v>1.97</v>
      </c>
      <c r="G4521">
        <v>15</v>
      </c>
      <c r="H4521">
        <v>14479.52</v>
      </c>
      <c r="I4521">
        <v>3.2</v>
      </c>
    </row>
    <row r="4522" spans="1:9" x14ac:dyDescent="0.3">
      <c r="A4522" t="s">
        <v>4537</v>
      </c>
      <c r="B4522" t="s">
        <v>24</v>
      </c>
      <c r="C4522" t="s">
        <v>11</v>
      </c>
      <c r="D4522">
        <v>48</v>
      </c>
      <c r="E4522" s="1">
        <v>40944</v>
      </c>
      <c r="F4522">
        <v>4.04</v>
      </c>
      <c r="G4522">
        <v>4</v>
      </c>
      <c r="H4522">
        <v>12021.65</v>
      </c>
      <c r="I4522">
        <v>13.7</v>
      </c>
    </row>
    <row r="4523" spans="1:9" x14ac:dyDescent="0.3">
      <c r="A4523" t="s">
        <v>4538</v>
      </c>
      <c r="B4523" t="s">
        <v>18</v>
      </c>
      <c r="C4523" t="s">
        <v>11</v>
      </c>
      <c r="D4523">
        <v>27</v>
      </c>
      <c r="E4523" s="1">
        <v>40505</v>
      </c>
      <c r="F4523">
        <v>3.66</v>
      </c>
      <c r="G4523">
        <v>14</v>
      </c>
      <c r="H4523">
        <v>10062.15</v>
      </c>
      <c r="I4523">
        <v>15</v>
      </c>
    </row>
    <row r="4524" spans="1:9" x14ac:dyDescent="0.3">
      <c r="A4524" t="s">
        <v>4539</v>
      </c>
      <c r="B4524" t="s">
        <v>18</v>
      </c>
      <c r="C4524" t="s">
        <v>11</v>
      </c>
      <c r="D4524">
        <v>47</v>
      </c>
      <c r="E4524" s="1">
        <v>43870</v>
      </c>
      <c r="F4524">
        <v>4.79</v>
      </c>
      <c r="G4524">
        <v>14</v>
      </c>
      <c r="H4524">
        <v>11407.46</v>
      </c>
      <c r="I4524">
        <v>5.7</v>
      </c>
    </row>
    <row r="4525" spans="1:9" x14ac:dyDescent="0.3">
      <c r="A4525" t="s">
        <v>4540</v>
      </c>
      <c r="B4525" t="s">
        <v>34</v>
      </c>
      <c r="C4525" t="s">
        <v>11</v>
      </c>
      <c r="D4525">
        <v>58</v>
      </c>
      <c r="E4525" s="1">
        <v>42456</v>
      </c>
      <c r="F4525">
        <v>3.36</v>
      </c>
      <c r="G4525">
        <v>12</v>
      </c>
      <c r="H4525">
        <v>11995.9</v>
      </c>
      <c r="I4525">
        <v>9.6</v>
      </c>
    </row>
    <row r="4526" spans="1:9" x14ac:dyDescent="0.3">
      <c r="A4526" t="s">
        <v>4541</v>
      </c>
      <c r="B4526" t="s">
        <v>10</v>
      </c>
      <c r="C4526" t="s">
        <v>11</v>
      </c>
      <c r="D4526">
        <v>41</v>
      </c>
      <c r="E4526" s="1">
        <v>44411</v>
      </c>
      <c r="F4526">
        <v>2.27</v>
      </c>
      <c r="G4526">
        <v>4</v>
      </c>
      <c r="H4526">
        <v>9651.2199999999993</v>
      </c>
      <c r="I4526">
        <v>4.2</v>
      </c>
    </row>
    <row r="4527" spans="1:9" x14ac:dyDescent="0.3">
      <c r="A4527" t="s">
        <v>4542</v>
      </c>
      <c r="B4527" t="s">
        <v>13</v>
      </c>
      <c r="C4527" t="s">
        <v>11</v>
      </c>
      <c r="D4527">
        <v>40</v>
      </c>
      <c r="E4527" s="1">
        <v>42987</v>
      </c>
      <c r="F4527">
        <v>4.13</v>
      </c>
      <c r="G4527">
        <v>14</v>
      </c>
      <c r="H4527">
        <v>7506.65</v>
      </c>
      <c r="I4527">
        <v>8.1999999999999993</v>
      </c>
    </row>
    <row r="4528" spans="1:9" x14ac:dyDescent="0.3">
      <c r="A4528" t="s">
        <v>4543</v>
      </c>
      <c r="B4528" t="s">
        <v>18</v>
      </c>
      <c r="C4528" t="s">
        <v>14</v>
      </c>
      <c r="D4528">
        <v>35</v>
      </c>
      <c r="E4528" s="1">
        <v>44056</v>
      </c>
      <c r="F4528">
        <v>4.68</v>
      </c>
      <c r="G4528">
        <v>8</v>
      </c>
      <c r="H4528">
        <v>8691.34</v>
      </c>
      <c r="I4528">
        <v>5.2</v>
      </c>
    </row>
    <row r="4529" spans="1:9" x14ac:dyDescent="0.3">
      <c r="A4529" t="s">
        <v>4544</v>
      </c>
      <c r="B4529" t="s">
        <v>34</v>
      </c>
      <c r="C4529" t="s">
        <v>11</v>
      </c>
      <c r="D4529">
        <v>55</v>
      </c>
      <c r="E4529" s="1">
        <v>44793</v>
      </c>
      <c r="F4529">
        <v>4.34</v>
      </c>
      <c r="G4529">
        <v>6</v>
      </c>
      <c r="H4529">
        <v>3171.55</v>
      </c>
      <c r="I4529">
        <v>3.2</v>
      </c>
    </row>
    <row r="4530" spans="1:9" x14ac:dyDescent="0.3">
      <c r="A4530" t="s">
        <v>4545</v>
      </c>
      <c r="B4530" t="s">
        <v>34</v>
      </c>
      <c r="C4530" t="s">
        <v>11</v>
      </c>
      <c r="D4530">
        <v>55</v>
      </c>
      <c r="E4530" s="1">
        <v>45193</v>
      </c>
      <c r="F4530">
        <v>3.66</v>
      </c>
      <c r="G4530">
        <v>4</v>
      </c>
      <c r="H4530">
        <v>4144.3999999999996</v>
      </c>
      <c r="I4530">
        <v>2.1</v>
      </c>
    </row>
    <row r="4531" spans="1:9" x14ac:dyDescent="0.3">
      <c r="A4531" t="s">
        <v>4546</v>
      </c>
      <c r="B4531" t="s">
        <v>34</v>
      </c>
      <c r="C4531" t="s">
        <v>14</v>
      </c>
      <c r="D4531">
        <v>54</v>
      </c>
      <c r="E4531" s="1">
        <v>41969</v>
      </c>
      <c r="F4531">
        <v>2.93</v>
      </c>
      <c r="G4531">
        <v>11</v>
      </c>
      <c r="H4531">
        <v>13661.65</v>
      </c>
      <c r="I4531">
        <v>10.9</v>
      </c>
    </row>
    <row r="4532" spans="1:9" x14ac:dyDescent="0.3">
      <c r="A4532" t="s">
        <v>4547</v>
      </c>
      <c r="B4532" t="s">
        <v>18</v>
      </c>
      <c r="C4532" t="s">
        <v>14</v>
      </c>
      <c r="D4532">
        <v>31</v>
      </c>
      <c r="E4532" s="1">
        <v>41752</v>
      </c>
      <c r="F4532">
        <v>1.82</v>
      </c>
      <c r="G4532">
        <v>11</v>
      </c>
      <c r="H4532">
        <v>3700.88</v>
      </c>
      <c r="I4532">
        <v>11.5</v>
      </c>
    </row>
    <row r="4533" spans="1:9" x14ac:dyDescent="0.3">
      <c r="A4533" t="s">
        <v>4548</v>
      </c>
      <c r="B4533" t="s">
        <v>16</v>
      </c>
      <c r="C4533" t="s">
        <v>14</v>
      </c>
      <c r="D4533">
        <v>31</v>
      </c>
      <c r="E4533" s="1">
        <v>44623</v>
      </c>
      <c r="F4533">
        <v>2.52</v>
      </c>
      <c r="G4533">
        <v>5</v>
      </c>
      <c r="H4533">
        <v>7510.15</v>
      </c>
      <c r="I4533">
        <v>3.7</v>
      </c>
    </row>
    <row r="4534" spans="1:9" x14ac:dyDescent="0.3">
      <c r="A4534" t="s">
        <v>4549</v>
      </c>
      <c r="B4534" t="s">
        <v>10</v>
      </c>
      <c r="C4534" t="s">
        <v>11</v>
      </c>
      <c r="D4534">
        <v>35</v>
      </c>
      <c r="E4534" s="1">
        <v>43811</v>
      </c>
      <c r="F4534">
        <v>2.78</v>
      </c>
      <c r="G4534">
        <v>15</v>
      </c>
      <c r="H4534">
        <v>8508.23</v>
      </c>
      <c r="I4534">
        <v>5.9</v>
      </c>
    </row>
    <row r="4535" spans="1:9" x14ac:dyDescent="0.3">
      <c r="A4535" t="s">
        <v>4550</v>
      </c>
      <c r="B4535" t="s">
        <v>10</v>
      </c>
      <c r="C4535" t="s">
        <v>11</v>
      </c>
      <c r="D4535">
        <v>23</v>
      </c>
      <c r="E4535" s="1">
        <v>43214</v>
      </c>
      <c r="F4535">
        <v>3.7</v>
      </c>
      <c r="G4535">
        <v>1</v>
      </c>
      <c r="H4535">
        <v>3649.74</v>
      </c>
      <c r="I4535">
        <v>7.5</v>
      </c>
    </row>
    <row r="4536" spans="1:9" x14ac:dyDescent="0.3">
      <c r="A4536" t="s">
        <v>4551</v>
      </c>
      <c r="B4536" t="s">
        <v>34</v>
      </c>
      <c r="C4536" t="s">
        <v>14</v>
      </c>
      <c r="D4536">
        <v>52</v>
      </c>
      <c r="E4536" s="1">
        <v>43833</v>
      </c>
      <c r="F4536">
        <v>3.01</v>
      </c>
      <c r="G4536">
        <v>0</v>
      </c>
      <c r="H4536">
        <v>12512.85</v>
      </c>
      <c r="I4536">
        <v>5.8</v>
      </c>
    </row>
    <row r="4537" spans="1:9" x14ac:dyDescent="0.3">
      <c r="A4537" t="s">
        <v>4552</v>
      </c>
      <c r="B4537" t="s">
        <v>16</v>
      </c>
      <c r="C4537" t="s">
        <v>14</v>
      </c>
      <c r="D4537">
        <v>28</v>
      </c>
      <c r="E4537" s="1">
        <v>41327</v>
      </c>
      <c r="F4537">
        <v>2.74</v>
      </c>
      <c r="G4537">
        <v>6</v>
      </c>
      <c r="H4537">
        <v>7872.69</v>
      </c>
      <c r="I4537">
        <v>12.7</v>
      </c>
    </row>
    <row r="4538" spans="1:9" x14ac:dyDescent="0.3">
      <c r="A4538" t="s">
        <v>4553</v>
      </c>
      <c r="B4538" t="s">
        <v>10</v>
      </c>
      <c r="C4538" t="s">
        <v>14</v>
      </c>
      <c r="D4538">
        <v>57</v>
      </c>
      <c r="E4538" s="1">
        <v>44804</v>
      </c>
      <c r="F4538">
        <v>4.71</v>
      </c>
      <c r="G4538">
        <v>10</v>
      </c>
      <c r="H4538">
        <v>10852.93</v>
      </c>
      <c r="I4538">
        <v>3.2</v>
      </c>
    </row>
    <row r="4539" spans="1:9" x14ac:dyDescent="0.3">
      <c r="A4539" t="s">
        <v>4554</v>
      </c>
      <c r="B4539" t="s">
        <v>10</v>
      </c>
      <c r="C4539" t="s">
        <v>14</v>
      </c>
      <c r="D4539">
        <v>32</v>
      </c>
      <c r="E4539" s="1">
        <v>40499</v>
      </c>
      <c r="F4539">
        <v>4.4800000000000004</v>
      </c>
      <c r="G4539">
        <v>10</v>
      </c>
      <c r="H4539">
        <v>7781.84</v>
      </c>
      <c r="I4539">
        <v>15</v>
      </c>
    </row>
    <row r="4540" spans="1:9" x14ac:dyDescent="0.3">
      <c r="A4540" t="s">
        <v>4555</v>
      </c>
      <c r="B4540" t="s">
        <v>16</v>
      </c>
      <c r="C4540" t="s">
        <v>14</v>
      </c>
      <c r="D4540">
        <v>29</v>
      </c>
      <c r="E4540" s="1">
        <v>44735</v>
      </c>
      <c r="F4540">
        <v>4.37</v>
      </c>
      <c r="G4540">
        <v>5</v>
      </c>
      <c r="H4540">
        <v>10801.56</v>
      </c>
      <c r="I4540">
        <v>3.4</v>
      </c>
    </row>
    <row r="4541" spans="1:9" x14ac:dyDescent="0.3">
      <c r="A4541" t="s">
        <v>4556</v>
      </c>
      <c r="B4541" t="s">
        <v>18</v>
      </c>
      <c r="C4541" t="s">
        <v>14</v>
      </c>
      <c r="D4541">
        <v>48</v>
      </c>
      <c r="E4541" s="1">
        <v>42976</v>
      </c>
      <c r="F4541">
        <v>2.5099999999999998</v>
      </c>
      <c r="G4541">
        <v>5</v>
      </c>
      <c r="H4541">
        <v>13586.05</v>
      </c>
      <c r="I4541">
        <v>8.1999999999999993</v>
      </c>
    </row>
    <row r="4542" spans="1:9" x14ac:dyDescent="0.3">
      <c r="A4542" t="s">
        <v>4557</v>
      </c>
      <c r="B4542" t="s">
        <v>34</v>
      </c>
      <c r="C4542" t="s">
        <v>11</v>
      </c>
      <c r="D4542">
        <v>46</v>
      </c>
      <c r="E4542" s="1">
        <v>44610</v>
      </c>
      <c r="F4542">
        <v>4.8</v>
      </c>
      <c r="G4542">
        <v>14</v>
      </c>
      <c r="H4542">
        <v>10011.99</v>
      </c>
      <c r="I4542">
        <v>3.7</v>
      </c>
    </row>
    <row r="4543" spans="1:9" x14ac:dyDescent="0.3">
      <c r="A4543" t="s">
        <v>4558</v>
      </c>
      <c r="B4543" t="s">
        <v>13</v>
      </c>
      <c r="C4543" t="s">
        <v>14</v>
      </c>
      <c r="D4543">
        <v>47</v>
      </c>
      <c r="E4543" s="1">
        <v>40255</v>
      </c>
      <c r="F4543">
        <v>2.38</v>
      </c>
      <c r="G4543">
        <v>1</v>
      </c>
      <c r="H4543">
        <v>14909.57</v>
      </c>
      <c r="I4543">
        <v>15.6</v>
      </c>
    </row>
    <row r="4544" spans="1:9" x14ac:dyDescent="0.3">
      <c r="A4544" t="s">
        <v>4559</v>
      </c>
      <c r="B4544" t="s">
        <v>34</v>
      </c>
      <c r="C4544" t="s">
        <v>14</v>
      </c>
      <c r="D4544">
        <v>37</v>
      </c>
      <c r="E4544" s="1">
        <v>41616</v>
      </c>
      <c r="F4544">
        <v>2.48</v>
      </c>
      <c r="G4544">
        <v>4</v>
      </c>
      <c r="H4544">
        <v>10988.4</v>
      </c>
      <c r="I4544">
        <v>11.9</v>
      </c>
    </row>
    <row r="4545" spans="1:9" x14ac:dyDescent="0.3">
      <c r="A4545" t="s">
        <v>4560</v>
      </c>
      <c r="B4545" t="s">
        <v>24</v>
      </c>
      <c r="C4545" t="s">
        <v>11</v>
      </c>
      <c r="D4545">
        <v>56</v>
      </c>
      <c r="E4545" s="1">
        <v>42101</v>
      </c>
      <c r="F4545">
        <v>4.9800000000000004</v>
      </c>
      <c r="G4545">
        <v>10</v>
      </c>
      <c r="H4545">
        <v>13554.8</v>
      </c>
      <c r="I4545">
        <v>10.6</v>
      </c>
    </row>
    <row r="4546" spans="1:9" x14ac:dyDescent="0.3">
      <c r="A4546" t="s">
        <v>4561</v>
      </c>
      <c r="B4546" t="s">
        <v>13</v>
      </c>
      <c r="C4546" t="s">
        <v>11</v>
      </c>
      <c r="D4546">
        <v>41</v>
      </c>
      <c r="E4546" s="1">
        <v>44872</v>
      </c>
      <c r="F4546">
        <v>2.91</v>
      </c>
      <c r="G4546">
        <v>12</v>
      </c>
      <c r="H4546">
        <v>9487.39</v>
      </c>
      <c r="I4546">
        <v>3</v>
      </c>
    </row>
    <row r="4547" spans="1:9" x14ac:dyDescent="0.3">
      <c r="A4547" t="s">
        <v>4562</v>
      </c>
      <c r="B4547" t="s">
        <v>18</v>
      </c>
      <c r="C4547" t="s">
        <v>14</v>
      </c>
      <c r="D4547">
        <v>35</v>
      </c>
      <c r="E4547" s="1">
        <v>41836</v>
      </c>
      <c r="F4547">
        <v>2.14</v>
      </c>
      <c r="G4547">
        <v>11</v>
      </c>
      <c r="H4547">
        <v>11549.68</v>
      </c>
      <c r="I4547">
        <v>11.3</v>
      </c>
    </row>
    <row r="4548" spans="1:9" x14ac:dyDescent="0.3">
      <c r="A4548" t="s">
        <v>4563</v>
      </c>
      <c r="B4548" t="s">
        <v>16</v>
      </c>
      <c r="C4548" t="s">
        <v>14</v>
      </c>
      <c r="D4548">
        <v>42</v>
      </c>
      <c r="E4548" s="1">
        <v>42201</v>
      </c>
      <c r="F4548">
        <v>2.13</v>
      </c>
      <c r="G4548">
        <v>7</v>
      </c>
      <c r="H4548">
        <v>4195.2</v>
      </c>
      <c r="I4548">
        <v>10.3</v>
      </c>
    </row>
    <row r="4549" spans="1:9" x14ac:dyDescent="0.3">
      <c r="A4549" t="s">
        <v>4564</v>
      </c>
      <c r="B4549" t="s">
        <v>24</v>
      </c>
      <c r="C4549" t="s">
        <v>11</v>
      </c>
      <c r="D4549">
        <v>23</v>
      </c>
      <c r="E4549" s="1">
        <v>41199</v>
      </c>
      <c r="F4549">
        <v>2.4500000000000002</v>
      </c>
      <c r="G4549">
        <v>7</v>
      </c>
      <c r="H4549">
        <v>3213.28</v>
      </c>
      <c r="I4549">
        <v>13</v>
      </c>
    </row>
    <row r="4550" spans="1:9" x14ac:dyDescent="0.3">
      <c r="A4550" t="s">
        <v>4565</v>
      </c>
      <c r="B4550" t="s">
        <v>16</v>
      </c>
      <c r="C4550" t="s">
        <v>11</v>
      </c>
      <c r="D4550">
        <v>49</v>
      </c>
      <c r="E4550" s="1">
        <v>42528</v>
      </c>
      <c r="F4550">
        <v>3.49</v>
      </c>
      <c r="G4550">
        <v>14</v>
      </c>
      <c r="H4550">
        <v>13396.62</v>
      </c>
      <c r="I4550">
        <v>9.4</v>
      </c>
    </row>
    <row r="4551" spans="1:9" x14ac:dyDescent="0.3">
      <c r="A4551" t="s">
        <v>4566</v>
      </c>
      <c r="B4551" t="s">
        <v>13</v>
      </c>
      <c r="C4551" t="s">
        <v>14</v>
      </c>
      <c r="D4551">
        <v>22</v>
      </c>
      <c r="E4551" s="1">
        <v>42849</v>
      </c>
      <c r="F4551">
        <v>3.57</v>
      </c>
      <c r="G4551">
        <v>2</v>
      </c>
      <c r="H4551">
        <v>10289.629999999999</v>
      </c>
      <c r="I4551">
        <v>8.5</v>
      </c>
    </row>
    <row r="4552" spans="1:9" x14ac:dyDescent="0.3">
      <c r="A4552" t="s">
        <v>4567</v>
      </c>
      <c r="B4552" t="s">
        <v>24</v>
      </c>
      <c r="C4552" t="s">
        <v>14</v>
      </c>
      <c r="D4552">
        <v>45</v>
      </c>
      <c r="E4552" s="1">
        <v>41544</v>
      </c>
      <c r="F4552">
        <v>3.4</v>
      </c>
      <c r="G4552">
        <v>8</v>
      </c>
      <c r="H4552">
        <v>4838.6099999999997</v>
      </c>
      <c r="I4552">
        <v>12.1</v>
      </c>
    </row>
    <row r="4553" spans="1:9" x14ac:dyDescent="0.3">
      <c r="A4553" t="s">
        <v>4568</v>
      </c>
      <c r="B4553" t="s">
        <v>13</v>
      </c>
      <c r="C4553" t="s">
        <v>11</v>
      </c>
      <c r="D4553">
        <v>30</v>
      </c>
      <c r="E4553" s="1">
        <v>43317</v>
      </c>
      <c r="F4553">
        <v>3.1</v>
      </c>
      <c r="G4553">
        <v>1</v>
      </c>
      <c r="H4553">
        <v>13868.9</v>
      </c>
      <c r="I4553">
        <v>7.2</v>
      </c>
    </row>
    <row r="4554" spans="1:9" x14ac:dyDescent="0.3">
      <c r="A4554" t="s">
        <v>4569</v>
      </c>
      <c r="B4554" t="s">
        <v>10</v>
      </c>
      <c r="C4554" t="s">
        <v>11</v>
      </c>
      <c r="D4554">
        <v>44</v>
      </c>
      <c r="E4554" s="1">
        <v>43929</v>
      </c>
      <c r="F4554">
        <v>3.77</v>
      </c>
      <c r="G4554">
        <v>1</v>
      </c>
      <c r="H4554">
        <v>8023.08</v>
      </c>
      <c r="I4554">
        <v>5.6</v>
      </c>
    </row>
    <row r="4555" spans="1:9" x14ac:dyDescent="0.3">
      <c r="A4555" t="s">
        <v>4570</v>
      </c>
      <c r="B4555" t="s">
        <v>24</v>
      </c>
      <c r="C4555" t="s">
        <v>11</v>
      </c>
      <c r="D4555">
        <v>46</v>
      </c>
      <c r="E4555" s="1">
        <v>44132</v>
      </c>
      <c r="F4555">
        <v>3.46</v>
      </c>
      <c r="G4555">
        <v>12</v>
      </c>
      <c r="H4555">
        <v>12802.77</v>
      </c>
      <c r="I4555">
        <v>5</v>
      </c>
    </row>
    <row r="4556" spans="1:9" x14ac:dyDescent="0.3">
      <c r="A4556" t="s">
        <v>4571</v>
      </c>
      <c r="B4556" t="s">
        <v>34</v>
      </c>
      <c r="C4556" t="s">
        <v>11</v>
      </c>
      <c r="D4556">
        <v>41</v>
      </c>
      <c r="E4556" s="1">
        <v>45602</v>
      </c>
      <c r="F4556">
        <v>2.77</v>
      </c>
      <c r="G4556">
        <v>7</v>
      </c>
      <c r="H4556">
        <v>3554.96</v>
      </c>
      <c r="I4556">
        <v>1</v>
      </c>
    </row>
    <row r="4557" spans="1:9" x14ac:dyDescent="0.3">
      <c r="A4557" t="s">
        <v>4572</v>
      </c>
      <c r="B4557" t="s">
        <v>16</v>
      </c>
      <c r="C4557" t="s">
        <v>14</v>
      </c>
      <c r="D4557">
        <v>55</v>
      </c>
      <c r="E4557" s="1">
        <v>41596</v>
      </c>
      <c r="F4557">
        <v>3.85</v>
      </c>
      <c r="G4557">
        <v>14</v>
      </c>
      <c r="H4557">
        <v>8735.14</v>
      </c>
      <c r="I4557">
        <v>12</v>
      </c>
    </row>
    <row r="4558" spans="1:9" x14ac:dyDescent="0.3">
      <c r="A4558" t="s">
        <v>4573</v>
      </c>
      <c r="B4558" t="s">
        <v>24</v>
      </c>
      <c r="C4558" t="s">
        <v>14</v>
      </c>
      <c r="D4558">
        <v>26</v>
      </c>
      <c r="E4558" s="1">
        <v>40541</v>
      </c>
      <c r="F4558">
        <v>2.52</v>
      </c>
      <c r="G4558">
        <v>12</v>
      </c>
      <c r="H4558">
        <v>9455.93</v>
      </c>
      <c r="I4558">
        <v>14.9</v>
      </c>
    </row>
    <row r="4559" spans="1:9" x14ac:dyDescent="0.3">
      <c r="A4559" t="s">
        <v>4574</v>
      </c>
      <c r="B4559" t="s">
        <v>13</v>
      </c>
      <c r="C4559" t="s">
        <v>11</v>
      </c>
      <c r="D4559">
        <v>39</v>
      </c>
      <c r="E4559" s="1">
        <v>43706</v>
      </c>
      <c r="F4559">
        <v>3.12</v>
      </c>
      <c r="G4559">
        <v>13</v>
      </c>
      <c r="H4559">
        <v>11921.26</v>
      </c>
      <c r="I4559">
        <v>6.2</v>
      </c>
    </row>
    <row r="4560" spans="1:9" x14ac:dyDescent="0.3">
      <c r="A4560" t="s">
        <v>4575</v>
      </c>
      <c r="B4560" t="s">
        <v>18</v>
      </c>
      <c r="C4560" t="s">
        <v>14</v>
      </c>
      <c r="D4560">
        <v>39</v>
      </c>
      <c r="E4560" s="1">
        <v>43364</v>
      </c>
      <c r="F4560">
        <v>4.6900000000000004</v>
      </c>
      <c r="G4560">
        <v>6</v>
      </c>
      <c r="H4560">
        <v>6962.4</v>
      </c>
      <c r="I4560">
        <v>7.1</v>
      </c>
    </row>
    <row r="4561" spans="1:9" x14ac:dyDescent="0.3">
      <c r="A4561" t="s">
        <v>4576</v>
      </c>
      <c r="B4561" t="s">
        <v>13</v>
      </c>
      <c r="C4561" t="s">
        <v>11</v>
      </c>
      <c r="D4561">
        <v>33</v>
      </c>
      <c r="E4561" s="1">
        <v>45563</v>
      </c>
      <c r="F4561">
        <v>4.6399999999999997</v>
      </c>
      <c r="G4561">
        <v>9</v>
      </c>
      <c r="H4561">
        <v>10041.5</v>
      </c>
      <c r="I4561">
        <v>1.1000000000000001</v>
      </c>
    </row>
    <row r="4562" spans="1:9" x14ac:dyDescent="0.3">
      <c r="A4562" t="s">
        <v>4577</v>
      </c>
      <c r="B4562" t="s">
        <v>13</v>
      </c>
      <c r="C4562" t="s">
        <v>14</v>
      </c>
      <c r="D4562">
        <v>28</v>
      </c>
      <c r="E4562" s="1">
        <v>43074</v>
      </c>
      <c r="F4562">
        <v>3.13</v>
      </c>
      <c r="G4562">
        <v>13</v>
      </c>
      <c r="H4562">
        <v>3647.01</v>
      </c>
      <c r="I4562">
        <v>7.9</v>
      </c>
    </row>
    <row r="4563" spans="1:9" x14ac:dyDescent="0.3">
      <c r="A4563" t="s">
        <v>4578</v>
      </c>
      <c r="B4563" t="s">
        <v>16</v>
      </c>
      <c r="C4563" t="s">
        <v>11</v>
      </c>
      <c r="D4563">
        <v>24</v>
      </c>
      <c r="E4563" s="1">
        <v>43461</v>
      </c>
      <c r="F4563">
        <v>4.3499999999999996</v>
      </c>
      <c r="G4563">
        <v>3</v>
      </c>
      <c r="H4563">
        <v>10595.63</v>
      </c>
      <c r="I4563">
        <v>6.9</v>
      </c>
    </row>
    <row r="4564" spans="1:9" x14ac:dyDescent="0.3">
      <c r="A4564" t="s">
        <v>4579</v>
      </c>
      <c r="B4564" t="s">
        <v>16</v>
      </c>
      <c r="C4564" t="s">
        <v>14</v>
      </c>
      <c r="D4564">
        <v>51</v>
      </c>
      <c r="E4564" s="1">
        <v>42344</v>
      </c>
      <c r="F4564">
        <v>1.98</v>
      </c>
      <c r="G4564">
        <v>12</v>
      </c>
      <c r="H4564">
        <v>3035.83</v>
      </c>
      <c r="I4564">
        <v>9.9</v>
      </c>
    </row>
    <row r="4565" spans="1:9" x14ac:dyDescent="0.3">
      <c r="A4565" t="s">
        <v>4580</v>
      </c>
      <c r="B4565" t="s">
        <v>24</v>
      </c>
      <c r="C4565" t="s">
        <v>11</v>
      </c>
      <c r="D4565">
        <v>39</v>
      </c>
      <c r="E4565" s="1">
        <v>41729</v>
      </c>
      <c r="F4565">
        <v>3.31</v>
      </c>
      <c r="G4565">
        <v>11</v>
      </c>
      <c r="H4565">
        <v>14832.84</v>
      </c>
      <c r="I4565">
        <v>11.6</v>
      </c>
    </row>
    <row r="4566" spans="1:9" x14ac:dyDescent="0.3">
      <c r="A4566" t="s">
        <v>4581</v>
      </c>
      <c r="B4566" t="s">
        <v>24</v>
      </c>
      <c r="C4566" t="s">
        <v>14</v>
      </c>
      <c r="D4566">
        <v>27</v>
      </c>
      <c r="E4566" s="1">
        <v>42843</v>
      </c>
      <c r="F4566">
        <v>3.75</v>
      </c>
      <c r="G4566">
        <v>7</v>
      </c>
      <c r="H4566">
        <v>14273.49</v>
      </c>
      <c r="I4566">
        <v>8.5</v>
      </c>
    </row>
    <row r="4567" spans="1:9" x14ac:dyDescent="0.3">
      <c r="A4567" t="s">
        <v>4582</v>
      </c>
      <c r="B4567" t="s">
        <v>18</v>
      </c>
      <c r="C4567" t="s">
        <v>14</v>
      </c>
      <c r="D4567">
        <v>32</v>
      </c>
      <c r="E4567" s="1">
        <v>43231</v>
      </c>
      <c r="F4567">
        <v>2.12</v>
      </c>
      <c r="G4567">
        <v>0</v>
      </c>
      <c r="H4567">
        <v>6854.57</v>
      </c>
      <c r="I4567">
        <v>7.5</v>
      </c>
    </row>
    <row r="4568" spans="1:9" x14ac:dyDescent="0.3">
      <c r="A4568" t="s">
        <v>4583</v>
      </c>
      <c r="B4568" t="s">
        <v>16</v>
      </c>
      <c r="C4568" t="s">
        <v>14</v>
      </c>
      <c r="D4568">
        <v>43</v>
      </c>
      <c r="E4568" s="1">
        <v>40357</v>
      </c>
      <c r="F4568">
        <v>4.9800000000000004</v>
      </c>
      <c r="G4568">
        <v>12</v>
      </c>
      <c r="H4568">
        <v>14777.77</v>
      </c>
      <c r="I4568">
        <v>15.4</v>
      </c>
    </row>
    <row r="4569" spans="1:9" x14ac:dyDescent="0.3">
      <c r="A4569" t="s">
        <v>4584</v>
      </c>
      <c r="B4569" t="s">
        <v>10</v>
      </c>
      <c r="C4569" t="s">
        <v>11</v>
      </c>
      <c r="D4569">
        <v>56</v>
      </c>
      <c r="E4569" s="1">
        <v>43694</v>
      </c>
      <c r="F4569">
        <v>3.87</v>
      </c>
      <c r="G4569">
        <v>7</v>
      </c>
      <c r="H4569">
        <v>11782.54</v>
      </c>
      <c r="I4569">
        <v>6.2</v>
      </c>
    </row>
    <row r="4570" spans="1:9" x14ac:dyDescent="0.3">
      <c r="A4570" t="s">
        <v>4585</v>
      </c>
      <c r="B4570" t="s">
        <v>10</v>
      </c>
      <c r="C4570" t="s">
        <v>11</v>
      </c>
      <c r="D4570">
        <v>56</v>
      </c>
      <c r="E4570" s="1">
        <v>42501</v>
      </c>
      <c r="F4570">
        <v>4.04</v>
      </c>
      <c r="G4570">
        <v>8</v>
      </c>
      <c r="H4570">
        <v>9237.68</v>
      </c>
      <c r="I4570">
        <v>9.5</v>
      </c>
    </row>
    <row r="4571" spans="1:9" x14ac:dyDescent="0.3">
      <c r="A4571" t="s">
        <v>4586</v>
      </c>
      <c r="B4571" t="s">
        <v>16</v>
      </c>
      <c r="C4571" t="s">
        <v>14</v>
      </c>
      <c r="D4571">
        <v>26</v>
      </c>
      <c r="E4571" s="1">
        <v>45637</v>
      </c>
      <c r="F4571">
        <v>1.75</v>
      </c>
      <c r="G4571">
        <v>3</v>
      </c>
      <c r="H4571">
        <v>11352.75</v>
      </c>
      <c r="I4571">
        <v>0.9</v>
      </c>
    </row>
    <row r="4572" spans="1:9" x14ac:dyDescent="0.3">
      <c r="A4572" t="s">
        <v>4587</v>
      </c>
      <c r="B4572" t="s">
        <v>18</v>
      </c>
      <c r="C4572" t="s">
        <v>11</v>
      </c>
      <c r="D4572">
        <v>54</v>
      </c>
      <c r="E4572" s="1">
        <v>41971</v>
      </c>
      <c r="F4572">
        <v>3.59</v>
      </c>
      <c r="G4572">
        <v>2</v>
      </c>
      <c r="H4572">
        <v>4560.74</v>
      </c>
      <c r="I4572">
        <v>10.9</v>
      </c>
    </row>
    <row r="4573" spans="1:9" x14ac:dyDescent="0.3">
      <c r="A4573" t="s">
        <v>4588</v>
      </c>
      <c r="B4573" t="s">
        <v>13</v>
      </c>
      <c r="C4573" t="s">
        <v>11</v>
      </c>
      <c r="D4573">
        <v>58</v>
      </c>
      <c r="E4573" s="1">
        <v>45062</v>
      </c>
      <c r="F4573">
        <v>2.34</v>
      </c>
      <c r="G4573">
        <v>9</v>
      </c>
      <c r="H4573">
        <v>7770.06</v>
      </c>
      <c r="I4573">
        <v>2.5</v>
      </c>
    </row>
    <row r="4574" spans="1:9" x14ac:dyDescent="0.3">
      <c r="A4574" t="s">
        <v>4589</v>
      </c>
      <c r="B4574" t="s">
        <v>16</v>
      </c>
      <c r="C4574" t="s">
        <v>14</v>
      </c>
      <c r="D4574">
        <v>37</v>
      </c>
      <c r="E4574" s="1">
        <v>43924</v>
      </c>
      <c r="F4574">
        <v>4.91</v>
      </c>
      <c r="G4574">
        <v>15</v>
      </c>
      <c r="H4574">
        <v>14426.62</v>
      </c>
      <c r="I4574">
        <v>5.6</v>
      </c>
    </row>
    <row r="4575" spans="1:9" x14ac:dyDescent="0.3">
      <c r="A4575" t="s">
        <v>4590</v>
      </c>
      <c r="B4575" t="s">
        <v>34</v>
      </c>
      <c r="C4575" t="s">
        <v>11</v>
      </c>
      <c r="D4575">
        <v>31</v>
      </c>
      <c r="E4575" s="1">
        <v>41226</v>
      </c>
      <c r="F4575">
        <v>2.64</v>
      </c>
      <c r="G4575">
        <v>0</v>
      </c>
      <c r="H4575">
        <v>6639.05</v>
      </c>
      <c r="I4575">
        <v>13</v>
      </c>
    </row>
    <row r="4576" spans="1:9" x14ac:dyDescent="0.3">
      <c r="A4576" t="s">
        <v>4591</v>
      </c>
      <c r="B4576" t="s">
        <v>24</v>
      </c>
      <c r="C4576" t="s">
        <v>14</v>
      </c>
      <c r="D4576">
        <v>39</v>
      </c>
      <c r="E4576" s="1">
        <v>40436</v>
      </c>
      <c r="F4576">
        <v>2.83</v>
      </c>
      <c r="G4576">
        <v>3</v>
      </c>
      <c r="H4576">
        <v>7024.24</v>
      </c>
      <c r="I4576">
        <v>15.1</v>
      </c>
    </row>
    <row r="4577" spans="1:9" x14ac:dyDescent="0.3">
      <c r="A4577" t="s">
        <v>4592</v>
      </c>
      <c r="B4577" t="s">
        <v>24</v>
      </c>
      <c r="C4577" t="s">
        <v>11</v>
      </c>
      <c r="D4577">
        <v>51</v>
      </c>
      <c r="E4577" s="1">
        <v>44641</v>
      </c>
      <c r="F4577">
        <v>4.01</v>
      </c>
      <c r="G4577">
        <v>12</v>
      </c>
      <c r="H4577">
        <v>4534.62</v>
      </c>
      <c r="I4577">
        <v>3.6</v>
      </c>
    </row>
    <row r="4578" spans="1:9" x14ac:dyDescent="0.3">
      <c r="A4578" t="s">
        <v>4593</v>
      </c>
      <c r="B4578" t="s">
        <v>10</v>
      </c>
      <c r="C4578" t="s">
        <v>11</v>
      </c>
      <c r="D4578">
        <v>35</v>
      </c>
      <c r="E4578" s="1">
        <v>40462</v>
      </c>
      <c r="F4578">
        <v>4.3499999999999996</v>
      </c>
      <c r="G4578">
        <v>1</v>
      </c>
      <c r="H4578">
        <v>13631.56</v>
      </c>
      <c r="I4578">
        <v>15.1</v>
      </c>
    </row>
    <row r="4579" spans="1:9" x14ac:dyDescent="0.3">
      <c r="A4579" t="s">
        <v>4594</v>
      </c>
      <c r="B4579" t="s">
        <v>10</v>
      </c>
      <c r="C4579" t="s">
        <v>11</v>
      </c>
      <c r="D4579">
        <v>47</v>
      </c>
      <c r="E4579" s="1">
        <v>41909</v>
      </c>
      <c r="F4579">
        <v>1.68</v>
      </c>
      <c r="G4579">
        <v>14</v>
      </c>
      <c r="H4579">
        <v>7959.47</v>
      </c>
      <c r="I4579">
        <v>11.1</v>
      </c>
    </row>
    <row r="4580" spans="1:9" x14ac:dyDescent="0.3">
      <c r="A4580" t="s">
        <v>4595</v>
      </c>
      <c r="B4580" t="s">
        <v>24</v>
      </c>
      <c r="C4580" t="s">
        <v>14</v>
      </c>
      <c r="D4580">
        <v>45</v>
      </c>
      <c r="E4580" s="1">
        <v>40909</v>
      </c>
      <c r="F4580">
        <v>2.08</v>
      </c>
      <c r="G4580">
        <v>7</v>
      </c>
      <c r="H4580">
        <v>5634.21</v>
      </c>
      <c r="I4580">
        <v>13.8</v>
      </c>
    </row>
    <row r="4581" spans="1:9" x14ac:dyDescent="0.3">
      <c r="A4581" t="s">
        <v>4596</v>
      </c>
      <c r="B4581" t="s">
        <v>16</v>
      </c>
      <c r="C4581" t="s">
        <v>11</v>
      </c>
      <c r="D4581">
        <v>40</v>
      </c>
      <c r="E4581" s="1">
        <v>45574</v>
      </c>
      <c r="F4581">
        <v>3.27</v>
      </c>
      <c r="G4581">
        <v>4</v>
      </c>
      <c r="H4581">
        <v>7257.98</v>
      </c>
      <c r="I4581">
        <v>1.1000000000000001</v>
      </c>
    </row>
    <row r="4582" spans="1:9" x14ac:dyDescent="0.3">
      <c r="A4582" t="s">
        <v>4597</v>
      </c>
      <c r="B4582" t="s">
        <v>16</v>
      </c>
      <c r="C4582" t="s">
        <v>11</v>
      </c>
      <c r="D4582">
        <v>51</v>
      </c>
      <c r="E4582" s="1">
        <v>43077</v>
      </c>
      <c r="F4582">
        <v>3.2</v>
      </c>
      <c r="G4582">
        <v>4</v>
      </c>
      <c r="H4582">
        <v>10542.57</v>
      </c>
      <c r="I4582">
        <v>7.9</v>
      </c>
    </row>
    <row r="4583" spans="1:9" x14ac:dyDescent="0.3">
      <c r="A4583" t="s">
        <v>4598</v>
      </c>
      <c r="B4583" t="s">
        <v>13</v>
      </c>
      <c r="C4583" t="s">
        <v>14</v>
      </c>
      <c r="D4583">
        <v>29</v>
      </c>
      <c r="E4583" s="1">
        <v>42989</v>
      </c>
      <c r="F4583">
        <v>4.8899999999999997</v>
      </c>
      <c r="G4583">
        <v>0</v>
      </c>
      <c r="H4583">
        <v>9533.35</v>
      </c>
      <c r="I4583">
        <v>8.1</v>
      </c>
    </row>
    <row r="4584" spans="1:9" x14ac:dyDescent="0.3">
      <c r="A4584" t="s">
        <v>4599</v>
      </c>
      <c r="B4584" t="s">
        <v>18</v>
      </c>
      <c r="C4584" t="s">
        <v>14</v>
      </c>
      <c r="D4584">
        <v>23</v>
      </c>
      <c r="E4584" s="1">
        <v>42944</v>
      </c>
      <c r="F4584">
        <v>2.79</v>
      </c>
      <c r="G4584">
        <v>3</v>
      </c>
      <c r="H4584">
        <v>4748.6499999999996</v>
      </c>
      <c r="I4584">
        <v>8.3000000000000007</v>
      </c>
    </row>
    <row r="4585" spans="1:9" x14ac:dyDescent="0.3">
      <c r="A4585" t="s">
        <v>4600</v>
      </c>
      <c r="B4585" t="s">
        <v>18</v>
      </c>
      <c r="C4585" t="s">
        <v>14</v>
      </c>
      <c r="D4585">
        <v>36</v>
      </c>
      <c r="E4585" s="1">
        <v>43058</v>
      </c>
      <c r="F4585">
        <v>1.56</v>
      </c>
      <c r="G4585">
        <v>6</v>
      </c>
      <c r="H4585">
        <v>6432.1</v>
      </c>
      <c r="I4585">
        <v>8</v>
      </c>
    </row>
    <row r="4586" spans="1:9" x14ac:dyDescent="0.3">
      <c r="A4586" t="s">
        <v>4601</v>
      </c>
      <c r="B4586" t="s">
        <v>24</v>
      </c>
      <c r="C4586" t="s">
        <v>14</v>
      </c>
      <c r="D4586">
        <v>46</v>
      </c>
      <c r="E4586" s="1">
        <v>45949</v>
      </c>
      <c r="F4586">
        <v>4.3600000000000003</v>
      </c>
      <c r="G4586">
        <v>9</v>
      </c>
      <c r="H4586">
        <v>13297.9</v>
      </c>
      <c r="I4586">
        <v>0</v>
      </c>
    </row>
    <row r="4587" spans="1:9" x14ac:dyDescent="0.3">
      <c r="A4587" t="s">
        <v>4602</v>
      </c>
      <c r="B4587" t="s">
        <v>24</v>
      </c>
      <c r="C4587" t="s">
        <v>14</v>
      </c>
      <c r="D4587">
        <v>59</v>
      </c>
      <c r="E4587" s="1">
        <v>43742</v>
      </c>
      <c r="F4587">
        <v>4.4400000000000004</v>
      </c>
      <c r="G4587">
        <v>1</v>
      </c>
      <c r="H4587">
        <v>5812.88</v>
      </c>
      <c r="I4587">
        <v>6.1</v>
      </c>
    </row>
    <row r="4588" spans="1:9" x14ac:dyDescent="0.3">
      <c r="A4588" t="s">
        <v>4603</v>
      </c>
      <c r="B4588" t="s">
        <v>16</v>
      </c>
      <c r="C4588" t="s">
        <v>11</v>
      </c>
      <c r="D4588">
        <v>43</v>
      </c>
      <c r="E4588" s="1">
        <v>44508</v>
      </c>
      <c r="F4588">
        <v>1.92</v>
      </c>
      <c r="G4588">
        <v>6</v>
      </c>
      <c r="H4588">
        <v>11718.22</v>
      </c>
      <c r="I4588">
        <v>4</v>
      </c>
    </row>
    <row r="4589" spans="1:9" x14ac:dyDescent="0.3">
      <c r="A4589" t="s">
        <v>4604</v>
      </c>
      <c r="B4589" t="s">
        <v>34</v>
      </c>
      <c r="C4589" t="s">
        <v>11</v>
      </c>
      <c r="D4589">
        <v>58</v>
      </c>
      <c r="E4589" s="1">
        <v>45422</v>
      </c>
      <c r="F4589">
        <v>4.16</v>
      </c>
      <c r="G4589">
        <v>15</v>
      </c>
      <c r="H4589">
        <v>9764.11</v>
      </c>
      <c r="I4589">
        <v>1.5</v>
      </c>
    </row>
    <row r="4590" spans="1:9" x14ac:dyDescent="0.3">
      <c r="A4590" t="s">
        <v>4605</v>
      </c>
      <c r="B4590" t="s">
        <v>18</v>
      </c>
      <c r="C4590" t="s">
        <v>11</v>
      </c>
      <c r="D4590">
        <v>22</v>
      </c>
      <c r="E4590" s="1">
        <v>45364</v>
      </c>
      <c r="F4590">
        <v>2.09</v>
      </c>
      <c r="G4590">
        <v>8</v>
      </c>
      <c r="H4590">
        <v>10159.790000000001</v>
      </c>
      <c r="I4590">
        <v>1.6</v>
      </c>
    </row>
    <row r="4591" spans="1:9" x14ac:dyDescent="0.3">
      <c r="A4591" t="s">
        <v>4606</v>
      </c>
      <c r="B4591" t="s">
        <v>34</v>
      </c>
      <c r="C4591" t="s">
        <v>14</v>
      </c>
      <c r="D4591">
        <v>57</v>
      </c>
      <c r="E4591" s="1">
        <v>44163</v>
      </c>
      <c r="F4591">
        <v>2.73</v>
      </c>
      <c r="G4591">
        <v>11</v>
      </c>
      <c r="H4591">
        <v>4813.46</v>
      </c>
      <c r="I4591">
        <v>4.9000000000000004</v>
      </c>
    </row>
    <row r="4592" spans="1:9" x14ac:dyDescent="0.3">
      <c r="A4592" t="s">
        <v>4607</v>
      </c>
      <c r="B4592" t="s">
        <v>13</v>
      </c>
      <c r="C4592" t="s">
        <v>11</v>
      </c>
      <c r="D4592">
        <v>56</v>
      </c>
      <c r="E4592" s="1">
        <v>44570</v>
      </c>
      <c r="F4592">
        <v>3.1</v>
      </c>
      <c r="G4592">
        <v>3</v>
      </c>
      <c r="H4592">
        <v>14328.99</v>
      </c>
      <c r="I4592">
        <v>3.8</v>
      </c>
    </row>
    <row r="4593" spans="1:9" x14ac:dyDescent="0.3">
      <c r="A4593" t="s">
        <v>4608</v>
      </c>
      <c r="B4593" t="s">
        <v>13</v>
      </c>
      <c r="C4593" t="s">
        <v>11</v>
      </c>
      <c r="D4593">
        <v>39</v>
      </c>
      <c r="E4593" s="1">
        <v>44899</v>
      </c>
      <c r="F4593">
        <v>3.38</v>
      </c>
      <c r="G4593">
        <v>8</v>
      </c>
      <c r="H4593">
        <v>5405.66</v>
      </c>
      <c r="I4593">
        <v>2.9</v>
      </c>
    </row>
    <row r="4594" spans="1:9" x14ac:dyDescent="0.3">
      <c r="A4594" t="s">
        <v>4609</v>
      </c>
      <c r="B4594" t="s">
        <v>18</v>
      </c>
      <c r="C4594" t="s">
        <v>11</v>
      </c>
      <c r="D4594">
        <v>33</v>
      </c>
      <c r="E4594" s="1">
        <v>43891</v>
      </c>
      <c r="F4594">
        <v>3.17</v>
      </c>
      <c r="G4594">
        <v>13</v>
      </c>
      <c r="H4594">
        <v>7222.77</v>
      </c>
      <c r="I4594">
        <v>5.7</v>
      </c>
    </row>
    <row r="4595" spans="1:9" x14ac:dyDescent="0.3">
      <c r="A4595" t="s">
        <v>4610</v>
      </c>
      <c r="B4595" t="s">
        <v>13</v>
      </c>
      <c r="C4595" t="s">
        <v>14</v>
      </c>
      <c r="D4595">
        <v>40</v>
      </c>
      <c r="E4595" s="1">
        <v>42949</v>
      </c>
      <c r="F4595">
        <v>1.74</v>
      </c>
      <c r="G4595">
        <v>1</v>
      </c>
      <c r="H4595">
        <v>14547.95</v>
      </c>
      <c r="I4595">
        <v>8.3000000000000007</v>
      </c>
    </row>
    <row r="4596" spans="1:9" x14ac:dyDescent="0.3">
      <c r="A4596" t="s">
        <v>4611</v>
      </c>
      <c r="B4596" t="s">
        <v>10</v>
      </c>
      <c r="C4596" t="s">
        <v>14</v>
      </c>
      <c r="D4596">
        <v>59</v>
      </c>
      <c r="E4596" s="1">
        <v>45622</v>
      </c>
      <c r="F4596">
        <v>3.27</v>
      </c>
      <c r="G4596">
        <v>10</v>
      </c>
      <c r="H4596">
        <v>9478.92</v>
      </c>
      <c r="I4596">
        <v>0.9</v>
      </c>
    </row>
    <row r="4597" spans="1:9" x14ac:dyDescent="0.3">
      <c r="A4597" t="s">
        <v>4612</v>
      </c>
      <c r="B4597" t="s">
        <v>13</v>
      </c>
      <c r="C4597" t="s">
        <v>14</v>
      </c>
      <c r="D4597">
        <v>44</v>
      </c>
      <c r="E4597" s="1">
        <v>43988</v>
      </c>
      <c r="F4597">
        <v>4.55</v>
      </c>
      <c r="G4597">
        <v>1</v>
      </c>
      <c r="H4597">
        <v>10404.39</v>
      </c>
      <c r="I4597">
        <v>5.4</v>
      </c>
    </row>
    <row r="4598" spans="1:9" x14ac:dyDescent="0.3">
      <c r="A4598" t="s">
        <v>4613</v>
      </c>
      <c r="B4598" t="s">
        <v>16</v>
      </c>
      <c r="C4598" t="s">
        <v>14</v>
      </c>
      <c r="D4598">
        <v>40</v>
      </c>
      <c r="E4598" s="1">
        <v>40827</v>
      </c>
      <c r="F4598">
        <v>3.9</v>
      </c>
      <c r="G4598">
        <v>14</v>
      </c>
      <c r="H4598">
        <v>10114.09</v>
      </c>
      <c r="I4598">
        <v>14.1</v>
      </c>
    </row>
    <row r="4599" spans="1:9" x14ac:dyDescent="0.3">
      <c r="A4599" t="s">
        <v>4614</v>
      </c>
      <c r="B4599" t="s">
        <v>34</v>
      </c>
      <c r="C4599" t="s">
        <v>14</v>
      </c>
      <c r="D4599">
        <v>46</v>
      </c>
      <c r="E4599" s="1">
        <v>40392</v>
      </c>
      <c r="F4599">
        <v>2.9</v>
      </c>
      <c r="G4599">
        <v>15</v>
      </c>
      <c r="H4599">
        <v>5921.85</v>
      </c>
      <c r="I4599">
        <v>15.3</v>
      </c>
    </row>
    <row r="4600" spans="1:9" x14ac:dyDescent="0.3">
      <c r="A4600" t="s">
        <v>4615</v>
      </c>
      <c r="B4600" t="s">
        <v>18</v>
      </c>
      <c r="C4600" t="s">
        <v>14</v>
      </c>
      <c r="D4600">
        <v>58</v>
      </c>
      <c r="E4600" s="1">
        <v>43140</v>
      </c>
      <c r="F4600">
        <v>2.56</v>
      </c>
      <c r="G4600">
        <v>12</v>
      </c>
      <c r="H4600">
        <v>9741.86</v>
      </c>
      <c r="I4600">
        <v>7.7</v>
      </c>
    </row>
    <row r="4601" spans="1:9" x14ac:dyDescent="0.3">
      <c r="A4601" t="s">
        <v>4616</v>
      </c>
      <c r="B4601" t="s">
        <v>18</v>
      </c>
      <c r="C4601" t="s">
        <v>14</v>
      </c>
      <c r="D4601">
        <v>32</v>
      </c>
      <c r="E4601" s="1">
        <v>43227</v>
      </c>
      <c r="F4601">
        <v>4.3899999999999997</v>
      </c>
      <c r="G4601">
        <v>11</v>
      </c>
      <c r="H4601">
        <v>10485.31</v>
      </c>
      <c r="I4601">
        <v>7.5</v>
      </c>
    </row>
    <row r="4602" spans="1:9" x14ac:dyDescent="0.3">
      <c r="A4602" t="s">
        <v>4617</v>
      </c>
      <c r="B4602" t="s">
        <v>16</v>
      </c>
      <c r="C4602" t="s">
        <v>11</v>
      </c>
      <c r="D4602">
        <v>59</v>
      </c>
      <c r="E4602" s="1">
        <v>41916</v>
      </c>
      <c r="F4602">
        <v>4.67</v>
      </c>
      <c r="G4602">
        <v>8</v>
      </c>
      <c r="H4602">
        <v>11805.57</v>
      </c>
      <c r="I4602">
        <v>11.1</v>
      </c>
    </row>
    <row r="4603" spans="1:9" x14ac:dyDescent="0.3">
      <c r="A4603" t="s">
        <v>4618</v>
      </c>
      <c r="B4603" t="s">
        <v>18</v>
      </c>
      <c r="C4603" t="s">
        <v>11</v>
      </c>
      <c r="D4603">
        <v>31</v>
      </c>
      <c r="E4603" s="1">
        <v>43077</v>
      </c>
      <c r="F4603">
        <v>4.9800000000000004</v>
      </c>
      <c r="G4603">
        <v>15</v>
      </c>
      <c r="H4603">
        <v>12421.26</v>
      </c>
      <c r="I4603">
        <v>7.9</v>
      </c>
    </row>
    <row r="4604" spans="1:9" x14ac:dyDescent="0.3">
      <c r="A4604" t="s">
        <v>4619</v>
      </c>
      <c r="B4604" t="s">
        <v>24</v>
      </c>
      <c r="C4604" t="s">
        <v>14</v>
      </c>
      <c r="D4604">
        <v>33</v>
      </c>
      <c r="E4604" s="1">
        <v>45716</v>
      </c>
      <c r="F4604">
        <v>1.67</v>
      </c>
      <c r="G4604">
        <v>9</v>
      </c>
      <c r="H4604">
        <v>11281.59</v>
      </c>
      <c r="I4604">
        <v>0.7</v>
      </c>
    </row>
    <row r="4605" spans="1:9" x14ac:dyDescent="0.3">
      <c r="A4605" t="s">
        <v>4620</v>
      </c>
      <c r="B4605" t="s">
        <v>10</v>
      </c>
      <c r="C4605" t="s">
        <v>11</v>
      </c>
      <c r="D4605">
        <v>43</v>
      </c>
      <c r="E4605" s="1">
        <v>44704</v>
      </c>
      <c r="F4605">
        <v>4.42</v>
      </c>
      <c r="G4605">
        <v>6</v>
      </c>
      <c r="H4605">
        <v>11542.65</v>
      </c>
      <c r="I4605">
        <v>3.4</v>
      </c>
    </row>
    <row r="4606" spans="1:9" x14ac:dyDescent="0.3">
      <c r="A4606" t="s">
        <v>4621</v>
      </c>
      <c r="B4606" t="s">
        <v>24</v>
      </c>
      <c r="C4606" t="s">
        <v>11</v>
      </c>
      <c r="D4606">
        <v>58</v>
      </c>
      <c r="E4606" s="1">
        <v>45214</v>
      </c>
      <c r="F4606">
        <v>3.46</v>
      </c>
      <c r="G4606">
        <v>12</v>
      </c>
      <c r="H4606">
        <v>9794.24</v>
      </c>
      <c r="I4606">
        <v>2</v>
      </c>
    </row>
    <row r="4607" spans="1:9" x14ac:dyDescent="0.3">
      <c r="A4607" t="s">
        <v>4622</v>
      </c>
      <c r="B4607" t="s">
        <v>13</v>
      </c>
      <c r="C4607" t="s">
        <v>14</v>
      </c>
      <c r="D4607">
        <v>45</v>
      </c>
      <c r="E4607" s="1">
        <v>42434</v>
      </c>
      <c r="F4607">
        <v>1.96</v>
      </c>
      <c r="G4607">
        <v>0</v>
      </c>
      <c r="H4607">
        <v>4779.6899999999996</v>
      </c>
      <c r="I4607">
        <v>9.6999999999999993</v>
      </c>
    </row>
    <row r="4608" spans="1:9" x14ac:dyDescent="0.3">
      <c r="A4608" t="s">
        <v>4623</v>
      </c>
      <c r="B4608" t="s">
        <v>13</v>
      </c>
      <c r="C4608" t="s">
        <v>11</v>
      </c>
      <c r="D4608">
        <v>46</v>
      </c>
      <c r="E4608" s="1">
        <v>41881</v>
      </c>
      <c r="F4608">
        <v>1.99</v>
      </c>
      <c r="G4608">
        <v>12</v>
      </c>
      <c r="H4608">
        <v>3873.79</v>
      </c>
      <c r="I4608">
        <v>11.2</v>
      </c>
    </row>
    <row r="4609" spans="1:9" x14ac:dyDescent="0.3">
      <c r="A4609" t="s">
        <v>4624</v>
      </c>
      <c r="B4609" t="s">
        <v>16</v>
      </c>
      <c r="C4609" t="s">
        <v>14</v>
      </c>
      <c r="D4609">
        <v>40</v>
      </c>
      <c r="E4609" s="1">
        <v>41416</v>
      </c>
      <c r="F4609">
        <v>1.74</v>
      </c>
      <c r="G4609">
        <v>2</v>
      </c>
      <c r="H4609">
        <v>4665.47</v>
      </c>
      <c r="I4609">
        <v>12.5</v>
      </c>
    </row>
    <row r="4610" spans="1:9" x14ac:dyDescent="0.3">
      <c r="A4610" t="s">
        <v>4625</v>
      </c>
      <c r="B4610" t="s">
        <v>13</v>
      </c>
      <c r="C4610" t="s">
        <v>14</v>
      </c>
      <c r="D4610">
        <v>50</v>
      </c>
      <c r="E4610" s="1">
        <v>42394</v>
      </c>
      <c r="F4610">
        <v>4.3499999999999996</v>
      </c>
      <c r="G4610">
        <v>6</v>
      </c>
      <c r="H4610">
        <v>3621.96</v>
      </c>
      <c r="I4610">
        <v>9.8000000000000007</v>
      </c>
    </row>
    <row r="4611" spans="1:9" x14ac:dyDescent="0.3">
      <c r="A4611" t="s">
        <v>4626</v>
      </c>
      <c r="B4611" t="s">
        <v>10</v>
      </c>
      <c r="C4611" t="s">
        <v>11</v>
      </c>
      <c r="D4611">
        <v>28</v>
      </c>
      <c r="E4611" s="1">
        <v>40467</v>
      </c>
      <c r="F4611">
        <v>2.2400000000000002</v>
      </c>
      <c r="G4611">
        <v>12</v>
      </c>
      <c r="H4611">
        <v>13431.73</v>
      </c>
      <c r="I4611">
        <v>15.1</v>
      </c>
    </row>
    <row r="4612" spans="1:9" x14ac:dyDescent="0.3">
      <c r="A4612" t="s">
        <v>4627</v>
      </c>
      <c r="B4612" t="s">
        <v>24</v>
      </c>
      <c r="C4612" t="s">
        <v>11</v>
      </c>
      <c r="D4612">
        <v>29</v>
      </c>
      <c r="E4612" s="1">
        <v>40708</v>
      </c>
      <c r="F4612">
        <v>1.67</v>
      </c>
      <c r="G4612">
        <v>3</v>
      </c>
      <c r="H4612">
        <v>11212.63</v>
      </c>
      <c r="I4612">
        <v>14.4</v>
      </c>
    </row>
    <row r="4613" spans="1:9" x14ac:dyDescent="0.3">
      <c r="A4613" t="s">
        <v>4628</v>
      </c>
      <c r="B4613" t="s">
        <v>24</v>
      </c>
      <c r="C4613" t="s">
        <v>11</v>
      </c>
      <c r="D4613">
        <v>59</v>
      </c>
      <c r="E4613" s="1">
        <v>44054</v>
      </c>
      <c r="F4613">
        <v>1.76</v>
      </c>
      <c r="G4613">
        <v>5</v>
      </c>
      <c r="H4613">
        <v>12211.46</v>
      </c>
      <c r="I4613">
        <v>5.2</v>
      </c>
    </row>
    <row r="4614" spans="1:9" x14ac:dyDescent="0.3">
      <c r="A4614" t="s">
        <v>4629</v>
      </c>
      <c r="B4614" t="s">
        <v>10</v>
      </c>
      <c r="C4614" t="s">
        <v>14</v>
      </c>
      <c r="D4614">
        <v>26</v>
      </c>
      <c r="E4614" s="1">
        <v>40475</v>
      </c>
      <c r="F4614">
        <v>2.4900000000000002</v>
      </c>
      <c r="G4614">
        <v>12</v>
      </c>
      <c r="H4614">
        <v>14577.29</v>
      </c>
      <c r="I4614">
        <v>15</v>
      </c>
    </row>
    <row r="4615" spans="1:9" x14ac:dyDescent="0.3">
      <c r="A4615" t="s">
        <v>4630</v>
      </c>
      <c r="B4615" t="s">
        <v>16</v>
      </c>
      <c r="C4615" t="s">
        <v>11</v>
      </c>
      <c r="D4615">
        <v>59</v>
      </c>
      <c r="E4615" s="1">
        <v>40347</v>
      </c>
      <c r="F4615">
        <v>4.16</v>
      </c>
      <c r="G4615">
        <v>6</v>
      </c>
      <c r="H4615">
        <v>14894.33</v>
      </c>
      <c r="I4615">
        <v>15.4</v>
      </c>
    </row>
    <row r="4616" spans="1:9" x14ac:dyDescent="0.3">
      <c r="A4616" t="s">
        <v>4631</v>
      </c>
      <c r="B4616" t="s">
        <v>24</v>
      </c>
      <c r="C4616" t="s">
        <v>14</v>
      </c>
      <c r="D4616">
        <v>47</v>
      </c>
      <c r="E4616" s="1">
        <v>45392</v>
      </c>
      <c r="F4616">
        <v>1.67</v>
      </c>
      <c r="G4616">
        <v>10</v>
      </c>
      <c r="H4616">
        <v>11858.84</v>
      </c>
      <c r="I4616">
        <v>1.6</v>
      </c>
    </row>
    <row r="4617" spans="1:9" x14ac:dyDescent="0.3">
      <c r="A4617" t="s">
        <v>4632</v>
      </c>
      <c r="B4617" t="s">
        <v>18</v>
      </c>
      <c r="C4617" t="s">
        <v>11</v>
      </c>
      <c r="D4617">
        <v>38</v>
      </c>
      <c r="E4617" s="1">
        <v>44912</v>
      </c>
      <c r="F4617">
        <v>1.59</v>
      </c>
      <c r="G4617">
        <v>6</v>
      </c>
      <c r="H4617">
        <v>8847.26</v>
      </c>
      <c r="I4617">
        <v>2.9</v>
      </c>
    </row>
    <row r="4618" spans="1:9" x14ac:dyDescent="0.3">
      <c r="A4618" t="s">
        <v>4633</v>
      </c>
      <c r="B4618" t="s">
        <v>18</v>
      </c>
      <c r="C4618" t="s">
        <v>14</v>
      </c>
      <c r="D4618">
        <v>29</v>
      </c>
      <c r="E4618" s="1">
        <v>42060</v>
      </c>
      <c r="F4618">
        <v>1.92</v>
      </c>
      <c r="G4618">
        <v>0</v>
      </c>
      <c r="H4618">
        <v>4327.78</v>
      </c>
      <c r="I4618">
        <v>10.7</v>
      </c>
    </row>
    <row r="4619" spans="1:9" x14ac:dyDescent="0.3">
      <c r="A4619" t="s">
        <v>4634</v>
      </c>
      <c r="B4619" t="s">
        <v>13</v>
      </c>
      <c r="C4619" t="s">
        <v>14</v>
      </c>
      <c r="D4619">
        <v>55</v>
      </c>
      <c r="E4619" s="1">
        <v>44956</v>
      </c>
      <c r="F4619">
        <v>3.29</v>
      </c>
      <c r="G4619">
        <v>2</v>
      </c>
      <c r="H4619">
        <v>5961.76</v>
      </c>
      <c r="I4619">
        <v>2.8</v>
      </c>
    </row>
    <row r="4620" spans="1:9" x14ac:dyDescent="0.3">
      <c r="A4620" t="s">
        <v>4635</v>
      </c>
      <c r="B4620" t="s">
        <v>16</v>
      </c>
      <c r="C4620" t="s">
        <v>11</v>
      </c>
      <c r="D4620">
        <v>54</v>
      </c>
      <c r="E4620" s="1">
        <v>40467</v>
      </c>
      <c r="F4620">
        <v>3.5</v>
      </c>
      <c r="G4620">
        <v>14</v>
      </c>
      <c r="H4620">
        <v>3420.96</v>
      </c>
      <c r="I4620">
        <v>15.1</v>
      </c>
    </row>
    <row r="4621" spans="1:9" x14ac:dyDescent="0.3">
      <c r="A4621" t="s">
        <v>4636</v>
      </c>
      <c r="B4621" t="s">
        <v>34</v>
      </c>
      <c r="C4621" t="s">
        <v>14</v>
      </c>
      <c r="D4621">
        <v>43</v>
      </c>
      <c r="E4621" s="1">
        <v>40982</v>
      </c>
      <c r="F4621">
        <v>3.14</v>
      </c>
      <c r="G4621">
        <v>7</v>
      </c>
      <c r="H4621">
        <v>9370.86</v>
      </c>
      <c r="I4621">
        <v>13.6</v>
      </c>
    </row>
    <row r="4622" spans="1:9" x14ac:dyDescent="0.3">
      <c r="A4622" t="s">
        <v>4637</v>
      </c>
      <c r="B4622" t="s">
        <v>18</v>
      </c>
      <c r="C4622" t="s">
        <v>11</v>
      </c>
      <c r="D4622">
        <v>29</v>
      </c>
      <c r="E4622" s="1">
        <v>43106</v>
      </c>
      <c r="F4622">
        <v>3.46</v>
      </c>
      <c r="G4622">
        <v>5</v>
      </c>
      <c r="H4622">
        <v>11621.54</v>
      </c>
      <c r="I4622">
        <v>7.8</v>
      </c>
    </row>
    <row r="4623" spans="1:9" x14ac:dyDescent="0.3">
      <c r="A4623" t="s">
        <v>4638</v>
      </c>
      <c r="B4623" t="s">
        <v>34</v>
      </c>
      <c r="C4623" t="s">
        <v>14</v>
      </c>
      <c r="D4623">
        <v>31</v>
      </c>
      <c r="E4623" s="1">
        <v>44319</v>
      </c>
      <c r="F4623">
        <v>4.45</v>
      </c>
      <c r="G4623">
        <v>11</v>
      </c>
      <c r="H4623">
        <v>5230.04</v>
      </c>
      <c r="I4623">
        <v>4.5</v>
      </c>
    </row>
    <row r="4624" spans="1:9" x14ac:dyDescent="0.3">
      <c r="A4624" t="s">
        <v>4639</v>
      </c>
      <c r="B4624" t="s">
        <v>16</v>
      </c>
      <c r="C4624" t="s">
        <v>11</v>
      </c>
      <c r="D4624">
        <v>42</v>
      </c>
      <c r="E4624" s="1">
        <v>42487</v>
      </c>
      <c r="F4624">
        <v>2.21</v>
      </c>
      <c r="G4624">
        <v>15</v>
      </c>
      <c r="H4624">
        <v>6228.9</v>
      </c>
      <c r="I4624">
        <v>9.5</v>
      </c>
    </row>
    <row r="4625" spans="1:9" x14ac:dyDescent="0.3">
      <c r="A4625" t="s">
        <v>4640</v>
      </c>
      <c r="B4625" t="s">
        <v>16</v>
      </c>
      <c r="C4625" t="s">
        <v>14</v>
      </c>
      <c r="D4625">
        <v>50</v>
      </c>
      <c r="E4625" s="1">
        <v>43531</v>
      </c>
      <c r="F4625">
        <v>4.93</v>
      </c>
      <c r="G4625">
        <v>1</v>
      </c>
      <c r="H4625">
        <v>13068.26</v>
      </c>
      <c r="I4625">
        <v>6.7</v>
      </c>
    </row>
    <row r="4626" spans="1:9" x14ac:dyDescent="0.3">
      <c r="A4626" t="s">
        <v>4641</v>
      </c>
      <c r="B4626" t="s">
        <v>34</v>
      </c>
      <c r="C4626" t="s">
        <v>11</v>
      </c>
      <c r="D4626">
        <v>33</v>
      </c>
      <c r="E4626" s="1">
        <v>45655</v>
      </c>
      <c r="F4626">
        <v>1.53</v>
      </c>
      <c r="G4626">
        <v>12</v>
      </c>
      <c r="H4626">
        <v>7780.89</v>
      </c>
      <c r="I4626">
        <v>0.8</v>
      </c>
    </row>
    <row r="4627" spans="1:9" x14ac:dyDescent="0.3">
      <c r="A4627" t="s">
        <v>4642</v>
      </c>
      <c r="B4627" t="s">
        <v>10</v>
      </c>
      <c r="C4627" t="s">
        <v>14</v>
      </c>
      <c r="D4627">
        <v>22</v>
      </c>
      <c r="E4627" s="1">
        <v>44127</v>
      </c>
      <c r="F4627">
        <v>4.49</v>
      </c>
      <c r="G4627">
        <v>7</v>
      </c>
      <c r="H4627">
        <v>6203.39</v>
      </c>
      <c r="I4627">
        <v>5</v>
      </c>
    </row>
    <row r="4628" spans="1:9" x14ac:dyDescent="0.3">
      <c r="A4628" t="s">
        <v>4643</v>
      </c>
      <c r="B4628" t="s">
        <v>13</v>
      </c>
      <c r="C4628" t="s">
        <v>11</v>
      </c>
      <c r="D4628">
        <v>41</v>
      </c>
      <c r="E4628" s="1">
        <v>42304</v>
      </c>
      <c r="F4628">
        <v>3.86</v>
      </c>
      <c r="G4628">
        <v>2</v>
      </c>
      <c r="H4628">
        <v>14626.14</v>
      </c>
      <c r="I4628">
        <v>10</v>
      </c>
    </row>
    <row r="4629" spans="1:9" x14ac:dyDescent="0.3">
      <c r="A4629" t="s">
        <v>4644</v>
      </c>
      <c r="B4629" t="s">
        <v>34</v>
      </c>
      <c r="C4629" t="s">
        <v>11</v>
      </c>
      <c r="D4629">
        <v>56</v>
      </c>
      <c r="E4629" s="1">
        <v>40570</v>
      </c>
      <c r="F4629">
        <v>4.33</v>
      </c>
      <c r="G4629">
        <v>8</v>
      </c>
      <c r="H4629">
        <v>6667.53</v>
      </c>
      <c r="I4629">
        <v>14.8</v>
      </c>
    </row>
    <row r="4630" spans="1:9" x14ac:dyDescent="0.3">
      <c r="A4630" t="s">
        <v>4645</v>
      </c>
      <c r="B4630" t="s">
        <v>16</v>
      </c>
      <c r="C4630" t="s">
        <v>11</v>
      </c>
      <c r="D4630">
        <v>60</v>
      </c>
      <c r="E4630" s="1">
        <v>42724</v>
      </c>
      <c r="F4630">
        <v>1.67</v>
      </c>
      <c r="G4630">
        <v>13</v>
      </c>
      <c r="H4630">
        <v>6411.79</v>
      </c>
      <c r="I4630">
        <v>8.9</v>
      </c>
    </row>
    <row r="4631" spans="1:9" x14ac:dyDescent="0.3">
      <c r="A4631" t="s">
        <v>4646</v>
      </c>
      <c r="B4631" t="s">
        <v>24</v>
      </c>
      <c r="C4631" t="s">
        <v>14</v>
      </c>
      <c r="D4631">
        <v>34</v>
      </c>
      <c r="E4631" s="1">
        <v>45731</v>
      </c>
      <c r="F4631">
        <v>1.8</v>
      </c>
      <c r="G4631">
        <v>0</v>
      </c>
      <c r="H4631">
        <v>8566.2999999999993</v>
      </c>
      <c r="I4631">
        <v>0.6</v>
      </c>
    </row>
    <row r="4632" spans="1:9" x14ac:dyDescent="0.3">
      <c r="A4632" t="s">
        <v>4647</v>
      </c>
      <c r="B4632" t="s">
        <v>34</v>
      </c>
      <c r="C4632" t="s">
        <v>14</v>
      </c>
      <c r="D4632">
        <v>32</v>
      </c>
      <c r="E4632" s="1">
        <v>44362</v>
      </c>
      <c r="F4632">
        <v>4.5</v>
      </c>
      <c r="G4632">
        <v>5</v>
      </c>
      <c r="H4632">
        <v>6162.12</v>
      </c>
      <c r="I4632">
        <v>4.4000000000000004</v>
      </c>
    </row>
    <row r="4633" spans="1:9" x14ac:dyDescent="0.3">
      <c r="A4633" t="s">
        <v>4648</v>
      </c>
      <c r="B4633" t="s">
        <v>10</v>
      </c>
      <c r="C4633" t="s">
        <v>11</v>
      </c>
      <c r="D4633">
        <v>27</v>
      </c>
      <c r="E4633" s="1">
        <v>44572</v>
      </c>
      <c r="F4633">
        <v>2.5</v>
      </c>
      <c r="G4633">
        <v>9</v>
      </c>
      <c r="H4633">
        <v>12978.33</v>
      </c>
      <c r="I4633">
        <v>3.8</v>
      </c>
    </row>
    <row r="4634" spans="1:9" x14ac:dyDescent="0.3">
      <c r="A4634" t="s">
        <v>4649</v>
      </c>
      <c r="B4634" t="s">
        <v>18</v>
      </c>
      <c r="C4634" t="s">
        <v>14</v>
      </c>
      <c r="D4634">
        <v>46</v>
      </c>
      <c r="E4634" s="1">
        <v>40740</v>
      </c>
      <c r="F4634">
        <v>2.93</v>
      </c>
      <c r="G4634">
        <v>6</v>
      </c>
      <c r="H4634">
        <v>12534.48</v>
      </c>
      <c r="I4634">
        <v>14.3</v>
      </c>
    </row>
    <row r="4635" spans="1:9" x14ac:dyDescent="0.3">
      <c r="A4635" t="s">
        <v>4650</v>
      </c>
      <c r="B4635" t="s">
        <v>34</v>
      </c>
      <c r="C4635" t="s">
        <v>11</v>
      </c>
      <c r="D4635">
        <v>48</v>
      </c>
      <c r="E4635" s="1">
        <v>45641</v>
      </c>
      <c r="F4635">
        <v>2.62</v>
      </c>
      <c r="G4635">
        <v>1</v>
      </c>
      <c r="H4635">
        <v>11010.11</v>
      </c>
      <c r="I4635">
        <v>0.9</v>
      </c>
    </row>
    <row r="4636" spans="1:9" x14ac:dyDescent="0.3">
      <c r="A4636" t="s">
        <v>4651</v>
      </c>
      <c r="B4636" t="s">
        <v>13</v>
      </c>
      <c r="C4636" t="s">
        <v>11</v>
      </c>
      <c r="D4636">
        <v>46</v>
      </c>
      <c r="E4636" s="1">
        <v>44133</v>
      </c>
      <c r="F4636">
        <v>4.24</v>
      </c>
      <c r="G4636">
        <v>11</v>
      </c>
      <c r="H4636">
        <v>4217.34</v>
      </c>
      <c r="I4636">
        <v>5</v>
      </c>
    </row>
    <row r="4637" spans="1:9" x14ac:dyDescent="0.3">
      <c r="A4637" t="s">
        <v>4652</v>
      </c>
      <c r="B4637" t="s">
        <v>24</v>
      </c>
      <c r="C4637" t="s">
        <v>11</v>
      </c>
      <c r="D4637">
        <v>29</v>
      </c>
      <c r="E4637" s="1">
        <v>41645</v>
      </c>
      <c r="F4637">
        <v>2.93</v>
      </c>
      <c r="G4637">
        <v>0</v>
      </c>
      <c r="H4637">
        <v>4835.1000000000004</v>
      </c>
      <c r="I4637">
        <v>11.8</v>
      </c>
    </row>
    <row r="4638" spans="1:9" x14ac:dyDescent="0.3">
      <c r="A4638" t="s">
        <v>4653</v>
      </c>
      <c r="B4638" t="s">
        <v>34</v>
      </c>
      <c r="C4638" t="s">
        <v>11</v>
      </c>
      <c r="D4638">
        <v>48</v>
      </c>
      <c r="E4638" s="1">
        <v>43896</v>
      </c>
      <c r="F4638">
        <v>3.01</v>
      </c>
      <c r="G4638">
        <v>6</v>
      </c>
      <c r="H4638">
        <v>8769.26</v>
      </c>
      <c r="I4638">
        <v>5.7</v>
      </c>
    </row>
    <row r="4639" spans="1:9" x14ac:dyDescent="0.3">
      <c r="A4639" t="s">
        <v>4654</v>
      </c>
      <c r="B4639" t="s">
        <v>16</v>
      </c>
      <c r="C4639" t="s">
        <v>11</v>
      </c>
      <c r="D4639">
        <v>53</v>
      </c>
      <c r="E4639" s="1">
        <v>41893</v>
      </c>
      <c r="F4639">
        <v>2.1800000000000002</v>
      </c>
      <c r="G4639">
        <v>13</v>
      </c>
      <c r="H4639">
        <v>4860.97</v>
      </c>
      <c r="I4639">
        <v>11.1</v>
      </c>
    </row>
    <row r="4640" spans="1:9" x14ac:dyDescent="0.3">
      <c r="A4640" t="s">
        <v>4655</v>
      </c>
      <c r="B4640" t="s">
        <v>16</v>
      </c>
      <c r="C4640" t="s">
        <v>14</v>
      </c>
      <c r="D4640">
        <v>42</v>
      </c>
      <c r="E4640" s="1">
        <v>45035</v>
      </c>
      <c r="F4640">
        <v>1.67</v>
      </c>
      <c r="G4640">
        <v>10</v>
      </c>
      <c r="H4640">
        <v>14669.47</v>
      </c>
      <c r="I4640">
        <v>2.5</v>
      </c>
    </row>
    <row r="4641" spans="1:9" x14ac:dyDescent="0.3">
      <c r="A4641" t="s">
        <v>4656</v>
      </c>
      <c r="B4641" t="s">
        <v>16</v>
      </c>
      <c r="C4641" t="s">
        <v>14</v>
      </c>
      <c r="D4641">
        <v>46</v>
      </c>
      <c r="E4641" s="1">
        <v>41948</v>
      </c>
      <c r="F4641">
        <v>2.0699999999999998</v>
      </c>
      <c r="G4641">
        <v>12</v>
      </c>
      <c r="H4641">
        <v>13627.49</v>
      </c>
      <c r="I4641">
        <v>11</v>
      </c>
    </row>
    <row r="4642" spans="1:9" x14ac:dyDescent="0.3">
      <c r="A4642" t="s">
        <v>4657</v>
      </c>
      <c r="B4642" t="s">
        <v>13</v>
      </c>
      <c r="C4642" t="s">
        <v>11</v>
      </c>
      <c r="D4642">
        <v>42</v>
      </c>
      <c r="E4642" s="1">
        <v>45453</v>
      </c>
      <c r="F4642">
        <v>4.13</v>
      </c>
      <c r="G4642">
        <v>0</v>
      </c>
      <c r="H4642">
        <v>9902.42</v>
      </c>
      <c r="I4642">
        <v>1.4</v>
      </c>
    </row>
    <row r="4643" spans="1:9" x14ac:dyDescent="0.3">
      <c r="A4643" t="s">
        <v>4658</v>
      </c>
      <c r="B4643" t="s">
        <v>24</v>
      </c>
      <c r="C4643" t="s">
        <v>14</v>
      </c>
      <c r="D4643">
        <v>46</v>
      </c>
      <c r="E4643" s="1">
        <v>43973</v>
      </c>
      <c r="F4643">
        <v>3.54</v>
      </c>
      <c r="G4643">
        <v>2</v>
      </c>
      <c r="H4643">
        <v>5062.6400000000003</v>
      </c>
      <c r="I4643">
        <v>5.4</v>
      </c>
    </row>
    <row r="4644" spans="1:9" x14ac:dyDescent="0.3">
      <c r="A4644" t="s">
        <v>4659</v>
      </c>
      <c r="B4644" t="s">
        <v>18</v>
      </c>
      <c r="C4644" t="s">
        <v>11</v>
      </c>
      <c r="D4644">
        <v>37</v>
      </c>
      <c r="E4644" s="1">
        <v>42248</v>
      </c>
      <c r="F4644">
        <v>3.35</v>
      </c>
      <c r="G4644">
        <v>11</v>
      </c>
      <c r="H4644">
        <v>14138.17</v>
      </c>
      <c r="I4644">
        <v>10.199999999999999</v>
      </c>
    </row>
    <row r="4645" spans="1:9" x14ac:dyDescent="0.3">
      <c r="A4645" t="s">
        <v>4660</v>
      </c>
      <c r="B4645" t="s">
        <v>16</v>
      </c>
      <c r="C4645" t="s">
        <v>14</v>
      </c>
      <c r="D4645">
        <v>37</v>
      </c>
      <c r="E4645" s="1">
        <v>40546</v>
      </c>
      <c r="F4645">
        <v>2.02</v>
      </c>
      <c r="G4645">
        <v>2</v>
      </c>
      <c r="H4645">
        <v>8297.39</v>
      </c>
      <c r="I4645">
        <v>14.8</v>
      </c>
    </row>
    <row r="4646" spans="1:9" x14ac:dyDescent="0.3">
      <c r="A4646" t="s">
        <v>4661</v>
      </c>
      <c r="B4646" t="s">
        <v>16</v>
      </c>
      <c r="C4646" t="s">
        <v>14</v>
      </c>
      <c r="D4646">
        <v>38</v>
      </c>
      <c r="E4646" s="1">
        <v>44925</v>
      </c>
      <c r="F4646">
        <v>4.4000000000000004</v>
      </c>
      <c r="G4646">
        <v>14</v>
      </c>
      <c r="H4646">
        <v>9563.0499999999993</v>
      </c>
      <c r="I4646">
        <v>2.8</v>
      </c>
    </row>
    <row r="4647" spans="1:9" x14ac:dyDescent="0.3">
      <c r="A4647" t="s">
        <v>4662</v>
      </c>
      <c r="B4647" t="s">
        <v>34</v>
      </c>
      <c r="C4647" t="s">
        <v>11</v>
      </c>
      <c r="D4647">
        <v>52</v>
      </c>
      <c r="E4647" s="1">
        <v>40758</v>
      </c>
      <c r="F4647">
        <v>2.5099999999999998</v>
      </c>
      <c r="G4647">
        <v>5</v>
      </c>
      <c r="H4647">
        <v>9059.27</v>
      </c>
      <c r="I4647">
        <v>14.3</v>
      </c>
    </row>
    <row r="4648" spans="1:9" x14ac:dyDescent="0.3">
      <c r="A4648" t="s">
        <v>4663</v>
      </c>
      <c r="B4648" t="s">
        <v>18</v>
      </c>
      <c r="C4648" t="s">
        <v>11</v>
      </c>
      <c r="D4648">
        <v>39</v>
      </c>
      <c r="E4648" s="1">
        <v>43385</v>
      </c>
      <c r="F4648">
        <v>2.3199999999999998</v>
      </c>
      <c r="G4648">
        <v>9</v>
      </c>
      <c r="H4648">
        <v>8225.52</v>
      </c>
      <c r="I4648">
        <v>7.1</v>
      </c>
    </row>
    <row r="4649" spans="1:9" x14ac:dyDescent="0.3">
      <c r="A4649" t="s">
        <v>4664</v>
      </c>
      <c r="B4649" t="s">
        <v>24</v>
      </c>
      <c r="C4649" t="s">
        <v>14</v>
      </c>
      <c r="D4649">
        <v>36</v>
      </c>
      <c r="E4649" s="1">
        <v>40941</v>
      </c>
      <c r="F4649">
        <v>4.78</v>
      </c>
      <c r="G4649">
        <v>1</v>
      </c>
      <c r="H4649">
        <v>11339.58</v>
      </c>
      <c r="I4649">
        <v>13.8</v>
      </c>
    </row>
    <row r="4650" spans="1:9" x14ac:dyDescent="0.3">
      <c r="A4650" t="s">
        <v>4665</v>
      </c>
      <c r="B4650" t="s">
        <v>10</v>
      </c>
      <c r="C4650" t="s">
        <v>14</v>
      </c>
      <c r="D4650">
        <v>48</v>
      </c>
      <c r="E4650" s="1">
        <v>44071</v>
      </c>
      <c r="F4650">
        <v>3.2</v>
      </c>
      <c r="G4650">
        <v>1</v>
      </c>
      <c r="H4650">
        <v>3301.35</v>
      </c>
      <c r="I4650">
        <v>5.2</v>
      </c>
    </row>
    <row r="4651" spans="1:9" x14ac:dyDescent="0.3">
      <c r="A4651" t="s">
        <v>4666</v>
      </c>
      <c r="B4651" t="s">
        <v>16</v>
      </c>
      <c r="C4651" t="s">
        <v>14</v>
      </c>
      <c r="D4651">
        <v>33</v>
      </c>
      <c r="E4651" s="1">
        <v>40418</v>
      </c>
      <c r="F4651">
        <v>1.84</v>
      </c>
      <c r="G4651">
        <v>2</v>
      </c>
      <c r="H4651">
        <v>12491.42</v>
      </c>
      <c r="I4651">
        <v>15.2</v>
      </c>
    </row>
    <row r="4652" spans="1:9" x14ac:dyDescent="0.3">
      <c r="A4652" t="s">
        <v>4667</v>
      </c>
      <c r="B4652" t="s">
        <v>10</v>
      </c>
      <c r="C4652" t="s">
        <v>14</v>
      </c>
      <c r="D4652">
        <v>45</v>
      </c>
      <c r="E4652" s="1">
        <v>42090</v>
      </c>
      <c r="F4652">
        <v>3.12</v>
      </c>
      <c r="G4652">
        <v>8</v>
      </c>
      <c r="H4652">
        <v>11074.66</v>
      </c>
      <c r="I4652">
        <v>10.6</v>
      </c>
    </row>
    <row r="4653" spans="1:9" x14ac:dyDescent="0.3">
      <c r="A4653" t="s">
        <v>4668</v>
      </c>
      <c r="B4653" t="s">
        <v>16</v>
      </c>
      <c r="C4653" t="s">
        <v>11</v>
      </c>
      <c r="D4653">
        <v>41</v>
      </c>
      <c r="E4653" s="1">
        <v>40980</v>
      </c>
      <c r="F4653">
        <v>3.02</v>
      </c>
      <c r="G4653">
        <v>7</v>
      </c>
      <c r="H4653">
        <v>9369.57</v>
      </c>
      <c r="I4653">
        <v>13.6</v>
      </c>
    </row>
    <row r="4654" spans="1:9" x14ac:dyDescent="0.3">
      <c r="A4654" t="s">
        <v>4669</v>
      </c>
      <c r="B4654" t="s">
        <v>24</v>
      </c>
      <c r="C4654" t="s">
        <v>11</v>
      </c>
      <c r="D4654">
        <v>25</v>
      </c>
      <c r="E4654" s="1">
        <v>43070</v>
      </c>
      <c r="F4654">
        <v>4.1399999999999997</v>
      </c>
      <c r="G4654">
        <v>11</v>
      </c>
      <c r="H4654">
        <v>8920.58</v>
      </c>
      <c r="I4654">
        <v>7.9</v>
      </c>
    </row>
    <row r="4655" spans="1:9" x14ac:dyDescent="0.3">
      <c r="A4655" t="s">
        <v>4670</v>
      </c>
      <c r="B4655" t="s">
        <v>16</v>
      </c>
      <c r="C4655" t="s">
        <v>11</v>
      </c>
      <c r="D4655">
        <v>24</v>
      </c>
      <c r="E4655" s="1">
        <v>42838</v>
      </c>
      <c r="F4655">
        <v>4.95</v>
      </c>
      <c r="G4655">
        <v>1</v>
      </c>
      <c r="H4655">
        <v>11287.16</v>
      </c>
      <c r="I4655">
        <v>8.6</v>
      </c>
    </row>
    <row r="4656" spans="1:9" x14ac:dyDescent="0.3">
      <c r="A4656" t="s">
        <v>4671</v>
      </c>
      <c r="B4656" t="s">
        <v>18</v>
      </c>
      <c r="C4656" t="s">
        <v>14</v>
      </c>
      <c r="D4656">
        <v>29</v>
      </c>
      <c r="E4656" s="1">
        <v>43758</v>
      </c>
      <c r="F4656">
        <v>3.13</v>
      </c>
      <c r="G4656">
        <v>6</v>
      </c>
      <c r="H4656">
        <v>13779.16</v>
      </c>
      <c r="I4656">
        <v>6</v>
      </c>
    </row>
    <row r="4657" spans="1:9" x14ac:dyDescent="0.3">
      <c r="A4657" t="s">
        <v>4672</v>
      </c>
      <c r="B4657" t="s">
        <v>18</v>
      </c>
      <c r="C4657" t="s">
        <v>14</v>
      </c>
      <c r="D4657">
        <v>39</v>
      </c>
      <c r="E4657" s="1">
        <v>44495</v>
      </c>
      <c r="F4657">
        <v>2.2799999999999998</v>
      </c>
      <c r="G4657">
        <v>4</v>
      </c>
      <c r="H4657">
        <v>12074.48</v>
      </c>
      <c r="I4657">
        <v>4</v>
      </c>
    </row>
    <row r="4658" spans="1:9" x14ac:dyDescent="0.3">
      <c r="A4658" t="s">
        <v>4673</v>
      </c>
      <c r="B4658" t="s">
        <v>10</v>
      </c>
      <c r="C4658" t="s">
        <v>14</v>
      </c>
      <c r="D4658">
        <v>38</v>
      </c>
      <c r="E4658" s="1">
        <v>42791</v>
      </c>
      <c r="F4658">
        <v>2.21</v>
      </c>
      <c r="G4658">
        <v>0</v>
      </c>
      <c r="H4658">
        <v>11298.43</v>
      </c>
      <c r="I4658">
        <v>8.6999999999999993</v>
      </c>
    </row>
    <row r="4659" spans="1:9" x14ac:dyDescent="0.3">
      <c r="A4659" t="s">
        <v>4674</v>
      </c>
      <c r="B4659" t="s">
        <v>34</v>
      </c>
      <c r="C4659" t="s">
        <v>14</v>
      </c>
      <c r="D4659">
        <v>38</v>
      </c>
      <c r="E4659" s="1">
        <v>44083</v>
      </c>
      <c r="F4659">
        <v>4.51</v>
      </c>
      <c r="G4659">
        <v>2</v>
      </c>
      <c r="H4659">
        <v>11091.61</v>
      </c>
      <c r="I4659">
        <v>5.0999999999999996</v>
      </c>
    </row>
    <row r="4660" spans="1:9" x14ac:dyDescent="0.3">
      <c r="A4660" t="s">
        <v>4675</v>
      </c>
      <c r="B4660" t="s">
        <v>10</v>
      </c>
      <c r="C4660" t="s">
        <v>11</v>
      </c>
      <c r="D4660">
        <v>28</v>
      </c>
      <c r="E4660" s="1">
        <v>43537</v>
      </c>
      <c r="F4660">
        <v>2.58</v>
      </c>
      <c r="G4660">
        <v>12</v>
      </c>
      <c r="H4660">
        <v>10657.46</v>
      </c>
      <c r="I4660">
        <v>6.6</v>
      </c>
    </row>
    <row r="4661" spans="1:9" x14ac:dyDescent="0.3">
      <c r="A4661" t="s">
        <v>4676</v>
      </c>
      <c r="B4661" t="s">
        <v>34</v>
      </c>
      <c r="C4661" t="s">
        <v>11</v>
      </c>
      <c r="D4661">
        <v>46</v>
      </c>
      <c r="E4661" s="1">
        <v>42838</v>
      </c>
      <c r="F4661">
        <v>4</v>
      </c>
      <c r="G4661">
        <v>4</v>
      </c>
      <c r="H4661">
        <v>6590.97</v>
      </c>
      <c r="I4661">
        <v>8.6</v>
      </c>
    </row>
    <row r="4662" spans="1:9" x14ac:dyDescent="0.3">
      <c r="A4662" t="s">
        <v>4677</v>
      </c>
      <c r="B4662" t="s">
        <v>34</v>
      </c>
      <c r="C4662" t="s">
        <v>14</v>
      </c>
      <c r="D4662">
        <v>59</v>
      </c>
      <c r="E4662" s="1">
        <v>44449</v>
      </c>
      <c r="F4662">
        <v>4.91</v>
      </c>
      <c r="G4662">
        <v>8</v>
      </c>
      <c r="H4662">
        <v>5628.37</v>
      </c>
      <c r="I4662">
        <v>4.0999999999999996</v>
      </c>
    </row>
    <row r="4663" spans="1:9" x14ac:dyDescent="0.3">
      <c r="A4663" t="s">
        <v>4678</v>
      </c>
      <c r="B4663" t="s">
        <v>34</v>
      </c>
      <c r="C4663" t="s">
        <v>11</v>
      </c>
      <c r="D4663">
        <v>60</v>
      </c>
      <c r="E4663" s="1">
        <v>45314</v>
      </c>
      <c r="F4663">
        <v>3.47</v>
      </c>
      <c r="G4663">
        <v>6</v>
      </c>
      <c r="H4663">
        <v>11452.25</v>
      </c>
      <c r="I4663">
        <v>1.8</v>
      </c>
    </row>
    <row r="4664" spans="1:9" x14ac:dyDescent="0.3">
      <c r="A4664" t="s">
        <v>4679</v>
      </c>
      <c r="B4664" t="s">
        <v>18</v>
      </c>
      <c r="C4664" t="s">
        <v>11</v>
      </c>
      <c r="D4664">
        <v>34</v>
      </c>
      <c r="E4664" s="1">
        <v>44988</v>
      </c>
      <c r="F4664">
        <v>3.39</v>
      </c>
      <c r="G4664">
        <v>9</v>
      </c>
      <c r="H4664">
        <v>13114.32</v>
      </c>
      <c r="I4664">
        <v>2.7</v>
      </c>
    </row>
    <row r="4665" spans="1:9" x14ac:dyDescent="0.3">
      <c r="A4665" t="s">
        <v>4680</v>
      </c>
      <c r="B4665" t="s">
        <v>34</v>
      </c>
      <c r="C4665" t="s">
        <v>14</v>
      </c>
      <c r="D4665">
        <v>45</v>
      </c>
      <c r="E4665" s="1">
        <v>42599</v>
      </c>
      <c r="F4665">
        <v>1.83</v>
      </c>
      <c r="G4665">
        <v>6</v>
      </c>
      <c r="H4665">
        <v>11196.55</v>
      </c>
      <c r="I4665">
        <v>9.1999999999999993</v>
      </c>
    </row>
    <row r="4666" spans="1:9" x14ac:dyDescent="0.3">
      <c r="A4666" t="s">
        <v>4681</v>
      </c>
      <c r="B4666" t="s">
        <v>13</v>
      </c>
      <c r="C4666" t="s">
        <v>14</v>
      </c>
      <c r="D4666">
        <v>44</v>
      </c>
      <c r="E4666" s="1">
        <v>43962</v>
      </c>
      <c r="F4666">
        <v>1.62</v>
      </c>
      <c r="G4666">
        <v>8</v>
      </c>
      <c r="H4666">
        <v>13852.16</v>
      </c>
      <c r="I4666">
        <v>5.5</v>
      </c>
    </row>
    <row r="4667" spans="1:9" x14ac:dyDescent="0.3">
      <c r="A4667" t="s">
        <v>4682</v>
      </c>
      <c r="B4667" t="s">
        <v>16</v>
      </c>
      <c r="C4667" t="s">
        <v>11</v>
      </c>
      <c r="D4667">
        <v>38</v>
      </c>
      <c r="E4667" s="1">
        <v>45954</v>
      </c>
      <c r="F4667">
        <v>4.25</v>
      </c>
      <c r="G4667">
        <v>3</v>
      </c>
      <c r="H4667">
        <v>10668.65</v>
      </c>
      <c r="I4667">
        <v>0</v>
      </c>
    </row>
    <row r="4668" spans="1:9" x14ac:dyDescent="0.3">
      <c r="A4668" t="s">
        <v>4683</v>
      </c>
      <c r="B4668" t="s">
        <v>13</v>
      </c>
      <c r="C4668" t="s">
        <v>11</v>
      </c>
      <c r="D4668">
        <v>36</v>
      </c>
      <c r="E4668" s="1">
        <v>42502</v>
      </c>
      <c r="F4668">
        <v>4.18</v>
      </c>
      <c r="G4668">
        <v>13</v>
      </c>
      <c r="H4668">
        <v>7844.61</v>
      </c>
      <c r="I4668">
        <v>9.5</v>
      </c>
    </row>
    <row r="4669" spans="1:9" x14ac:dyDescent="0.3">
      <c r="A4669" t="s">
        <v>4684</v>
      </c>
      <c r="B4669" t="s">
        <v>10</v>
      </c>
      <c r="C4669" t="s">
        <v>14</v>
      </c>
      <c r="D4669">
        <v>28</v>
      </c>
      <c r="E4669" s="1">
        <v>41082</v>
      </c>
      <c r="F4669">
        <v>3.34</v>
      </c>
      <c r="G4669">
        <v>3</v>
      </c>
      <c r="H4669">
        <v>8980.16</v>
      </c>
      <c r="I4669">
        <v>13.4</v>
      </c>
    </row>
    <row r="4670" spans="1:9" x14ac:dyDescent="0.3">
      <c r="A4670" t="s">
        <v>4685</v>
      </c>
      <c r="B4670" t="s">
        <v>10</v>
      </c>
      <c r="C4670" t="s">
        <v>14</v>
      </c>
      <c r="D4670">
        <v>51</v>
      </c>
      <c r="E4670" s="1">
        <v>45471</v>
      </c>
      <c r="F4670">
        <v>2.68</v>
      </c>
      <c r="G4670">
        <v>2</v>
      </c>
      <c r="H4670">
        <v>8754.56</v>
      </c>
      <c r="I4670">
        <v>1.3</v>
      </c>
    </row>
    <row r="4671" spans="1:9" x14ac:dyDescent="0.3">
      <c r="A4671" t="s">
        <v>4686</v>
      </c>
      <c r="B4671" t="s">
        <v>16</v>
      </c>
      <c r="C4671" t="s">
        <v>11</v>
      </c>
      <c r="D4671">
        <v>38</v>
      </c>
      <c r="E4671" s="1">
        <v>42703</v>
      </c>
      <c r="F4671">
        <v>4.8</v>
      </c>
      <c r="G4671">
        <v>13</v>
      </c>
      <c r="H4671">
        <v>11422.11</v>
      </c>
      <c r="I4671">
        <v>8.9</v>
      </c>
    </row>
    <row r="4672" spans="1:9" x14ac:dyDescent="0.3">
      <c r="A4672" t="s">
        <v>4687</v>
      </c>
      <c r="B4672" t="s">
        <v>18</v>
      </c>
      <c r="C4672" t="s">
        <v>11</v>
      </c>
      <c r="D4672">
        <v>30</v>
      </c>
      <c r="E4672" s="1">
        <v>41731</v>
      </c>
      <c r="F4672">
        <v>4.71</v>
      </c>
      <c r="G4672">
        <v>2</v>
      </c>
      <c r="H4672">
        <v>13521.55</v>
      </c>
      <c r="I4672">
        <v>11.6</v>
      </c>
    </row>
    <row r="4673" spans="1:9" x14ac:dyDescent="0.3">
      <c r="A4673" t="s">
        <v>4688</v>
      </c>
      <c r="B4673" t="s">
        <v>13</v>
      </c>
      <c r="C4673" t="s">
        <v>11</v>
      </c>
      <c r="D4673">
        <v>60</v>
      </c>
      <c r="E4673" s="1">
        <v>44219</v>
      </c>
      <c r="F4673">
        <v>3.36</v>
      </c>
      <c r="G4673">
        <v>7</v>
      </c>
      <c r="H4673">
        <v>10002.16</v>
      </c>
      <c r="I4673">
        <v>4.8</v>
      </c>
    </row>
    <row r="4674" spans="1:9" x14ac:dyDescent="0.3">
      <c r="A4674" t="s">
        <v>4689</v>
      </c>
      <c r="B4674" t="s">
        <v>10</v>
      </c>
      <c r="C4674" t="s">
        <v>14</v>
      </c>
      <c r="D4674">
        <v>27</v>
      </c>
      <c r="E4674" s="1">
        <v>40717</v>
      </c>
      <c r="F4674">
        <v>2.61</v>
      </c>
      <c r="G4674">
        <v>15</v>
      </c>
      <c r="H4674">
        <v>11085.76</v>
      </c>
      <c r="I4674">
        <v>14.4</v>
      </c>
    </row>
    <row r="4675" spans="1:9" x14ac:dyDescent="0.3">
      <c r="A4675" t="s">
        <v>4690</v>
      </c>
      <c r="B4675" t="s">
        <v>10</v>
      </c>
      <c r="C4675" t="s">
        <v>14</v>
      </c>
      <c r="D4675">
        <v>41</v>
      </c>
      <c r="E4675" s="1">
        <v>45577</v>
      </c>
      <c r="F4675">
        <v>2.37</v>
      </c>
      <c r="G4675">
        <v>4</v>
      </c>
      <c r="H4675">
        <v>9627.15</v>
      </c>
      <c r="I4675">
        <v>1.1000000000000001</v>
      </c>
    </row>
    <row r="4676" spans="1:9" x14ac:dyDescent="0.3">
      <c r="A4676" t="s">
        <v>4691</v>
      </c>
      <c r="B4676" t="s">
        <v>16</v>
      </c>
      <c r="C4676" t="s">
        <v>11</v>
      </c>
      <c r="D4676">
        <v>50</v>
      </c>
      <c r="E4676" s="1">
        <v>42130</v>
      </c>
      <c r="F4676">
        <v>3.22</v>
      </c>
      <c r="G4676">
        <v>13</v>
      </c>
      <c r="H4676">
        <v>11811.66</v>
      </c>
      <c r="I4676">
        <v>10.5</v>
      </c>
    </row>
    <row r="4677" spans="1:9" x14ac:dyDescent="0.3">
      <c r="A4677" t="s">
        <v>4692</v>
      </c>
      <c r="B4677" t="s">
        <v>24</v>
      </c>
      <c r="C4677" t="s">
        <v>14</v>
      </c>
      <c r="D4677">
        <v>56</v>
      </c>
      <c r="E4677" s="1">
        <v>42283</v>
      </c>
      <c r="F4677">
        <v>4.12</v>
      </c>
      <c r="G4677">
        <v>11</v>
      </c>
      <c r="H4677">
        <v>7021.32</v>
      </c>
      <c r="I4677">
        <v>10.1</v>
      </c>
    </row>
    <row r="4678" spans="1:9" x14ac:dyDescent="0.3">
      <c r="A4678" t="s">
        <v>4693</v>
      </c>
      <c r="B4678" t="s">
        <v>16</v>
      </c>
      <c r="C4678" t="s">
        <v>11</v>
      </c>
      <c r="D4678">
        <v>43</v>
      </c>
      <c r="E4678" s="1">
        <v>43395</v>
      </c>
      <c r="F4678">
        <v>3.94</v>
      </c>
      <c r="G4678">
        <v>6</v>
      </c>
      <c r="H4678">
        <v>4488.3500000000004</v>
      </c>
      <c r="I4678">
        <v>7</v>
      </c>
    </row>
    <row r="4679" spans="1:9" x14ac:dyDescent="0.3">
      <c r="A4679" t="s">
        <v>4694</v>
      </c>
      <c r="B4679" t="s">
        <v>16</v>
      </c>
      <c r="C4679" t="s">
        <v>14</v>
      </c>
      <c r="D4679">
        <v>53</v>
      </c>
      <c r="E4679" s="1">
        <v>42434</v>
      </c>
      <c r="F4679">
        <v>4.1900000000000004</v>
      </c>
      <c r="G4679">
        <v>3</v>
      </c>
      <c r="H4679">
        <v>4213.92</v>
      </c>
      <c r="I4679">
        <v>9.6999999999999993</v>
      </c>
    </row>
    <row r="4680" spans="1:9" x14ac:dyDescent="0.3">
      <c r="A4680" t="s">
        <v>4695</v>
      </c>
      <c r="B4680" t="s">
        <v>34</v>
      </c>
      <c r="C4680" t="s">
        <v>14</v>
      </c>
      <c r="D4680">
        <v>25</v>
      </c>
      <c r="E4680" s="1">
        <v>42280</v>
      </c>
      <c r="F4680">
        <v>2.6</v>
      </c>
      <c r="G4680">
        <v>3</v>
      </c>
      <c r="H4680">
        <v>5498.21</v>
      </c>
      <c r="I4680">
        <v>10.1</v>
      </c>
    </row>
    <row r="4681" spans="1:9" x14ac:dyDescent="0.3">
      <c r="A4681" t="s">
        <v>4696</v>
      </c>
      <c r="B4681" t="s">
        <v>18</v>
      </c>
      <c r="C4681" t="s">
        <v>11</v>
      </c>
      <c r="D4681">
        <v>22</v>
      </c>
      <c r="E4681" s="1">
        <v>42445</v>
      </c>
      <c r="F4681">
        <v>4.68</v>
      </c>
      <c r="G4681">
        <v>7</v>
      </c>
      <c r="H4681">
        <v>3895.63</v>
      </c>
      <c r="I4681">
        <v>9.6</v>
      </c>
    </row>
    <row r="4682" spans="1:9" x14ac:dyDescent="0.3">
      <c r="A4682" t="s">
        <v>4697</v>
      </c>
      <c r="B4682" t="s">
        <v>16</v>
      </c>
      <c r="C4682" t="s">
        <v>11</v>
      </c>
      <c r="D4682">
        <v>29</v>
      </c>
      <c r="E4682" s="1">
        <v>44095</v>
      </c>
      <c r="F4682">
        <v>4.2</v>
      </c>
      <c r="G4682">
        <v>13</v>
      </c>
      <c r="H4682">
        <v>10450.07</v>
      </c>
      <c r="I4682">
        <v>5.0999999999999996</v>
      </c>
    </row>
    <row r="4683" spans="1:9" x14ac:dyDescent="0.3">
      <c r="A4683" t="s">
        <v>4698</v>
      </c>
      <c r="B4683" t="s">
        <v>34</v>
      </c>
      <c r="C4683" t="s">
        <v>14</v>
      </c>
      <c r="D4683">
        <v>27</v>
      </c>
      <c r="E4683" s="1">
        <v>44024</v>
      </c>
      <c r="F4683">
        <v>2.0099999999999998</v>
      </c>
      <c r="G4683">
        <v>8</v>
      </c>
      <c r="H4683">
        <v>6193.21</v>
      </c>
      <c r="I4683">
        <v>5.3</v>
      </c>
    </row>
    <row r="4684" spans="1:9" x14ac:dyDescent="0.3">
      <c r="A4684" t="s">
        <v>4699</v>
      </c>
      <c r="B4684" t="s">
        <v>10</v>
      </c>
      <c r="C4684" t="s">
        <v>11</v>
      </c>
      <c r="D4684">
        <v>29</v>
      </c>
      <c r="E4684" s="1">
        <v>40582</v>
      </c>
      <c r="F4684">
        <v>4.07</v>
      </c>
      <c r="G4684">
        <v>3</v>
      </c>
      <c r="H4684">
        <v>9812.25</v>
      </c>
      <c r="I4684">
        <v>14.7</v>
      </c>
    </row>
    <row r="4685" spans="1:9" x14ac:dyDescent="0.3">
      <c r="A4685" t="s">
        <v>4700</v>
      </c>
      <c r="B4685" t="s">
        <v>18</v>
      </c>
      <c r="C4685" t="s">
        <v>11</v>
      </c>
      <c r="D4685">
        <v>59</v>
      </c>
      <c r="E4685" s="1">
        <v>41989</v>
      </c>
      <c r="F4685">
        <v>2.93</v>
      </c>
      <c r="G4685">
        <v>11</v>
      </c>
      <c r="H4685">
        <v>4628.99</v>
      </c>
      <c r="I4685">
        <v>10.9</v>
      </c>
    </row>
    <row r="4686" spans="1:9" x14ac:dyDescent="0.3">
      <c r="A4686" t="s">
        <v>4701</v>
      </c>
      <c r="B4686" t="s">
        <v>18</v>
      </c>
      <c r="C4686" t="s">
        <v>11</v>
      </c>
      <c r="D4686">
        <v>39</v>
      </c>
      <c r="E4686" s="1">
        <v>45649</v>
      </c>
      <c r="F4686">
        <v>2.93</v>
      </c>
      <c r="G4686">
        <v>1</v>
      </c>
      <c r="H4686">
        <v>14599.32</v>
      </c>
      <c r="I4686">
        <v>0.9</v>
      </c>
    </row>
    <row r="4687" spans="1:9" x14ac:dyDescent="0.3">
      <c r="A4687" t="s">
        <v>4702</v>
      </c>
      <c r="B4687" t="s">
        <v>16</v>
      </c>
      <c r="C4687" t="s">
        <v>11</v>
      </c>
      <c r="D4687">
        <v>50</v>
      </c>
      <c r="E4687" s="1">
        <v>41594</v>
      </c>
      <c r="F4687">
        <v>4.45</v>
      </c>
      <c r="G4687">
        <v>10</v>
      </c>
      <c r="H4687">
        <v>13118.67</v>
      </c>
      <c r="I4687">
        <v>12</v>
      </c>
    </row>
    <row r="4688" spans="1:9" x14ac:dyDescent="0.3">
      <c r="A4688" t="s">
        <v>4703</v>
      </c>
      <c r="B4688" t="s">
        <v>18</v>
      </c>
      <c r="C4688" t="s">
        <v>14</v>
      </c>
      <c r="D4688">
        <v>27</v>
      </c>
      <c r="E4688" s="1">
        <v>40836</v>
      </c>
      <c r="F4688">
        <v>3.97</v>
      </c>
      <c r="G4688">
        <v>9</v>
      </c>
      <c r="H4688">
        <v>4297.41</v>
      </c>
      <c r="I4688">
        <v>14</v>
      </c>
    </row>
    <row r="4689" spans="1:9" x14ac:dyDescent="0.3">
      <c r="A4689" t="s">
        <v>4704</v>
      </c>
      <c r="B4689" t="s">
        <v>18</v>
      </c>
      <c r="C4689" t="s">
        <v>14</v>
      </c>
      <c r="D4689">
        <v>26</v>
      </c>
      <c r="E4689" s="1">
        <v>42540</v>
      </c>
      <c r="F4689">
        <v>2.2599999999999998</v>
      </c>
      <c r="G4689">
        <v>1</v>
      </c>
      <c r="H4689">
        <v>13323.24</v>
      </c>
      <c r="I4689">
        <v>9.4</v>
      </c>
    </row>
    <row r="4690" spans="1:9" x14ac:dyDescent="0.3">
      <c r="A4690" t="s">
        <v>4705</v>
      </c>
      <c r="B4690" t="s">
        <v>24</v>
      </c>
      <c r="C4690" t="s">
        <v>14</v>
      </c>
      <c r="D4690">
        <v>60</v>
      </c>
      <c r="E4690" s="1">
        <v>44824</v>
      </c>
      <c r="F4690">
        <v>2.06</v>
      </c>
      <c r="G4690">
        <v>3</v>
      </c>
      <c r="H4690">
        <v>3755.61</v>
      </c>
      <c r="I4690">
        <v>3.1</v>
      </c>
    </row>
    <row r="4691" spans="1:9" x14ac:dyDescent="0.3">
      <c r="A4691" t="s">
        <v>4706</v>
      </c>
      <c r="B4691" t="s">
        <v>16</v>
      </c>
      <c r="C4691" t="s">
        <v>14</v>
      </c>
      <c r="D4691">
        <v>50</v>
      </c>
      <c r="E4691" s="1">
        <v>44825</v>
      </c>
      <c r="F4691">
        <v>3.02</v>
      </c>
      <c r="G4691">
        <v>15</v>
      </c>
      <c r="H4691">
        <v>3356.1</v>
      </c>
      <c r="I4691">
        <v>3.1</v>
      </c>
    </row>
    <row r="4692" spans="1:9" x14ac:dyDescent="0.3">
      <c r="A4692" t="s">
        <v>4707</v>
      </c>
      <c r="B4692" t="s">
        <v>18</v>
      </c>
      <c r="C4692" t="s">
        <v>11</v>
      </c>
      <c r="D4692">
        <v>27</v>
      </c>
      <c r="E4692" s="1">
        <v>44932</v>
      </c>
      <c r="F4692">
        <v>3.76</v>
      </c>
      <c r="G4692">
        <v>4</v>
      </c>
      <c r="H4692">
        <v>9149</v>
      </c>
      <c r="I4692">
        <v>2.8</v>
      </c>
    </row>
    <row r="4693" spans="1:9" x14ac:dyDescent="0.3">
      <c r="A4693" t="s">
        <v>4708</v>
      </c>
      <c r="B4693" t="s">
        <v>24</v>
      </c>
      <c r="C4693" t="s">
        <v>11</v>
      </c>
      <c r="D4693">
        <v>40</v>
      </c>
      <c r="E4693" s="1">
        <v>45452</v>
      </c>
      <c r="F4693">
        <v>2.0699999999999998</v>
      </c>
      <c r="G4693">
        <v>10</v>
      </c>
      <c r="H4693">
        <v>3127.49</v>
      </c>
      <c r="I4693">
        <v>1.4</v>
      </c>
    </row>
    <row r="4694" spans="1:9" x14ac:dyDescent="0.3">
      <c r="A4694" t="s">
        <v>4709</v>
      </c>
      <c r="B4694" t="s">
        <v>24</v>
      </c>
      <c r="C4694" t="s">
        <v>14</v>
      </c>
      <c r="D4694">
        <v>42</v>
      </c>
      <c r="E4694" s="1">
        <v>42148</v>
      </c>
      <c r="F4694">
        <v>4.6100000000000003</v>
      </c>
      <c r="G4694">
        <v>13</v>
      </c>
      <c r="H4694">
        <v>13080</v>
      </c>
      <c r="I4694">
        <v>10.4</v>
      </c>
    </row>
    <row r="4695" spans="1:9" x14ac:dyDescent="0.3">
      <c r="A4695" t="s">
        <v>4710</v>
      </c>
      <c r="B4695" t="s">
        <v>16</v>
      </c>
      <c r="C4695" t="s">
        <v>14</v>
      </c>
      <c r="D4695">
        <v>30</v>
      </c>
      <c r="E4695" s="1">
        <v>45018</v>
      </c>
      <c r="F4695">
        <v>1.55</v>
      </c>
      <c r="G4695">
        <v>9</v>
      </c>
      <c r="H4695">
        <v>5520.32</v>
      </c>
      <c r="I4695">
        <v>2.6</v>
      </c>
    </row>
    <row r="4696" spans="1:9" x14ac:dyDescent="0.3">
      <c r="A4696" t="s">
        <v>4711</v>
      </c>
      <c r="B4696" t="s">
        <v>34</v>
      </c>
      <c r="C4696" t="s">
        <v>11</v>
      </c>
      <c r="D4696">
        <v>55</v>
      </c>
      <c r="E4696" s="1">
        <v>41617</v>
      </c>
      <c r="F4696">
        <v>1.57</v>
      </c>
      <c r="G4696">
        <v>8</v>
      </c>
      <c r="H4696">
        <v>5230.37</v>
      </c>
      <c r="I4696">
        <v>11.9</v>
      </c>
    </row>
    <row r="4697" spans="1:9" x14ac:dyDescent="0.3">
      <c r="A4697" t="s">
        <v>4712</v>
      </c>
      <c r="B4697" t="s">
        <v>18</v>
      </c>
      <c r="C4697" t="s">
        <v>11</v>
      </c>
      <c r="D4697">
        <v>27</v>
      </c>
      <c r="E4697" s="1">
        <v>45678</v>
      </c>
      <c r="F4697">
        <v>4.0999999999999996</v>
      </c>
      <c r="G4697">
        <v>15</v>
      </c>
      <c r="H4697">
        <v>3241.62</v>
      </c>
      <c r="I4697">
        <v>0.8</v>
      </c>
    </row>
    <row r="4698" spans="1:9" x14ac:dyDescent="0.3">
      <c r="A4698" t="s">
        <v>4713</v>
      </c>
      <c r="B4698" t="s">
        <v>16</v>
      </c>
      <c r="C4698" t="s">
        <v>14</v>
      </c>
      <c r="D4698">
        <v>35</v>
      </c>
      <c r="E4698" s="1">
        <v>43537</v>
      </c>
      <c r="F4698">
        <v>3.07</v>
      </c>
      <c r="G4698">
        <v>5</v>
      </c>
      <c r="H4698">
        <v>6408.99</v>
      </c>
      <c r="I4698">
        <v>6.6</v>
      </c>
    </row>
    <row r="4699" spans="1:9" x14ac:dyDescent="0.3">
      <c r="A4699" t="s">
        <v>4714</v>
      </c>
      <c r="B4699" t="s">
        <v>18</v>
      </c>
      <c r="C4699" t="s">
        <v>11</v>
      </c>
      <c r="D4699">
        <v>55</v>
      </c>
      <c r="E4699" s="1">
        <v>43855</v>
      </c>
      <c r="F4699">
        <v>3.76</v>
      </c>
      <c r="G4699">
        <v>2</v>
      </c>
      <c r="H4699">
        <v>6300.16</v>
      </c>
      <c r="I4699">
        <v>5.8</v>
      </c>
    </row>
    <row r="4700" spans="1:9" x14ac:dyDescent="0.3">
      <c r="A4700" t="s">
        <v>4715</v>
      </c>
      <c r="B4700" t="s">
        <v>34</v>
      </c>
      <c r="C4700" t="s">
        <v>11</v>
      </c>
      <c r="D4700">
        <v>24</v>
      </c>
      <c r="E4700" s="1">
        <v>40370</v>
      </c>
      <c r="F4700">
        <v>2.69</v>
      </c>
      <c r="G4700">
        <v>14</v>
      </c>
      <c r="H4700">
        <v>9298.08</v>
      </c>
      <c r="I4700">
        <v>15.3</v>
      </c>
    </row>
    <row r="4701" spans="1:9" x14ac:dyDescent="0.3">
      <c r="A4701" t="s">
        <v>4716</v>
      </c>
      <c r="B4701" t="s">
        <v>13</v>
      </c>
      <c r="C4701" t="s">
        <v>14</v>
      </c>
      <c r="D4701">
        <v>30</v>
      </c>
      <c r="E4701" s="1">
        <v>40405</v>
      </c>
      <c r="F4701">
        <v>2.02</v>
      </c>
      <c r="G4701">
        <v>2</v>
      </c>
      <c r="H4701">
        <v>7509.65</v>
      </c>
      <c r="I4701">
        <v>15.2</v>
      </c>
    </row>
    <row r="4702" spans="1:9" x14ac:dyDescent="0.3">
      <c r="A4702" t="s">
        <v>4717</v>
      </c>
      <c r="B4702" t="s">
        <v>13</v>
      </c>
      <c r="C4702" t="s">
        <v>11</v>
      </c>
      <c r="D4702">
        <v>35</v>
      </c>
      <c r="E4702" s="1">
        <v>40942</v>
      </c>
      <c r="F4702">
        <v>4.54</v>
      </c>
      <c r="G4702">
        <v>8</v>
      </c>
      <c r="H4702">
        <v>5300.66</v>
      </c>
      <c r="I4702">
        <v>13.8</v>
      </c>
    </row>
    <row r="4703" spans="1:9" x14ac:dyDescent="0.3">
      <c r="A4703" t="s">
        <v>4718</v>
      </c>
      <c r="B4703" t="s">
        <v>10</v>
      </c>
      <c r="C4703" t="s">
        <v>11</v>
      </c>
      <c r="D4703">
        <v>24</v>
      </c>
      <c r="E4703" s="1">
        <v>44073</v>
      </c>
      <c r="F4703">
        <v>4.37</v>
      </c>
      <c r="G4703">
        <v>0</v>
      </c>
      <c r="H4703">
        <v>10667.44</v>
      </c>
      <c r="I4703">
        <v>5.2</v>
      </c>
    </row>
    <row r="4704" spans="1:9" x14ac:dyDescent="0.3">
      <c r="A4704" t="s">
        <v>4719</v>
      </c>
      <c r="B4704" t="s">
        <v>16</v>
      </c>
      <c r="C4704" t="s">
        <v>14</v>
      </c>
      <c r="D4704">
        <v>34</v>
      </c>
      <c r="E4704" s="1">
        <v>43938</v>
      </c>
      <c r="F4704">
        <v>2.31</v>
      </c>
      <c r="G4704">
        <v>4</v>
      </c>
      <c r="H4704">
        <v>11073</v>
      </c>
      <c r="I4704">
        <v>5.5</v>
      </c>
    </row>
    <row r="4705" spans="1:9" x14ac:dyDescent="0.3">
      <c r="A4705" t="s">
        <v>4720</v>
      </c>
      <c r="B4705" t="s">
        <v>16</v>
      </c>
      <c r="C4705" t="s">
        <v>14</v>
      </c>
      <c r="D4705">
        <v>25</v>
      </c>
      <c r="E4705" s="1">
        <v>44344</v>
      </c>
      <c r="F4705">
        <v>4.26</v>
      </c>
      <c r="G4705">
        <v>6</v>
      </c>
      <c r="H4705">
        <v>12557</v>
      </c>
      <c r="I4705">
        <v>4.4000000000000004</v>
      </c>
    </row>
    <row r="4706" spans="1:9" x14ac:dyDescent="0.3">
      <c r="A4706" t="s">
        <v>4721</v>
      </c>
      <c r="B4706" t="s">
        <v>13</v>
      </c>
      <c r="C4706" t="s">
        <v>11</v>
      </c>
      <c r="D4706">
        <v>52</v>
      </c>
      <c r="E4706" s="1">
        <v>44376</v>
      </c>
      <c r="F4706">
        <v>3.64</v>
      </c>
      <c r="G4706">
        <v>6</v>
      </c>
      <c r="H4706">
        <v>13495.42</v>
      </c>
      <c r="I4706">
        <v>4.3</v>
      </c>
    </row>
    <row r="4707" spans="1:9" x14ac:dyDescent="0.3">
      <c r="A4707" t="s">
        <v>4722</v>
      </c>
      <c r="B4707" t="s">
        <v>16</v>
      </c>
      <c r="C4707" t="s">
        <v>11</v>
      </c>
      <c r="D4707">
        <v>36</v>
      </c>
      <c r="E4707" s="1">
        <v>42592</v>
      </c>
      <c r="F4707">
        <v>4.71</v>
      </c>
      <c r="G4707">
        <v>2</v>
      </c>
      <c r="H4707">
        <v>8819.4699999999993</v>
      </c>
      <c r="I4707">
        <v>9.1999999999999993</v>
      </c>
    </row>
    <row r="4708" spans="1:9" x14ac:dyDescent="0.3">
      <c r="A4708" t="s">
        <v>4723</v>
      </c>
      <c r="B4708" t="s">
        <v>16</v>
      </c>
      <c r="C4708" t="s">
        <v>14</v>
      </c>
      <c r="D4708">
        <v>57</v>
      </c>
      <c r="E4708" s="1">
        <v>44681</v>
      </c>
      <c r="F4708">
        <v>1.72</v>
      </c>
      <c r="G4708">
        <v>13</v>
      </c>
      <c r="H4708">
        <v>8695.5300000000007</v>
      </c>
      <c r="I4708">
        <v>3.5</v>
      </c>
    </row>
    <row r="4709" spans="1:9" x14ac:dyDescent="0.3">
      <c r="A4709" t="s">
        <v>4724</v>
      </c>
      <c r="B4709" t="s">
        <v>24</v>
      </c>
      <c r="C4709" t="s">
        <v>14</v>
      </c>
      <c r="D4709">
        <v>45</v>
      </c>
      <c r="E4709" s="1">
        <v>45527</v>
      </c>
      <c r="F4709">
        <v>1.98</v>
      </c>
      <c r="G4709">
        <v>9</v>
      </c>
      <c r="H4709">
        <v>6383.5</v>
      </c>
      <c r="I4709">
        <v>1.2</v>
      </c>
    </row>
    <row r="4710" spans="1:9" x14ac:dyDescent="0.3">
      <c r="A4710" t="s">
        <v>4725</v>
      </c>
      <c r="B4710" t="s">
        <v>24</v>
      </c>
      <c r="C4710" t="s">
        <v>11</v>
      </c>
      <c r="D4710">
        <v>31</v>
      </c>
      <c r="E4710" s="1">
        <v>40550</v>
      </c>
      <c r="F4710">
        <v>2.4300000000000002</v>
      </c>
      <c r="G4710">
        <v>12</v>
      </c>
      <c r="H4710">
        <v>12701.86</v>
      </c>
      <c r="I4710">
        <v>14.8</v>
      </c>
    </row>
    <row r="4711" spans="1:9" x14ac:dyDescent="0.3">
      <c r="A4711" t="s">
        <v>4726</v>
      </c>
      <c r="B4711" t="s">
        <v>10</v>
      </c>
      <c r="C4711" t="s">
        <v>14</v>
      </c>
      <c r="D4711">
        <v>24</v>
      </c>
      <c r="E4711" s="1">
        <v>42955</v>
      </c>
      <c r="F4711">
        <v>4.7</v>
      </c>
      <c r="G4711">
        <v>6</v>
      </c>
      <c r="H4711">
        <v>3829.53</v>
      </c>
      <c r="I4711">
        <v>8.1999999999999993</v>
      </c>
    </row>
    <row r="4712" spans="1:9" x14ac:dyDescent="0.3">
      <c r="A4712" t="s">
        <v>4727</v>
      </c>
      <c r="B4712" t="s">
        <v>18</v>
      </c>
      <c r="C4712" t="s">
        <v>14</v>
      </c>
      <c r="D4712">
        <v>23</v>
      </c>
      <c r="E4712" s="1">
        <v>40202</v>
      </c>
      <c r="F4712">
        <v>3.03</v>
      </c>
      <c r="G4712">
        <v>2</v>
      </c>
      <c r="H4712">
        <v>5356.64</v>
      </c>
      <c r="I4712">
        <v>15.8</v>
      </c>
    </row>
    <row r="4713" spans="1:9" x14ac:dyDescent="0.3">
      <c r="A4713" t="s">
        <v>4728</v>
      </c>
      <c r="B4713" t="s">
        <v>34</v>
      </c>
      <c r="C4713" t="s">
        <v>14</v>
      </c>
      <c r="D4713">
        <v>59</v>
      </c>
      <c r="E4713" s="1">
        <v>42404</v>
      </c>
      <c r="F4713">
        <v>2.37</v>
      </c>
      <c r="G4713">
        <v>7</v>
      </c>
      <c r="H4713">
        <v>10990.53</v>
      </c>
      <c r="I4713">
        <v>9.6999999999999993</v>
      </c>
    </row>
    <row r="4714" spans="1:9" x14ac:dyDescent="0.3">
      <c r="A4714" t="s">
        <v>4729</v>
      </c>
      <c r="B4714" t="s">
        <v>34</v>
      </c>
      <c r="C4714" t="s">
        <v>11</v>
      </c>
      <c r="D4714">
        <v>47</v>
      </c>
      <c r="E4714" s="1">
        <v>40527</v>
      </c>
      <c r="F4714">
        <v>1.62</v>
      </c>
      <c r="G4714">
        <v>7</v>
      </c>
      <c r="H4714">
        <v>4198.1499999999996</v>
      </c>
      <c r="I4714">
        <v>14.9</v>
      </c>
    </row>
    <row r="4715" spans="1:9" x14ac:dyDescent="0.3">
      <c r="A4715" t="s">
        <v>4730</v>
      </c>
      <c r="B4715" t="s">
        <v>34</v>
      </c>
      <c r="C4715" t="s">
        <v>14</v>
      </c>
      <c r="D4715">
        <v>37</v>
      </c>
      <c r="E4715" s="1">
        <v>42118</v>
      </c>
      <c r="F4715">
        <v>1.91</v>
      </c>
      <c r="G4715">
        <v>11</v>
      </c>
      <c r="H4715">
        <v>7985.32</v>
      </c>
      <c r="I4715">
        <v>10.5</v>
      </c>
    </row>
    <row r="4716" spans="1:9" x14ac:dyDescent="0.3">
      <c r="A4716" t="s">
        <v>4731</v>
      </c>
      <c r="B4716" t="s">
        <v>18</v>
      </c>
      <c r="C4716" t="s">
        <v>11</v>
      </c>
      <c r="D4716">
        <v>35</v>
      </c>
      <c r="E4716" s="1">
        <v>41726</v>
      </c>
      <c r="F4716">
        <v>1.57</v>
      </c>
      <c r="G4716">
        <v>6</v>
      </c>
      <c r="H4716">
        <v>8942.81</v>
      </c>
      <c r="I4716">
        <v>11.6</v>
      </c>
    </row>
    <row r="4717" spans="1:9" x14ac:dyDescent="0.3">
      <c r="A4717" t="s">
        <v>4732</v>
      </c>
      <c r="B4717" t="s">
        <v>18</v>
      </c>
      <c r="C4717" t="s">
        <v>11</v>
      </c>
      <c r="D4717">
        <v>34</v>
      </c>
      <c r="E4717" s="1">
        <v>44243</v>
      </c>
      <c r="F4717">
        <v>2.92</v>
      </c>
      <c r="G4717">
        <v>6</v>
      </c>
      <c r="H4717">
        <v>10327.379999999999</v>
      </c>
      <c r="I4717">
        <v>4.7</v>
      </c>
    </row>
    <row r="4718" spans="1:9" x14ac:dyDescent="0.3">
      <c r="A4718" t="s">
        <v>4733</v>
      </c>
      <c r="B4718" t="s">
        <v>16</v>
      </c>
      <c r="C4718" t="s">
        <v>14</v>
      </c>
      <c r="D4718">
        <v>55</v>
      </c>
      <c r="E4718" s="1">
        <v>44590</v>
      </c>
      <c r="F4718">
        <v>4.55</v>
      </c>
      <c r="G4718">
        <v>13</v>
      </c>
      <c r="H4718">
        <v>6173.48</v>
      </c>
      <c r="I4718">
        <v>3.8</v>
      </c>
    </row>
    <row r="4719" spans="1:9" x14ac:dyDescent="0.3">
      <c r="A4719" t="s">
        <v>4734</v>
      </c>
      <c r="B4719" t="s">
        <v>34</v>
      </c>
      <c r="C4719" t="s">
        <v>11</v>
      </c>
      <c r="D4719">
        <v>44</v>
      </c>
      <c r="E4719" s="1">
        <v>41648</v>
      </c>
      <c r="F4719">
        <v>4.87</v>
      </c>
      <c r="G4719">
        <v>5</v>
      </c>
      <c r="H4719">
        <v>7996.25</v>
      </c>
      <c r="I4719">
        <v>11.8</v>
      </c>
    </row>
    <row r="4720" spans="1:9" x14ac:dyDescent="0.3">
      <c r="A4720" t="s">
        <v>4735</v>
      </c>
      <c r="B4720" t="s">
        <v>10</v>
      </c>
      <c r="C4720" t="s">
        <v>11</v>
      </c>
      <c r="D4720">
        <v>44</v>
      </c>
      <c r="E4720" s="1">
        <v>44169</v>
      </c>
      <c r="F4720">
        <v>3.48</v>
      </c>
      <c r="G4720">
        <v>4</v>
      </c>
      <c r="H4720">
        <v>13668.48</v>
      </c>
      <c r="I4720">
        <v>4.9000000000000004</v>
      </c>
    </row>
    <row r="4721" spans="1:9" x14ac:dyDescent="0.3">
      <c r="A4721" t="s">
        <v>4736</v>
      </c>
      <c r="B4721" t="s">
        <v>34</v>
      </c>
      <c r="C4721" t="s">
        <v>11</v>
      </c>
      <c r="D4721">
        <v>41</v>
      </c>
      <c r="E4721" s="1">
        <v>43526</v>
      </c>
      <c r="F4721">
        <v>2.31</v>
      </c>
      <c r="G4721">
        <v>2</v>
      </c>
      <c r="H4721">
        <v>11045.45</v>
      </c>
      <c r="I4721">
        <v>6.7</v>
      </c>
    </row>
    <row r="4722" spans="1:9" x14ac:dyDescent="0.3">
      <c r="A4722" t="s">
        <v>4737</v>
      </c>
      <c r="B4722" t="s">
        <v>16</v>
      </c>
      <c r="C4722" t="s">
        <v>11</v>
      </c>
      <c r="D4722">
        <v>33</v>
      </c>
      <c r="E4722" s="1">
        <v>40634</v>
      </c>
      <c r="F4722">
        <v>2.77</v>
      </c>
      <c r="G4722">
        <v>5</v>
      </c>
      <c r="H4722">
        <v>9927.19</v>
      </c>
      <c r="I4722">
        <v>14.6</v>
      </c>
    </row>
    <row r="4723" spans="1:9" x14ac:dyDescent="0.3">
      <c r="A4723" t="s">
        <v>4738</v>
      </c>
      <c r="B4723" t="s">
        <v>34</v>
      </c>
      <c r="C4723" t="s">
        <v>11</v>
      </c>
      <c r="D4723">
        <v>49</v>
      </c>
      <c r="E4723" s="1">
        <v>40921</v>
      </c>
      <c r="F4723">
        <v>4.4000000000000004</v>
      </c>
      <c r="G4723">
        <v>7</v>
      </c>
      <c r="H4723">
        <v>6240.43</v>
      </c>
      <c r="I4723">
        <v>13.8</v>
      </c>
    </row>
    <row r="4724" spans="1:9" x14ac:dyDescent="0.3">
      <c r="A4724" t="s">
        <v>4739</v>
      </c>
      <c r="B4724" t="s">
        <v>10</v>
      </c>
      <c r="C4724" t="s">
        <v>11</v>
      </c>
      <c r="D4724">
        <v>26</v>
      </c>
      <c r="E4724" s="1">
        <v>45242</v>
      </c>
      <c r="F4724">
        <v>3</v>
      </c>
      <c r="G4724">
        <v>5</v>
      </c>
      <c r="H4724">
        <v>4466.12</v>
      </c>
      <c r="I4724">
        <v>2</v>
      </c>
    </row>
    <row r="4725" spans="1:9" x14ac:dyDescent="0.3">
      <c r="A4725" t="s">
        <v>4740</v>
      </c>
      <c r="B4725" t="s">
        <v>13</v>
      </c>
      <c r="C4725" t="s">
        <v>11</v>
      </c>
      <c r="D4725">
        <v>32</v>
      </c>
      <c r="E4725" s="1">
        <v>42043</v>
      </c>
      <c r="F4725">
        <v>3.71</v>
      </c>
      <c r="G4725">
        <v>9</v>
      </c>
      <c r="H4725">
        <v>3300.41</v>
      </c>
      <c r="I4725">
        <v>10.7</v>
      </c>
    </row>
    <row r="4726" spans="1:9" x14ac:dyDescent="0.3">
      <c r="A4726" t="s">
        <v>4741</v>
      </c>
      <c r="B4726" t="s">
        <v>18</v>
      </c>
      <c r="C4726" t="s">
        <v>14</v>
      </c>
      <c r="D4726">
        <v>54</v>
      </c>
      <c r="E4726" s="1">
        <v>40958</v>
      </c>
      <c r="F4726">
        <v>2.27</v>
      </c>
      <c r="G4726">
        <v>14</v>
      </c>
      <c r="H4726">
        <v>10463.969999999999</v>
      </c>
      <c r="I4726">
        <v>13.7</v>
      </c>
    </row>
    <row r="4727" spans="1:9" x14ac:dyDescent="0.3">
      <c r="A4727" t="s">
        <v>4742</v>
      </c>
      <c r="B4727" t="s">
        <v>34</v>
      </c>
      <c r="C4727" t="s">
        <v>14</v>
      </c>
      <c r="D4727">
        <v>27</v>
      </c>
      <c r="E4727" s="1">
        <v>40760</v>
      </c>
      <c r="F4727">
        <v>4.32</v>
      </c>
      <c r="G4727">
        <v>11</v>
      </c>
      <c r="H4727">
        <v>12860.79</v>
      </c>
      <c r="I4727">
        <v>14.3</v>
      </c>
    </row>
    <row r="4728" spans="1:9" x14ac:dyDescent="0.3">
      <c r="A4728" t="s">
        <v>4743</v>
      </c>
      <c r="B4728" t="s">
        <v>18</v>
      </c>
      <c r="C4728" t="s">
        <v>14</v>
      </c>
      <c r="D4728">
        <v>33</v>
      </c>
      <c r="E4728" s="1">
        <v>43986</v>
      </c>
      <c r="F4728">
        <v>3.59</v>
      </c>
      <c r="G4728">
        <v>1</v>
      </c>
      <c r="H4728">
        <v>13957.64</v>
      </c>
      <c r="I4728">
        <v>5.4</v>
      </c>
    </row>
    <row r="4729" spans="1:9" x14ac:dyDescent="0.3">
      <c r="A4729" t="s">
        <v>4744</v>
      </c>
      <c r="B4729" t="s">
        <v>13</v>
      </c>
      <c r="C4729" t="s">
        <v>14</v>
      </c>
      <c r="D4729">
        <v>55</v>
      </c>
      <c r="E4729" s="1">
        <v>42803</v>
      </c>
      <c r="F4729">
        <v>4.53</v>
      </c>
      <c r="G4729">
        <v>1</v>
      </c>
      <c r="H4729">
        <v>9480.74</v>
      </c>
      <c r="I4729">
        <v>8.6999999999999993</v>
      </c>
    </row>
    <row r="4730" spans="1:9" x14ac:dyDescent="0.3">
      <c r="A4730" t="s">
        <v>4745</v>
      </c>
      <c r="B4730" t="s">
        <v>10</v>
      </c>
      <c r="C4730" t="s">
        <v>14</v>
      </c>
      <c r="D4730">
        <v>31</v>
      </c>
      <c r="E4730" s="1">
        <v>41006</v>
      </c>
      <c r="F4730">
        <v>1.68</v>
      </c>
      <c r="G4730">
        <v>9</v>
      </c>
      <c r="H4730">
        <v>12892.17</v>
      </c>
      <c r="I4730">
        <v>13.6</v>
      </c>
    </row>
    <row r="4731" spans="1:9" x14ac:dyDescent="0.3">
      <c r="A4731" t="s">
        <v>4746</v>
      </c>
      <c r="B4731" t="s">
        <v>18</v>
      </c>
      <c r="C4731" t="s">
        <v>11</v>
      </c>
      <c r="D4731">
        <v>46</v>
      </c>
      <c r="E4731" s="1">
        <v>40804</v>
      </c>
      <c r="F4731">
        <v>1.88</v>
      </c>
      <c r="G4731">
        <v>6</v>
      </c>
      <c r="H4731">
        <v>9131.85</v>
      </c>
      <c r="I4731">
        <v>14.1</v>
      </c>
    </row>
    <row r="4732" spans="1:9" x14ac:dyDescent="0.3">
      <c r="A4732" t="s">
        <v>4747</v>
      </c>
      <c r="B4732" t="s">
        <v>34</v>
      </c>
      <c r="C4732" t="s">
        <v>11</v>
      </c>
      <c r="D4732">
        <v>30</v>
      </c>
      <c r="E4732" s="1">
        <v>41724</v>
      </c>
      <c r="F4732">
        <v>4.97</v>
      </c>
      <c r="G4732">
        <v>1</v>
      </c>
      <c r="H4732">
        <v>12678.04</v>
      </c>
      <c r="I4732">
        <v>11.6</v>
      </c>
    </row>
    <row r="4733" spans="1:9" x14ac:dyDescent="0.3">
      <c r="A4733" t="s">
        <v>4748</v>
      </c>
      <c r="B4733" t="s">
        <v>24</v>
      </c>
      <c r="C4733" t="s">
        <v>11</v>
      </c>
      <c r="D4733">
        <v>30</v>
      </c>
      <c r="E4733" s="1">
        <v>43996</v>
      </c>
      <c r="F4733">
        <v>2.83</v>
      </c>
      <c r="G4733">
        <v>6</v>
      </c>
      <c r="H4733">
        <v>7480.11</v>
      </c>
      <c r="I4733">
        <v>5.4</v>
      </c>
    </row>
    <row r="4734" spans="1:9" x14ac:dyDescent="0.3">
      <c r="A4734" t="s">
        <v>4749</v>
      </c>
      <c r="B4734" t="s">
        <v>10</v>
      </c>
      <c r="C4734" t="s">
        <v>14</v>
      </c>
      <c r="D4734">
        <v>30</v>
      </c>
      <c r="E4734" s="1">
        <v>42181</v>
      </c>
      <c r="F4734">
        <v>1.95</v>
      </c>
      <c r="G4734">
        <v>15</v>
      </c>
      <c r="H4734">
        <v>5217.45</v>
      </c>
      <c r="I4734">
        <v>10.4</v>
      </c>
    </row>
    <row r="4735" spans="1:9" x14ac:dyDescent="0.3">
      <c r="A4735" t="s">
        <v>4750</v>
      </c>
      <c r="B4735" t="s">
        <v>10</v>
      </c>
      <c r="C4735" t="s">
        <v>14</v>
      </c>
      <c r="D4735">
        <v>58</v>
      </c>
      <c r="E4735" s="1">
        <v>44692</v>
      </c>
      <c r="F4735">
        <v>3.08</v>
      </c>
      <c r="G4735">
        <v>12</v>
      </c>
      <c r="H4735">
        <v>13654.52</v>
      </c>
      <c r="I4735">
        <v>3.5</v>
      </c>
    </row>
    <row r="4736" spans="1:9" x14ac:dyDescent="0.3">
      <c r="A4736" t="s">
        <v>4751</v>
      </c>
      <c r="B4736" t="s">
        <v>10</v>
      </c>
      <c r="C4736" t="s">
        <v>14</v>
      </c>
      <c r="D4736">
        <v>58</v>
      </c>
      <c r="E4736" s="1">
        <v>42593</v>
      </c>
      <c r="F4736">
        <v>2.1800000000000002</v>
      </c>
      <c r="G4736">
        <v>13</v>
      </c>
      <c r="H4736">
        <v>12051.5</v>
      </c>
      <c r="I4736">
        <v>9.1999999999999993</v>
      </c>
    </row>
    <row r="4737" spans="1:9" x14ac:dyDescent="0.3">
      <c r="A4737" t="s">
        <v>4752</v>
      </c>
      <c r="B4737" t="s">
        <v>24</v>
      </c>
      <c r="C4737" t="s">
        <v>11</v>
      </c>
      <c r="D4737">
        <v>50</v>
      </c>
      <c r="E4737" s="1">
        <v>40622</v>
      </c>
      <c r="F4737">
        <v>3.37</v>
      </c>
      <c r="G4737">
        <v>13</v>
      </c>
      <c r="H4737">
        <v>3850.59</v>
      </c>
      <c r="I4737">
        <v>14.6</v>
      </c>
    </row>
    <row r="4738" spans="1:9" x14ac:dyDescent="0.3">
      <c r="A4738" t="s">
        <v>4753</v>
      </c>
      <c r="B4738" t="s">
        <v>34</v>
      </c>
      <c r="C4738" t="s">
        <v>11</v>
      </c>
      <c r="D4738">
        <v>60</v>
      </c>
      <c r="E4738" s="1">
        <v>41814</v>
      </c>
      <c r="F4738">
        <v>1.69</v>
      </c>
      <c r="G4738">
        <v>11</v>
      </c>
      <c r="H4738">
        <v>14324.2</v>
      </c>
      <c r="I4738">
        <v>11.4</v>
      </c>
    </row>
    <row r="4739" spans="1:9" x14ac:dyDescent="0.3">
      <c r="A4739" t="s">
        <v>4754</v>
      </c>
      <c r="B4739" t="s">
        <v>16</v>
      </c>
      <c r="C4739" t="s">
        <v>11</v>
      </c>
      <c r="D4739">
        <v>35</v>
      </c>
      <c r="E4739" s="1">
        <v>43576</v>
      </c>
      <c r="F4739">
        <v>4.5999999999999996</v>
      </c>
      <c r="G4739">
        <v>9</v>
      </c>
      <c r="H4739">
        <v>12067.52</v>
      </c>
      <c r="I4739">
        <v>6.5</v>
      </c>
    </row>
    <row r="4740" spans="1:9" x14ac:dyDescent="0.3">
      <c r="A4740" t="s">
        <v>4755</v>
      </c>
      <c r="B4740" t="s">
        <v>16</v>
      </c>
      <c r="C4740" t="s">
        <v>11</v>
      </c>
      <c r="D4740">
        <v>56</v>
      </c>
      <c r="E4740" s="1">
        <v>41195</v>
      </c>
      <c r="F4740">
        <v>3.27</v>
      </c>
      <c r="G4740">
        <v>14</v>
      </c>
      <c r="H4740">
        <v>7430.59</v>
      </c>
      <c r="I4740">
        <v>13.1</v>
      </c>
    </row>
    <row r="4741" spans="1:9" x14ac:dyDescent="0.3">
      <c r="A4741" t="s">
        <v>4756</v>
      </c>
      <c r="B4741" t="s">
        <v>13</v>
      </c>
      <c r="C4741" t="s">
        <v>14</v>
      </c>
      <c r="D4741">
        <v>56</v>
      </c>
      <c r="E4741" s="1">
        <v>40857</v>
      </c>
      <c r="F4741">
        <v>3.93</v>
      </c>
      <c r="G4741">
        <v>3</v>
      </c>
      <c r="H4741">
        <v>13764.34</v>
      </c>
      <c r="I4741">
        <v>14</v>
      </c>
    </row>
    <row r="4742" spans="1:9" x14ac:dyDescent="0.3">
      <c r="A4742" t="s">
        <v>4757</v>
      </c>
      <c r="B4742" t="s">
        <v>24</v>
      </c>
      <c r="C4742" t="s">
        <v>14</v>
      </c>
      <c r="D4742">
        <v>42</v>
      </c>
      <c r="E4742" s="1">
        <v>45496</v>
      </c>
      <c r="F4742">
        <v>4.58</v>
      </c>
      <c r="G4742">
        <v>15</v>
      </c>
      <c r="H4742">
        <v>4894.5600000000004</v>
      </c>
      <c r="I4742">
        <v>1.3</v>
      </c>
    </row>
    <row r="4743" spans="1:9" x14ac:dyDescent="0.3">
      <c r="A4743" t="s">
        <v>4758</v>
      </c>
      <c r="B4743" t="s">
        <v>10</v>
      </c>
      <c r="C4743" t="s">
        <v>11</v>
      </c>
      <c r="D4743">
        <v>55</v>
      </c>
      <c r="E4743" s="1">
        <v>41765</v>
      </c>
      <c r="F4743">
        <v>3.1</v>
      </c>
      <c r="G4743">
        <v>2</v>
      </c>
      <c r="H4743">
        <v>12202.44</v>
      </c>
      <c r="I4743">
        <v>11.5</v>
      </c>
    </row>
    <row r="4744" spans="1:9" x14ac:dyDescent="0.3">
      <c r="A4744" t="s">
        <v>4759</v>
      </c>
      <c r="B4744" t="s">
        <v>34</v>
      </c>
      <c r="C4744" t="s">
        <v>11</v>
      </c>
      <c r="D4744">
        <v>55</v>
      </c>
      <c r="E4744" s="1">
        <v>44858</v>
      </c>
      <c r="F4744">
        <v>2.86</v>
      </c>
      <c r="G4744">
        <v>9</v>
      </c>
      <c r="H4744">
        <v>5720.83</v>
      </c>
      <c r="I4744">
        <v>3</v>
      </c>
    </row>
    <row r="4745" spans="1:9" x14ac:dyDescent="0.3">
      <c r="A4745" t="s">
        <v>4760</v>
      </c>
      <c r="B4745" t="s">
        <v>16</v>
      </c>
      <c r="C4745" t="s">
        <v>14</v>
      </c>
      <c r="D4745">
        <v>36</v>
      </c>
      <c r="E4745" s="1">
        <v>42936</v>
      </c>
      <c r="F4745">
        <v>1.74</v>
      </c>
      <c r="G4745">
        <v>7</v>
      </c>
      <c r="H4745">
        <v>13030.44</v>
      </c>
      <c r="I4745">
        <v>8.3000000000000007</v>
      </c>
    </row>
    <row r="4746" spans="1:9" x14ac:dyDescent="0.3">
      <c r="A4746" t="s">
        <v>4761</v>
      </c>
      <c r="B4746" t="s">
        <v>34</v>
      </c>
      <c r="C4746" t="s">
        <v>11</v>
      </c>
      <c r="D4746">
        <v>51</v>
      </c>
      <c r="E4746" s="1">
        <v>44181</v>
      </c>
      <c r="F4746">
        <v>3.04</v>
      </c>
      <c r="G4746">
        <v>10</v>
      </c>
      <c r="H4746">
        <v>7137.5</v>
      </c>
      <c r="I4746">
        <v>4.9000000000000004</v>
      </c>
    </row>
    <row r="4747" spans="1:9" x14ac:dyDescent="0.3">
      <c r="A4747" t="s">
        <v>4762</v>
      </c>
      <c r="B4747" t="s">
        <v>16</v>
      </c>
      <c r="C4747" t="s">
        <v>14</v>
      </c>
      <c r="D4747">
        <v>39</v>
      </c>
      <c r="E4747" s="1">
        <v>40379</v>
      </c>
      <c r="F4747">
        <v>2.33</v>
      </c>
      <c r="G4747">
        <v>3</v>
      </c>
      <c r="H4747">
        <v>11927.6</v>
      </c>
      <c r="I4747">
        <v>15.3</v>
      </c>
    </row>
    <row r="4748" spans="1:9" x14ac:dyDescent="0.3">
      <c r="A4748" t="s">
        <v>4763</v>
      </c>
      <c r="B4748" t="s">
        <v>13</v>
      </c>
      <c r="C4748" t="s">
        <v>11</v>
      </c>
      <c r="D4748">
        <v>26</v>
      </c>
      <c r="E4748" s="1">
        <v>43908</v>
      </c>
      <c r="F4748">
        <v>3.84</v>
      </c>
      <c r="G4748">
        <v>7</v>
      </c>
      <c r="H4748">
        <v>13997.86</v>
      </c>
      <c r="I4748">
        <v>5.6</v>
      </c>
    </row>
    <row r="4749" spans="1:9" x14ac:dyDescent="0.3">
      <c r="A4749" t="s">
        <v>4764</v>
      </c>
      <c r="B4749" t="s">
        <v>13</v>
      </c>
      <c r="C4749" t="s">
        <v>14</v>
      </c>
      <c r="D4749">
        <v>51</v>
      </c>
      <c r="E4749" s="1">
        <v>45379</v>
      </c>
      <c r="F4749">
        <v>3.05</v>
      </c>
      <c r="G4749">
        <v>9</v>
      </c>
      <c r="H4749">
        <v>12907.65</v>
      </c>
      <c r="I4749">
        <v>1.6</v>
      </c>
    </row>
    <row r="4750" spans="1:9" x14ac:dyDescent="0.3">
      <c r="A4750" t="s">
        <v>4765</v>
      </c>
      <c r="B4750" t="s">
        <v>13</v>
      </c>
      <c r="C4750" t="s">
        <v>11</v>
      </c>
      <c r="D4750">
        <v>49</v>
      </c>
      <c r="E4750" s="1">
        <v>45095</v>
      </c>
      <c r="F4750">
        <v>2.2799999999999998</v>
      </c>
      <c r="G4750">
        <v>2</v>
      </c>
      <c r="H4750">
        <v>14913.32</v>
      </c>
      <c r="I4750">
        <v>2.4</v>
      </c>
    </row>
    <row r="4751" spans="1:9" x14ac:dyDescent="0.3">
      <c r="A4751" t="s">
        <v>4766</v>
      </c>
      <c r="B4751" t="s">
        <v>18</v>
      </c>
      <c r="C4751" t="s">
        <v>14</v>
      </c>
      <c r="D4751">
        <v>22</v>
      </c>
      <c r="E4751" s="1">
        <v>40695</v>
      </c>
      <c r="F4751">
        <v>4</v>
      </c>
      <c r="G4751">
        <v>10</v>
      </c>
      <c r="H4751">
        <v>9033.81</v>
      </c>
      <c r="I4751">
        <v>14.4</v>
      </c>
    </row>
    <row r="4752" spans="1:9" x14ac:dyDescent="0.3">
      <c r="A4752" t="s">
        <v>4767</v>
      </c>
      <c r="B4752" t="s">
        <v>24</v>
      </c>
      <c r="C4752" t="s">
        <v>11</v>
      </c>
      <c r="D4752">
        <v>49</v>
      </c>
      <c r="E4752" s="1">
        <v>42847</v>
      </c>
      <c r="F4752">
        <v>4.2</v>
      </c>
      <c r="G4752">
        <v>4</v>
      </c>
      <c r="H4752">
        <v>4774.0200000000004</v>
      </c>
      <c r="I4752">
        <v>8.5</v>
      </c>
    </row>
    <row r="4753" spans="1:9" x14ac:dyDescent="0.3">
      <c r="A4753" t="s">
        <v>4768</v>
      </c>
      <c r="B4753" t="s">
        <v>13</v>
      </c>
      <c r="C4753" t="s">
        <v>11</v>
      </c>
      <c r="D4753">
        <v>49</v>
      </c>
      <c r="E4753" s="1">
        <v>43177</v>
      </c>
      <c r="F4753">
        <v>2.14</v>
      </c>
      <c r="G4753">
        <v>2</v>
      </c>
      <c r="H4753">
        <v>5929.56</v>
      </c>
      <c r="I4753">
        <v>7.6</v>
      </c>
    </row>
    <row r="4754" spans="1:9" x14ac:dyDescent="0.3">
      <c r="A4754" t="s">
        <v>4769</v>
      </c>
      <c r="B4754" t="s">
        <v>10</v>
      </c>
      <c r="C4754" t="s">
        <v>14</v>
      </c>
      <c r="D4754">
        <v>26</v>
      </c>
      <c r="E4754" s="1">
        <v>43731</v>
      </c>
      <c r="F4754">
        <v>3.23</v>
      </c>
      <c r="G4754">
        <v>6</v>
      </c>
      <c r="H4754">
        <v>14523.43</v>
      </c>
      <c r="I4754">
        <v>6.1</v>
      </c>
    </row>
    <row r="4755" spans="1:9" x14ac:dyDescent="0.3">
      <c r="A4755" t="s">
        <v>4770</v>
      </c>
      <c r="B4755" t="s">
        <v>13</v>
      </c>
      <c r="C4755" t="s">
        <v>11</v>
      </c>
      <c r="D4755">
        <v>55</v>
      </c>
      <c r="E4755" s="1">
        <v>45210</v>
      </c>
      <c r="F4755">
        <v>1.74</v>
      </c>
      <c r="G4755">
        <v>1</v>
      </c>
      <c r="H4755">
        <v>8974.1</v>
      </c>
      <c r="I4755">
        <v>2.1</v>
      </c>
    </row>
    <row r="4756" spans="1:9" x14ac:dyDescent="0.3">
      <c r="A4756" t="s">
        <v>4771</v>
      </c>
      <c r="B4756" t="s">
        <v>24</v>
      </c>
      <c r="C4756" t="s">
        <v>14</v>
      </c>
      <c r="D4756">
        <v>32</v>
      </c>
      <c r="E4756" s="1">
        <v>41465</v>
      </c>
      <c r="F4756">
        <v>3.92</v>
      </c>
      <c r="G4756">
        <v>10</v>
      </c>
      <c r="H4756">
        <v>6395.38</v>
      </c>
      <c r="I4756">
        <v>12.3</v>
      </c>
    </row>
    <row r="4757" spans="1:9" x14ac:dyDescent="0.3">
      <c r="A4757" t="s">
        <v>4772</v>
      </c>
      <c r="B4757" t="s">
        <v>10</v>
      </c>
      <c r="C4757" t="s">
        <v>14</v>
      </c>
      <c r="D4757">
        <v>48</v>
      </c>
      <c r="E4757" s="1">
        <v>43427</v>
      </c>
      <c r="F4757">
        <v>4.47</v>
      </c>
      <c r="G4757">
        <v>13</v>
      </c>
      <c r="H4757">
        <v>7082.32</v>
      </c>
      <c r="I4757">
        <v>6.9</v>
      </c>
    </row>
    <row r="4758" spans="1:9" x14ac:dyDescent="0.3">
      <c r="A4758" t="s">
        <v>4773</v>
      </c>
      <c r="B4758" t="s">
        <v>34</v>
      </c>
      <c r="C4758" t="s">
        <v>11</v>
      </c>
      <c r="D4758">
        <v>28</v>
      </c>
      <c r="E4758" s="1">
        <v>45181</v>
      </c>
      <c r="F4758">
        <v>2.81</v>
      </c>
      <c r="G4758">
        <v>10</v>
      </c>
      <c r="H4758">
        <v>4383.5200000000004</v>
      </c>
      <c r="I4758">
        <v>2.1</v>
      </c>
    </row>
    <row r="4759" spans="1:9" x14ac:dyDescent="0.3">
      <c r="A4759" t="s">
        <v>4774</v>
      </c>
      <c r="B4759" t="s">
        <v>34</v>
      </c>
      <c r="C4759" t="s">
        <v>14</v>
      </c>
      <c r="D4759">
        <v>51</v>
      </c>
      <c r="E4759" s="1">
        <v>41545</v>
      </c>
      <c r="F4759">
        <v>3.27</v>
      </c>
      <c r="G4759">
        <v>13</v>
      </c>
      <c r="H4759">
        <v>6497.28</v>
      </c>
      <c r="I4759">
        <v>12.1</v>
      </c>
    </row>
    <row r="4760" spans="1:9" x14ac:dyDescent="0.3">
      <c r="A4760" t="s">
        <v>4775</v>
      </c>
      <c r="B4760" t="s">
        <v>34</v>
      </c>
      <c r="C4760" t="s">
        <v>11</v>
      </c>
      <c r="D4760">
        <v>41</v>
      </c>
      <c r="E4760" s="1">
        <v>42747</v>
      </c>
      <c r="F4760">
        <v>4.2</v>
      </c>
      <c r="G4760">
        <v>5</v>
      </c>
      <c r="H4760">
        <v>8025.6</v>
      </c>
      <c r="I4760">
        <v>8.8000000000000007</v>
      </c>
    </row>
    <row r="4761" spans="1:9" x14ac:dyDescent="0.3">
      <c r="A4761" t="s">
        <v>4776</v>
      </c>
      <c r="B4761" t="s">
        <v>13</v>
      </c>
      <c r="C4761" t="s">
        <v>14</v>
      </c>
      <c r="D4761">
        <v>33</v>
      </c>
      <c r="E4761" s="1">
        <v>41950</v>
      </c>
      <c r="F4761">
        <v>3.32</v>
      </c>
      <c r="G4761">
        <v>9</v>
      </c>
      <c r="H4761">
        <v>9185.6299999999992</v>
      </c>
      <c r="I4761">
        <v>11</v>
      </c>
    </row>
    <row r="4762" spans="1:9" x14ac:dyDescent="0.3">
      <c r="A4762" t="s">
        <v>4777</v>
      </c>
      <c r="B4762" t="s">
        <v>10</v>
      </c>
      <c r="C4762" t="s">
        <v>11</v>
      </c>
      <c r="D4762">
        <v>26</v>
      </c>
      <c r="E4762" s="1">
        <v>45704</v>
      </c>
      <c r="F4762">
        <v>4.43</v>
      </c>
      <c r="G4762">
        <v>10</v>
      </c>
      <c r="H4762">
        <v>10284.35</v>
      </c>
      <c r="I4762">
        <v>0.7</v>
      </c>
    </row>
    <row r="4763" spans="1:9" x14ac:dyDescent="0.3">
      <c r="A4763" t="s">
        <v>4778</v>
      </c>
      <c r="B4763" t="s">
        <v>10</v>
      </c>
      <c r="C4763" t="s">
        <v>11</v>
      </c>
      <c r="D4763">
        <v>22</v>
      </c>
      <c r="E4763" s="1">
        <v>44497</v>
      </c>
      <c r="F4763">
        <v>2.83</v>
      </c>
      <c r="G4763">
        <v>7</v>
      </c>
      <c r="H4763">
        <v>4154.5200000000004</v>
      </c>
      <c r="I4763">
        <v>4</v>
      </c>
    </row>
    <row r="4764" spans="1:9" x14ac:dyDescent="0.3">
      <c r="A4764" t="s">
        <v>4779</v>
      </c>
      <c r="B4764" t="s">
        <v>16</v>
      </c>
      <c r="C4764" t="s">
        <v>14</v>
      </c>
      <c r="D4764">
        <v>44</v>
      </c>
      <c r="E4764" s="1">
        <v>42757</v>
      </c>
      <c r="F4764">
        <v>2.17</v>
      </c>
      <c r="G4764">
        <v>14</v>
      </c>
      <c r="H4764">
        <v>14208.74</v>
      </c>
      <c r="I4764">
        <v>8.8000000000000007</v>
      </c>
    </row>
    <row r="4765" spans="1:9" x14ac:dyDescent="0.3">
      <c r="A4765" t="s">
        <v>4780</v>
      </c>
      <c r="B4765" t="s">
        <v>16</v>
      </c>
      <c r="C4765" t="s">
        <v>11</v>
      </c>
      <c r="D4765">
        <v>24</v>
      </c>
      <c r="E4765" s="1">
        <v>44883</v>
      </c>
      <c r="F4765">
        <v>2.88</v>
      </c>
      <c r="G4765">
        <v>5</v>
      </c>
      <c r="H4765">
        <v>8206.6</v>
      </c>
      <c r="I4765">
        <v>3</v>
      </c>
    </row>
    <row r="4766" spans="1:9" x14ac:dyDescent="0.3">
      <c r="A4766" t="s">
        <v>4781</v>
      </c>
      <c r="B4766" t="s">
        <v>10</v>
      </c>
      <c r="C4766" t="s">
        <v>11</v>
      </c>
      <c r="D4766">
        <v>26</v>
      </c>
      <c r="E4766" s="1">
        <v>44148</v>
      </c>
      <c r="F4766">
        <v>2.65</v>
      </c>
      <c r="G4766">
        <v>8</v>
      </c>
      <c r="H4766">
        <v>3062.68</v>
      </c>
      <c r="I4766">
        <v>5</v>
      </c>
    </row>
    <row r="4767" spans="1:9" x14ac:dyDescent="0.3">
      <c r="A4767" t="s">
        <v>4782</v>
      </c>
      <c r="B4767" t="s">
        <v>18</v>
      </c>
      <c r="C4767" t="s">
        <v>11</v>
      </c>
      <c r="D4767">
        <v>57</v>
      </c>
      <c r="E4767" s="1">
        <v>44530</v>
      </c>
      <c r="F4767">
        <v>2.2400000000000002</v>
      </c>
      <c r="G4767">
        <v>6</v>
      </c>
      <c r="H4767">
        <v>5898.13</v>
      </c>
      <c r="I4767">
        <v>3.9</v>
      </c>
    </row>
    <row r="4768" spans="1:9" x14ac:dyDescent="0.3">
      <c r="A4768" t="s">
        <v>4783</v>
      </c>
      <c r="B4768" t="s">
        <v>16</v>
      </c>
      <c r="C4768" t="s">
        <v>11</v>
      </c>
      <c r="D4768">
        <v>32</v>
      </c>
      <c r="E4768" s="1">
        <v>44833</v>
      </c>
      <c r="F4768">
        <v>2.42</v>
      </c>
      <c r="G4768">
        <v>1</v>
      </c>
      <c r="H4768">
        <v>14341</v>
      </c>
      <c r="I4768">
        <v>3.1</v>
      </c>
    </row>
    <row r="4769" spans="1:9" x14ac:dyDescent="0.3">
      <c r="A4769" t="s">
        <v>4784</v>
      </c>
      <c r="B4769" t="s">
        <v>18</v>
      </c>
      <c r="C4769" t="s">
        <v>14</v>
      </c>
      <c r="D4769">
        <v>39</v>
      </c>
      <c r="E4769" s="1">
        <v>45556</v>
      </c>
      <c r="F4769">
        <v>4.46</v>
      </c>
      <c r="G4769">
        <v>13</v>
      </c>
      <c r="H4769">
        <v>12162.58</v>
      </c>
      <c r="I4769">
        <v>1.1000000000000001</v>
      </c>
    </row>
    <row r="4770" spans="1:9" x14ac:dyDescent="0.3">
      <c r="A4770" t="s">
        <v>4785</v>
      </c>
      <c r="B4770" t="s">
        <v>16</v>
      </c>
      <c r="C4770" t="s">
        <v>11</v>
      </c>
      <c r="D4770">
        <v>45</v>
      </c>
      <c r="E4770" s="1">
        <v>43463</v>
      </c>
      <c r="F4770">
        <v>2.98</v>
      </c>
      <c r="G4770">
        <v>2</v>
      </c>
      <c r="H4770">
        <v>7247.32</v>
      </c>
      <c r="I4770">
        <v>6.8</v>
      </c>
    </row>
    <row r="4771" spans="1:9" x14ac:dyDescent="0.3">
      <c r="A4771" t="s">
        <v>4786</v>
      </c>
      <c r="B4771" t="s">
        <v>10</v>
      </c>
      <c r="C4771" t="s">
        <v>11</v>
      </c>
      <c r="D4771">
        <v>56</v>
      </c>
      <c r="E4771" s="1">
        <v>40941</v>
      </c>
      <c r="F4771">
        <v>4.54</v>
      </c>
      <c r="G4771">
        <v>14</v>
      </c>
      <c r="H4771">
        <v>9239.8799999999992</v>
      </c>
      <c r="I4771">
        <v>13.8</v>
      </c>
    </row>
    <row r="4772" spans="1:9" x14ac:dyDescent="0.3">
      <c r="A4772" t="s">
        <v>4787</v>
      </c>
      <c r="B4772" t="s">
        <v>34</v>
      </c>
      <c r="C4772" t="s">
        <v>14</v>
      </c>
      <c r="D4772">
        <v>33</v>
      </c>
      <c r="E4772" s="1">
        <v>41516</v>
      </c>
      <c r="F4772">
        <v>1.66</v>
      </c>
      <c r="G4772">
        <v>13</v>
      </c>
      <c r="H4772">
        <v>13906.51</v>
      </c>
      <c r="I4772">
        <v>12.2</v>
      </c>
    </row>
    <row r="4773" spans="1:9" x14ac:dyDescent="0.3">
      <c r="A4773" t="s">
        <v>4788</v>
      </c>
      <c r="B4773" t="s">
        <v>16</v>
      </c>
      <c r="C4773" t="s">
        <v>11</v>
      </c>
      <c r="D4773">
        <v>48</v>
      </c>
      <c r="E4773" s="1">
        <v>40897</v>
      </c>
      <c r="F4773">
        <v>4.5</v>
      </c>
      <c r="G4773">
        <v>9</v>
      </c>
      <c r="H4773">
        <v>9122.41</v>
      </c>
      <c r="I4773">
        <v>13.9</v>
      </c>
    </row>
    <row r="4774" spans="1:9" x14ac:dyDescent="0.3">
      <c r="A4774" t="s">
        <v>4789</v>
      </c>
      <c r="B4774" t="s">
        <v>34</v>
      </c>
      <c r="C4774" t="s">
        <v>14</v>
      </c>
      <c r="D4774">
        <v>56</v>
      </c>
      <c r="E4774" s="1">
        <v>40847</v>
      </c>
      <c r="F4774">
        <v>3.53</v>
      </c>
      <c r="G4774">
        <v>13</v>
      </c>
      <c r="H4774">
        <v>14659.74</v>
      </c>
      <c r="I4774">
        <v>14</v>
      </c>
    </row>
    <row r="4775" spans="1:9" x14ac:dyDescent="0.3">
      <c r="A4775" t="s">
        <v>4790</v>
      </c>
      <c r="B4775" t="s">
        <v>18</v>
      </c>
      <c r="C4775" t="s">
        <v>11</v>
      </c>
      <c r="D4775">
        <v>25</v>
      </c>
      <c r="E4775" s="1">
        <v>42519</v>
      </c>
      <c r="F4775">
        <v>1.87</v>
      </c>
      <c r="G4775">
        <v>11</v>
      </c>
      <c r="H4775">
        <v>4821.16</v>
      </c>
      <c r="I4775">
        <v>9.4</v>
      </c>
    </row>
    <row r="4776" spans="1:9" x14ac:dyDescent="0.3">
      <c r="A4776" t="s">
        <v>4791</v>
      </c>
      <c r="B4776" t="s">
        <v>24</v>
      </c>
      <c r="C4776" t="s">
        <v>11</v>
      </c>
      <c r="D4776">
        <v>22</v>
      </c>
      <c r="E4776" s="1">
        <v>43137</v>
      </c>
      <c r="F4776">
        <v>3.07</v>
      </c>
      <c r="G4776">
        <v>13</v>
      </c>
      <c r="H4776">
        <v>7688.44</v>
      </c>
      <c r="I4776">
        <v>7.7</v>
      </c>
    </row>
    <row r="4777" spans="1:9" x14ac:dyDescent="0.3">
      <c r="A4777" t="s">
        <v>4792</v>
      </c>
      <c r="B4777" t="s">
        <v>24</v>
      </c>
      <c r="C4777" t="s">
        <v>11</v>
      </c>
      <c r="D4777">
        <v>29</v>
      </c>
      <c r="E4777" s="1">
        <v>41103</v>
      </c>
      <c r="F4777">
        <v>2.4900000000000002</v>
      </c>
      <c r="G4777">
        <v>6</v>
      </c>
      <c r="H4777">
        <v>10032.23</v>
      </c>
      <c r="I4777">
        <v>13.3</v>
      </c>
    </row>
    <row r="4778" spans="1:9" x14ac:dyDescent="0.3">
      <c r="A4778" t="s">
        <v>4793</v>
      </c>
      <c r="B4778" t="s">
        <v>24</v>
      </c>
      <c r="C4778" t="s">
        <v>11</v>
      </c>
      <c r="D4778">
        <v>41</v>
      </c>
      <c r="E4778" s="1">
        <v>43137</v>
      </c>
      <c r="F4778">
        <v>3.55</v>
      </c>
      <c r="G4778">
        <v>1</v>
      </c>
      <c r="H4778">
        <v>6821.1</v>
      </c>
      <c r="I4778">
        <v>7.7</v>
      </c>
    </row>
    <row r="4779" spans="1:9" x14ac:dyDescent="0.3">
      <c r="A4779" t="s">
        <v>4794</v>
      </c>
      <c r="B4779" t="s">
        <v>18</v>
      </c>
      <c r="C4779" t="s">
        <v>11</v>
      </c>
      <c r="D4779">
        <v>52</v>
      </c>
      <c r="E4779" s="1">
        <v>43279</v>
      </c>
      <c r="F4779">
        <v>4.95</v>
      </c>
      <c r="G4779">
        <v>3</v>
      </c>
      <c r="H4779">
        <v>4614.21</v>
      </c>
      <c r="I4779">
        <v>7.4</v>
      </c>
    </row>
    <row r="4780" spans="1:9" x14ac:dyDescent="0.3">
      <c r="A4780" t="s">
        <v>4795</v>
      </c>
      <c r="B4780" t="s">
        <v>13</v>
      </c>
      <c r="C4780" t="s">
        <v>14</v>
      </c>
      <c r="D4780">
        <v>43</v>
      </c>
      <c r="E4780" s="1">
        <v>42789</v>
      </c>
      <c r="F4780">
        <v>2.2799999999999998</v>
      </c>
      <c r="G4780">
        <v>2</v>
      </c>
      <c r="H4780">
        <v>13175.59</v>
      </c>
      <c r="I4780">
        <v>8.6999999999999993</v>
      </c>
    </row>
    <row r="4781" spans="1:9" x14ac:dyDescent="0.3">
      <c r="A4781" t="s">
        <v>4796</v>
      </c>
      <c r="B4781" t="s">
        <v>16</v>
      </c>
      <c r="C4781" t="s">
        <v>14</v>
      </c>
      <c r="D4781">
        <v>54</v>
      </c>
      <c r="E4781" s="1">
        <v>41793</v>
      </c>
      <c r="F4781">
        <v>4.82</v>
      </c>
      <c r="G4781">
        <v>0</v>
      </c>
      <c r="H4781">
        <v>11653.2</v>
      </c>
      <c r="I4781">
        <v>11.4</v>
      </c>
    </row>
    <row r="4782" spans="1:9" x14ac:dyDescent="0.3">
      <c r="A4782" t="s">
        <v>4797</v>
      </c>
      <c r="B4782" t="s">
        <v>16</v>
      </c>
      <c r="C4782" t="s">
        <v>14</v>
      </c>
      <c r="D4782">
        <v>53</v>
      </c>
      <c r="E4782" s="1">
        <v>44397</v>
      </c>
      <c r="F4782">
        <v>4.4800000000000004</v>
      </c>
      <c r="G4782">
        <v>2</v>
      </c>
      <c r="H4782">
        <v>11479.25</v>
      </c>
      <c r="I4782">
        <v>4.3</v>
      </c>
    </row>
    <row r="4783" spans="1:9" x14ac:dyDescent="0.3">
      <c r="A4783" t="s">
        <v>4798</v>
      </c>
      <c r="B4783" t="s">
        <v>34</v>
      </c>
      <c r="C4783" t="s">
        <v>14</v>
      </c>
      <c r="D4783">
        <v>52</v>
      </c>
      <c r="E4783" s="1">
        <v>44923</v>
      </c>
      <c r="F4783">
        <v>4.95</v>
      </c>
      <c r="G4783">
        <v>1</v>
      </c>
      <c r="H4783">
        <v>14395.35</v>
      </c>
      <c r="I4783">
        <v>2.8</v>
      </c>
    </row>
    <row r="4784" spans="1:9" x14ac:dyDescent="0.3">
      <c r="A4784" t="s">
        <v>4799</v>
      </c>
      <c r="B4784" t="s">
        <v>16</v>
      </c>
      <c r="C4784" t="s">
        <v>14</v>
      </c>
      <c r="D4784">
        <v>49</v>
      </c>
      <c r="E4784" s="1">
        <v>45458</v>
      </c>
      <c r="F4784">
        <v>2.38</v>
      </c>
      <c r="G4784">
        <v>5</v>
      </c>
      <c r="H4784">
        <v>7508.72</v>
      </c>
      <c r="I4784">
        <v>1.4</v>
      </c>
    </row>
    <row r="4785" spans="1:9" x14ac:dyDescent="0.3">
      <c r="A4785" t="s">
        <v>4800</v>
      </c>
      <c r="B4785" t="s">
        <v>18</v>
      </c>
      <c r="C4785" t="s">
        <v>14</v>
      </c>
      <c r="D4785">
        <v>35</v>
      </c>
      <c r="E4785" s="1">
        <v>44372</v>
      </c>
      <c r="F4785">
        <v>4.75</v>
      </c>
      <c r="G4785">
        <v>6</v>
      </c>
      <c r="H4785">
        <v>3509.44</v>
      </c>
      <c r="I4785">
        <v>4.4000000000000004</v>
      </c>
    </row>
    <row r="4786" spans="1:9" x14ac:dyDescent="0.3">
      <c r="A4786" t="s">
        <v>4801</v>
      </c>
      <c r="B4786" t="s">
        <v>24</v>
      </c>
      <c r="C4786" t="s">
        <v>11</v>
      </c>
      <c r="D4786">
        <v>44</v>
      </c>
      <c r="E4786" s="1">
        <v>42476</v>
      </c>
      <c r="F4786">
        <v>2.83</v>
      </c>
      <c r="G4786">
        <v>12</v>
      </c>
      <c r="H4786">
        <v>5729.79</v>
      </c>
      <c r="I4786">
        <v>9.6</v>
      </c>
    </row>
    <row r="4787" spans="1:9" x14ac:dyDescent="0.3">
      <c r="A4787" t="s">
        <v>4802</v>
      </c>
      <c r="B4787" t="s">
        <v>10</v>
      </c>
      <c r="C4787" t="s">
        <v>11</v>
      </c>
      <c r="D4787">
        <v>43</v>
      </c>
      <c r="E4787" s="1">
        <v>44584</v>
      </c>
      <c r="F4787">
        <v>3.04</v>
      </c>
      <c r="G4787">
        <v>0</v>
      </c>
      <c r="H4787">
        <v>3376.55</v>
      </c>
      <c r="I4787">
        <v>3.8</v>
      </c>
    </row>
    <row r="4788" spans="1:9" x14ac:dyDescent="0.3">
      <c r="A4788" t="s">
        <v>4803</v>
      </c>
      <c r="B4788" t="s">
        <v>16</v>
      </c>
      <c r="C4788" t="s">
        <v>14</v>
      </c>
      <c r="D4788">
        <v>38</v>
      </c>
      <c r="E4788" s="1">
        <v>41989</v>
      </c>
      <c r="F4788">
        <v>2.54</v>
      </c>
      <c r="G4788">
        <v>14</v>
      </c>
      <c r="H4788">
        <v>3801.42</v>
      </c>
      <c r="I4788">
        <v>10.9</v>
      </c>
    </row>
    <row r="4789" spans="1:9" x14ac:dyDescent="0.3">
      <c r="A4789" t="s">
        <v>4804</v>
      </c>
      <c r="B4789" t="s">
        <v>10</v>
      </c>
      <c r="C4789" t="s">
        <v>14</v>
      </c>
      <c r="D4789">
        <v>44</v>
      </c>
      <c r="E4789" s="1">
        <v>45253</v>
      </c>
      <c r="F4789">
        <v>3.25</v>
      </c>
      <c r="G4789">
        <v>0</v>
      </c>
      <c r="H4789">
        <v>3215.27</v>
      </c>
      <c r="I4789">
        <v>1.9</v>
      </c>
    </row>
    <row r="4790" spans="1:9" x14ac:dyDescent="0.3">
      <c r="A4790" t="s">
        <v>4805</v>
      </c>
      <c r="B4790" t="s">
        <v>16</v>
      </c>
      <c r="C4790" t="s">
        <v>11</v>
      </c>
      <c r="D4790">
        <v>30</v>
      </c>
      <c r="E4790" s="1">
        <v>40844</v>
      </c>
      <c r="F4790">
        <v>2.0699999999999998</v>
      </c>
      <c r="G4790">
        <v>7</v>
      </c>
      <c r="H4790">
        <v>13098.5</v>
      </c>
      <c r="I4790">
        <v>14</v>
      </c>
    </row>
    <row r="4791" spans="1:9" x14ac:dyDescent="0.3">
      <c r="A4791" t="s">
        <v>4806</v>
      </c>
      <c r="B4791" t="s">
        <v>34</v>
      </c>
      <c r="C4791" t="s">
        <v>11</v>
      </c>
      <c r="D4791">
        <v>57</v>
      </c>
      <c r="E4791" s="1">
        <v>43318</v>
      </c>
      <c r="F4791">
        <v>1.68</v>
      </c>
      <c r="G4791">
        <v>7</v>
      </c>
      <c r="H4791">
        <v>4772.91</v>
      </c>
      <c r="I4791">
        <v>7.2</v>
      </c>
    </row>
    <row r="4792" spans="1:9" x14ac:dyDescent="0.3">
      <c r="A4792" t="s">
        <v>4807</v>
      </c>
      <c r="B4792" t="s">
        <v>34</v>
      </c>
      <c r="C4792" t="s">
        <v>11</v>
      </c>
      <c r="D4792">
        <v>30</v>
      </c>
      <c r="E4792" s="1">
        <v>40908</v>
      </c>
      <c r="F4792">
        <v>3.42</v>
      </c>
      <c r="G4792">
        <v>11</v>
      </c>
      <c r="H4792">
        <v>6901.92</v>
      </c>
      <c r="I4792">
        <v>13.8</v>
      </c>
    </row>
    <row r="4793" spans="1:9" x14ac:dyDescent="0.3">
      <c r="A4793" t="s">
        <v>4808</v>
      </c>
      <c r="B4793" t="s">
        <v>10</v>
      </c>
      <c r="C4793" t="s">
        <v>11</v>
      </c>
      <c r="D4793">
        <v>57</v>
      </c>
      <c r="E4793" s="1">
        <v>40423</v>
      </c>
      <c r="F4793">
        <v>3.1</v>
      </c>
      <c r="G4793">
        <v>4</v>
      </c>
      <c r="H4793">
        <v>4749.42</v>
      </c>
      <c r="I4793">
        <v>15.2</v>
      </c>
    </row>
    <row r="4794" spans="1:9" x14ac:dyDescent="0.3">
      <c r="A4794" t="s">
        <v>4809</v>
      </c>
      <c r="B4794" t="s">
        <v>34</v>
      </c>
      <c r="C4794" t="s">
        <v>14</v>
      </c>
      <c r="D4794">
        <v>41</v>
      </c>
      <c r="E4794" s="1">
        <v>43705</v>
      </c>
      <c r="F4794">
        <v>2.67</v>
      </c>
      <c r="G4794">
        <v>4</v>
      </c>
      <c r="H4794">
        <v>10031.83</v>
      </c>
      <c r="I4794">
        <v>6.2</v>
      </c>
    </row>
    <row r="4795" spans="1:9" x14ac:dyDescent="0.3">
      <c r="A4795" t="s">
        <v>4810</v>
      </c>
      <c r="B4795" t="s">
        <v>13</v>
      </c>
      <c r="C4795" t="s">
        <v>14</v>
      </c>
      <c r="D4795">
        <v>52</v>
      </c>
      <c r="E4795" s="1">
        <v>43927</v>
      </c>
      <c r="F4795">
        <v>4.76</v>
      </c>
      <c r="G4795">
        <v>7</v>
      </c>
      <c r="H4795">
        <v>6222.53</v>
      </c>
      <c r="I4795">
        <v>5.6</v>
      </c>
    </row>
    <row r="4796" spans="1:9" x14ac:dyDescent="0.3">
      <c r="A4796" t="s">
        <v>4811</v>
      </c>
      <c r="B4796" t="s">
        <v>10</v>
      </c>
      <c r="C4796" t="s">
        <v>14</v>
      </c>
      <c r="D4796">
        <v>39</v>
      </c>
      <c r="E4796" s="1">
        <v>44569</v>
      </c>
      <c r="F4796">
        <v>2.82</v>
      </c>
      <c r="G4796">
        <v>2</v>
      </c>
      <c r="H4796">
        <v>9978.82</v>
      </c>
      <c r="I4796">
        <v>3.8</v>
      </c>
    </row>
    <row r="4797" spans="1:9" x14ac:dyDescent="0.3">
      <c r="A4797" t="s">
        <v>4812</v>
      </c>
      <c r="B4797" t="s">
        <v>10</v>
      </c>
      <c r="C4797" t="s">
        <v>14</v>
      </c>
      <c r="D4797">
        <v>28</v>
      </c>
      <c r="E4797" s="1">
        <v>43577</v>
      </c>
      <c r="F4797">
        <v>4.3499999999999996</v>
      </c>
      <c r="G4797">
        <v>2</v>
      </c>
      <c r="H4797">
        <v>5701.61</v>
      </c>
      <c r="I4797">
        <v>6.5</v>
      </c>
    </row>
    <row r="4798" spans="1:9" x14ac:dyDescent="0.3">
      <c r="A4798" t="s">
        <v>4813</v>
      </c>
      <c r="B4798" t="s">
        <v>18</v>
      </c>
      <c r="C4798" t="s">
        <v>14</v>
      </c>
      <c r="D4798">
        <v>35</v>
      </c>
      <c r="E4798" s="1">
        <v>45909</v>
      </c>
      <c r="F4798">
        <v>1.87</v>
      </c>
      <c r="G4798">
        <v>14</v>
      </c>
      <c r="H4798">
        <v>11384.31</v>
      </c>
      <c r="I4798">
        <v>0.1</v>
      </c>
    </row>
    <row r="4799" spans="1:9" x14ac:dyDescent="0.3">
      <c r="A4799" t="s">
        <v>4814</v>
      </c>
      <c r="B4799" t="s">
        <v>10</v>
      </c>
      <c r="C4799" t="s">
        <v>14</v>
      </c>
      <c r="D4799">
        <v>24</v>
      </c>
      <c r="E4799" s="1">
        <v>41338</v>
      </c>
      <c r="F4799">
        <v>3.94</v>
      </c>
      <c r="G4799">
        <v>12</v>
      </c>
      <c r="H4799">
        <v>13048.79</v>
      </c>
      <c r="I4799">
        <v>12.7</v>
      </c>
    </row>
    <row r="4800" spans="1:9" x14ac:dyDescent="0.3">
      <c r="A4800" t="s">
        <v>4815</v>
      </c>
      <c r="B4800" t="s">
        <v>18</v>
      </c>
      <c r="C4800" t="s">
        <v>11</v>
      </c>
      <c r="D4800">
        <v>55</v>
      </c>
      <c r="E4800" s="1">
        <v>45608</v>
      </c>
      <c r="F4800">
        <v>4.18</v>
      </c>
      <c r="G4800">
        <v>8</v>
      </c>
      <c r="H4800">
        <v>12266.39</v>
      </c>
      <c r="I4800">
        <v>1</v>
      </c>
    </row>
    <row r="4801" spans="1:9" x14ac:dyDescent="0.3">
      <c r="A4801" t="s">
        <v>4816</v>
      </c>
      <c r="B4801" t="s">
        <v>13</v>
      </c>
      <c r="C4801" t="s">
        <v>14</v>
      </c>
      <c r="D4801">
        <v>38</v>
      </c>
      <c r="E4801" s="1">
        <v>41329</v>
      </c>
      <c r="F4801">
        <v>3.78</v>
      </c>
      <c r="G4801">
        <v>3</v>
      </c>
      <c r="H4801">
        <v>14796.6</v>
      </c>
      <c r="I4801">
        <v>12.7</v>
      </c>
    </row>
    <row r="4802" spans="1:9" x14ac:dyDescent="0.3">
      <c r="A4802" t="s">
        <v>4817</v>
      </c>
      <c r="B4802" t="s">
        <v>34</v>
      </c>
      <c r="C4802" t="s">
        <v>11</v>
      </c>
      <c r="D4802">
        <v>56</v>
      </c>
      <c r="E4802" s="1">
        <v>45823</v>
      </c>
      <c r="F4802">
        <v>4.37</v>
      </c>
      <c r="G4802">
        <v>12</v>
      </c>
      <c r="H4802">
        <v>4868.55</v>
      </c>
      <c r="I4802">
        <v>0.4</v>
      </c>
    </row>
    <row r="4803" spans="1:9" x14ac:dyDescent="0.3">
      <c r="A4803" t="s">
        <v>4818</v>
      </c>
      <c r="B4803" t="s">
        <v>10</v>
      </c>
      <c r="C4803" t="s">
        <v>14</v>
      </c>
      <c r="D4803">
        <v>37</v>
      </c>
      <c r="E4803" s="1">
        <v>41588</v>
      </c>
      <c r="F4803">
        <v>3.86</v>
      </c>
      <c r="G4803">
        <v>9</v>
      </c>
      <c r="H4803">
        <v>7426.48</v>
      </c>
      <c r="I4803">
        <v>12</v>
      </c>
    </row>
    <row r="4804" spans="1:9" x14ac:dyDescent="0.3">
      <c r="A4804" t="s">
        <v>4819</v>
      </c>
      <c r="B4804" t="s">
        <v>16</v>
      </c>
      <c r="C4804" t="s">
        <v>11</v>
      </c>
      <c r="D4804">
        <v>38</v>
      </c>
      <c r="E4804" s="1">
        <v>44883</v>
      </c>
      <c r="F4804">
        <v>2.74</v>
      </c>
      <c r="G4804">
        <v>2</v>
      </c>
      <c r="H4804">
        <v>9131.32</v>
      </c>
      <c r="I4804">
        <v>3</v>
      </c>
    </row>
    <row r="4805" spans="1:9" x14ac:dyDescent="0.3">
      <c r="A4805" t="s">
        <v>4820</v>
      </c>
      <c r="B4805" t="s">
        <v>34</v>
      </c>
      <c r="C4805" t="s">
        <v>11</v>
      </c>
      <c r="D4805">
        <v>50</v>
      </c>
      <c r="E4805" s="1">
        <v>44341</v>
      </c>
      <c r="F4805">
        <v>3.65</v>
      </c>
      <c r="G4805">
        <v>5</v>
      </c>
      <c r="H4805">
        <v>4512.6499999999996</v>
      </c>
      <c r="I4805">
        <v>4.4000000000000004</v>
      </c>
    </row>
    <row r="4806" spans="1:9" x14ac:dyDescent="0.3">
      <c r="A4806" t="s">
        <v>4821</v>
      </c>
      <c r="B4806" t="s">
        <v>10</v>
      </c>
      <c r="C4806" t="s">
        <v>11</v>
      </c>
      <c r="D4806">
        <v>50</v>
      </c>
      <c r="E4806" s="1">
        <v>44525</v>
      </c>
      <c r="F4806">
        <v>4.12</v>
      </c>
      <c r="G4806">
        <v>15</v>
      </c>
      <c r="H4806">
        <v>14745.16</v>
      </c>
      <c r="I4806">
        <v>3.9</v>
      </c>
    </row>
    <row r="4807" spans="1:9" x14ac:dyDescent="0.3">
      <c r="A4807" t="s">
        <v>4822</v>
      </c>
      <c r="B4807" t="s">
        <v>13</v>
      </c>
      <c r="C4807" t="s">
        <v>14</v>
      </c>
      <c r="D4807">
        <v>39</v>
      </c>
      <c r="E4807" s="1">
        <v>40803</v>
      </c>
      <c r="F4807">
        <v>4.66</v>
      </c>
      <c r="G4807">
        <v>9</v>
      </c>
      <c r="H4807">
        <v>8295.94</v>
      </c>
      <c r="I4807">
        <v>14.1</v>
      </c>
    </row>
    <row r="4808" spans="1:9" x14ac:dyDescent="0.3">
      <c r="A4808" t="s">
        <v>4823</v>
      </c>
      <c r="B4808" t="s">
        <v>16</v>
      </c>
      <c r="C4808" t="s">
        <v>11</v>
      </c>
      <c r="D4808">
        <v>35</v>
      </c>
      <c r="E4808" s="1">
        <v>40865</v>
      </c>
      <c r="F4808">
        <v>4.9000000000000004</v>
      </c>
      <c r="G4808">
        <v>14</v>
      </c>
      <c r="H4808">
        <v>4980.7700000000004</v>
      </c>
      <c r="I4808">
        <v>14</v>
      </c>
    </row>
    <row r="4809" spans="1:9" x14ac:dyDescent="0.3">
      <c r="A4809" t="s">
        <v>4824</v>
      </c>
      <c r="B4809" t="s">
        <v>16</v>
      </c>
      <c r="C4809" t="s">
        <v>11</v>
      </c>
      <c r="D4809">
        <v>36</v>
      </c>
      <c r="E4809" s="1">
        <v>41306</v>
      </c>
      <c r="F4809">
        <v>2.4900000000000002</v>
      </c>
      <c r="G4809">
        <v>12</v>
      </c>
      <c r="H4809">
        <v>14651.66</v>
      </c>
      <c r="I4809">
        <v>12.8</v>
      </c>
    </row>
    <row r="4810" spans="1:9" x14ac:dyDescent="0.3">
      <c r="A4810" t="s">
        <v>4825</v>
      </c>
      <c r="B4810" t="s">
        <v>34</v>
      </c>
      <c r="C4810" t="s">
        <v>11</v>
      </c>
      <c r="D4810">
        <v>34</v>
      </c>
      <c r="E4810" s="1">
        <v>45247</v>
      </c>
      <c r="F4810">
        <v>4.55</v>
      </c>
      <c r="G4810">
        <v>9</v>
      </c>
      <c r="H4810">
        <v>8562.02</v>
      </c>
      <c r="I4810">
        <v>2</v>
      </c>
    </row>
    <row r="4811" spans="1:9" x14ac:dyDescent="0.3">
      <c r="A4811" t="s">
        <v>4826</v>
      </c>
      <c r="B4811" t="s">
        <v>10</v>
      </c>
      <c r="C4811" t="s">
        <v>14</v>
      </c>
      <c r="D4811">
        <v>27</v>
      </c>
      <c r="E4811" s="1">
        <v>45862</v>
      </c>
      <c r="F4811">
        <v>4.6500000000000004</v>
      </c>
      <c r="G4811">
        <v>7</v>
      </c>
      <c r="H4811">
        <v>4004.8</v>
      </c>
      <c r="I4811">
        <v>0.3</v>
      </c>
    </row>
    <row r="4812" spans="1:9" x14ac:dyDescent="0.3">
      <c r="A4812" t="s">
        <v>4827</v>
      </c>
      <c r="B4812" t="s">
        <v>10</v>
      </c>
      <c r="C4812" t="s">
        <v>11</v>
      </c>
      <c r="D4812">
        <v>27</v>
      </c>
      <c r="E4812" s="1">
        <v>42138</v>
      </c>
      <c r="F4812">
        <v>3.68</v>
      </c>
      <c r="G4812">
        <v>5</v>
      </c>
      <c r="H4812">
        <v>13119.8</v>
      </c>
      <c r="I4812">
        <v>10.5</v>
      </c>
    </row>
    <row r="4813" spans="1:9" x14ac:dyDescent="0.3">
      <c r="A4813" t="s">
        <v>4828</v>
      </c>
      <c r="B4813" t="s">
        <v>24</v>
      </c>
      <c r="C4813" t="s">
        <v>14</v>
      </c>
      <c r="D4813">
        <v>52</v>
      </c>
      <c r="E4813" s="1">
        <v>45790</v>
      </c>
      <c r="F4813">
        <v>2.1</v>
      </c>
      <c r="G4813">
        <v>3</v>
      </c>
      <c r="H4813">
        <v>3800.22</v>
      </c>
      <c r="I4813">
        <v>0.5</v>
      </c>
    </row>
    <row r="4814" spans="1:9" x14ac:dyDescent="0.3">
      <c r="A4814" t="s">
        <v>4829</v>
      </c>
      <c r="B4814" t="s">
        <v>10</v>
      </c>
      <c r="C4814" t="s">
        <v>11</v>
      </c>
      <c r="D4814">
        <v>30</v>
      </c>
      <c r="E4814" s="1">
        <v>40839</v>
      </c>
      <c r="F4814">
        <v>3.44</v>
      </c>
      <c r="G4814">
        <v>3</v>
      </c>
      <c r="H4814">
        <v>8048.38</v>
      </c>
      <c r="I4814">
        <v>14</v>
      </c>
    </row>
    <row r="4815" spans="1:9" x14ac:dyDescent="0.3">
      <c r="A4815" t="s">
        <v>4830</v>
      </c>
      <c r="B4815" t="s">
        <v>18</v>
      </c>
      <c r="C4815" t="s">
        <v>11</v>
      </c>
      <c r="D4815">
        <v>32</v>
      </c>
      <c r="E4815" s="1">
        <v>44212</v>
      </c>
      <c r="F4815">
        <v>4.72</v>
      </c>
      <c r="G4815">
        <v>2</v>
      </c>
      <c r="H4815">
        <v>12525.93</v>
      </c>
      <c r="I4815">
        <v>4.8</v>
      </c>
    </row>
    <row r="4816" spans="1:9" x14ac:dyDescent="0.3">
      <c r="A4816" t="s">
        <v>4831</v>
      </c>
      <c r="B4816" t="s">
        <v>24</v>
      </c>
      <c r="C4816" t="s">
        <v>11</v>
      </c>
      <c r="D4816">
        <v>46</v>
      </c>
      <c r="E4816" s="1">
        <v>43008</v>
      </c>
      <c r="F4816">
        <v>4.51</v>
      </c>
      <c r="G4816">
        <v>14</v>
      </c>
      <c r="H4816">
        <v>11364.1</v>
      </c>
      <c r="I4816">
        <v>8.1</v>
      </c>
    </row>
    <row r="4817" spans="1:9" x14ac:dyDescent="0.3">
      <c r="A4817" t="s">
        <v>4832</v>
      </c>
      <c r="B4817" t="s">
        <v>34</v>
      </c>
      <c r="C4817" t="s">
        <v>14</v>
      </c>
      <c r="D4817">
        <v>26</v>
      </c>
      <c r="E4817" s="1">
        <v>43124</v>
      </c>
      <c r="F4817">
        <v>2.33</v>
      </c>
      <c r="G4817">
        <v>10</v>
      </c>
      <c r="H4817">
        <v>14896.23</v>
      </c>
      <c r="I4817">
        <v>7.8</v>
      </c>
    </row>
    <row r="4818" spans="1:9" x14ac:dyDescent="0.3">
      <c r="A4818" t="s">
        <v>4833</v>
      </c>
      <c r="B4818" t="s">
        <v>10</v>
      </c>
      <c r="C4818" t="s">
        <v>14</v>
      </c>
      <c r="D4818">
        <v>24</v>
      </c>
      <c r="E4818" s="1">
        <v>41195</v>
      </c>
      <c r="F4818">
        <v>1.9</v>
      </c>
      <c r="G4818">
        <v>1</v>
      </c>
      <c r="H4818">
        <v>14759.06</v>
      </c>
      <c r="I4818">
        <v>13.1</v>
      </c>
    </row>
    <row r="4819" spans="1:9" x14ac:dyDescent="0.3">
      <c r="A4819" t="s">
        <v>4834</v>
      </c>
      <c r="B4819" t="s">
        <v>18</v>
      </c>
      <c r="C4819" t="s">
        <v>14</v>
      </c>
      <c r="D4819">
        <v>31</v>
      </c>
      <c r="E4819" s="1">
        <v>45024</v>
      </c>
      <c r="F4819">
        <v>3.93</v>
      </c>
      <c r="G4819">
        <v>9</v>
      </c>
      <c r="H4819">
        <v>6442.37</v>
      </c>
      <c r="I4819">
        <v>2.6</v>
      </c>
    </row>
    <row r="4820" spans="1:9" x14ac:dyDescent="0.3">
      <c r="A4820" t="s">
        <v>4835</v>
      </c>
      <c r="B4820" t="s">
        <v>13</v>
      </c>
      <c r="C4820" t="s">
        <v>11</v>
      </c>
      <c r="D4820">
        <v>48</v>
      </c>
      <c r="E4820" s="1">
        <v>45241</v>
      </c>
      <c r="F4820">
        <v>3.08</v>
      </c>
      <c r="G4820">
        <v>3</v>
      </c>
      <c r="H4820">
        <v>13976.15</v>
      </c>
      <c r="I4820">
        <v>2</v>
      </c>
    </row>
    <row r="4821" spans="1:9" x14ac:dyDescent="0.3">
      <c r="A4821" t="s">
        <v>4836</v>
      </c>
      <c r="B4821" t="s">
        <v>13</v>
      </c>
      <c r="C4821" t="s">
        <v>11</v>
      </c>
      <c r="D4821">
        <v>32</v>
      </c>
      <c r="E4821" s="1">
        <v>42746</v>
      </c>
      <c r="F4821">
        <v>1.57</v>
      </c>
      <c r="G4821">
        <v>1</v>
      </c>
      <c r="H4821">
        <v>10913.94</v>
      </c>
      <c r="I4821">
        <v>8.8000000000000007</v>
      </c>
    </row>
    <row r="4822" spans="1:9" x14ac:dyDescent="0.3">
      <c r="A4822" t="s">
        <v>4837</v>
      </c>
      <c r="B4822" t="s">
        <v>18</v>
      </c>
      <c r="C4822" t="s">
        <v>14</v>
      </c>
      <c r="D4822">
        <v>48</v>
      </c>
      <c r="E4822" s="1">
        <v>44796</v>
      </c>
      <c r="F4822">
        <v>3.89</v>
      </c>
      <c r="G4822">
        <v>10</v>
      </c>
      <c r="H4822">
        <v>11349.08</v>
      </c>
      <c r="I4822">
        <v>3.2</v>
      </c>
    </row>
    <row r="4823" spans="1:9" x14ac:dyDescent="0.3">
      <c r="A4823" t="s">
        <v>4838</v>
      </c>
      <c r="B4823" t="s">
        <v>13</v>
      </c>
      <c r="C4823" t="s">
        <v>14</v>
      </c>
      <c r="D4823">
        <v>51</v>
      </c>
      <c r="E4823" s="1">
        <v>43295</v>
      </c>
      <c r="F4823">
        <v>4.34</v>
      </c>
      <c r="G4823">
        <v>0</v>
      </c>
      <c r="H4823">
        <v>8439.14</v>
      </c>
      <c r="I4823">
        <v>7.3</v>
      </c>
    </row>
    <row r="4824" spans="1:9" x14ac:dyDescent="0.3">
      <c r="A4824" t="s">
        <v>4839</v>
      </c>
      <c r="B4824" t="s">
        <v>13</v>
      </c>
      <c r="C4824" t="s">
        <v>14</v>
      </c>
      <c r="D4824">
        <v>32</v>
      </c>
      <c r="E4824" s="1">
        <v>42978</v>
      </c>
      <c r="F4824">
        <v>3.6</v>
      </c>
      <c r="G4824">
        <v>1</v>
      </c>
      <c r="H4824">
        <v>12036.26</v>
      </c>
      <c r="I4824">
        <v>8.1999999999999993</v>
      </c>
    </row>
    <row r="4825" spans="1:9" x14ac:dyDescent="0.3">
      <c r="A4825" t="s">
        <v>4840</v>
      </c>
      <c r="B4825" t="s">
        <v>34</v>
      </c>
      <c r="C4825" t="s">
        <v>14</v>
      </c>
      <c r="D4825">
        <v>55</v>
      </c>
      <c r="E4825" s="1">
        <v>44363</v>
      </c>
      <c r="F4825">
        <v>3.13</v>
      </c>
      <c r="G4825">
        <v>1</v>
      </c>
      <c r="H4825">
        <v>13189.19</v>
      </c>
      <c r="I4825">
        <v>4.4000000000000004</v>
      </c>
    </row>
    <row r="4826" spans="1:9" x14ac:dyDescent="0.3">
      <c r="A4826" t="s">
        <v>4841</v>
      </c>
      <c r="B4826" t="s">
        <v>24</v>
      </c>
      <c r="C4826" t="s">
        <v>14</v>
      </c>
      <c r="D4826">
        <v>31</v>
      </c>
      <c r="E4826" s="1">
        <v>42136</v>
      </c>
      <c r="F4826">
        <v>4</v>
      </c>
      <c r="G4826">
        <v>2</v>
      </c>
      <c r="H4826">
        <v>7420.82</v>
      </c>
      <c r="I4826">
        <v>10.5</v>
      </c>
    </row>
    <row r="4827" spans="1:9" x14ac:dyDescent="0.3">
      <c r="A4827" t="s">
        <v>4842</v>
      </c>
      <c r="B4827" t="s">
        <v>16</v>
      </c>
      <c r="C4827" t="s">
        <v>11</v>
      </c>
      <c r="D4827">
        <v>51</v>
      </c>
      <c r="E4827" s="1">
        <v>42507</v>
      </c>
      <c r="F4827">
        <v>3.71</v>
      </c>
      <c r="G4827">
        <v>1</v>
      </c>
      <c r="H4827">
        <v>12102.56</v>
      </c>
      <c r="I4827">
        <v>9.5</v>
      </c>
    </row>
    <row r="4828" spans="1:9" x14ac:dyDescent="0.3">
      <c r="A4828" t="s">
        <v>4843</v>
      </c>
      <c r="B4828" t="s">
        <v>18</v>
      </c>
      <c r="C4828" t="s">
        <v>11</v>
      </c>
      <c r="D4828">
        <v>28</v>
      </c>
      <c r="E4828" s="1">
        <v>44920</v>
      </c>
      <c r="F4828">
        <v>4.8</v>
      </c>
      <c r="G4828">
        <v>2</v>
      </c>
      <c r="H4828">
        <v>5096.0200000000004</v>
      </c>
      <c r="I4828">
        <v>2.9</v>
      </c>
    </row>
    <row r="4829" spans="1:9" x14ac:dyDescent="0.3">
      <c r="A4829" t="s">
        <v>4844</v>
      </c>
      <c r="B4829" t="s">
        <v>34</v>
      </c>
      <c r="C4829" t="s">
        <v>14</v>
      </c>
      <c r="D4829">
        <v>35</v>
      </c>
      <c r="E4829" s="1">
        <v>41487</v>
      </c>
      <c r="F4829">
        <v>3.14</v>
      </c>
      <c r="G4829">
        <v>0</v>
      </c>
      <c r="H4829">
        <v>12427.1</v>
      </c>
      <c r="I4829">
        <v>12.3</v>
      </c>
    </row>
    <row r="4830" spans="1:9" x14ac:dyDescent="0.3">
      <c r="A4830" t="s">
        <v>4845</v>
      </c>
      <c r="B4830" t="s">
        <v>24</v>
      </c>
      <c r="C4830" t="s">
        <v>11</v>
      </c>
      <c r="D4830">
        <v>38</v>
      </c>
      <c r="E4830" s="1">
        <v>41990</v>
      </c>
      <c r="F4830">
        <v>3.05</v>
      </c>
      <c r="G4830">
        <v>3</v>
      </c>
      <c r="H4830">
        <v>14450.7</v>
      </c>
      <c r="I4830">
        <v>10.9</v>
      </c>
    </row>
    <row r="4831" spans="1:9" x14ac:dyDescent="0.3">
      <c r="A4831" t="s">
        <v>4846</v>
      </c>
      <c r="B4831" t="s">
        <v>13</v>
      </c>
      <c r="C4831" t="s">
        <v>11</v>
      </c>
      <c r="D4831">
        <v>51</v>
      </c>
      <c r="E4831" s="1">
        <v>40324</v>
      </c>
      <c r="F4831">
        <v>4.4000000000000004</v>
      </c>
      <c r="G4831">
        <v>8</v>
      </c>
      <c r="H4831">
        <v>7262.7</v>
      </c>
      <c r="I4831">
        <v>15.4</v>
      </c>
    </row>
    <row r="4832" spans="1:9" x14ac:dyDescent="0.3">
      <c r="A4832" t="s">
        <v>4847</v>
      </c>
      <c r="B4832" t="s">
        <v>13</v>
      </c>
      <c r="C4832" t="s">
        <v>11</v>
      </c>
      <c r="D4832">
        <v>51</v>
      </c>
      <c r="E4832" s="1">
        <v>44318</v>
      </c>
      <c r="F4832">
        <v>2.71</v>
      </c>
      <c r="G4832">
        <v>9</v>
      </c>
      <c r="H4832">
        <v>6837.1</v>
      </c>
      <c r="I4832">
        <v>4.5</v>
      </c>
    </row>
    <row r="4833" spans="1:9" x14ac:dyDescent="0.3">
      <c r="A4833" t="s">
        <v>4848</v>
      </c>
      <c r="B4833" t="s">
        <v>16</v>
      </c>
      <c r="C4833" t="s">
        <v>11</v>
      </c>
      <c r="D4833">
        <v>47</v>
      </c>
      <c r="E4833" s="1">
        <v>43881</v>
      </c>
      <c r="F4833">
        <v>4.1900000000000004</v>
      </c>
      <c r="G4833">
        <v>8</v>
      </c>
      <c r="H4833">
        <v>14607.07</v>
      </c>
      <c r="I4833">
        <v>5.7</v>
      </c>
    </row>
    <row r="4834" spans="1:9" x14ac:dyDescent="0.3">
      <c r="A4834" t="s">
        <v>4849</v>
      </c>
      <c r="B4834" t="s">
        <v>10</v>
      </c>
      <c r="C4834" t="s">
        <v>11</v>
      </c>
      <c r="D4834">
        <v>24</v>
      </c>
      <c r="E4834" s="1">
        <v>45909</v>
      </c>
      <c r="F4834">
        <v>2.79</v>
      </c>
      <c r="G4834">
        <v>5</v>
      </c>
      <c r="H4834">
        <v>5846.4</v>
      </c>
      <c r="I4834">
        <v>0.1</v>
      </c>
    </row>
    <row r="4835" spans="1:9" x14ac:dyDescent="0.3">
      <c r="A4835" t="s">
        <v>4850</v>
      </c>
      <c r="B4835" t="s">
        <v>34</v>
      </c>
      <c r="C4835" t="s">
        <v>14</v>
      </c>
      <c r="D4835">
        <v>26</v>
      </c>
      <c r="E4835" s="1">
        <v>45794</v>
      </c>
      <c r="F4835">
        <v>4.1100000000000003</v>
      </c>
      <c r="G4835">
        <v>9</v>
      </c>
      <c r="H4835">
        <v>9274.4699999999993</v>
      </c>
      <c r="I4835">
        <v>0.5</v>
      </c>
    </row>
    <row r="4836" spans="1:9" x14ac:dyDescent="0.3">
      <c r="A4836" t="s">
        <v>4851</v>
      </c>
      <c r="B4836" t="s">
        <v>18</v>
      </c>
      <c r="C4836" t="s">
        <v>11</v>
      </c>
      <c r="D4836">
        <v>23</v>
      </c>
      <c r="E4836" s="1">
        <v>41504</v>
      </c>
      <c r="F4836">
        <v>2.9</v>
      </c>
      <c r="G4836">
        <v>14</v>
      </c>
      <c r="H4836">
        <v>10814.99</v>
      </c>
      <c r="I4836">
        <v>12.2</v>
      </c>
    </row>
    <row r="4837" spans="1:9" x14ac:dyDescent="0.3">
      <c r="A4837" t="s">
        <v>4852</v>
      </c>
      <c r="B4837" t="s">
        <v>10</v>
      </c>
      <c r="C4837" t="s">
        <v>14</v>
      </c>
      <c r="D4837">
        <v>31</v>
      </c>
      <c r="E4837" s="1">
        <v>44723</v>
      </c>
      <c r="F4837">
        <v>1.78</v>
      </c>
      <c r="G4837">
        <v>12</v>
      </c>
      <c r="H4837">
        <v>9946.8799999999992</v>
      </c>
      <c r="I4837">
        <v>3.4</v>
      </c>
    </row>
    <row r="4838" spans="1:9" x14ac:dyDescent="0.3">
      <c r="A4838" t="s">
        <v>4853</v>
      </c>
      <c r="B4838" t="s">
        <v>34</v>
      </c>
      <c r="C4838" t="s">
        <v>14</v>
      </c>
      <c r="D4838">
        <v>28</v>
      </c>
      <c r="E4838" s="1">
        <v>44674</v>
      </c>
      <c r="F4838">
        <v>1.99</v>
      </c>
      <c r="G4838">
        <v>15</v>
      </c>
      <c r="H4838">
        <v>9795.39</v>
      </c>
      <c r="I4838">
        <v>3.5</v>
      </c>
    </row>
    <row r="4839" spans="1:9" x14ac:dyDescent="0.3">
      <c r="A4839" t="s">
        <v>4854</v>
      </c>
      <c r="B4839" t="s">
        <v>13</v>
      </c>
      <c r="C4839" t="s">
        <v>14</v>
      </c>
      <c r="D4839">
        <v>39</v>
      </c>
      <c r="E4839" s="1">
        <v>42402</v>
      </c>
      <c r="F4839">
        <v>2.93</v>
      </c>
      <c r="G4839">
        <v>12</v>
      </c>
      <c r="H4839">
        <v>11437.36</v>
      </c>
      <c r="I4839">
        <v>9.8000000000000007</v>
      </c>
    </row>
    <row r="4840" spans="1:9" x14ac:dyDescent="0.3">
      <c r="A4840" t="s">
        <v>4855</v>
      </c>
      <c r="B4840" t="s">
        <v>18</v>
      </c>
      <c r="C4840" t="s">
        <v>11</v>
      </c>
      <c r="D4840">
        <v>32</v>
      </c>
      <c r="E4840" s="1">
        <v>40454</v>
      </c>
      <c r="F4840">
        <v>4.8</v>
      </c>
      <c r="G4840">
        <v>8</v>
      </c>
      <c r="H4840">
        <v>6934.38</v>
      </c>
      <c r="I4840">
        <v>15.1</v>
      </c>
    </row>
    <row r="4841" spans="1:9" x14ac:dyDescent="0.3">
      <c r="A4841" t="s">
        <v>4856</v>
      </c>
      <c r="B4841" t="s">
        <v>34</v>
      </c>
      <c r="C4841" t="s">
        <v>11</v>
      </c>
      <c r="D4841">
        <v>47</v>
      </c>
      <c r="E4841" s="1">
        <v>45172</v>
      </c>
      <c r="F4841">
        <v>2.14</v>
      </c>
      <c r="G4841">
        <v>4</v>
      </c>
      <c r="H4841">
        <v>10034.93</v>
      </c>
      <c r="I4841">
        <v>2.2000000000000002</v>
      </c>
    </row>
    <row r="4842" spans="1:9" x14ac:dyDescent="0.3">
      <c r="A4842" t="s">
        <v>4857</v>
      </c>
      <c r="B4842" t="s">
        <v>18</v>
      </c>
      <c r="C4842" t="s">
        <v>11</v>
      </c>
      <c r="D4842">
        <v>34</v>
      </c>
      <c r="E4842" s="1">
        <v>42020</v>
      </c>
      <c r="F4842">
        <v>4.4400000000000004</v>
      </c>
      <c r="G4842">
        <v>0</v>
      </c>
      <c r="H4842">
        <v>4869.54</v>
      </c>
      <c r="I4842">
        <v>10.8</v>
      </c>
    </row>
    <row r="4843" spans="1:9" x14ac:dyDescent="0.3">
      <c r="A4843" t="s">
        <v>4858</v>
      </c>
      <c r="B4843" t="s">
        <v>13</v>
      </c>
      <c r="C4843" t="s">
        <v>11</v>
      </c>
      <c r="D4843">
        <v>57</v>
      </c>
      <c r="E4843" s="1">
        <v>43877</v>
      </c>
      <c r="F4843">
        <v>2.13</v>
      </c>
      <c r="G4843">
        <v>13</v>
      </c>
      <c r="H4843">
        <v>4389.6499999999996</v>
      </c>
      <c r="I4843">
        <v>5.7</v>
      </c>
    </row>
    <row r="4844" spans="1:9" x14ac:dyDescent="0.3">
      <c r="A4844" t="s">
        <v>4859</v>
      </c>
      <c r="B4844" t="s">
        <v>18</v>
      </c>
      <c r="C4844" t="s">
        <v>11</v>
      </c>
      <c r="D4844">
        <v>42</v>
      </c>
      <c r="E4844" s="1">
        <v>43034</v>
      </c>
      <c r="F4844">
        <v>4.3600000000000003</v>
      </c>
      <c r="G4844">
        <v>4</v>
      </c>
      <c r="H4844">
        <v>6996.93</v>
      </c>
      <c r="I4844">
        <v>8</v>
      </c>
    </row>
    <row r="4845" spans="1:9" x14ac:dyDescent="0.3">
      <c r="A4845" t="s">
        <v>4860</v>
      </c>
      <c r="B4845" t="s">
        <v>10</v>
      </c>
      <c r="C4845" t="s">
        <v>14</v>
      </c>
      <c r="D4845">
        <v>56</v>
      </c>
      <c r="E4845" s="1">
        <v>41063</v>
      </c>
      <c r="F4845">
        <v>4.6900000000000004</v>
      </c>
      <c r="G4845">
        <v>4</v>
      </c>
      <c r="H4845">
        <v>11198.71</v>
      </c>
      <c r="I4845">
        <v>13.4</v>
      </c>
    </row>
    <row r="4846" spans="1:9" x14ac:dyDescent="0.3">
      <c r="A4846" t="s">
        <v>4861</v>
      </c>
      <c r="B4846" t="s">
        <v>18</v>
      </c>
      <c r="C4846" t="s">
        <v>11</v>
      </c>
      <c r="D4846">
        <v>47</v>
      </c>
      <c r="E4846" s="1">
        <v>45172</v>
      </c>
      <c r="F4846">
        <v>1.6</v>
      </c>
      <c r="G4846">
        <v>1</v>
      </c>
      <c r="H4846">
        <v>3109.83</v>
      </c>
      <c r="I4846">
        <v>2.2000000000000002</v>
      </c>
    </row>
    <row r="4847" spans="1:9" x14ac:dyDescent="0.3">
      <c r="A4847" t="s">
        <v>4862</v>
      </c>
      <c r="B4847" t="s">
        <v>24</v>
      </c>
      <c r="C4847" t="s">
        <v>14</v>
      </c>
      <c r="D4847">
        <v>24</v>
      </c>
      <c r="E4847" s="1">
        <v>41942</v>
      </c>
      <c r="F4847">
        <v>3.02</v>
      </c>
      <c r="G4847">
        <v>7</v>
      </c>
      <c r="H4847">
        <v>6411.77</v>
      </c>
      <c r="I4847">
        <v>11</v>
      </c>
    </row>
    <row r="4848" spans="1:9" x14ac:dyDescent="0.3">
      <c r="A4848" t="s">
        <v>4863</v>
      </c>
      <c r="B4848" t="s">
        <v>24</v>
      </c>
      <c r="C4848" t="s">
        <v>11</v>
      </c>
      <c r="D4848">
        <v>36</v>
      </c>
      <c r="E4848" s="1">
        <v>44532</v>
      </c>
      <c r="F4848">
        <v>4.29</v>
      </c>
      <c r="G4848">
        <v>13</v>
      </c>
      <c r="H4848">
        <v>3127.74</v>
      </c>
      <c r="I4848">
        <v>3.9</v>
      </c>
    </row>
    <row r="4849" spans="1:9" x14ac:dyDescent="0.3">
      <c r="A4849" t="s">
        <v>4864</v>
      </c>
      <c r="B4849" t="s">
        <v>10</v>
      </c>
      <c r="C4849" t="s">
        <v>11</v>
      </c>
      <c r="D4849">
        <v>35</v>
      </c>
      <c r="E4849" s="1">
        <v>44585</v>
      </c>
      <c r="F4849">
        <v>2.92</v>
      </c>
      <c r="G4849">
        <v>11</v>
      </c>
      <c r="H4849">
        <v>14076.92</v>
      </c>
      <c r="I4849">
        <v>3.8</v>
      </c>
    </row>
    <row r="4850" spans="1:9" x14ac:dyDescent="0.3">
      <c r="A4850" t="s">
        <v>4865</v>
      </c>
      <c r="B4850" t="s">
        <v>10</v>
      </c>
      <c r="C4850" t="s">
        <v>14</v>
      </c>
      <c r="D4850">
        <v>40</v>
      </c>
      <c r="E4850" s="1">
        <v>41357</v>
      </c>
      <c r="F4850">
        <v>4.1900000000000004</v>
      </c>
      <c r="G4850">
        <v>1</v>
      </c>
      <c r="H4850">
        <v>7715.17</v>
      </c>
      <c r="I4850">
        <v>12.6</v>
      </c>
    </row>
    <row r="4851" spans="1:9" x14ac:dyDescent="0.3">
      <c r="A4851" t="s">
        <v>4866</v>
      </c>
      <c r="B4851" t="s">
        <v>16</v>
      </c>
      <c r="C4851" t="s">
        <v>14</v>
      </c>
      <c r="D4851">
        <v>27</v>
      </c>
      <c r="E4851" s="1">
        <v>42546</v>
      </c>
      <c r="F4851">
        <v>2.25</v>
      </c>
      <c r="G4851">
        <v>14</v>
      </c>
      <c r="H4851">
        <v>4318.33</v>
      </c>
      <c r="I4851">
        <v>9.4</v>
      </c>
    </row>
    <row r="4852" spans="1:9" x14ac:dyDescent="0.3">
      <c r="A4852" t="s">
        <v>4867</v>
      </c>
      <c r="B4852" t="s">
        <v>10</v>
      </c>
      <c r="C4852" t="s">
        <v>14</v>
      </c>
      <c r="D4852">
        <v>41</v>
      </c>
      <c r="E4852" s="1">
        <v>40532</v>
      </c>
      <c r="F4852">
        <v>2.73</v>
      </c>
      <c r="G4852">
        <v>1</v>
      </c>
      <c r="H4852">
        <v>9499.4</v>
      </c>
      <c r="I4852">
        <v>14.9</v>
      </c>
    </row>
    <row r="4853" spans="1:9" x14ac:dyDescent="0.3">
      <c r="A4853" t="s">
        <v>4868</v>
      </c>
      <c r="B4853" t="s">
        <v>18</v>
      </c>
      <c r="C4853" t="s">
        <v>11</v>
      </c>
      <c r="D4853">
        <v>53</v>
      </c>
      <c r="E4853" s="1">
        <v>44169</v>
      </c>
      <c r="F4853">
        <v>3.99</v>
      </c>
      <c r="G4853">
        <v>1</v>
      </c>
      <c r="H4853">
        <v>6042.77</v>
      </c>
      <c r="I4853">
        <v>4.9000000000000004</v>
      </c>
    </row>
    <row r="4854" spans="1:9" x14ac:dyDescent="0.3">
      <c r="A4854" t="s">
        <v>4869</v>
      </c>
      <c r="B4854" t="s">
        <v>24</v>
      </c>
      <c r="C4854" t="s">
        <v>14</v>
      </c>
      <c r="D4854">
        <v>32</v>
      </c>
      <c r="E4854" s="1">
        <v>44135</v>
      </c>
      <c r="F4854">
        <v>3.78</v>
      </c>
      <c r="G4854">
        <v>9</v>
      </c>
      <c r="H4854">
        <v>11782.54</v>
      </c>
      <c r="I4854">
        <v>5</v>
      </c>
    </row>
    <row r="4855" spans="1:9" x14ac:dyDescent="0.3">
      <c r="A4855" t="s">
        <v>4870</v>
      </c>
      <c r="B4855" t="s">
        <v>10</v>
      </c>
      <c r="C4855" t="s">
        <v>11</v>
      </c>
      <c r="D4855">
        <v>25</v>
      </c>
      <c r="E4855" s="1">
        <v>43653</v>
      </c>
      <c r="F4855">
        <v>2.95</v>
      </c>
      <c r="G4855">
        <v>14</v>
      </c>
      <c r="H4855">
        <v>8044.74</v>
      </c>
      <c r="I4855">
        <v>6.3</v>
      </c>
    </row>
    <row r="4856" spans="1:9" x14ac:dyDescent="0.3">
      <c r="A4856" t="s">
        <v>4871</v>
      </c>
      <c r="B4856" t="s">
        <v>10</v>
      </c>
      <c r="C4856" t="s">
        <v>11</v>
      </c>
      <c r="D4856">
        <v>32</v>
      </c>
      <c r="E4856" s="1">
        <v>40848</v>
      </c>
      <c r="F4856">
        <v>4.62</v>
      </c>
      <c r="G4856">
        <v>13</v>
      </c>
      <c r="H4856">
        <v>12694.13</v>
      </c>
      <c r="I4856">
        <v>14</v>
      </c>
    </row>
    <row r="4857" spans="1:9" x14ac:dyDescent="0.3">
      <c r="A4857" t="s">
        <v>4872</v>
      </c>
      <c r="B4857" t="s">
        <v>16</v>
      </c>
      <c r="C4857" t="s">
        <v>14</v>
      </c>
      <c r="D4857">
        <v>47</v>
      </c>
      <c r="E4857" s="1">
        <v>41257</v>
      </c>
      <c r="F4857">
        <v>4.09</v>
      </c>
      <c r="G4857">
        <v>0</v>
      </c>
      <c r="H4857">
        <v>4923.6000000000004</v>
      </c>
      <c r="I4857">
        <v>12.9</v>
      </c>
    </row>
    <row r="4858" spans="1:9" x14ac:dyDescent="0.3">
      <c r="A4858" t="s">
        <v>4873</v>
      </c>
      <c r="B4858" t="s">
        <v>24</v>
      </c>
      <c r="C4858" t="s">
        <v>14</v>
      </c>
      <c r="D4858">
        <v>46</v>
      </c>
      <c r="E4858" s="1">
        <v>43506</v>
      </c>
      <c r="F4858">
        <v>2.92</v>
      </c>
      <c r="G4858">
        <v>7</v>
      </c>
      <c r="H4858">
        <v>10516.69</v>
      </c>
      <c r="I4858">
        <v>6.7</v>
      </c>
    </row>
    <row r="4859" spans="1:9" x14ac:dyDescent="0.3">
      <c r="A4859" t="s">
        <v>4874</v>
      </c>
      <c r="B4859" t="s">
        <v>13</v>
      </c>
      <c r="C4859" t="s">
        <v>11</v>
      </c>
      <c r="D4859">
        <v>22</v>
      </c>
      <c r="E4859" s="1">
        <v>42245</v>
      </c>
      <c r="F4859">
        <v>3.37</v>
      </c>
      <c r="G4859">
        <v>15</v>
      </c>
      <c r="H4859">
        <v>3676.26</v>
      </c>
      <c r="I4859">
        <v>10.199999999999999</v>
      </c>
    </row>
    <row r="4860" spans="1:9" x14ac:dyDescent="0.3">
      <c r="A4860" t="s">
        <v>4875</v>
      </c>
      <c r="B4860" t="s">
        <v>13</v>
      </c>
      <c r="C4860" t="s">
        <v>11</v>
      </c>
      <c r="D4860">
        <v>40</v>
      </c>
      <c r="E4860" s="1">
        <v>43682</v>
      </c>
      <c r="F4860">
        <v>4.4400000000000004</v>
      </c>
      <c r="G4860">
        <v>14</v>
      </c>
      <c r="H4860">
        <v>4589.5</v>
      </c>
      <c r="I4860">
        <v>6.2</v>
      </c>
    </row>
    <row r="4861" spans="1:9" x14ac:dyDescent="0.3">
      <c r="A4861" t="s">
        <v>4876</v>
      </c>
      <c r="B4861" t="s">
        <v>10</v>
      </c>
      <c r="C4861" t="s">
        <v>14</v>
      </c>
      <c r="D4861">
        <v>42</v>
      </c>
      <c r="E4861" s="1">
        <v>40328</v>
      </c>
      <c r="F4861">
        <v>4.2300000000000004</v>
      </c>
      <c r="G4861">
        <v>0</v>
      </c>
      <c r="H4861">
        <v>9009.99</v>
      </c>
      <c r="I4861">
        <v>15.4</v>
      </c>
    </row>
    <row r="4862" spans="1:9" x14ac:dyDescent="0.3">
      <c r="A4862" t="s">
        <v>4877</v>
      </c>
      <c r="B4862" t="s">
        <v>10</v>
      </c>
      <c r="C4862" t="s">
        <v>11</v>
      </c>
      <c r="D4862">
        <v>34</v>
      </c>
      <c r="E4862" s="1">
        <v>44309</v>
      </c>
      <c r="F4862">
        <v>4.42</v>
      </c>
      <c r="G4862">
        <v>11</v>
      </c>
      <c r="H4862">
        <v>10396.74</v>
      </c>
      <c r="I4862">
        <v>4.5</v>
      </c>
    </row>
    <row r="4863" spans="1:9" x14ac:dyDescent="0.3">
      <c r="A4863" t="s">
        <v>4878</v>
      </c>
      <c r="B4863" t="s">
        <v>10</v>
      </c>
      <c r="C4863" t="s">
        <v>11</v>
      </c>
      <c r="D4863">
        <v>36</v>
      </c>
      <c r="E4863" s="1">
        <v>42720</v>
      </c>
      <c r="F4863">
        <v>4.1500000000000004</v>
      </c>
      <c r="G4863">
        <v>6</v>
      </c>
      <c r="H4863">
        <v>4726.75</v>
      </c>
      <c r="I4863">
        <v>8.9</v>
      </c>
    </row>
    <row r="4864" spans="1:9" x14ac:dyDescent="0.3">
      <c r="A4864" t="s">
        <v>4879</v>
      </c>
      <c r="B4864" t="s">
        <v>24</v>
      </c>
      <c r="C4864" t="s">
        <v>11</v>
      </c>
      <c r="D4864">
        <v>29</v>
      </c>
      <c r="E4864" s="1">
        <v>44602</v>
      </c>
      <c r="F4864">
        <v>3.89</v>
      </c>
      <c r="G4864">
        <v>12</v>
      </c>
      <c r="H4864">
        <v>8666.07</v>
      </c>
      <c r="I4864">
        <v>3.7</v>
      </c>
    </row>
    <row r="4865" spans="1:9" x14ac:dyDescent="0.3">
      <c r="A4865" t="s">
        <v>4880</v>
      </c>
      <c r="B4865" t="s">
        <v>18</v>
      </c>
      <c r="C4865" t="s">
        <v>11</v>
      </c>
      <c r="D4865">
        <v>35</v>
      </c>
      <c r="E4865" s="1">
        <v>44167</v>
      </c>
      <c r="F4865">
        <v>4.46</v>
      </c>
      <c r="G4865">
        <v>0</v>
      </c>
      <c r="H4865">
        <v>10586.14</v>
      </c>
      <c r="I4865">
        <v>4.9000000000000004</v>
      </c>
    </row>
    <row r="4866" spans="1:9" x14ac:dyDescent="0.3">
      <c r="A4866" t="s">
        <v>4881</v>
      </c>
      <c r="B4866" t="s">
        <v>18</v>
      </c>
      <c r="C4866" t="s">
        <v>11</v>
      </c>
      <c r="D4866">
        <v>41</v>
      </c>
      <c r="E4866" s="1">
        <v>42089</v>
      </c>
      <c r="F4866">
        <v>2.36</v>
      </c>
      <c r="G4866">
        <v>1</v>
      </c>
      <c r="H4866">
        <v>13276.96</v>
      </c>
      <c r="I4866">
        <v>10.6</v>
      </c>
    </row>
    <row r="4867" spans="1:9" x14ac:dyDescent="0.3">
      <c r="A4867" t="s">
        <v>4882</v>
      </c>
      <c r="B4867" t="s">
        <v>24</v>
      </c>
      <c r="C4867" t="s">
        <v>14</v>
      </c>
      <c r="D4867">
        <v>54</v>
      </c>
      <c r="E4867" s="1">
        <v>41193</v>
      </c>
      <c r="F4867">
        <v>3.26</v>
      </c>
      <c r="G4867">
        <v>3</v>
      </c>
      <c r="H4867">
        <v>7890.09</v>
      </c>
      <c r="I4867">
        <v>13.1</v>
      </c>
    </row>
    <row r="4868" spans="1:9" x14ac:dyDescent="0.3">
      <c r="A4868" t="s">
        <v>4883</v>
      </c>
      <c r="B4868" t="s">
        <v>34</v>
      </c>
      <c r="C4868" t="s">
        <v>14</v>
      </c>
      <c r="D4868">
        <v>55</v>
      </c>
      <c r="E4868" s="1">
        <v>45541</v>
      </c>
      <c r="F4868">
        <v>4.53</v>
      </c>
      <c r="G4868">
        <v>15</v>
      </c>
      <c r="H4868">
        <v>7100.35</v>
      </c>
      <c r="I4868">
        <v>1.2</v>
      </c>
    </row>
    <row r="4869" spans="1:9" x14ac:dyDescent="0.3">
      <c r="A4869" t="s">
        <v>4884</v>
      </c>
      <c r="B4869" t="s">
        <v>10</v>
      </c>
      <c r="C4869" t="s">
        <v>11</v>
      </c>
      <c r="D4869">
        <v>26</v>
      </c>
      <c r="E4869" s="1">
        <v>43776</v>
      </c>
      <c r="F4869">
        <v>2.5099999999999998</v>
      </c>
      <c r="G4869">
        <v>1</v>
      </c>
      <c r="H4869">
        <v>10673.11</v>
      </c>
      <c r="I4869">
        <v>6</v>
      </c>
    </row>
    <row r="4870" spans="1:9" x14ac:dyDescent="0.3">
      <c r="A4870" t="s">
        <v>4885</v>
      </c>
      <c r="B4870" t="s">
        <v>18</v>
      </c>
      <c r="C4870" t="s">
        <v>14</v>
      </c>
      <c r="D4870">
        <v>30</v>
      </c>
      <c r="E4870" s="1">
        <v>42229</v>
      </c>
      <c r="F4870">
        <v>3.41</v>
      </c>
      <c r="G4870">
        <v>2</v>
      </c>
      <c r="H4870">
        <v>3855.03</v>
      </c>
      <c r="I4870">
        <v>10.199999999999999</v>
      </c>
    </row>
    <row r="4871" spans="1:9" x14ac:dyDescent="0.3">
      <c r="A4871" t="s">
        <v>4886</v>
      </c>
      <c r="B4871" t="s">
        <v>24</v>
      </c>
      <c r="C4871" t="s">
        <v>14</v>
      </c>
      <c r="D4871">
        <v>60</v>
      </c>
      <c r="E4871" s="1">
        <v>45390</v>
      </c>
      <c r="F4871">
        <v>1.98</v>
      </c>
      <c r="G4871">
        <v>11</v>
      </c>
      <c r="H4871">
        <v>6951.85</v>
      </c>
      <c r="I4871">
        <v>1.6</v>
      </c>
    </row>
    <row r="4872" spans="1:9" x14ac:dyDescent="0.3">
      <c r="A4872" t="s">
        <v>4887</v>
      </c>
      <c r="B4872" t="s">
        <v>13</v>
      </c>
      <c r="C4872" t="s">
        <v>11</v>
      </c>
      <c r="D4872">
        <v>40</v>
      </c>
      <c r="E4872" s="1">
        <v>43293</v>
      </c>
      <c r="F4872">
        <v>2.4</v>
      </c>
      <c r="G4872">
        <v>12</v>
      </c>
      <c r="H4872">
        <v>7223.81</v>
      </c>
      <c r="I4872">
        <v>7.3</v>
      </c>
    </row>
    <row r="4873" spans="1:9" x14ac:dyDescent="0.3">
      <c r="A4873" t="s">
        <v>4888</v>
      </c>
      <c r="B4873" t="s">
        <v>10</v>
      </c>
      <c r="C4873" t="s">
        <v>14</v>
      </c>
      <c r="D4873">
        <v>40</v>
      </c>
      <c r="E4873" s="1">
        <v>43487</v>
      </c>
      <c r="F4873">
        <v>2.59</v>
      </c>
      <c r="G4873">
        <v>11</v>
      </c>
      <c r="H4873">
        <v>4320.07</v>
      </c>
      <c r="I4873">
        <v>6.8</v>
      </c>
    </row>
    <row r="4874" spans="1:9" x14ac:dyDescent="0.3">
      <c r="A4874" t="s">
        <v>4889</v>
      </c>
      <c r="B4874" t="s">
        <v>24</v>
      </c>
      <c r="C4874" t="s">
        <v>11</v>
      </c>
      <c r="D4874">
        <v>48</v>
      </c>
      <c r="E4874" s="1">
        <v>43616</v>
      </c>
      <c r="F4874">
        <v>2.78</v>
      </c>
      <c r="G4874">
        <v>7</v>
      </c>
      <c r="H4874">
        <v>5867.2</v>
      </c>
      <c r="I4874">
        <v>6.4</v>
      </c>
    </row>
    <row r="4875" spans="1:9" x14ac:dyDescent="0.3">
      <c r="A4875" t="s">
        <v>4890</v>
      </c>
      <c r="B4875" t="s">
        <v>24</v>
      </c>
      <c r="C4875" t="s">
        <v>11</v>
      </c>
      <c r="D4875">
        <v>29</v>
      </c>
      <c r="E4875" s="1">
        <v>42842</v>
      </c>
      <c r="F4875">
        <v>2.21</v>
      </c>
      <c r="G4875">
        <v>4</v>
      </c>
      <c r="H4875">
        <v>5408.36</v>
      </c>
      <c r="I4875">
        <v>8.5</v>
      </c>
    </row>
    <row r="4876" spans="1:9" x14ac:dyDescent="0.3">
      <c r="A4876" t="s">
        <v>4891</v>
      </c>
      <c r="B4876" t="s">
        <v>13</v>
      </c>
      <c r="C4876" t="s">
        <v>14</v>
      </c>
      <c r="D4876">
        <v>53</v>
      </c>
      <c r="E4876" s="1">
        <v>40838</v>
      </c>
      <c r="F4876">
        <v>3.48</v>
      </c>
      <c r="G4876">
        <v>3</v>
      </c>
      <c r="H4876">
        <v>12110.58</v>
      </c>
      <c r="I4876">
        <v>14</v>
      </c>
    </row>
    <row r="4877" spans="1:9" x14ac:dyDescent="0.3">
      <c r="A4877" t="s">
        <v>4892</v>
      </c>
      <c r="B4877" t="s">
        <v>16</v>
      </c>
      <c r="C4877" t="s">
        <v>14</v>
      </c>
      <c r="D4877">
        <v>42</v>
      </c>
      <c r="E4877" s="1">
        <v>41505</v>
      </c>
      <c r="F4877">
        <v>3.75</v>
      </c>
      <c r="G4877">
        <v>9</v>
      </c>
      <c r="H4877">
        <v>4086.44</v>
      </c>
      <c r="I4877">
        <v>12.2</v>
      </c>
    </row>
    <row r="4878" spans="1:9" x14ac:dyDescent="0.3">
      <c r="A4878" t="s">
        <v>4893</v>
      </c>
      <c r="B4878" t="s">
        <v>18</v>
      </c>
      <c r="C4878" t="s">
        <v>11</v>
      </c>
      <c r="D4878">
        <v>50</v>
      </c>
      <c r="E4878" s="1">
        <v>43351</v>
      </c>
      <c r="F4878">
        <v>2.3199999999999998</v>
      </c>
      <c r="G4878">
        <v>6</v>
      </c>
      <c r="H4878">
        <v>9181.06</v>
      </c>
      <c r="I4878">
        <v>7.2</v>
      </c>
    </row>
    <row r="4879" spans="1:9" x14ac:dyDescent="0.3">
      <c r="A4879" t="s">
        <v>4894</v>
      </c>
      <c r="B4879" t="s">
        <v>24</v>
      </c>
      <c r="C4879" t="s">
        <v>14</v>
      </c>
      <c r="D4879">
        <v>50</v>
      </c>
      <c r="E4879" s="1">
        <v>41003</v>
      </c>
      <c r="F4879">
        <v>1.79</v>
      </c>
      <c r="G4879">
        <v>13</v>
      </c>
      <c r="H4879">
        <v>6300.6</v>
      </c>
      <c r="I4879">
        <v>13.6</v>
      </c>
    </row>
    <row r="4880" spans="1:9" x14ac:dyDescent="0.3">
      <c r="A4880" t="s">
        <v>4895</v>
      </c>
      <c r="B4880" t="s">
        <v>24</v>
      </c>
      <c r="C4880" t="s">
        <v>11</v>
      </c>
      <c r="D4880">
        <v>59</v>
      </c>
      <c r="E4880" s="1">
        <v>42134</v>
      </c>
      <c r="F4880">
        <v>1.96</v>
      </c>
      <c r="G4880">
        <v>7</v>
      </c>
      <c r="H4880">
        <v>10423.879999999999</v>
      </c>
      <c r="I4880">
        <v>10.5</v>
      </c>
    </row>
    <row r="4881" spans="1:9" x14ac:dyDescent="0.3">
      <c r="A4881" t="s">
        <v>4896</v>
      </c>
      <c r="B4881" t="s">
        <v>34</v>
      </c>
      <c r="C4881" t="s">
        <v>14</v>
      </c>
      <c r="D4881">
        <v>47</v>
      </c>
      <c r="E4881" s="1">
        <v>45324</v>
      </c>
      <c r="F4881">
        <v>4.9800000000000004</v>
      </c>
      <c r="G4881">
        <v>10</v>
      </c>
      <c r="H4881">
        <v>10239.620000000001</v>
      </c>
      <c r="I4881">
        <v>1.7</v>
      </c>
    </row>
    <row r="4882" spans="1:9" x14ac:dyDescent="0.3">
      <c r="A4882" t="s">
        <v>4897</v>
      </c>
      <c r="B4882" t="s">
        <v>34</v>
      </c>
      <c r="C4882" t="s">
        <v>14</v>
      </c>
      <c r="D4882">
        <v>54</v>
      </c>
      <c r="E4882" s="1">
        <v>45112</v>
      </c>
      <c r="F4882">
        <v>4.8</v>
      </c>
      <c r="G4882">
        <v>15</v>
      </c>
      <c r="H4882">
        <v>5713.73</v>
      </c>
      <c r="I4882">
        <v>2.2999999999999998</v>
      </c>
    </row>
    <row r="4883" spans="1:9" x14ac:dyDescent="0.3">
      <c r="A4883" t="s">
        <v>4898</v>
      </c>
      <c r="B4883" t="s">
        <v>34</v>
      </c>
      <c r="C4883" t="s">
        <v>11</v>
      </c>
      <c r="D4883">
        <v>28</v>
      </c>
      <c r="E4883" s="1">
        <v>43376</v>
      </c>
      <c r="F4883">
        <v>3.81</v>
      </c>
      <c r="G4883">
        <v>15</v>
      </c>
      <c r="H4883">
        <v>11228.74</v>
      </c>
      <c r="I4883">
        <v>7.1</v>
      </c>
    </row>
    <row r="4884" spans="1:9" x14ac:dyDescent="0.3">
      <c r="A4884" t="s">
        <v>4899</v>
      </c>
      <c r="B4884" t="s">
        <v>10</v>
      </c>
      <c r="C4884" t="s">
        <v>14</v>
      </c>
      <c r="D4884">
        <v>31</v>
      </c>
      <c r="E4884" s="1">
        <v>42129</v>
      </c>
      <c r="F4884">
        <v>3.62</v>
      </c>
      <c r="G4884">
        <v>6</v>
      </c>
      <c r="H4884">
        <v>7481.18</v>
      </c>
      <c r="I4884">
        <v>10.5</v>
      </c>
    </row>
    <row r="4885" spans="1:9" x14ac:dyDescent="0.3">
      <c r="A4885" t="s">
        <v>4900</v>
      </c>
      <c r="B4885" t="s">
        <v>13</v>
      </c>
      <c r="C4885" t="s">
        <v>11</v>
      </c>
      <c r="D4885">
        <v>33</v>
      </c>
      <c r="E4885" s="1">
        <v>41296</v>
      </c>
      <c r="F4885">
        <v>4.7</v>
      </c>
      <c r="G4885">
        <v>5</v>
      </c>
      <c r="H4885">
        <v>9552.6200000000008</v>
      </c>
      <c r="I4885">
        <v>12.8</v>
      </c>
    </row>
    <row r="4886" spans="1:9" x14ac:dyDescent="0.3">
      <c r="A4886" t="s">
        <v>4901</v>
      </c>
      <c r="B4886" t="s">
        <v>18</v>
      </c>
      <c r="C4886" t="s">
        <v>11</v>
      </c>
      <c r="D4886">
        <v>33</v>
      </c>
      <c r="E4886" s="1">
        <v>44261</v>
      </c>
      <c r="F4886">
        <v>2.56</v>
      </c>
      <c r="G4886">
        <v>2</v>
      </c>
      <c r="H4886">
        <v>10882.55</v>
      </c>
      <c r="I4886">
        <v>4.7</v>
      </c>
    </row>
    <row r="4887" spans="1:9" x14ac:dyDescent="0.3">
      <c r="A4887" t="s">
        <v>4902</v>
      </c>
      <c r="B4887" t="s">
        <v>13</v>
      </c>
      <c r="C4887" t="s">
        <v>14</v>
      </c>
      <c r="D4887">
        <v>54</v>
      </c>
      <c r="E4887" s="1">
        <v>42906</v>
      </c>
      <c r="F4887">
        <v>1.5</v>
      </c>
      <c r="G4887">
        <v>9</v>
      </c>
      <c r="H4887">
        <v>7040.17</v>
      </c>
      <c r="I4887">
        <v>8.4</v>
      </c>
    </row>
    <row r="4888" spans="1:9" x14ac:dyDescent="0.3">
      <c r="A4888" t="s">
        <v>4903</v>
      </c>
      <c r="B4888" t="s">
        <v>18</v>
      </c>
      <c r="C4888" t="s">
        <v>14</v>
      </c>
      <c r="D4888">
        <v>29</v>
      </c>
      <c r="E4888" s="1">
        <v>42388</v>
      </c>
      <c r="F4888">
        <v>4.62</v>
      </c>
      <c r="G4888">
        <v>0</v>
      </c>
      <c r="H4888">
        <v>10144.5</v>
      </c>
      <c r="I4888">
        <v>9.8000000000000007</v>
      </c>
    </row>
    <row r="4889" spans="1:9" x14ac:dyDescent="0.3">
      <c r="A4889" t="s">
        <v>4904</v>
      </c>
      <c r="B4889" t="s">
        <v>24</v>
      </c>
      <c r="C4889" t="s">
        <v>11</v>
      </c>
      <c r="D4889">
        <v>57</v>
      </c>
      <c r="E4889" s="1">
        <v>45477</v>
      </c>
      <c r="F4889">
        <v>4.9800000000000004</v>
      </c>
      <c r="G4889">
        <v>1</v>
      </c>
      <c r="H4889">
        <v>12015.41</v>
      </c>
      <c r="I4889">
        <v>1.3</v>
      </c>
    </row>
    <row r="4890" spans="1:9" x14ac:dyDescent="0.3">
      <c r="A4890" t="s">
        <v>4905</v>
      </c>
      <c r="B4890" t="s">
        <v>10</v>
      </c>
      <c r="C4890" t="s">
        <v>14</v>
      </c>
      <c r="D4890">
        <v>60</v>
      </c>
      <c r="E4890" s="1">
        <v>41989</v>
      </c>
      <c r="F4890">
        <v>2.95</v>
      </c>
      <c r="G4890">
        <v>14</v>
      </c>
      <c r="H4890">
        <v>5502.92</v>
      </c>
      <c r="I4890">
        <v>10.9</v>
      </c>
    </row>
    <row r="4891" spans="1:9" x14ac:dyDescent="0.3">
      <c r="A4891" t="s">
        <v>4906</v>
      </c>
      <c r="B4891" t="s">
        <v>13</v>
      </c>
      <c r="C4891" t="s">
        <v>11</v>
      </c>
      <c r="D4891">
        <v>34</v>
      </c>
      <c r="E4891" s="1">
        <v>40612</v>
      </c>
      <c r="F4891">
        <v>3.59</v>
      </c>
      <c r="G4891">
        <v>0</v>
      </c>
      <c r="H4891">
        <v>12845.9</v>
      </c>
      <c r="I4891">
        <v>14.7</v>
      </c>
    </row>
    <row r="4892" spans="1:9" x14ac:dyDescent="0.3">
      <c r="A4892" t="s">
        <v>4907</v>
      </c>
      <c r="B4892" t="s">
        <v>24</v>
      </c>
      <c r="C4892" t="s">
        <v>14</v>
      </c>
      <c r="D4892">
        <v>49</v>
      </c>
      <c r="E4892" s="1">
        <v>40238</v>
      </c>
      <c r="F4892">
        <v>2.98</v>
      </c>
      <c r="G4892">
        <v>10</v>
      </c>
      <c r="H4892">
        <v>5889.6</v>
      </c>
      <c r="I4892">
        <v>15.7</v>
      </c>
    </row>
    <row r="4893" spans="1:9" x14ac:dyDescent="0.3">
      <c r="A4893" t="s">
        <v>4908</v>
      </c>
      <c r="B4893" t="s">
        <v>18</v>
      </c>
      <c r="C4893" t="s">
        <v>11</v>
      </c>
      <c r="D4893">
        <v>29</v>
      </c>
      <c r="E4893" s="1">
        <v>42812</v>
      </c>
      <c r="F4893">
        <v>4.74</v>
      </c>
      <c r="G4893">
        <v>15</v>
      </c>
      <c r="H4893">
        <v>11243.47</v>
      </c>
      <c r="I4893">
        <v>8.6</v>
      </c>
    </row>
    <row r="4894" spans="1:9" x14ac:dyDescent="0.3">
      <c r="A4894" t="s">
        <v>4909</v>
      </c>
      <c r="B4894" t="s">
        <v>13</v>
      </c>
      <c r="C4894" t="s">
        <v>11</v>
      </c>
      <c r="D4894">
        <v>26</v>
      </c>
      <c r="E4894" s="1">
        <v>44336</v>
      </c>
      <c r="F4894">
        <v>2.58</v>
      </c>
      <c r="G4894">
        <v>9</v>
      </c>
      <c r="H4894">
        <v>5057.05</v>
      </c>
      <c r="I4894">
        <v>4.5</v>
      </c>
    </row>
    <row r="4895" spans="1:9" x14ac:dyDescent="0.3">
      <c r="A4895" t="s">
        <v>4910</v>
      </c>
      <c r="B4895" t="s">
        <v>16</v>
      </c>
      <c r="C4895" t="s">
        <v>14</v>
      </c>
      <c r="D4895">
        <v>30</v>
      </c>
      <c r="E4895" s="1">
        <v>42929</v>
      </c>
      <c r="F4895">
        <v>3.14</v>
      </c>
      <c r="G4895">
        <v>7</v>
      </c>
      <c r="H4895">
        <v>14910.62</v>
      </c>
      <c r="I4895">
        <v>8.3000000000000007</v>
      </c>
    </row>
    <row r="4896" spans="1:9" x14ac:dyDescent="0.3">
      <c r="A4896" t="s">
        <v>4911</v>
      </c>
      <c r="B4896" t="s">
        <v>24</v>
      </c>
      <c r="C4896" t="s">
        <v>14</v>
      </c>
      <c r="D4896">
        <v>43</v>
      </c>
      <c r="E4896" s="1">
        <v>43057</v>
      </c>
      <c r="F4896">
        <v>1.71</v>
      </c>
      <c r="G4896">
        <v>1</v>
      </c>
      <c r="H4896">
        <v>14086.05</v>
      </c>
      <c r="I4896">
        <v>8</v>
      </c>
    </row>
    <row r="4897" spans="1:9" x14ac:dyDescent="0.3">
      <c r="A4897" t="s">
        <v>4912</v>
      </c>
      <c r="B4897" t="s">
        <v>10</v>
      </c>
      <c r="C4897" t="s">
        <v>11</v>
      </c>
      <c r="D4897">
        <v>52</v>
      </c>
      <c r="E4897" s="1">
        <v>44989</v>
      </c>
      <c r="F4897">
        <v>4.28</v>
      </c>
      <c r="G4897">
        <v>6</v>
      </c>
      <c r="H4897">
        <v>4942.07</v>
      </c>
      <c r="I4897">
        <v>2.7</v>
      </c>
    </row>
    <row r="4898" spans="1:9" x14ac:dyDescent="0.3">
      <c r="A4898" t="s">
        <v>4913</v>
      </c>
      <c r="B4898" t="s">
        <v>24</v>
      </c>
      <c r="C4898" t="s">
        <v>11</v>
      </c>
      <c r="D4898">
        <v>58</v>
      </c>
      <c r="E4898" s="1">
        <v>42874</v>
      </c>
      <c r="F4898">
        <v>2.16</v>
      </c>
      <c r="G4898">
        <v>8</v>
      </c>
      <c r="H4898">
        <v>5379.55</v>
      </c>
      <c r="I4898">
        <v>8.5</v>
      </c>
    </row>
    <row r="4899" spans="1:9" x14ac:dyDescent="0.3">
      <c r="A4899" t="s">
        <v>4914</v>
      </c>
      <c r="B4899" t="s">
        <v>16</v>
      </c>
      <c r="C4899" t="s">
        <v>11</v>
      </c>
      <c r="D4899">
        <v>43</v>
      </c>
      <c r="E4899" s="1">
        <v>45795</v>
      </c>
      <c r="F4899">
        <v>4.5</v>
      </c>
      <c r="G4899">
        <v>11</v>
      </c>
      <c r="H4899">
        <v>10465.94</v>
      </c>
      <c r="I4899">
        <v>0.5</v>
      </c>
    </row>
    <row r="4900" spans="1:9" x14ac:dyDescent="0.3">
      <c r="A4900" t="s">
        <v>4915</v>
      </c>
      <c r="B4900" t="s">
        <v>34</v>
      </c>
      <c r="C4900" t="s">
        <v>11</v>
      </c>
      <c r="D4900">
        <v>35</v>
      </c>
      <c r="E4900" s="1">
        <v>45439</v>
      </c>
      <c r="F4900">
        <v>4.78</v>
      </c>
      <c r="G4900">
        <v>10</v>
      </c>
      <c r="H4900">
        <v>14355.13</v>
      </c>
      <c r="I4900">
        <v>1.4</v>
      </c>
    </row>
    <row r="4901" spans="1:9" x14ac:dyDescent="0.3">
      <c r="A4901" t="s">
        <v>4916</v>
      </c>
      <c r="B4901" t="s">
        <v>34</v>
      </c>
      <c r="C4901" t="s">
        <v>11</v>
      </c>
      <c r="D4901">
        <v>44</v>
      </c>
      <c r="E4901" s="1">
        <v>41430</v>
      </c>
      <c r="F4901">
        <v>3.74</v>
      </c>
      <c r="G4901">
        <v>10</v>
      </c>
      <c r="H4901">
        <v>10891.24</v>
      </c>
      <c r="I4901">
        <v>12.4</v>
      </c>
    </row>
    <row r="4902" spans="1:9" x14ac:dyDescent="0.3">
      <c r="A4902" t="s">
        <v>4917</v>
      </c>
      <c r="B4902" t="s">
        <v>13</v>
      </c>
      <c r="C4902" t="s">
        <v>11</v>
      </c>
      <c r="D4902">
        <v>52</v>
      </c>
      <c r="E4902" s="1">
        <v>44015</v>
      </c>
      <c r="F4902">
        <v>3.09</v>
      </c>
      <c r="G4902">
        <v>5</v>
      </c>
      <c r="H4902">
        <v>14332.62</v>
      </c>
      <c r="I4902">
        <v>5.3</v>
      </c>
    </row>
    <row r="4903" spans="1:9" x14ac:dyDescent="0.3">
      <c r="A4903" t="s">
        <v>4918</v>
      </c>
      <c r="B4903" t="s">
        <v>10</v>
      </c>
      <c r="C4903" t="s">
        <v>11</v>
      </c>
      <c r="D4903">
        <v>56</v>
      </c>
      <c r="E4903" s="1">
        <v>42297</v>
      </c>
      <c r="F4903">
        <v>3.76</v>
      </c>
      <c r="G4903">
        <v>5</v>
      </c>
      <c r="H4903">
        <v>9263.7900000000009</v>
      </c>
      <c r="I4903">
        <v>10</v>
      </c>
    </row>
    <row r="4904" spans="1:9" x14ac:dyDescent="0.3">
      <c r="A4904" t="s">
        <v>4919</v>
      </c>
      <c r="B4904" t="s">
        <v>34</v>
      </c>
      <c r="C4904" t="s">
        <v>14</v>
      </c>
      <c r="D4904">
        <v>24</v>
      </c>
      <c r="E4904" s="1">
        <v>45535</v>
      </c>
      <c r="F4904">
        <v>2.4</v>
      </c>
      <c r="G4904">
        <v>12</v>
      </c>
      <c r="H4904">
        <v>4343.37</v>
      </c>
      <c r="I4904">
        <v>1.2</v>
      </c>
    </row>
    <row r="4905" spans="1:9" x14ac:dyDescent="0.3">
      <c r="A4905" t="s">
        <v>4920</v>
      </c>
      <c r="B4905" t="s">
        <v>10</v>
      </c>
      <c r="C4905" t="s">
        <v>11</v>
      </c>
      <c r="D4905">
        <v>56</v>
      </c>
      <c r="E4905" s="1">
        <v>44384</v>
      </c>
      <c r="F4905">
        <v>2.93</v>
      </c>
      <c r="G4905">
        <v>8</v>
      </c>
      <c r="H4905">
        <v>5360.98</v>
      </c>
      <c r="I4905">
        <v>4.3</v>
      </c>
    </row>
    <row r="4906" spans="1:9" x14ac:dyDescent="0.3">
      <c r="A4906" t="s">
        <v>4921</v>
      </c>
      <c r="B4906" t="s">
        <v>18</v>
      </c>
      <c r="C4906" t="s">
        <v>14</v>
      </c>
      <c r="D4906">
        <v>26</v>
      </c>
      <c r="E4906" s="1">
        <v>41738</v>
      </c>
      <c r="F4906">
        <v>1.73</v>
      </c>
      <c r="G4906">
        <v>13</v>
      </c>
      <c r="H4906">
        <v>4224.8</v>
      </c>
      <c r="I4906">
        <v>11.6</v>
      </c>
    </row>
    <row r="4907" spans="1:9" x14ac:dyDescent="0.3">
      <c r="A4907" t="s">
        <v>4922</v>
      </c>
      <c r="B4907" t="s">
        <v>34</v>
      </c>
      <c r="C4907" t="s">
        <v>11</v>
      </c>
      <c r="D4907">
        <v>47</v>
      </c>
      <c r="E4907" s="1">
        <v>44768</v>
      </c>
      <c r="F4907">
        <v>3.31</v>
      </c>
      <c r="G4907">
        <v>9</v>
      </c>
      <c r="H4907">
        <v>5805.17</v>
      </c>
      <c r="I4907">
        <v>3.3</v>
      </c>
    </row>
    <row r="4908" spans="1:9" x14ac:dyDescent="0.3">
      <c r="A4908" t="s">
        <v>4923</v>
      </c>
      <c r="B4908" t="s">
        <v>16</v>
      </c>
      <c r="C4908" t="s">
        <v>11</v>
      </c>
      <c r="D4908">
        <v>46</v>
      </c>
      <c r="E4908" s="1">
        <v>44238</v>
      </c>
      <c r="F4908">
        <v>4.91</v>
      </c>
      <c r="G4908">
        <v>14</v>
      </c>
      <c r="H4908">
        <v>13700.67</v>
      </c>
      <c r="I4908">
        <v>4.7</v>
      </c>
    </row>
    <row r="4909" spans="1:9" x14ac:dyDescent="0.3">
      <c r="A4909" t="s">
        <v>4924</v>
      </c>
      <c r="B4909" t="s">
        <v>16</v>
      </c>
      <c r="C4909" t="s">
        <v>11</v>
      </c>
      <c r="D4909">
        <v>28</v>
      </c>
      <c r="E4909" s="1">
        <v>44420</v>
      </c>
      <c r="F4909">
        <v>4.4800000000000004</v>
      </c>
      <c r="G4909">
        <v>11</v>
      </c>
      <c r="H4909">
        <v>7860.06</v>
      </c>
      <c r="I4909">
        <v>4.2</v>
      </c>
    </row>
    <row r="4910" spans="1:9" x14ac:dyDescent="0.3">
      <c r="A4910" t="s">
        <v>4925</v>
      </c>
      <c r="B4910" t="s">
        <v>13</v>
      </c>
      <c r="C4910" t="s">
        <v>14</v>
      </c>
      <c r="D4910">
        <v>55</v>
      </c>
      <c r="E4910" s="1">
        <v>42039</v>
      </c>
      <c r="F4910">
        <v>3.11</v>
      </c>
      <c r="G4910">
        <v>12</v>
      </c>
      <c r="H4910">
        <v>14247.31</v>
      </c>
      <c r="I4910">
        <v>10.7</v>
      </c>
    </row>
    <row r="4911" spans="1:9" x14ac:dyDescent="0.3">
      <c r="A4911" t="s">
        <v>4926</v>
      </c>
      <c r="B4911" t="s">
        <v>34</v>
      </c>
      <c r="C4911" t="s">
        <v>11</v>
      </c>
      <c r="D4911">
        <v>53</v>
      </c>
      <c r="E4911" s="1">
        <v>44362</v>
      </c>
      <c r="F4911">
        <v>3.18</v>
      </c>
      <c r="G4911">
        <v>15</v>
      </c>
      <c r="H4911">
        <v>4527.3100000000004</v>
      </c>
      <c r="I4911">
        <v>4.4000000000000004</v>
      </c>
    </row>
    <row r="4912" spans="1:9" x14ac:dyDescent="0.3">
      <c r="A4912" t="s">
        <v>4927</v>
      </c>
      <c r="B4912" t="s">
        <v>16</v>
      </c>
      <c r="C4912" t="s">
        <v>14</v>
      </c>
      <c r="D4912">
        <v>48</v>
      </c>
      <c r="E4912" s="1">
        <v>45354</v>
      </c>
      <c r="F4912">
        <v>3.11</v>
      </c>
      <c r="G4912">
        <v>0</v>
      </c>
      <c r="H4912">
        <v>10214.75</v>
      </c>
      <c r="I4912">
        <v>1.7</v>
      </c>
    </row>
    <row r="4913" spans="1:9" x14ac:dyDescent="0.3">
      <c r="A4913" t="s">
        <v>4928</v>
      </c>
      <c r="B4913" t="s">
        <v>16</v>
      </c>
      <c r="C4913" t="s">
        <v>11</v>
      </c>
      <c r="D4913">
        <v>46</v>
      </c>
      <c r="E4913" s="1">
        <v>45190</v>
      </c>
      <c r="F4913">
        <v>3.88</v>
      </c>
      <c r="G4913">
        <v>8</v>
      </c>
      <c r="H4913">
        <v>14584.43</v>
      </c>
      <c r="I4913">
        <v>2.1</v>
      </c>
    </row>
    <row r="4914" spans="1:9" x14ac:dyDescent="0.3">
      <c r="A4914" t="s">
        <v>4929</v>
      </c>
      <c r="B4914" t="s">
        <v>18</v>
      </c>
      <c r="C4914" t="s">
        <v>11</v>
      </c>
      <c r="D4914">
        <v>32</v>
      </c>
      <c r="E4914" s="1">
        <v>44482</v>
      </c>
      <c r="F4914">
        <v>2.2599999999999998</v>
      </c>
      <c r="G4914">
        <v>0</v>
      </c>
      <c r="H4914">
        <v>4839.3999999999996</v>
      </c>
      <c r="I4914">
        <v>4.0999999999999996</v>
      </c>
    </row>
    <row r="4915" spans="1:9" x14ac:dyDescent="0.3">
      <c r="A4915" t="s">
        <v>4930</v>
      </c>
      <c r="B4915" t="s">
        <v>24</v>
      </c>
      <c r="C4915" t="s">
        <v>14</v>
      </c>
      <c r="D4915">
        <v>50</v>
      </c>
      <c r="E4915" s="1">
        <v>41757</v>
      </c>
      <c r="F4915">
        <v>3.83</v>
      </c>
      <c r="G4915">
        <v>15</v>
      </c>
      <c r="H4915">
        <v>3696.38</v>
      </c>
      <c r="I4915">
        <v>11.5</v>
      </c>
    </row>
    <row r="4916" spans="1:9" x14ac:dyDescent="0.3">
      <c r="A4916" t="s">
        <v>4931</v>
      </c>
      <c r="B4916" t="s">
        <v>10</v>
      </c>
      <c r="C4916" t="s">
        <v>11</v>
      </c>
      <c r="D4916">
        <v>28</v>
      </c>
      <c r="E4916" s="1">
        <v>40978</v>
      </c>
      <c r="F4916">
        <v>2.27</v>
      </c>
      <c r="G4916">
        <v>14</v>
      </c>
      <c r="H4916">
        <v>10660.12</v>
      </c>
      <c r="I4916">
        <v>13.7</v>
      </c>
    </row>
    <row r="4917" spans="1:9" x14ac:dyDescent="0.3">
      <c r="A4917" t="s">
        <v>4932</v>
      </c>
      <c r="B4917" t="s">
        <v>10</v>
      </c>
      <c r="C4917" t="s">
        <v>14</v>
      </c>
      <c r="D4917">
        <v>54</v>
      </c>
      <c r="E4917" s="1">
        <v>44688</v>
      </c>
      <c r="F4917">
        <v>2.31</v>
      </c>
      <c r="G4917">
        <v>13</v>
      </c>
      <c r="H4917">
        <v>14528.91</v>
      </c>
      <c r="I4917">
        <v>3.5</v>
      </c>
    </row>
    <row r="4918" spans="1:9" x14ac:dyDescent="0.3">
      <c r="A4918" t="s">
        <v>4933</v>
      </c>
      <c r="B4918" t="s">
        <v>18</v>
      </c>
      <c r="C4918" t="s">
        <v>11</v>
      </c>
      <c r="D4918">
        <v>57</v>
      </c>
      <c r="E4918" s="1">
        <v>45106</v>
      </c>
      <c r="F4918">
        <v>4.33</v>
      </c>
      <c r="G4918">
        <v>2</v>
      </c>
      <c r="H4918">
        <v>7267.65</v>
      </c>
      <c r="I4918">
        <v>2.2999999999999998</v>
      </c>
    </row>
    <row r="4919" spans="1:9" x14ac:dyDescent="0.3">
      <c r="A4919" t="s">
        <v>4934</v>
      </c>
      <c r="B4919" t="s">
        <v>16</v>
      </c>
      <c r="C4919" t="s">
        <v>11</v>
      </c>
      <c r="D4919">
        <v>47</v>
      </c>
      <c r="E4919" s="1">
        <v>41155</v>
      </c>
      <c r="F4919">
        <v>2.5299999999999998</v>
      </c>
      <c r="G4919">
        <v>4</v>
      </c>
      <c r="H4919">
        <v>3981.95</v>
      </c>
      <c r="I4919">
        <v>13.2</v>
      </c>
    </row>
    <row r="4920" spans="1:9" x14ac:dyDescent="0.3">
      <c r="A4920" t="s">
        <v>4935</v>
      </c>
      <c r="B4920" t="s">
        <v>34</v>
      </c>
      <c r="C4920" t="s">
        <v>14</v>
      </c>
      <c r="D4920">
        <v>28</v>
      </c>
      <c r="E4920" s="1">
        <v>43260</v>
      </c>
      <c r="F4920">
        <v>4.78</v>
      </c>
      <c r="G4920">
        <v>0</v>
      </c>
      <c r="H4920">
        <v>11672.4</v>
      </c>
      <c r="I4920">
        <v>7.4</v>
      </c>
    </row>
    <row r="4921" spans="1:9" x14ac:dyDescent="0.3">
      <c r="A4921" t="s">
        <v>4936</v>
      </c>
      <c r="B4921" t="s">
        <v>13</v>
      </c>
      <c r="C4921" t="s">
        <v>14</v>
      </c>
      <c r="D4921">
        <v>45</v>
      </c>
      <c r="E4921" s="1">
        <v>45312</v>
      </c>
      <c r="F4921">
        <v>2.39</v>
      </c>
      <c r="G4921">
        <v>8</v>
      </c>
      <c r="H4921">
        <v>13671.54</v>
      </c>
      <c r="I4921">
        <v>1.8</v>
      </c>
    </row>
    <row r="4922" spans="1:9" x14ac:dyDescent="0.3">
      <c r="A4922" t="s">
        <v>4937</v>
      </c>
      <c r="B4922" t="s">
        <v>13</v>
      </c>
      <c r="C4922" t="s">
        <v>14</v>
      </c>
      <c r="D4922">
        <v>30</v>
      </c>
      <c r="E4922" s="1">
        <v>41911</v>
      </c>
      <c r="F4922">
        <v>4.7300000000000004</v>
      </c>
      <c r="G4922">
        <v>2</v>
      </c>
      <c r="H4922">
        <v>8327.7999999999993</v>
      </c>
      <c r="I4922">
        <v>11.1</v>
      </c>
    </row>
    <row r="4923" spans="1:9" x14ac:dyDescent="0.3">
      <c r="A4923" t="s">
        <v>4938</v>
      </c>
      <c r="B4923" t="s">
        <v>34</v>
      </c>
      <c r="C4923" t="s">
        <v>14</v>
      </c>
      <c r="D4923">
        <v>42</v>
      </c>
      <c r="E4923" s="1">
        <v>40767</v>
      </c>
      <c r="F4923">
        <v>4.16</v>
      </c>
      <c r="G4923">
        <v>9</v>
      </c>
      <c r="H4923">
        <v>5745.73</v>
      </c>
      <c r="I4923">
        <v>14.2</v>
      </c>
    </row>
    <row r="4924" spans="1:9" x14ac:dyDescent="0.3">
      <c r="A4924" t="s">
        <v>4939</v>
      </c>
      <c r="B4924" t="s">
        <v>13</v>
      </c>
      <c r="C4924" t="s">
        <v>11</v>
      </c>
      <c r="D4924">
        <v>26</v>
      </c>
      <c r="E4924" s="1">
        <v>42539</v>
      </c>
      <c r="F4924">
        <v>2.12</v>
      </c>
      <c r="G4924">
        <v>1</v>
      </c>
      <c r="H4924">
        <v>3193.82</v>
      </c>
      <c r="I4924">
        <v>9.4</v>
      </c>
    </row>
    <row r="4925" spans="1:9" x14ac:dyDescent="0.3">
      <c r="A4925" t="s">
        <v>4940</v>
      </c>
      <c r="B4925" t="s">
        <v>24</v>
      </c>
      <c r="C4925" t="s">
        <v>11</v>
      </c>
      <c r="D4925">
        <v>51</v>
      </c>
      <c r="E4925" s="1">
        <v>44986</v>
      </c>
      <c r="F4925">
        <v>4.8499999999999996</v>
      </c>
      <c r="G4925">
        <v>9</v>
      </c>
      <c r="H4925">
        <v>12185.93</v>
      </c>
      <c r="I4925">
        <v>2.7</v>
      </c>
    </row>
    <row r="4926" spans="1:9" x14ac:dyDescent="0.3">
      <c r="A4926" t="s">
        <v>4941</v>
      </c>
      <c r="B4926" t="s">
        <v>16</v>
      </c>
      <c r="C4926" t="s">
        <v>11</v>
      </c>
      <c r="D4926">
        <v>32</v>
      </c>
      <c r="E4926" s="1">
        <v>44955</v>
      </c>
      <c r="F4926">
        <v>2.61</v>
      </c>
      <c r="G4926">
        <v>14</v>
      </c>
      <c r="H4926">
        <v>9876.6</v>
      </c>
      <c r="I4926">
        <v>2.8</v>
      </c>
    </row>
    <row r="4927" spans="1:9" x14ac:dyDescent="0.3">
      <c r="A4927" t="s">
        <v>4942</v>
      </c>
      <c r="B4927" t="s">
        <v>16</v>
      </c>
      <c r="C4927" t="s">
        <v>14</v>
      </c>
      <c r="D4927">
        <v>49</v>
      </c>
      <c r="E4927" s="1">
        <v>41637</v>
      </c>
      <c r="F4927">
        <v>3.89</v>
      </c>
      <c r="G4927">
        <v>4</v>
      </c>
      <c r="H4927">
        <v>9608.89</v>
      </c>
      <c r="I4927">
        <v>11.8</v>
      </c>
    </row>
    <row r="4928" spans="1:9" x14ac:dyDescent="0.3">
      <c r="A4928" t="s">
        <v>4943</v>
      </c>
      <c r="B4928" t="s">
        <v>24</v>
      </c>
      <c r="C4928" t="s">
        <v>14</v>
      </c>
      <c r="D4928">
        <v>39</v>
      </c>
      <c r="E4928" s="1">
        <v>42860</v>
      </c>
      <c r="F4928">
        <v>2.79</v>
      </c>
      <c r="G4928">
        <v>5</v>
      </c>
      <c r="H4928">
        <v>11616.68</v>
      </c>
      <c r="I4928">
        <v>8.5</v>
      </c>
    </row>
    <row r="4929" spans="1:9" x14ac:dyDescent="0.3">
      <c r="A4929" t="s">
        <v>4944</v>
      </c>
      <c r="B4929" t="s">
        <v>10</v>
      </c>
      <c r="C4929" t="s">
        <v>11</v>
      </c>
      <c r="D4929">
        <v>56</v>
      </c>
      <c r="E4929" s="1">
        <v>45249</v>
      </c>
      <c r="F4929">
        <v>2.27</v>
      </c>
      <c r="G4929">
        <v>13</v>
      </c>
      <c r="H4929">
        <v>8328.61</v>
      </c>
      <c r="I4929">
        <v>2</v>
      </c>
    </row>
    <row r="4930" spans="1:9" x14ac:dyDescent="0.3">
      <c r="A4930" t="s">
        <v>4945</v>
      </c>
      <c r="B4930" t="s">
        <v>18</v>
      </c>
      <c r="C4930" t="s">
        <v>14</v>
      </c>
      <c r="D4930">
        <v>49</v>
      </c>
      <c r="E4930" s="1">
        <v>40688</v>
      </c>
      <c r="F4930">
        <v>3.71</v>
      </c>
      <c r="G4930">
        <v>1</v>
      </c>
      <c r="H4930">
        <v>4539.17</v>
      </c>
      <c r="I4930">
        <v>14.4</v>
      </c>
    </row>
    <row r="4931" spans="1:9" x14ac:dyDescent="0.3">
      <c r="A4931" t="s">
        <v>4946</v>
      </c>
      <c r="B4931" t="s">
        <v>18</v>
      </c>
      <c r="C4931" t="s">
        <v>11</v>
      </c>
      <c r="D4931">
        <v>45</v>
      </c>
      <c r="E4931" s="1">
        <v>42838</v>
      </c>
      <c r="F4931">
        <v>4.1500000000000004</v>
      </c>
      <c r="G4931">
        <v>4</v>
      </c>
      <c r="H4931">
        <v>14300.29</v>
      </c>
      <c r="I4931">
        <v>8.6</v>
      </c>
    </row>
    <row r="4932" spans="1:9" x14ac:dyDescent="0.3">
      <c r="A4932" t="s">
        <v>4947</v>
      </c>
      <c r="B4932" t="s">
        <v>34</v>
      </c>
      <c r="C4932" t="s">
        <v>14</v>
      </c>
      <c r="D4932">
        <v>45</v>
      </c>
      <c r="E4932" s="1">
        <v>44264</v>
      </c>
      <c r="F4932">
        <v>4.08</v>
      </c>
      <c r="G4932">
        <v>3</v>
      </c>
      <c r="H4932">
        <v>10904.62</v>
      </c>
      <c r="I4932">
        <v>4.7</v>
      </c>
    </row>
    <row r="4933" spans="1:9" x14ac:dyDescent="0.3">
      <c r="A4933" t="s">
        <v>4948</v>
      </c>
      <c r="B4933" t="s">
        <v>34</v>
      </c>
      <c r="C4933" t="s">
        <v>14</v>
      </c>
      <c r="D4933">
        <v>47</v>
      </c>
      <c r="E4933" s="1">
        <v>42862</v>
      </c>
      <c r="F4933">
        <v>1.71</v>
      </c>
      <c r="G4933">
        <v>3</v>
      </c>
      <c r="H4933">
        <v>13796.91</v>
      </c>
      <c r="I4933">
        <v>8.5</v>
      </c>
    </row>
    <row r="4934" spans="1:9" x14ac:dyDescent="0.3">
      <c r="A4934" t="s">
        <v>4949</v>
      </c>
      <c r="B4934" t="s">
        <v>13</v>
      </c>
      <c r="C4934" t="s">
        <v>14</v>
      </c>
      <c r="D4934">
        <v>31</v>
      </c>
      <c r="E4934" s="1">
        <v>43266</v>
      </c>
      <c r="F4934">
        <v>3.9</v>
      </c>
      <c r="G4934">
        <v>3</v>
      </c>
      <c r="H4934">
        <v>8320.06</v>
      </c>
      <c r="I4934">
        <v>7.4</v>
      </c>
    </row>
    <row r="4935" spans="1:9" x14ac:dyDescent="0.3">
      <c r="A4935" t="s">
        <v>4950</v>
      </c>
      <c r="B4935" t="s">
        <v>16</v>
      </c>
      <c r="C4935" t="s">
        <v>14</v>
      </c>
      <c r="D4935">
        <v>60</v>
      </c>
      <c r="E4935" s="1">
        <v>42583</v>
      </c>
      <c r="F4935">
        <v>2.21</v>
      </c>
      <c r="G4935">
        <v>14</v>
      </c>
      <c r="H4935">
        <v>12437.34</v>
      </c>
      <c r="I4935">
        <v>9.3000000000000007</v>
      </c>
    </row>
    <row r="4936" spans="1:9" x14ac:dyDescent="0.3">
      <c r="A4936" t="s">
        <v>4951</v>
      </c>
      <c r="B4936" t="s">
        <v>24</v>
      </c>
      <c r="C4936" t="s">
        <v>14</v>
      </c>
      <c r="D4936">
        <v>46</v>
      </c>
      <c r="E4936" s="1">
        <v>42891</v>
      </c>
      <c r="F4936">
        <v>4.53</v>
      </c>
      <c r="G4936">
        <v>1</v>
      </c>
      <c r="H4936">
        <v>6078.4</v>
      </c>
      <c r="I4936">
        <v>8.4</v>
      </c>
    </row>
    <row r="4937" spans="1:9" x14ac:dyDescent="0.3">
      <c r="A4937" t="s">
        <v>4952</v>
      </c>
      <c r="B4937" t="s">
        <v>24</v>
      </c>
      <c r="C4937" t="s">
        <v>14</v>
      </c>
      <c r="D4937">
        <v>30</v>
      </c>
      <c r="E4937" s="1">
        <v>44947</v>
      </c>
      <c r="F4937">
        <v>2.5099999999999998</v>
      </c>
      <c r="G4937">
        <v>3</v>
      </c>
      <c r="H4937">
        <v>11850.3</v>
      </c>
      <c r="I4937">
        <v>2.8</v>
      </c>
    </row>
    <row r="4938" spans="1:9" x14ac:dyDescent="0.3">
      <c r="A4938" t="s">
        <v>4953</v>
      </c>
      <c r="B4938" t="s">
        <v>34</v>
      </c>
      <c r="C4938" t="s">
        <v>14</v>
      </c>
      <c r="D4938">
        <v>41</v>
      </c>
      <c r="E4938" s="1">
        <v>45782</v>
      </c>
      <c r="F4938">
        <v>4.55</v>
      </c>
      <c r="G4938">
        <v>5</v>
      </c>
      <c r="H4938">
        <v>6599.43</v>
      </c>
      <c r="I4938">
        <v>0.5</v>
      </c>
    </row>
    <row r="4939" spans="1:9" x14ac:dyDescent="0.3">
      <c r="A4939" t="s">
        <v>4954</v>
      </c>
      <c r="B4939" t="s">
        <v>24</v>
      </c>
      <c r="C4939" t="s">
        <v>11</v>
      </c>
      <c r="D4939">
        <v>57</v>
      </c>
      <c r="E4939" s="1">
        <v>42850</v>
      </c>
      <c r="F4939">
        <v>3.59</v>
      </c>
      <c r="G4939">
        <v>7</v>
      </c>
      <c r="H4939">
        <v>6626.22</v>
      </c>
      <c r="I4939">
        <v>8.5</v>
      </c>
    </row>
    <row r="4940" spans="1:9" x14ac:dyDescent="0.3">
      <c r="A4940" t="s">
        <v>4955</v>
      </c>
      <c r="B4940" t="s">
        <v>18</v>
      </c>
      <c r="C4940" t="s">
        <v>14</v>
      </c>
      <c r="D4940">
        <v>44</v>
      </c>
      <c r="E4940" s="1">
        <v>43816</v>
      </c>
      <c r="F4940">
        <v>3.11</v>
      </c>
      <c r="G4940">
        <v>2</v>
      </c>
      <c r="H4940">
        <v>9281.2999999999993</v>
      </c>
      <c r="I4940">
        <v>5.9</v>
      </c>
    </row>
    <row r="4941" spans="1:9" x14ac:dyDescent="0.3">
      <c r="A4941" t="s">
        <v>4956</v>
      </c>
      <c r="B4941" t="s">
        <v>34</v>
      </c>
      <c r="C4941" t="s">
        <v>14</v>
      </c>
      <c r="D4941">
        <v>37</v>
      </c>
      <c r="E4941" s="1">
        <v>42942</v>
      </c>
      <c r="F4941">
        <v>3.96</v>
      </c>
      <c r="G4941">
        <v>7</v>
      </c>
      <c r="H4941">
        <v>4613.6099999999997</v>
      </c>
      <c r="I4941">
        <v>8.3000000000000007</v>
      </c>
    </row>
    <row r="4942" spans="1:9" x14ac:dyDescent="0.3">
      <c r="A4942" t="s">
        <v>4957</v>
      </c>
      <c r="B4942" t="s">
        <v>10</v>
      </c>
      <c r="C4942" t="s">
        <v>11</v>
      </c>
      <c r="D4942">
        <v>41</v>
      </c>
      <c r="E4942" s="1">
        <v>42102</v>
      </c>
      <c r="F4942">
        <v>2.5499999999999998</v>
      </c>
      <c r="G4942">
        <v>14</v>
      </c>
      <c r="H4942">
        <v>6620.88</v>
      </c>
      <c r="I4942">
        <v>10.6</v>
      </c>
    </row>
    <row r="4943" spans="1:9" x14ac:dyDescent="0.3">
      <c r="A4943" t="s">
        <v>4958</v>
      </c>
      <c r="B4943" t="s">
        <v>13</v>
      </c>
      <c r="C4943" t="s">
        <v>11</v>
      </c>
      <c r="D4943">
        <v>30</v>
      </c>
      <c r="E4943" s="1">
        <v>44482</v>
      </c>
      <c r="F4943">
        <v>3.83</v>
      </c>
      <c r="G4943">
        <v>2</v>
      </c>
      <c r="H4943">
        <v>13041.17</v>
      </c>
      <c r="I4943">
        <v>4.0999999999999996</v>
      </c>
    </row>
    <row r="4944" spans="1:9" x14ac:dyDescent="0.3">
      <c r="A4944" t="s">
        <v>4959</v>
      </c>
      <c r="B4944" t="s">
        <v>10</v>
      </c>
      <c r="C4944" t="s">
        <v>11</v>
      </c>
      <c r="D4944">
        <v>43</v>
      </c>
      <c r="E4944" s="1">
        <v>45611</v>
      </c>
      <c r="F4944">
        <v>1.91</v>
      </c>
      <c r="G4944">
        <v>13</v>
      </c>
      <c r="H4944">
        <v>14224.3</v>
      </c>
      <c r="I4944">
        <v>1</v>
      </c>
    </row>
    <row r="4945" spans="1:9" x14ac:dyDescent="0.3">
      <c r="A4945" t="s">
        <v>4960</v>
      </c>
      <c r="B4945" t="s">
        <v>24</v>
      </c>
      <c r="C4945" t="s">
        <v>14</v>
      </c>
      <c r="D4945">
        <v>45</v>
      </c>
      <c r="E4945" s="1">
        <v>44577</v>
      </c>
      <c r="F4945">
        <v>2.23</v>
      </c>
      <c r="G4945">
        <v>5</v>
      </c>
      <c r="H4945">
        <v>5953.56</v>
      </c>
      <c r="I4945">
        <v>3.8</v>
      </c>
    </row>
    <row r="4946" spans="1:9" x14ac:dyDescent="0.3">
      <c r="A4946" t="s">
        <v>4961</v>
      </c>
      <c r="B4946" t="s">
        <v>34</v>
      </c>
      <c r="C4946" t="s">
        <v>11</v>
      </c>
      <c r="D4946">
        <v>32</v>
      </c>
      <c r="E4946" s="1">
        <v>45658</v>
      </c>
      <c r="F4946">
        <v>2.8</v>
      </c>
      <c r="G4946">
        <v>14</v>
      </c>
      <c r="H4946">
        <v>3469.43</v>
      </c>
      <c r="I4946">
        <v>0.8</v>
      </c>
    </row>
    <row r="4947" spans="1:9" x14ac:dyDescent="0.3">
      <c r="A4947" t="s">
        <v>4962</v>
      </c>
      <c r="B4947" t="s">
        <v>13</v>
      </c>
      <c r="C4947" t="s">
        <v>14</v>
      </c>
      <c r="D4947">
        <v>54</v>
      </c>
      <c r="E4947" s="1">
        <v>44932</v>
      </c>
      <c r="F4947">
        <v>3.92</v>
      </c>
      <c r="G4947">
        <v>3</v>
      </c>
      <c r="H4947">
        <v>9683.3799999999992</v>
      </c>
      <c r="I4947">
        <v>2.8</v>
      </c>
    </row>
    <row r="4948" spans="1:9" x14ac:dyDescent="0.3">
      <c r="A4948" t="s">
        <v>4963</v>
      </c>
      <c r="B4948" t="s">
        <v>13</v>
      </c>
      <c r="C4948" t="s">
        <v>14</v>
      </c>
      <c r="D4948">
        <v>55</v>
      </c>
      <c r="E4948" s="1">
        <v>42427</v>
      </c>
      <c r="F4948">
        <v>2.82</v>
      </c>
      <c r="G4948">
        <v>0</v>
      </c>
      <c r="H4948">
        <v>4749.3</v>
      </c>
      <c r="I4948">
        <v>9.6999999999999993</v>
      </c>
    </row>
    <row r="4949" spans="1:9" x14ac:dyDescent="0.3">
      <c r="A4949" t="s">
        <v>4964</v>
      </c>
      <c r="B4949" t="s">
        <v>13</v>
      </c>
      <c r="C4949" t="s">
        <v>11</v>
      </c>
      <c r="D4949">
        <v>36</v>
      </c>
      <c r="E4949" s="1">
        <v>41592</v>
      </c>
      <c r="F4949">
        <v>2.4700000000000002</v>
      </c>
      <c r="G4949">
        <v>4</v>
      </c>
      <c r="H4949">
        <v>4328.46</v>
      </c>
      <c r="I4949">
        <v>12</v>
      </c>
    </row>
    <row r="4950" spans="1:9" x14ac:dyDescent="0.3">
      <c r="A4950" t="s">
        <v>4965</v>
      </c>
      <c r="B4950" t="s">
        <v>18</v>
      </c>
      <c r="C4950" t="s">
        <v>14</v>
      </c>
      <c r="D4950">
        <v>37</v>
      </c>
      <c r="E4950" s="1">
        <v>43577</v>
      </c>
      <c r="F4950">
        <v>1.8</v>
      </c>
      <c r="G4950">
        <v>5</v>
      </c>
      <c r="H4950">
        <v>6204.24</v>
      </c>
      <c r="I4950">
        <v>6.5</v>
      </c>
    </row>
    <row r="4951" spans="1:9" x14ac:dyDescent="0.3">
      <c r="A4951" t="s">
        <v>4966</v>
      </c>
      <c r="B4951" t="s">
        <v>18</v>
      </c>
      <c r="C4951" t="s">
        <v>14</v>
      </c>
      <c r="D4951">
        <v>48</v>
      </c>
      <c r="E4951" s="1">
        <v>43989</v>
      </c>
      <c r="F4951">
        <v>4.22</v>
      </c>
      <c r="G4951">
        <v>13</v>
      </c>
      <c r="H4951">
        <v>12522.58</v>
      </c>
      <c r="I4951">
        <v>5.4</v>
      </c>
    </row>
    <row r="4952" spans="1:9" x14ac:dyDescent="0.3">
      <c r="A4952" t="s">
        <v>4967</v>
      </c>
      <c r="B4952" t="s">
        <v>34</v>
      </c>
      <c r="C4952" t="s">
        <v>11</v>
      </c>
      <c r="D4952">
        <v>34</v>
      </c>
      <c r="E4952" s="1">
        <v>45409</v>
      </c>
      <c r="F4952">
        <v>3.72</v>
      </c>
      <c r="G4952">
        <v>2</v>
      </c>
      <c r="H4952">
        <v>3126.13</v>
      </c>
      <c r="I4952">
        <v>1.5</v>
      </c>
    </row>
    <row r="4953" spans="1:9" x14ac:dyDescent="0.3">
      <c r="A4953" t="s">
        <v>4968</v>
      </c>
      <c r="B4953" t="s">
        <v>13</v>
      </c>
      <c r="C4953" t="s">
        <v>14</v>
      </c>
      <c r="D4953">
        <v>25</v>
      </c>
      <c r="E4953" s="1">
        <v>44886</v>
      </c>
      <c r="F4953">
        <v>3.9</v>
      </c>
      <c r="G4953">
        <v>1</v>
      </c>
      <c r="H4953">
        <v>7550.21</v>
      </c>
      <c r="I4953">
        <v>2.9</v>
      </c>
    </row>
    <row r="4954" spans="1:9" x14ac:dyDescent="0.3">
      <c r="A4954" t="s">
        <v>4969</v>
      </c>
      <c r="B4954" t="s">
        <v>24</v>
      </c>
      <c r="C4954" t="s">
        <v>11</v>
      </c>
      <c r="D4954">
        <v>43</v>
      </c>
      <c r="E4954" s="1">
        <v>44083</v>
      </c>
      <c r="F4954">
        <v>4.45</v>
      </c>
      <c r="G4954">
        <v>8</v>
      </c>
      <c r="H4954">
        <v>13879.54</v>
      </c>
      <c r="I4954">
        <v>5.0999999999999996</v>
      </c>
    </row>
    <row r="4955" spans="1:9" x14ac:dyDescent="0.3">
      <c r="A4955" t="s">
        <v>4970</v>
      </c>
      <c r="B4955" t="s">
        <v>13</v>
      </c>
      <c r="C4955" t="s">
        <v>11</v>
      </c>
      <c r="D4955">
        <v>38</v>
      </c>
      <c r="E4955" s="1">
        <v>44904</v>
      </c>
      <c r="F4955">
        <v>4.71</v>
      </c>
      <c r="G4955">
        <v>10</v>
      </c>
      <c r="H4955">
        <v>13308.12</v>
      </c>
      <c r="I4955">
        <v>2.9</v>
      </c>
    </row>
    <row r="4956" spans="1:9" x14ac:dyDescent="0.3">
      <c r="A4956" t="s">
        <v>4971</v>
      </c>
      <c r="B4956" t="s">
        <v>18</v>
      </c>
      <c r="C4956" t="s">
        <v>14</v>
      </c>
      <c r="D4956">
        <v>31</v>
      </c>
      <c r="E4956" s="1">
        <v>40313</v>
      </c>
      <c r="F4956">
        <v>4.33</v>
      </c>
      <c r="G4956">
        <v>12</v>
      </c>
      <c r="H4956">
        <v>12436.98</v>
      </c>
      <c r="I4956">
        <v>15.5</v>
      </c>
    </row>
    <row r="4957" spans="1:9" x14ac:dyDescent="0.3">
      <c r="A4957" t="s">
        <v>4972</v>
      </c>
      <c r="B4957" t="s">
        <v>16</v>
      </c>
      <c r="C4957" t="s">
        <v>14</v>
      </c>
      <c r="D4957">
        <v>42</v>
      </c>
      <c r="E4957" s="1">
        <v>44912</v>
      </c>
      <c r="F4957">
        <v>2.2599999999999998</v>
      </c>
      <c r="G4957">
        <v>14</v>
      </c>
      <c r="H4957">
        <v>5372.7</v>
      </c>
      <c r="I4957">
        <v>2.9</v>
      </c>
    </row>
    <row r="4958" spans="1:9" x14ac:dyDescent="0.3">
      <c r="A4958" t="s">
        <v>4973</v>
      </c>
      <c r="B4958" t="s">
        <v>16</v>
      </c>
      <c r="C4958" t="s">
        <v>14</v>
      </c>
      <c r="D4958">
        <v>35</v>
      </c>
      <c r="E4958" s="1">
        <v>43242</v>
      </c>
      <c r="F4958">
        <v>4.92</v>
      </c>
      <c r="G4958">
        <v>3</v>
      </c>
      <c r="H4958">
        <v>10066.99</v>
      </c>
      <c r="I4958">
        <v>7.5</v>
      </c>
    </row>
    <row r="4959" spans="1:9" x14ac:dyDescent="0.3">
      <c r="A4959" t="s">
        <v>4974</v>
      </c>
      <c r="B4959" t="s">
        <v>10</v>
      </c>
      <c r="C4959" t="s">
        <v>14</v>
      </c>
      <c r="D4959">
        <v>53</v>
      </c>
      <c r="E4959" s="1">
        <v>43817</v>
      </c>
      <c r="F4959">
        <v>2.13</v>
      </c>
      <c r="G4959">
        <v>13</v>
      </c>
      <c r="H4959">
        <v>5540.6</v>
      </c>
      <c r="I4959">
        <v>5.9</v>
      </c>
    </row>
    <row r="4960" spans="1:9" x14ac:dyDescent="0.3">
      <c r="A4960" t="s">
        <v>4975</v>
      </c>
      <c r="B4960" t="s">
        <v>24</v>
      </c>
      <c r="C4960" t="s">
        <v>14</v>
      </c>
      <c r="D4960">
        <v>57</v>
      </c>
      <c r="E4960" s="1">
        <v>40741</v>
      </c>
      <c r="F4960">
        <v>2.4700000000000002</v>
      </c>
      <c r="G4960">
        <v>2</v>
      </c>
      <c r="H4960">
        <v>10267.540000000001</v>
      </c>
      <c r="I4960">
        <v>14.3</v>
      </c>
    </row>
    <row r="4961" spans="1:9" x14ac:dyDescent="0.3">
      <c r="A4961" t="s">
        <v>4976</v>
      </c>
      <c r="B4961" t="s">
        <v>18</v>
      </c>
      <c r="C4961" t="s">
        <v>14</v>
      </c>
      <c r="D4961">
        <v>34</v>
      </c>
      <c r="E4961" s="1">
        <v>41898</v>
      </c>
      <c r="F4961">
        <v>4.8</v>
      </c>
      <c r="G4961">
        <v>7</v>
      </c>
      <c r="H4961">
        <v>5236.62</v>
      </c>
      <c r="I4961">
        <v>11.1</v>
      </c>
    </row>
    <row r="4962" spans="1:9" x14ac:dyDescent="0.3">
      <c r="A4962" t="s">
        <v>4977</v>
      </c>
      <c r="B4962" t="s">
        <v>34</v>
      </c>
      <c r="C4962" t="s">
        <v>14</v>
      </c>
      <c r="D4962">
        <v>52</v>
      </c>
      <c r="E4962" s="1">
        <v>44419</v>
      </c>
      <c r="F4962">
        <v>2.52</v>
      </c>
      <c r="G4962">
        <v>4</v>
      </c>
      <c r="H4962">
        <v>11942.47</v>
      </c>
      <c r="I4962">
        <v>4.2</v>
      </c>
    </row>
    <row r="4963" spans="1:9" x14ac:dyDescent="0.3">
      <c r="A4963" t="s">
        <v>4978</v>
      </c>
      <c r="B4963" t="s">
        <v>18</v>
      </c>
      <c r="C4963" t="s">
        <v>11</v>
      </c>
      <c r="D4963">
        <v>53</v>
      </c>
      <c r="E4963" s="1">
        <v>44591</v>
      </c>
      <c r="F4963">
        <v>2.42</v>
      </c>
      <c r="G4963">
        <v>2</v>
      </c>
      <c r="H4963">
        <v>3098.5</v>
      </c>
      <c r="I4963">
        <v>3.8</v>
      </c>
    </row>
    <row r="4964" spans="1:9" x14ac:dyDescent="0.3">
      <c r="A4964" t="s">
        <v>4979</v>
      </c>
      <c r="B4964" t="s">
        <v>16</v>
      </c>
      <c r="C4964" t="s">
        <v>14</v>
      </c>
      <c r="D4964">
        <v>51</v>
      </c>
      <c r="E4964" s="1">
        <v>42167</v>
      </c>
      <c r="F4964">
        <v>1.76</v>
      </c>
      <c r="G4964">
        <v>2</v>
      </c>
      <c r="H4964">
        <v>10849.26</v>
      </c>
      <c r="I4964">
        <v>10.4</v>
      </c>
    </row>
    <row r="4965" spans="1:9" x14ac:dyDescent="0.3">
      <c r="A4965" t="s">
        <v>4980</v>
      </c>
      <c r="B4965" t="s">
        <v>10</v>
      </c>
      <c r="C4965" t="s">
        <v>14</v>
      </c>
      <c r="D4965">
        <v>60</v>
      </c>
      <c r="E4965" s="1">
        <v>40757</v>
      </c>
      <c r="F4965">
        <v>3.96</v>
      </c>
      <c r="G4965">
        <v>14</v>
      </c>
      <c r="H4965">
        <v>14831.22</v>
      </c>
      <c r="I4965">
        <v>14.3</v>
      </c>
    </row>
    <row r="4966" spans="1:9" x14ac:dyDescent="0.3">
      <c r="A4966" t="s">
        <v>4981</v>
      </c>
      <c r="B4966" t="s">
        <v>34</v>
      </c>
      <c r="C4966" t="s">
        <v>14</v>
      </c>
      <c r="D4966">
        <v>45</v>
      </c>
      <c r="E4966" s="1">
        <v>45700</v>
      </c>
      <c r="F4966">
        <v>1.98</v>
      </c>
      <c r="G4966">
        <v>10</v>
      </c>
      <c r="H4966">
        <v>3717.53</v>
      </c>
      <c r="I4966">
        <v>0.7</v>
      </c>
    </row>
    <row r="4967" spans="1:9" x14ac:dyDescent="0.3">
      <c r="A4967" t="s">
        <v>4982</v>
      </c>
      <c r="B4967" t="s">
        <v>10</v>
      </c>
      <c r="C4967" t="s">
        <v>11</v>
      </c>
      <c r="D4967">
        <v>42</v>
      </c>
      <c r="E4967" s="1">
        <v>45723</v>
      </c>
      <c r="F4967">
        <v>4.18</v>
      </c>
      <c r="G4967">
        <v>15</v>
      </c>
      <c r="H4967">
        <v>7699.65</v>
      </c>
      <c r="I4967">
        <v>0.7</v>
      </c>
    </row>
    <row r="4968" spans="1:9" x14ac:dyDescent="0.3">
      <c r="A4968" t="s">
        <v>4983</v>
      </c>
      <c r="B4968" t="s">
        <v>18</v>
      </c>
      <c r="C4968" t="s">
        <v>14</v>
      </c>
      <c r="D4968">
        <v>58</v>
      </c>
      <c r="E4968" s="1">
        <v>40572</v>
      </c>
      <c r="F4968">
        <v>1.72</v>
      </c>
      <c r="G4968">
        <v>4</v>
      </c>
      <c r="H4968">
        <v>7609.45</v>
      </c>
      <c r="I4968">
        <v>14.8</v>
      </c>
    </row>
    <row r="4969" spans="1:9" x14ac:dyDescent="0.3">
      <c r="A4969" t="s">
        <v>4984</v>
      </c>
      <c r="B4969" t="s">
        <v>24</v>
      </c>
      <c r="C4969" t="s">
        <v>11</v>
      </c>
      <c r="D4969">
        <v>51</v>
      </c>
      <c r="E4969" s="1">
        <v>42383</v>
      </c>
      <c r="F4969">
        <v>1.67</v>
      </c>
      <c r="G4969">
        <v>14</v>
      </c>
      <c r="H4969">
        <v>9044.31</v>
      </c>
      <c r="I4969">
        <v>9.8000000000000007</v>
      </c>
    </row>
    <row r="4970" spans="1:9" x14ac:dyDescent="0.3">
      <c r="A4970" t="s">
        <v>4985</v>
      </c>
      <c r="B4970" t="s">
        <v>10</v>
      </c>
      <c r="C4970" t="s">
        <v>11</v>
      </c>
      <c r="D4970">
        <v>45</v>
      </c>
      <c r="E4970" s="1">
        <v>45058</v>
      </c>
      <c r="F4970">
        <v>4.08</v>
      </c>
      <c r="G4970">
        <v>5</v>
      </c>
      <c r="H4970">
        <v>10368.31</v>
      </c>
      <c r="I4970">
        <v>2.5</v>
      </c>
    </row>
    <row r="4971" spans="1:9" x14ac:dyDescent="0.3">
      <c r="A4971" t="s">
        <v>4986</v>
      </c>
      <c r="B4971" t="s">
        <v>16</v>
      </c>
      <c r="C4971" t="s">
        <v>14</v>
      </c>
      <c r="D4971">
        <v>49</v>
      </c>
      <c r="E4971" s="1">
        <v>45577</v>
      </c>
      <c r="F4971">
        <v>3.32</v>
      </c>
      <c r="G4971">
        <v>12</v>
      </c>
      <c r="H4971">
        <v>11621.1</v>
      </c>
      <c r="I4971">
        <v>1.1000000000000001</v>
      </c>
    </row>
    <row r="4972" spans="1:9" x14ac:dyDescent="0.3">
      <c r="A4972" t="s">
        <v>4987</v>
      </c>
      <c r="B4972" t="s">
        <v>24</v>
      </c>
      <c r="C4972" t="s">
        <v>11</v>
      </c>
      <c r="D4972">
        <v>30</v>
      </c>
      <c r="E4972" s="1">
        <v>41721</v>
      </c>
      <c r="F4972">
        <v>4.38</v>
      </c>
      <c r="G4972">
        <v>14</v>
      </c>
      <c r="H4972">
        <v>5592.29</v>
      </c>
      <c r="I4972">
        <v>11.6</v>
      </c>
    </row>
    <row r="4973" spans="1:9" x14ac:dyDescent="0.3">
      <c r="A4973" t="s">
        <v>4988</v>
      </c>
      <c r="B4973" t="s">
        <v>16</v>
      </c>
      <c r="C4973" t="s">
        <v>11</v>
      </c>
      <c r="D4973">
        <v>58</v>
      </c>
      <c r="E4973" s="1">
        <v>43732</v>
      </c>
      <c r="F4973">
        <v>2.54</v>
      </c>
      <c r="G4973">
        <v>1</v>
      </c>
      <c r="H4973">
        <v>11617.27</v>
      </c>
      <c r="I4973">
        <v>6.1</v>
      </c>
    </row>
    <row r="4974" spans="1:9" x14ac:dyDescent="0.3">
      <c r="A4974" t="s">
        <v>4989</v>
      </c>
      <c r="B4974" t="s">
        <v>18</v>
      </c>
      <c r="C4974" t="s">
        <v>11</v>
      </c>
      <c r="D4974">
        <v>54</v>
      </c>
      <c r="E4974" s="1">
        <v>43612</v>
      </c>
      <c r="F4974">
        <v>4.1100000000000003</v>
      </c>
      <c r="G4974">
        <v>3</v>
      </c>
      <c r="H4974">
        <v>12013.96</v>
      </c>
      <c r="I4974">
        <v>6.4</v>
      </c>
    </row>
    <row r="4975" spans="1:9" x14ac:dyDescent="0.3">
      <c r="A4975" t="s">
        <v>4990</v>
      </c>
      <c r="B4975" t="s">
        <v>10</v>
      </c>
      <c r="C4975" t="s">
        <v>11</v>
      </c>
      <c r="D4975">
        <v>48</v>
      </c>
      <c r="E4975" s="1">
        <v>43720</v>
      </c>
      <c r="F4975">
        <v>2.86</v>
      </c>
      <c r="G4975">
        <v>13</v>
      </c>
      <c r="H4975">
        <v>9192.5499999999993</v>
      </c>
      <c r="I4975">
        <v>6.1</v>
      </c>
    </row>
    <row r="4976" spans="1:9" x14ac:dyDescent="0.3">
      <c r="A4976" t="s">
        <v>4991</v>
      </c>
      <c r="B4976" t="s">
        <v>24</v>
      </c>
      <c r="C4976" t="s">
        <v>14</v>
      </c>
      <c r="D4976">
        <v>51</v>
      </c>
      <c r="E4976" s="1">
        <v>40610</v>
      </c>
      <c r="F4976">
        <v>2.1800000000000002</v>
      </c>
      <c r="G4976">
        <v>9</v>
      </c>
      <c r="H4976">
        <v>12918.72</v>
      </c>
      <c r="I4976">
        <v>14.7</v>
      </c>
    </row>
    <row r="4977" spans="1:9" x14ac:dyDescent="0.3">
      <c r="A4977" t="s">
        <v>4992</v>
      </c>
      <c r="B4977" t="s">
        <v>24</v>
      </c>
      <c r="C4977" t="s">
        <v>11</v>
      </c>
      <c r="D4977">
        <v>58</v>
      </c>
      <c r="E4977" s="1">
        <v>45108</v>
      </c>
      <c r="F4977">
        <v>3.17</v>
      </c>
      <c r="G4977">
        <v>11</v>
      </c>
      <c r="H4977">
        <v>6489.74</v>
      </c>
      <c r="I4977">
        <v>2.2999999999999998</v>
      </c>
    </row>
    <row r="4978" spans="1:9" x14ac:dyDescent="0.3">
      <c r="A4978" t="s">
        <v>4993</v>
      </c>
      <c r="B4978" t="s">
        <v>10</v>
      </c>
      <c r="C4978" t="s">
        <v>11</v>
      </c>
      <c r="D4978">
        <v>57</v>
      </c>
      <c r="E4978" s="1">
        <v>43394</v>
      </c>
      <c r="F4978">
        <v>3.58</v>
      </c>
      <c r="G4978">
        <v>13</v>
      </c>
      <c r="H4978">
        <v>8220.9500000000007</v>
      </c>
      <c r="I4978">
        <v>7</v>
      </c>
    </row>
    <row r="4979" spans="1:9" x14ac:dyDescent="0.3">
      <c r="A4979" t="s">
        <v>4994</v>
      </c>
      <c r="B4979" t="s">
        <v>18</v>
      </c>
      <c r="C4979" t="s">
        <v>11</v>
      </c>
      <c r="D4979">
        <v>25</v>
      </c>
      <c r="E4979" s="1">
        <v>40512</v>
      </c>
      <c r="F4979">
        <v>2.9</v>
      </c>
      <c r="G4979">
        <v>6</v>
      </c>
      <c r="H4979">
        <v>5685.34</v>
      </c>
      <c r="I4979">
        <v>14.9</v>
      </c>
    </row>
    <row r="4980" spans="1:9" x14ac:dyDescent="0.3">
      <c r="A4980" t="s">
        <v>4995</v>
      </c>
      <c r="B4980" t="s">
        <v>24</v>
      </c>
      <c r="C4980" t="s">
        <v>11</v>
      </c>
      <c r="D4980">
        <v>40</v>
      </c>
      <c r="E4980" s="1">
        <v>44359</v>
      </c>
      <c r="F4980">
        <v>5</v>
      </c>
      <c r="G4980">
        <v>3</v>
      </c>
      <c r="H4980">
        <v>8389.69</v>
      </c>
      <c r="I4980">
        <v>4.4000000000000004</v>
      </c>
    </row>
    <row r="4981" spans="1:9" x14ac:dyDescent="0.3">
      <c r="A4981" t="s">
        <v>4996</v>
      </c>
      <c r="B4981" t="s">
        <v>10</v>
      </c>
      <c r="C4981" t="s">
        <v>14</v>
      </c>
      <c r="D4981">
        <v>35</v>
      </c>
      <c r="E4981" s="1">
        <v>43918</v>
      </c>
      <c r="F4981">
        <v>4.09</v>
      </c>
      <c r="G4981">
        <v>13</v>
      </c>
      <c r="H4981">
        <v>12696.44</v>
      </c>
      <c r="I4981">
        <v>5.6</v>
      </c>
    </row>
    <row r="4982" spans="1:9" x14ac:dyDescent="0.3">
      <c r="A4982" t="s">
        <v>4997</v>
      </c>
      <c r="B4982" t="s">
        <v>13</v>
      </c>
      <c r="C4982" t="s">
        <v>11</v>
      </c>
      <c r="D4982">
        <v>48</v>
      </c>
      <c r="E4982" s="1">
        <v>43328</v>
      </c>
      <c r="F4982">
        <v>4.5999999999999996</v>
      </c>
      <c r="G4982">
        <v>10</v>
      </c>
      <c r="H4982">
        <v>8325.56</v>
      </c>
      <c r="I4982">
        <v>7.2</v>
      </c>
    </row>
    <row r="4983" spans="1:9" x14ac:dyDescent="0.3">
      <c r="A4983" t="s">
        <v>4998</v>
      </c>
      <c r="B4983" t="s">
        <v>24</v>
      </c>
      <c r="C4983" t="s">
        <v>14</v>
      </c>
      <c r="D4983">
        <v>42</v>
      </c>
      <c r="E4983" s="1">
        <v>42297</v>
      </c>
      <c r="F4983">
        <v>4.46</v>
      </c>
      <c r="G4983">
        <v>15</v>
      </c>
      <c r="H4983">
        <v>5551.49</v>
      </c>
      <c r="I4983">
        <v>10</v>
      </c>
    </row>
    <row r="4984" spans="1:9" x14ac:dyDescent="0.3">
      <c r="A4984" t="s">
        <v>4999</v>
      </c>
      <c r="B4984" t="s">
        <v>24</v>
      </c>
      <c r="C4984" t="s">
        <v>11</v>
      </c>
      <c r="D4984">
        <v>40</v>
      </c>
      <c r="E4984" s="1">
        <v>44508</v>
      </c>
      <c r="F4984">
        <v>2.78</v>
      </c>
      <c r="G4984">
        <v>10</v>
      </c>
      <c r="H4984">
        <v>6836.94</v>
      </c>
      <c r="I4984">
        <v>4</v>
      </c>
    </row>
    <row r="4985" spans="1:9" x14ac:dyDescent="0.3">
      <c r="A4985" t="s">
        <v>5000</v>
      </c>
      <c r="B4985" t="s">
        <v>10</v>
      </c>
      <c r="C4985" t="s">
        <v>14</v>
      </c>
      <c r="D4985">
        <v>49</v>
      </c>
      <c r="E4985" s="1">
        <v>42918</v>
      </c>
      <c r="F4985">
        <v>4.9800000000000004</v>
      </c>
      <c r="G4985">
        <v>2</v>
      </c>
      <c r="H4985">
        <v>9715.44</v>
      </c>
      <c r="I4985">
        <v>8.3000000000000007</v>
      </c>
    </row>
    <row r="4986" spans="1:9" x14ac:dyDescent="0.3">
      <c r="A4986" t="s">
        <v>5001</v>
      </c>
      <c r="B4986" t="s">
        <v>24</v>
      </c>
      <c r="C4986" t="s">
        <v>11</v>
      </c>
      <c r="D4986">
        <v>46</v>
      </c>
      <c r="E4986" s="1">
        <v>42073</v>
      </c>
      <c r="F4986">
        <v>3.53</v>
      </c>
      <c r="G4986">
        <v>12</v>
      </c>
      <c r="H4986">
        <v>14752.06</v>
      </c>
      <c r="I4986">
        <v>10.7</v>
      </c>
    </row>
    <row r="4987" spans="1:9" x14ac:dyDescent="0.3">
      <c r="A4987" t="s">
        <v>5002</v>
      </c>
      <c r="B4987" t="s">
        <v>16</v>
      </c>
      <c r="C4987" t="s">
        <v>14</v>
      </c>
      <c r="D4987">
        <v>53</v>
      </c>
      <c r="E4987" s="1">
        <v>40775</v>
      </c>
      <c r="F4987">
        <v>1.72</v>
      </c>
      <c r="G4987">
        <v>11</v>
      </c>
      <c r="H4987">
        <v>13567</v>
      </c>
      <c r="I4987">
        <v>14.2</v>
      </c>
    </row>
    <row r="4988" spans="1:9" x14ac:dyDescent="0.3">
      <c r="A4988" t="s">
        <v>5003</v>
      </c>
      <c r="B4988" t="s">
        <v>18</v>
      </c>
      <c r="C4988" t="s">
        <v>14</v>
      </c>
      <c r="D4988">
        <v>55</v>
      </c>
      <c r="E4988" s="1">
        <v>40959</v>
      </c>
      <c r="F4988">
        <v>2.98</v>
      </c>
      <c r="G4988">
        <v>13</v>
      </c>
      <c r="H4988">
        <v>9074.4500000000007</v>
      </c>
      <c r="I4988">
        <v>13.7</v>
      </c>
    </row>
    <row r="4989" spans="1:9" x14ac:dyDescent="0.3">
      <c r="A4989" t="s">
        <v>5004</v>
      </c>
      <c r="B4989" t="s">
        <v>13</v>
      </c>
      <c r="C4989" t="s">
        <v>14</v>
      </c>
      <c r="D4989">
        <v>27</v>
      </c>
      <c r="E4989" s="1">
        <v>43840</v>
      </c>
      <c r="F4989">
        <v>3.19</v>
      </c>
      <c r="G4989">
        <v>9</v>
      </c>
      <c r="H4989">
        <v>10912.38</v>
      </c>
      <c r="I4989">
        <v>5.8</v>
      </c>
    </row>
    <row r="4990" spans="1:9" x14ac:dyDescent="0.3">
      <c r="A4990" t="s">
        <v>5005</v>
      </c>
      <c r="B4990" t="s">
        <v>34</v>
      </c>
      <c r="C4990" t="s">
        <v>14</v>
      </c>
      <c r="D4990">
        <v>36</v>
      </c>
      <c r="E4990" s="1">
        <v>43926</v>
      </c>
      <c r="F4990">
        <v>1.54</v>
      </c>
      <c r="G4990">
        <v>3</v>
      </c>
      <c r="H4990">
        <v>5631.97</v>
      </c>
      <c r="I4990">
        <v>5.6</v>
      </c>
    </row>
    <row r="4991" spans="1:9" x14ac:dyDescent="0.3">
      <c r="A4991" t="s">
        <v>5006</v>
      </c>
      <c r="B4991" t="s">
        <v>34</v>
      </c>
      <c r="C4991" t="s">
        <v>11</v>
      </c>
      <c r="D4991">
        <v>52</v>
      </c>
      <c r="E4991" s="1">
        <v>45543</v>
      </c>
      <c r="F4991">
        <v>2.57</v>
      </c>
      <c r="G4991">
        <v>12</v>
      </c>
      <c r="H4991">
        <v>12761.86</v>
      </c>
      <c r="I4991">
        <v>1.1000000000000001</v>
      </c>
    </row>
    <row r="4992" spans="1:9" x14ac:dyDescent="0.3">
      <c r="A4992" t="s">
        <v>5007</v>
      </c>
      <c r="B4992" t="s">
        <v>18</v>
      </c>
      <c r="C4992" t="s">
        <v>14</v>
      </c>
      <c r="D4992">
        <v>22</v>
      </c>
      <c r="E4992" s="1">
        <v>40606</v>
      </c>
      <c r="F4992">
        <v>3.78</v>
      </c>
      <c r="G4992">
        <v>3</v>
      </c>
      <c r="H4992">
        <v>14887.83</v>
      </c>
      <c r="I4992">
        <v>14.7</v>
      </c>
    </row>
    <row r="4993" spans="1:9" x14ac:dyDescent="0.3">
      <c r="A4993" t="s">
        <v>5008</v>
      </c>
      <c r="B4993" t="s">
        <v>13</v>
      </c>
      <c r="C4993" t="s">
        <v>14</v>
      </c>
      <c r="D4993">
        <v>26</v>
      </c>
      <c r="E4993" s="1">
        <v>44830</v>
      </c>
      <c r="F4993">
        <v>3.31</v>
      </c>
      <c r="G4993">
        <v>9</v>
      </c>
      <c r="H4993">
        <v>8538.08</v>
      </c>
      <c r="I4993">
        <v>3.1</v>
      </c>
    </row>
    <row r="4994" spans="1:9" x14ac:dyDescent="0.3">
      <c r="A4994" t="s">
        <v>5009</v>
      </c>
      <c r="B4994" t="s">
        <v>34</v>
      </c>
      <c r="C4994" t="s">
        <v>11</v>
      </c>
      <c r="D4994">
        <v>52</v>
      </c>
      <c r="E4994" s="1">
        <v>42391</v>
      </c>
      <c r="F4994">
        <v>3.68</v>
      </c>
      <c r="G4994">
        <v>9</v>
      </c>
      <c r="H4994">
        <v>9704.83</v>
      </c>
      <c r="I4994">
        <v>9.8000000000000007</v>
      </c>
    </row>
    <row r="4995" spans="1:9" x14ac:dyDescent="0.3">
      <c r="A4995" t="s">
        <v>5010</v>
      </c>
      <c r="B4995" t="s">
        <v>34</v>
      </c>
      <c r="C4995" t="s">
        <v>11</v>
      </c>
      <c r="D4995">
        <v>24</v>
      </c>
      <c r="E4995" s="1">
        <v>42549</v>
      </c>
      <c r="F4995">
        <v>2.35</v>
      </c>
      <c r="G4995">
        <v>0</v>
      </c>
      <c r="H4995">
        <v>8370.14</v>
      </c>
      <c r="I4995">
        <v>9.4</v>
      </c>
    </row>
    <row r="4996" spans="1:9" x14ac:dyDescent="0.3">
      <c r="A4996" t="s">
        <v>5011</v>
      </c>
      <c r="B4996" t="s">
        <v>18</v>
      </c>
      <c r="C4996" t="s">
        <v>14</v>
      </c>
      <c r="D4996">
        <v>60</v>
      </c>
      <c r="E4996" s="1">
        <v>44930</v>
      </c>
      <c r="F4996">
        <v>2.9</v>
      </c>
      <c r="G4996">
        <v>1</v>
      </c>
      <c r="H4996">
        <v>11018.51</v>
      </c>
      <c r="I4996">
        <v>2.8</v>
      </c>
    </row>
    <row r="4997" spans="1:9" x14ac:dyDescent="0.3">
      <c r="A4997" t="s">
        <v>5012</v>
      </c>
      <c r="B4997" t="s">
        <v>18</v>
      </c>
      <c r="C4997" t="s">
        <v>11</v>
      </c>
      <c r="D4997">
        <v>33</v>
      </c>
      <c r="E4997" s="1">
        <v>43420</v>
      </c>
      <c r="F4997">
        <v>1.59</v>
      </c>
      <c r="G4997">
        <v>6</v>
      </c>
      <c r="H4997">
        <v>13656.58</v>
      </c>
      <c r="I4997">
        <v>7</v>
      </c>
    </row>
    <row r="4998" spans="1:9" x14ac:dyDescent="0.3">
      <c r="A4998" t="s">
        <v>5013</v>
      </c>
      <c r="B4998" t="s">
        <v>34</v>
      </c>
      <c r="C4998" t="s">
        <v>14</v>
      </c>
      <c r="D4998">
        <v>36</v>
      </c>
      <c r="E4998" s="1">
        <v>41512</v>
      </c>
      <c r="F4998">
        <v>4.8</v>
      </c>
      <c r="G4998">
        <v>15</v>
      </c>
      <c r="H4998">
        <v>10298.81</v>
      </c>
      <c r="I4998">
        <v>12.2</v>
      </c>
    </row>
    <row r="4999" spans="1:9" x14ac:dyDescent="0.3">
      <c r="A4999" t="s">
        <v>5014</v>
      </c>
      <c r="B4999" t="s">
        <v>13</v>
      </c>
      <c r="C4999" t="s">
        <v>14</v>
      </c>
      <c r="D4999">
        <v>51</v>
      </c>
      <c r="E4999" s="1">
        <v>44978</v>
      </c>
      <c r="F4999">
        <v>4.3499999999999996</v>
      </c>
      <c r="G4999">
        <v>1</v>
      </c>
      <c r="H4999">
        <v>5490.84</v>
      </c>
      <c r="I4999">
        <v>2.7</v>
      </c>
    </row>
    <row r="5000" spans="1:9" x14ac:dyDescent="0.3">
      <c r="A5000" t="s">
        <v>5015</v>
      </c>
      <c r="B5000" t="s">
        <v>10</v>
      </c>
      <c r="C5000" t="s">
        <v>11</v>
      </c>
      <c r="D5000">
        <v>43</v>
      </c>
      <c r="E5000" s="1">
        <v>43965</v>
      </c>
      <c r="F5000">
        <v>3.26</v>
      </c>
      <c r="G5000">
        <v>6</v>
      </c>
      <c r="H5000">
        <v>5480.13</v>
      </c>
      <c r="I5000">
        <v>5.5</v>
      </c>
    </row>
    <row r="5001" spans="1:9" x14ac:dyDescent="0.3">
      <c r="A5001" t="s">
        <v>5016</v>
      </c>
      <c r="B5001" t="s">
        <v>18</v>
      </c>
      <c r="C5001" t="s">
        <v>14</v>
      </c>
      <c r="D5001">
        <v>32</v>
      </c>
      <c r="E5001" s="1">
        <v>45747</v>
      </c>
      <c r="F5001">
        <v>2.75</v>
      </c>
      <c r="G5001">
        <v>2</v>
      </c>
      <c r="H5001">
        <v>10066.120000000001</v>
      </c>
      <c r="I5001">
        <v>0.6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36B95-8AE7-444A-B8F1-57753D1E0A50}">
  <dimension ref="A1:B7"/>
  <sheetViews>
    <sheetView workbookViewId="0"/>
  </sheetViews>
  <sheetFormatPr defaultRowHeight="14.4" x14ac:dyDescent="0.3"/>
  <cols>
    <col min="1" max="1" width="15.44140625" customWidth="1"/>
    <col min="2" max="2" width="18.6640625" customWidth="1"/>
  </cols>
  <sheetData>
    <row r="1" spans="1:2" x14ac:dyDescent="0.3">
      <c r="A1" t="s">
        <v>5024</v>
      </c>
      <c r="B1" t="s">
        <v>5023</v>
      </c>
    </row>
    <row r="2" spans="1:2" x14ac:dyDescent="0.3">
      <c r="A2" t="s">
        <v>13</v>
      </c>
      <c r="B2" t="s">
        <v>5017</v>
      </c>
    </row>
    <row r="3" spans="1:2" x14ac:dyDescent="0.3">
      <c r="A3" t="s">
        <v>16</v>
      </c>
      <c r="B3" t="s">
        <v>5018</v>
      </c>
    </row>
    <row r="4" spans="1:2" x14ac:dyDescent="0.3">
      <c r="A4" t="s">
        <v>24</v>
      </c>
      <c r="B4" t="s">
        <v>5019</v>
      </c>
    </row>
    <row r="5" spans="1:2" x14ac:dyDescent="0.3">
      <c r="A5" t="s">
        <v>34</v>
      </c>
      <c r="B5" t="s">
        <v>5020</v>
      </c>
    </row>
    <row r="6" spans="1:2" x14ac:dyDescent="0.3">
      <c r="A6" t="s">
        <v>18</v>
      </c>
      <c r="B6" t="s">
        <v>5021</v>
      </c>
    </row>
    <row r="7" spans="1:2" x14ac:dyDescent="0.3">
      <c r="A7" t="s">
        <v>10</v>
      </c>
      <c r="B7" t="s">
        <v>5022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BA11B8-D9C7-46F4-9402-6CB0A3CF0F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EmployeeData</vt:lpstr>
      <vt:lpstr>Department</vt:lpstr>
      <vt:lpstr>Worksheet</vt:lpstr>
      <vt:lpstr>HR System</vt:lpstr>
      <vt:lpstr>Lookups</vt:lpstr>
      <vt:lpstr>PivotTables</vt:lpstr>
      <vt:lpstr>Summary</vt:lpstr>
      <vt:lpstr>Dashboard</vt:lpstr>
      <vt:lpstr>employee_productivity_v2</vt:lpstr>
      <vt:lpstr>Dept</vt:lpstr>
      <vt:lpstr>Dept</vt:lpstr>
      <vt:lpstr>Select_Dept</vt:lpstr>
      <vt:lpstr>Year</vt:lpstr>
      <vt:lpstr>Years</vt:lpstr>
      <vt:lpstr>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Herrera</dc:creator>
  <cp:lastModifiedBy>Paulo Herrera</cp:lastModifiedBy>
  <dcterms:created xsi:type="dcterms:W3CDTF">2025-11-20T09:08:24Z</dcterms:created>
  <dcterms:modified xsi:type="dcterms:W3CDTF">2025-11-30T05:11:16Z</dcterms:modified>
</cp:coreProperties>
</file>